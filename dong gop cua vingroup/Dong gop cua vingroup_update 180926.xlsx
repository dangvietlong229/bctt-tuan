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BCTT Tuan\dong gop cua vingroup\"/>
    </mc:Choice>
  </mc:AlternateContent>
  <xr:revisionPtr revIDLastSave="0" documentId="13_ncr:1_{9DACC8D5-8244-4EF1-B5C5-AA30C3764061}" xr6:coauthVersionLast="47" xr6:coauthVersionMax="47" xr10:uidLastSave="{00000000-0000-0000-0000-000000000000}"/>
  <bookViews>
    <workbookView xWindow="4335" yWindow="2070" windowWidth="21600" windowHeight="11385" xr2:uid="{00000000-000D-0000-FFFF-FFFF00000000}"/>
  </bookViews>
  <sheets>
    <sheet name="Sheet1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1" l="1"/>
  <c r="V16" i="1"/>
  <c r="AB16" i="1" s="1"/>
  <c r="U16" i="1"/>
  <c r="AA16" i="1" s="1"/>
  <c r="T16" i="1"/>
  <c r="Z16" i="1" s="1"/>
  <c r="S16" i="1"/>
  <c r="Y16" i="1" s="1"/>
  <c r="R16" i="1"/>
  <c r="X16" i="1" s="1"/>
  <c r="V15" i="1"/>
  <c r="AB15" i="1" s="1"/>
  <c r="U15" i="1"/>
  <c r="AA15" i="1" s="1"/>
  <c r="T15" i="1"/>
  <c r="Z15" i="1" s="1"/>
  <c r="S15" i="1"/>
  <c r="Y15" i="1" s="1"/>
  <c r="R15" i="1"/>
  <c r="X15" i="1" s="1"/>
  <c r="V14" i="1"/>
  <c r="AB14" i="1" s="1"/>
  <c r="U14" i="1"/>
  <c r="AA14" i="1" s="1"/>
  <c r="T14" i="1"/>
  <c r="Z14" i="1" s="1"/>
  <c r="S14" i="1"/>
  <c r="Y14" i="1" s="1"/>
  <c r="R14" i="1"/>
  <c r="X14" i="1" s="1"/>
  <c r="V13" i="1"/>
  <c r="AB13" i="1" s="1"/>
  <c r="AH13" i="1" s="1"/>
  <c r="U13" i="1"/>
  <c r="AA13" i="1" s="1"/>
  <c r="AG13" i="1" s="1"/>
  <c r="T13" i="1"/>
  <c r="Z13" i="1" s="1"/>
  <c r="AF13" i="1" s="1"/>
  <c r="S13" i="1"/>
  <c r="Y13" i="1" s="1"/>
  <c r="AE13" i="1" s="1"/>
  <c r="R13" i="1"/>
  <c r="X13" i="1" s="1"/>
  <c r="AD13" i="1" s="1"/>
  <c r="V12" i="1"/>
  <c r="AB12" i="1" s="1"/>
  <c r="AH12" i="1" s="1"/>
  <c r="U12" i="1"/>
  <c r="AA12" i="1" s="1"/>
  <c r="AG12" i="1" s="1"/>
  <c r="T12" i="1"/>
  <c r="Z12" i="1" s="1"/>
  <c r="AF12" i="1" s="1"/>
  <c r="S12" i="1"/>
  <c r="Y12" i="1" s="1"/>
  <c r="AE12" i="1" s="1"/>
  <c r="R12" i="1"/>
  <c r="X12" i="1" s="1"/>
  <c r="AD12" i="1" s="1"/>
  <c r="V11" i="1"/>
  <c r="AB11" i="1" s="1"/>
  <c r="U11" i="1"/>
  <c r="AA11" i="1" s="1"/>
  <c r="T11" i="1"/>
  <c r="Z11" i="1" s="1"/>
  <c r="S11" i="1"/>
  <c r="Y11" i="1" s="1"/>
  <c r="R11" i="1"/>
  <c r="X11" i="1" s="1"/>
  <c r="V10" i="1"/>
  <c r="AB10" i="1" s="1"/>
  <c r="U10" i="1"/>
  <c r="AA10" i="1" s="1"/>
  <c r="T10" i="1"/>
  <c r="Z10" i="1" s="1"/>
  <c r="S10" i="1"/>
  <c r="Y10" i="1" s="1"/>
  <c r="R10" i="1"/>
  <c r="X10" i="1" s="1"/>
  <c r="V9" i="1"/>
  <c r="AB9" i="1" s="1"/>
  <c r="U9" i="1"/>
  <c r="AA9" i="1" s="1"/>
  <c r="T9" i="1"/>
  <c r="Z9" i="1" s="1"/>
  <c r="S9" i="1"/>
  <c r="Y9" i="1" s="1"/>
  <c r="R9" i="1"/>
  <c r="X9" i="1" s="1"/>
  <c r="V8" i="1"/>
  <c r="AB8" i="1" s="1"/>
  <c r="AA8" i="1"/>
  <c r="T8" i="1"/>
  <c r="Z8" i="1" s="1"/>
  <c r="S8" i="1"/>
  <c r="Y8" i="1" s="1"/>
  <c r="R8" i="1"/>
  <c r="X8" i="1" s="1"/>
  <c r="V7" i="1"/>
  <c r="AB7" i="1" s="1"/>
  <c r="U7" i="1"/>
  <c r="AA7" i="1" s="1"/>
  <c r="T7" i="1"/>
  <c r="Z7" i="1" s="1"/>
  <c r="S7" i="1"/>
  <c r="Y7" i="1" s="1"/>
  <c r="R7" i="1"/>
  <c r="X7" i="1" s="1"/>
  <c r="V6" i="1"/>
  <c r="AB6" i="1" s="1"/>
  <c r="AH6" i="1" s="1"/>
  <c r="U6" i="1"/>
  <c r="AA6" i="1" s="1"/>
  <c r="AG6" i="1" s="1"/>
  <c r="T6" i="1"/>
  <c r="Z6" i="1" s="1"/>
  <c r="AF6" i="1" s="1"/>
  <c r="S6" i="1"/>
  <c r="Y6" i="1" s="1"/>
  <c r="AE6" i="1" s="1"/>
  <c r="R6" i="1"/>
  <c r="X6" i="1" s="1"/>
  <c r="AD6" i="1" s="1"/>
  <c r="V5" i="1"/>
  <c r="AB5" i="1" s="1"/>
  <c r="AH5" i="1" s="1"/>
  <c r="U5" i="1"/>
  <c r="AA5" i="1" s="1"/>
  <c r="AG5" i="1" s="1"/>
  <c r="T5" i="1"/>
  <c r="Z5" i="1" s="1"/>
  <c r="AF5" i="1" s="1"/>
  <c r="S5" i="1"/>
  <c r="Y5" i="1" s="1"/>
  <c r="AE5" i="1" s="1"/>
  <c r="R5" i="1"/>
  <c r="X5" i="1" s="1"/>
  <c r="AD5" i="1" s="1"/>
  <c r="V4" i="1"/>
  <c r="AB4" i="1" s="1"/>
  <c r="AH4" i="1" s="1"/>
  <c r="U4" i="1"/>
  <c r="AA4" i="1" s="1"/>
  <c r="AG4" i="1" s="1"/>
  <c r="T4" i="1"/>
  <c r="Z4" i="1" s="1"/>
  <c r="AF4" i="1" s="1"/>
  <c r="S4" i="1"/>
  <c r="Y4" i="1" s="1"/>
  <c r="AE4" i="1" s="1"/>
  <c r="R4" i="1"/>
  <c r="X4" i="1" s="1"/>
  <c r="AD4" i="1" s="1"/>
  <c r="V3" i="1"/>
  <c r="AB3" i="1" s="1"/>
  <c r="AH3" i="1" s="1"/>
  <c r="U3" i="1"/>
  <c r="AA3" i="1" s="1"/>
  <c r="AG3" i="1" s="1"/>
  <c r="T3" i="1"/>
  <c r="Z3" i="1" s="1"/>
  <c r="AF3" i="1" s="1"/>
  <c r="S3" i="1"/>
  <c r="Y3" i="1" s="1"/>
  <c r="AE3" i="1" s="1"/>
  <c r="R3" i="1"/>
  <c r="X3" i="1" s="1"/>
  <c r="AD3" i="1" s="1"/>
  <c r="C9" i="1"/>
  <c r="C8" i="1"/>
  <c r="AL426" i="1"/>
  <c r="AM426" i="1" s="1"/>
  <c r="V426" i="1"/>
  <c r="AB426" i="1" s="1"/>
  <c r="U426" i="1"/>
  <c r="AA426" i="1" s="1"/>
  <c r="T426" i="1"/>
  <c r="Z426" i="1" s="1"/>
  <c r="S426" i="1"/>
  <c r="Y426" i="1" s="1"/>
  <c r="R426" i="1"/>
  <c r="X426" i="1" s="1"/>
  <c r="V425" i="1"/>
  <c r="AB425" i="1" s="1"/>
  <c r="AH425" i="1" s="1"/>
  <c r="U425" i="1"/>
  <c r="AA425" i="1" s="1"/>
  <c r="AG425" i="1" s="1"/>
  <c r="T425" i="1"/>
  <c r="Z425" i="1" s="1"/>
  <c r="AF425" i="1" s="1"/>
  <c r="S425" i="1"/>
  <c r="Y425" i="1" s="1"/>
  <c r="AE425" i="1" s="1"/>
  <c r="R425" i="1"/>
  <c r="X425" i="1" s="1"/>
  <c r="AD425" i="1" s="1"/>
  <c r="V424" i="1"/>
  <c r="AB424" i="1" s="1"/>
  <c r="AH424" i="1" s="1"/>
  <c r="U424" i="1"/>
  <c r="AA424" i="1" s="1"/>
  <c r="AG424" i="1" s="1"/>
  <c r="T424" i="1"/>
  <c r="Z424" i="1" s="1"/>
  <c r="AF424" i="1" s="1"/>
  <c r="S424" i="1"/>
  <c r="Y424" i="1" s="1"/>
  <c r="AE424" i="1" s="1"/>
  <c r="R424" i="1"/>
  <c r="X424" i="1" s="1"/>
  <c r="AD424" i="1" s="1"/>
  <c r="V423" i="1"/>
  <c r="AB423" i="1" s="1"/>
  <c r="AH423" i="1" s="1"/>
  <c r="U423" i="1"/>
  <c r="AA423" i="1" s="1"/>
  <c r="AG423" i="1" s="1"/>
  <c r="T423" i="1"/>
  <c r="Z423" i="1" s="1"/>
  <c r="AF423" i="1" s="1"/>
  <c r="S423" i="1"/>
  <c r="Y423" i="1" s="1"/>
  <c r="AE423" i="1" s="1"/>
  <c r="R423" i="1"/>
  <c r="X423" i="1" s="1"/>
  <c r="AD423" i="1" s="1"/>
  <c r="V422" i="1"/>
  <c r="AB422" i="1" s="1"/>
  <c r="AH422" i="1" s="1"/>
  <c r="U422" i="1"/>
  <c r="AA422" i="1" s="1"/>
  <c r="AG422" i="1" s="1"/>
  <c r="T422" i="1"/>
  <c r="Z422" i="1" s="1"/>
  <c r="AF422" i="1" s="1"/>
  <c r="S422" i="1"/>
  <c r="Y422" i="1" s="1"/>
  <c r="AE422" i="1" s="1"/>
  <c r="R422" i="1"/>
  <c r="X422" i="1" s="1"/>
  <c r="AD422" i="1" s="1"/>
  <c r="V421" i="1"/>
  <c r="AB421" i="1" s="1"/>
  <c r="AH421" i="1" s="1"/>
  <c r="U421" i="1"/>
  <c r="AA421" i="1" s="1"/>
  <c r="AG421" i="1" s="1"/>
  <c r="T421" i="1"/>
  <c r="Z421" i="1" s="1"/>
  <c r="AF421" i="1" s="1"/>
  <c r="S421" i="1"/>
  <c r="Y421" i="1" s="1"/>
  <c r="AE421" i="1" s="1"/>
  <c r="R421" i="1"/>
  <c r="X421" i="1" s="1"/>
  <c r="AD421" i="1" s="1"/>
  <c r="V420" i="1"/>
  <c r="AB420" i="1" s="1"/>
  <c r="AH420" i="1" s="1"/>
  <c r="U420" i="1"/>
  <c r="AA420" i="1" s="1"/>
  <c r="AG420" i="1" s="1"/>
  <c r="T420" i="1"/>
  <c r="Z420" i="1" s="1"/>
  <c r="AF420" i="1" s="1"/>
  <c r="S420" i="1"/>
  <c r="Y420" i="1" s="1"/>
  <c r="AE420" i="1" s="1"/>
  <c r="R420" i="1"/>
  <c r="X420" i="1" s="1"/>
  <c r="AD420" i="1" s="1"/>
  <c r="V419" i="1"/>
  <c r="AB419" i="1" s="1"/>
  <c r="AH419" i="1" s="1"/>
  <c r="U419" i="1"/>
  <c r="AA419" i="1" s="1"/>
  <c r="AG419" i="1" s="1"/>
  <c r="T419" i="1"/>
  <c r="Z419" i="1" s="1"/>
  <c r="AF419" i="1" s="1"/>
  <c r="S419" i="1"/>
  <c r="Y419" i="1" s="1"/>
  <c r="AE419" i="1" s="1"/>
  <c r="R419" i="1"/>
  <c r="X419" i="1" s="1"/>
  <c r="AD419" i="1" s="1"/>
  <c r="V418" i="1"/>
  <c r="AB418" i="1" s="1"/>
  <c r="AH418" i="1" s="1"/>
  <c r="U418" i="1"/>
  <c r="AA418" i="1" s="1"/>
  <c r="AG418" i="1" s="1"/>
  <c r="T418" i="1"/>
  <c r="Z418" i="1" s="1"/>
  <c r="AF418" i="1" s="1"/>
  <c r="S418" i="1"/>
  <c r="Y418" i="1" s="1"/>
  <c r="AE418" i="1" s="1"/>
  <c r="R418" i="1"/>
  <c r="X418" i="1" s="1"/>
  <c r="AD418" i="1" s="1"/>
  <c r="V417" i="1"/>
  <c r="AB417" i="1" s="1"/>
  <c r="AH417" i="1" s="1"/>
  <c r="U417" i="1"/>
  <c r="AA417" i="1" s="1"/>
  <c r="AG417" i="1" s="1"/>
  <c r="T417" i="1"/>
  <c r="Z417" i="1" s="1"/>
  <c r="AF417" i="1" s="1"/>
  <c r="S417" i="1"/>
  <c r="Y417" i="1" s="1"/>
  <c r="AE417" i="1" s="1"/>
  <c r="R417" i="1"/>
  <c r="X417" i="1" s="1"/>
  <c r="AD417" i="1" s="1"/>
  <c r="V416" i="1"/>
  <c r="AB416" i="1" s="1"/>
  <c r="AH416" i="1" s="1"/>
  <c r="U416" i="1"/>
  <c r="AA416" i="1" s="1"/>
  <c r="AG416" i="1" s="1"/>
  <c r="T416" i="1"/>
  <c r="Z416" i="1" s="1"/>
  <c r="AF416" i="1" s="1"/>
  <c r="S416" i="1"/>
  <c r="Y416" i="1" s="1"/>
  <c r="AE416" i="1" s="1"/>
  <c r="R416" i="1"/>
  <c r="X416" i="1" s="1"/>
  <c r="AD416" i="1" s="1"/>
  <c r="V415" i="1"/>
  <c r="AB415" i="1" s="1"/>
  <c r="AH415" i="1" s="1"/>
  <c r="U415" i="1"/>
  <c r="AA415" i="1" s="1"/>
  <c r="AG415" i="1" s="1"/>
  <c r="T415" i="1"/>
  <c r="Z415" i="1" s="1"/>
  <c r="AF415" i="1" s="1"/>
  <c r="S415" i="1"/>
  <c r="Y415" i="1" s="1"/>
  <c r="AE415" i="1" s="1"/>
  <c r="R415" i="1"/>
  <c r="X415" i="1" s="1"/>
  <c r="AD415" i="1" s="1"/>
  <c r="V414" i="1"/>
  <c r="AB414" i="1" s="1"/>
  <c r="AH414" i="1" s="1"/>
  <c r="U414" i="1"/>
  <c r="AA414" i="1" s="1"/>
  <c r="AG414" i="1" s="1"/>
  <c r="T414" i="1"/>
  <c r="Z414" i="1" s="1"/>
  <c r="AF414" i="1" s="1"/>
  <c r="S414" i="1"/>
  <c r="Y414" i="1" s="1"/>
  <c r="AE414" i="1" s="1"/>
  <c r="R414" i="1"/>
  <c r="X414" i="1" s="1"/>
  <c r="AD414" i="1" s="1"/>
  <c r="V413" i="1"/>
  <c r="AB413" i="1" s="1"/>
  <c r="AH413" i="1" s="1"/>
  <c r="U413" i="1"/>
  <c r="AA413" i="1" s="1"/>
  <c r="AG413" i="1" s="1"/>
  <c r="T413" i="1"/>
  <c r="Z413" i="1" s="1"/>
  <c r="AF413" i="1" s="1"/>
  <c r="S413" i="1"/>
  <c r="Y413" i="1" s="1"/>
  <c r="AE413" i="1" s="1"/>
  <c r="R413" i="1"/>
  <c r="X413" i="1" s="1"/>
  <c r="AD413" i="1" s="1"/>
  <c r="V412" i="1"/>
  <c r="AB412" i="1" s="1"/>
  <c r="AH412" i="1" s="1"/>
  <c r="U412" i="1"/>
  <c r="AA412" i="1" s="1"/>
  <c r="AG412" i="1" s="1"/>
  <c r="T412" i="1"/>
  <c r="Z412" i="1" s="1"/>
  <c r="AF412" i="1" s="1"/>
  <c r="S412" i="1"/>
  <c r="Y412" i="1" s="1"/>
  <c r="AE412" i="1" s="1"/>
  <c r="R412" i="1"/>
  <c r="X412" i="1" s="1"/>
  <c r="AD412" i="1" s="1"/>
  <c r="V411" i="1"/>
  <c r="AB411" i="1" s="1"/>
  <c r="AH411" i="1" s="1"/>
  <c r="U411" i="1"/>
  <c r="AA411" i="1" s="1"/>
  <c r="AG411" i="1" s="1"/>
  <c r="T411" i="1"/>
  <c r="Z411" i="1" s="1"/>
  <c r="AF411" i="1" s="1"/>
  <c r="S411" i="1"/>
  <c r="Y411" i="1" s="1"/>
  <c r="AE411" i="1" s="1"/>
  <c r="R411" i="1"/>
  <c r="X411" i="1" s="1"/>
  <c r="AD411" i="1" s="1"/>
  <c r="V410" i="1"/>
  <c r="AB410" i="1" s="1"/>
  <c r="AH410" i="1" s="1"/>
  <c r="U410" i="1"/>
  <c r="AA410" i="1" s="1"/>
  <c r="AG410" i="1" s="1"/>
  <c r="T410" i="1"/>
  <c r="Z410" i="1" s="1"/>
  <c r="AF410" i="1" s="1"/>
  <c r="S410" i="1"/>
  <c r="Y410" i="1" s="1"/>
  <c r="AE410" i="1" s="1"/>
  <c r="R410" i="1"/>
  <c r="X410" i="1" s="1"/>
  <c r="AD410" i="1" s="1"/>
  <c r="V409" i="1"/>
  <c r="AB409" i="1" s="1"/>
  <c r="AH409" i="1" s="1"/>
  <c r="U409" i="1"/>
  <c r="AA409" i="1" s="1"/>
  <c r="AG409" i="1" s="1"/>
  <c r="T409" i="1"/>
  <c r="Z409" i="1" s="1"/>
  <c r="AF409" i="1" s="1"/>
  <c r="S409" i="1"/>
  <c r="Y409" i="1" s="1"/>
  <c r="AE409" i="1" s="1"/>
  <c r="R409" i="1"/>
  <c r="X409" i="1" s="1"/>
  <c r="AD409" i="1" s="1"/>
  <c r="V408" i="1"/>
  <c r="AB408" i="1" s="1"/>
  <c r="AH408" i="1" s="1"/>
  <c r="U408" i="1"/>
  <c r="AA408" i="1" s="1"/>
  <c r="AG408" i="1" s="1"/>
  <c r="T408" i="1"/>
  <c r="Z408" i="1" s="1"/>
  <c r="AF408" i="1" s="1"/>
  <c r="S408" i="1"/>
  <c r="Y408" i="1" s="1"/>
  <c r="AE408" i="1" s="1"/>
  <c r="R408" i="1"/>
  <c r="X408" i="1" s="1"/>
  <c r="AD408" i="1" s="1"/>
  <c r="V407" i="1"/>
  <c r="AB407" i="1" s="1"/>
  <c r="AH407" i="1" s="1"/>
  <c r="U407" i="1"/>
  <c r="AA407" i="1" s="1"/>
  <c r="AG407" i="1" s="1"/>
  <c r="T407" i="1"/>
  <c r="Z407" i="1" s="1"/>
  <c r="AF407" i="1" s="1"/>
  <c r="S407" i="1"/>
  <c r="Y407" i="1" s="1"/>
  <c r="AE407" i="1" s="1"/>
  <c r="R407" i="1"/>
  <c r="X407" i="1" s="1"/>
  <c r="AD407" i="1" s="1"/>
  <c r="V406" i="1"/>
  <c r="AB406" i="1" s="1"/>
  <c r="AH406" i="1" s="1"/>
  <c r="U406" i="1"/>
  <c r="AA406" i="1" s="1"/>
  <c r="AG406" i="1" s="1"/>
  <c r="T406" i="1"/>
  <c r="Z406" i="1" s="1"/>
  <c r="AF406" i="1" s="1"/>
  <c r="S406" i="1"/>
  <c r="Y406" i="1" s="1"/>
  <c r="AE406" i="1" s="1"/>
  <c r="R406" i="1"/>
  <c r="X406" i="1" s="1"/>
  <c r="AD406" i="1" s="1"/>
  <c r="V405" i="1"/>
  <c r="AB405" i="1" s="1"/>
  <c r="AH405" i="1" s="1"/>
  <c r="U405" i="1"/>
  <c r="AA405" i="1" s="1"/>
  <c r="AG405" i="1" s="1"/>
  <c r="T405" i="1"/>
  <c r="Z405" i="1" s="1"/>
  <c r="AF405" i="1" s="1"/>
  <c r="S405" i="1"/>
  <c r="Y405" i="1" s="1"/>
  <c r="AE405" i="1" s="1"/>
  <c r="R405" i="1"/>
  <c r="X405" i="1" s="1"/>
  <c r="AD405" i="1" s="1"/>
  <c r="V404" i="1"/>
  <c r="AB404" i="1" s="1"/>
  <c r="AH404" i="1" s="1"/>
  <c r="U404" i="1"/>
  <c r="AA404" i="1" s="1"/>
  <c r="AG404" i="1" s="1"/>
  <c r="T404" i="1"/>
  <c r="Z404" i="1" s="1"/>
  <c r="AF404" i="1" s="1"/>
  <c r="S404" i="1"/>
  <c r="Y404" i="1" s="1"/>
  <c r="AE404" i="1" s="1"/>
  <c r="R404" i="1"/>
  <c r="X404" i="1" s="1"/>
  <c r="AD404" i="1" s="1"/>
  <c r="V403" i="1"/>
  <c r="AB403" i="1" s="1"/>
  <c r="AH403" i="1" s="1"/>
  <c r="U403" i="1"/>
  <c r="AA403" i="1" s="1"/>
  <c r="AG403" i="1" s="1"/>
  <c r="T403" i="1"/>
  <c r="Z403" i="1" s="1"/>
  <c r="AF403" i="1" s="1"/>
  <c r="S403" i="1"/>
  <c r="Y403" i="1" s="1"/>
  <c r="AE403" i="1" s="1"/>
  <c r="R403" i="1"/>
  <c r="X403" i="1" s="1"/>
  <c r="AD403" i="1" s="1"/>
  <c r="V402" i="1"/>
  <c r="AB402" i="1" s="1"/>
  <c r="AH402" i="1" s="1"/>
  <c r="U402" i="1"/>
  <c r="AA402" i="1" s="1"/>
  <c r="AG402" i="1" s="1"/>
  <c r="T402" i="1"/>
  <c r="Z402" i="1" s="1"/>
  <c r="AF402" i="1" s="1"/>
  <c r="S402" i="1"/>
  <c r="Y402" i="1" s="1"/>
  <c r="AE402" i="1" s="1"/>
  <c r="R402" i="1"/>
  <c r="X402" i="1" s="1"/>
  <c r="AD402" i="1" s="1"/>
  <c r="V401" i="1"/>
  <c r="AB401" i="1" s="1"/>
  <c r="AH401" i="1" s="1"/>
  <c r="U401" i="1"/>
  <c r="AA401" i="1" s="1"/>
  <c r="AG401" i="1" s="1"/>
  <c r="T401" i="1"/>
  <c r="Z401" i="1" s="1"/>
  <c r="AF401" i="1" s="1"/>
  <c r="S401" i="1"/>
  <c r="Y401" i="1" s="1"/>
  <c r="AE401" i="1" s="1"/>
  <c r="R401" i="1"/>
  <c r="X401" i="1" s="1"/>
  <c r="AD401" i="1" s="1"/>
  <c r="V400" i="1"/>
  <c r="AB400" i="1" s="1"/>
  <c r="AH400" i="1" s="1"/>
  <c r="U400" i="1"/>
  <c r="AA400" i="1" s="1"/>
  <c r="AG400" i="1" s="1"/>
  <c r="T400" i="1"/>
  <c r="Z400" i="1" s="1"/>
  <c r="AF400" i="1" s="1"/>
  <c r="S400" i="1"/>
  <c r="Y400" i="1" s="1"/>
  <c r="AE400" i="1" s="1"/>
  <c r="R400" i="1"/>
  <c r="X400" i="1" s="1"/>
  <c r="AD400" i="1" s="1"/>
  <c r="V399" i="1"/>
  <c r="AB399" i="1" s="1"/>
  <c r="AH399" i="1" s="1"/>
  <c r="U399" i="1"/>
  <c r="AA399" i="1" s="1"/>
  <c r="AG399" i="1" s="1"/>
  <c r="T399" i="1"/>
  <c r="Z399" i="1" s="1"/>
  <c r="AF399" i="1" s="1"/>
  <c r="S399" i="1"/>
  <c r="Y399" i="1" s="1"/>
  <c r="AE399" i="1" s="1"/>
  <c r="R399" i="1"/>
  <c r="X399" i="1" s="1"/>
  <c r="AD399" i="1" s="1"/>
  <c r="V398" i="1"/>
  <c r="AB398" i="1" s="1"/>
  <c r="AH398" i="1" s="1"/>
  <c r="U398" i="1"/>
  <c r="AA398" i="1" s="1"/>
  <c r="AG398" i="1" s="1"/>
  <c r="T398" i="1"/>
  <c r="Z398" i="1" s="1"/>
  <c r="AF398" i="1" s="1"/>
  <c r="S398" i="1"/>
  <c r="Y398" i="1" s="1"/>
  <c r="AE398" i="1" s="1"/>
  <c r="R398" i="1"/>
  <c r="X398" i="1" s="1"/>
  <c r="AD398" i="1" s="1"/>
  <c r="V397" i="1"/>
  <c r="AB397" i="1" s="1"/>
  <c r="AH397" i="1" s="1"/>
  <c r="U397" i="1"/>
  <c r="AA397" i="1" s="1"/>
  <c r="AG397" i="1" s="1"/>
  <c r="T397" i="1"/>
  <c r="Z397" i="1" s="1"/>
  <c r="AF397" i="1" s="1"/>
  <c r="S397" i="1"/>
  <c r="Y397" i="1" s="1"/>
  <c r="AE397" i="1" s="1"/>
  <c r="R397" i="1"/>
  <c r="X397" i="1" s="1"/>
  <c r="AD397" i="1" s="1"/>
  <c r="V396" i="1"/>
  <c r="AB396" i="1" s="1"/>
  <c r="AH396" i="1" s="1"/>
  <c r="U396" i="1"/>
  <c r="AA396" i="1" s="1"/>
  <c r="AG396" i="1" s="1"/>
  <c r="T396" i="1"/>
  <c r="Z396" i="1" s="1"/>
  <c r="AF396" i="1" s="1"/>
  <c r="S396" i="1"/>
  <c r="Y396" i="1" s="1"/>
  <c r="AE396" i="1" s="1"/>
  <c r="R396" i="1"/>
  <c r="X396" i="1" s="1"/>
  <c r="AD396" i="1" s="1"/>
  <c r="V395" i="1"/>
  <c r="AB395" i="1" s="1"/>
  <c r="AH395" i="1" s="1"/>
  <c r="U395" i="1"/>
  <c r="AA395" i="1" s="1"/>
  <c r="AG395" i="1" s="1"/>
  <c r="T395" i="1"/>
  <c r="Z395" i="1" s="1"/>
  <c r="AF395" i="1" s="1"/>
  <c r="S395" i="1"/>
  <c r="Y395" i="1" s="1"/>
  <c r="AE395" i="1" s="1"/>
  <c r="R395" i="1"/>
  <c r="X395" i="1" s="1"/>
  <c r="AD395" i="1" s="1"/>
  <c r="V394" i="1"/>
  <c r="AB394" i="1" s="1"/>
  <c r="AH394" i="1" s="1"/>
  <c r="U394" i="1"/>
  <c r="AA394" i="1" s="1"/>
  <c r="AG394" i="1" s="1"/>
  <c r="T394" i="1"/>
  <c r="Z394" i="1" s="1"/>
  <c r="AF394" i="1" s="1"/>
  <c r="S394" i="1"/>
  <c r="Y394" i="1" s="1"/>
  <c r="AE394" i="1" s="1"/>
  <c r="R394" i="1"/>
  <c r="X394" i="1" s="1"/>
  <c r="AD394" i="1" s="1"/>
  <c r="V393" i="1"/>
  <c r="AB393" i="1" s="1"/>
  <c r="AH393" i="1" s="1"/>
  <c r="U393" i="1"/>
  <c r="AA393" i="1" s="1"/>
  <c r="AG393" i="1" s="1"/>
  <c r="T393" i="1"/>
  <c r="Z393" i="1" s="1"/>
  <c r="AF393" i="1" s="1"/>
  <c r="S393" i="1"/>
  <c r="Y393" i="1" s="1"/>
  <c r="AE393" i="1" s="1"/>
  <c r="R393" i="1"/>
  <c r="X393" i="1" s="1"/>
  <c r="AD393" i="1" s="1"/>
  <c r="V392" i="1"/>
  <c r="AB392" i="1" s="1"/>
  <c r="AH392" i="1" s="1"/>
  <c r="U392" i="1"/>
  <c r="AA392" i="1" s="1"/>
  <c r="AG392" i="1" s="1"/>
  <c r="T392" i="1"/>
  <c r="Z392" i="1" s="1"/>
  <c r="AF392" i="1" s="1"/>
  <c r="S392" i="1"/>
  <c r="Y392" i="1" s="1"/>
  <c r="AE392" i="1" s="1"/>
  <c r="R392" i="1"/>
  <c r="X392" i="1" s="1"/>
  <c r="AD392" i="1" s="1"/>
  <c r="V391" i="1"/>
  <c r="AB391" i="1" s="1"/>
  <c r="AH391" i="1" s="1"/>
  <c r="U391" i="1"/>
  <c r="AA391" i="1" s="1"/>
  <c r="AG391" i="1" s="1"/>
  <c r="T391" i="1"/>
  <c r="Z391" i="1" s="1"/>
  <c r="AF391" i="1" s="1"/>
  <c r="S391" i="1"/>
  <c r="Y391" i="1" s="1"/>
  <c r="AE391" i="1" s="1"/>
  <c r="R391" i="1"/>
  <c r="X391" i="1" s="1"/>
  <c r="AD391" i="1" s="1"/>
  <c r="V390" i="1"/>
  <c r="AB390" i="1" s="1"/>
  <c r="AH390" i="1" s="1"/>
  <c r="U390" i="1"/>
  <c r="AA390" i="1" s="1"/>
  <c r="AG390" i="1" s="1"/>
  <c r="T390" i="1"/>
  <c r="Z390" i="1" s="1"/>
  <c r="AF390" i="1" s="1"/>
  <c r="S390" i="1"/>
  <c r="Y390" i="1" s="1"/>
  <c r="AE390" i="1" s="1"/>
  <c r="R390" i="1"/>
  <c r="X390" i="1" s="1"/>
  <c r="AD390" i="1" s="1"/>
  <c r="V389" i="1"/>
  <c r="AB389" i="1" s="1"/>
  <c r="AH389" i="1" s="1"/>
  <c r="U389" i="1"/>
  <c r="AA389" i="1" s="1"/>
  <c r="AG389" i="1" s="1"/>
  <c r="T389" i="1"/>
  <c r="Z389" i="1" s="1"/>
  <c r="AF389" i="1" s="1"/>
  <c r="S389" i="1"/>
  <c r="Y389" i="1" s="1"/>
  <c r="AE389" i="1" s="1"/>
  <c r="R389" i="1"/>
  <c r="X389" i="1" s="1"/>
  <c r="AD389" i="1" s="1"/>
  <c r="V388" i="1"/>
  <c r="AB388" i="1" s="1"/>
  <c r="AH388" i="1" s="1"/>
  <c r="U388" i="1"/>
  <c r="AA388" i="1" s="1"/>
  <c r="AG388" i="1" s="1"/>
  <c r="T388" i="1"/>
  <c r="Z388" i="1" s="1"/>
  <c r="AF388" i="1" s="1"/>
  <c r="S388" i="1"/>
  <c r="Y388" i="1" s="1"/>
  <c r="AE388" i="1" s="1"/>
  <c r="R388" i="1"/>
  <c r="X388" i="1" s="1"/>
  <c r="AD388" i="1" s="1"/>
  <c r="V387" i="1"/>
  <c r="AB387" i="1" s="1"/>
  <c r="AH387" i="1" s="1"/>
  <c r="U387" i="1"/>
  <c r="AA387" i="1" s="1"/>
  <c r="AG387" i="1" s="1"/>
  <c r="T387" i="1"/>
  <c r="Z387" i="1" s="1"/>
  <c r="AF387" i="1" s="1"/>
  <c r="S387" i="1"/>
  <c r="Y387" i="1" s="1"/>
  <c r="AE387" i="1" s="1"/>
  <c r="R387" i="1"/>
  <c r="X387" i="1" s="1"/>
  <c r="AD387" i="1" s="1"/>
  <c r="V386" i="1"/>
  <c r="AB386" i="1" s="1"/>
  <c r="AH386" i="1" s="1"/>
  <c r="U386" i="1"/>
  <c r="AA386" i="1" s="1"/>
  <c r="AG386" i="1" s="1"/>
  <c r="T386" i="1"/>
  <c r="Z386" i="1" s="1"/>
  <c r="AF386" i="1" s="1"/>
  <c r="S386" i="1"/>
  <c r="Y386" i="1" s="1"/>
  <c r="AE386" i="1" s="1"/>
  <c r="R386" i="1"/>
  <c r="X386" i="1" s="1"/>
  <c r="AD386" i="1" s="1"/>
  <c r="V385" i="1"/>
  <c r="AB385" i="1" s="1"/>
  <c r="AH385" i="1" s="1"/>
  <c r="U385" i="1"/>
  <c r="AA385" i="1" s="1"/>
  <c r="AG385" i="1" s="1"/>
  <c r="T385" i="1"/>
  <c r="Z385" i="1" s="1"/>
  <c r="AF385" i="1" s="1"/>
  <c r="S385" i="1"/>
  <c r="Y385" i="1" s="1"/>
  <c r="AE385" i="1" s="1"/>
  <c r="R385" i="1"/>
  <c r="X385" i="1" s="1"/>
  <c r="AD385" i="1" s="1"/>
  <c r="V384" i="1"/>
  <c r="AB384" i="1" s="1"/>
  <c r="AH384" i="1" s="1"/>
  <c r="U384" i="1"/>
  <c r="AA384" i="1" s="1"/>
  <c r="AG384" i="1" s="1"/>
  <c r="T384" i="1"/>
  <c r="Z384" i="1" s="1"/>
  <c r="AF384" i="1" s="1"/>
  <c r="S384" i="1"/>
  <c r="Y384" i="1" s="1"/>
  <c r="AE384" i="1" s="1"/>
  <c r="R384" i="1"/>
  <c r="X384" i="1" s="1"/>
  <c r="AD384" i="1" s="1"/>
  <c r="V383" i="1"/>
  <c r="AB383" i="1" s="1"/>
  <c r="AH383" i="1" s="1"/>
  <c r="U383" i="1"/>
  <c r="AA383" i="1" s="1"/>
  <c r="AG383" i="1" s="1"/>
  <c r="T383" i="1"/>
  <c r="Z383" i="1" s="1"/>
  <c r="AF383" i="1" s="1"/>
  <c r="S383" i="1"/>
  <c r="Y383" i="1" s="1"/>
  <c r="AE383" i="1" s="1"/>
  <c r="R383" i="1"/>
  <c r="X383" i="1" s="1"/>
  <c r="AD383" i="1" s="1"/>
  <c r="V382" i="1"/>
  <c r="AB382" i="1" s="1"/>
  <c r="AH382" i="1" s="1"/>
  <c r="U382" i="1"/>
  <c r="AA382" i="1" s="1"/>
  <c r="AG382" i="1" s="1"/>
  <c r="T382" i="1"/>
  <c r="Z382" i="1" s="1"/>
  <c r="AF382" i="1" s="1"/>
  <c r="S382" i="1"/>
  <c r="Y382" i="1" s="1"/>
  <c r="AE382" i="1" s="1"/>
  <c r="R382" i="1"/>
  <c r="X382" i="1" s="1"/>
  <c r="AD382" i="1" s="1"/>
  <c r="V381" i="1"/>
  <c r="AB381" i="1" s="1"/>
  <c r="AH381" i="1" s="1"/>
  <c r="U381" i="1"/>
  <c r="AA381" i="1" s="1"/>
  <c r="AG381" i="1" s="1"/>
  <c r="T381" i="1"/>
  <c r="Z381" i="1" s="1"/>
  <c r="AF381" i="1" s="1"/>
  <c r="S381" i="1"/>
  <c r="Y381" i="1" s="1"/>
  <c r="AE381" i="1" s="1"/>
  <c r="R381" i="1"/>
  <c r="X381" i="1" s="1"/>
  <c r="AD381" i="1" s="1"/>
  <c r="V380" i="1"/>
  <c r="AB380" i="1" s="1"/>
  <c r="AH380" i="1" s="1"/>
  <c r="U380" i="1"/>
  <c r="AA380" i="1" s="1"/>
  <c r="AG380" i="1" s="1"/>
  <c r="T380" i="1"/>
  <c r="Z380" i="1" s="1"/>
  <c r="AF380" i="1" s="1"/>
  <c r="S380" i="1"/>
  <c r="Y380" i="1" s="1"/>
  <c r="AE380" i="1" s="1"/>
  <c r="R380" i="1"/>
  <c r="X380" i="1" s="1"/>
  <c r="AD380" i="1" s="1"/>
  <c r="V379" i="1"/>
  <c r="AB379" i="1" s="1"/>
  <c r="AH379" i="1" s="1"/>
  <c r="U379" i="1"/>
  <c r="AA379" i="1" s="1"/>
  <c r="AG379" i="1" s="1"/>
  <c r="T379" i="1"/>
  <c r="Z379" i="1" s="1"/>
  <c r="AF379" i="1" s="1"/>
  <c r="S379" i="1"/>
  <c r="Y379" i="1" s="1"/>
  <c r="AE379" i="1" s="1"/>
  <c r="R379" i="1"/>
  <c r="X379" i="1" s="1"/>
  <c r="AD379" i="1" s="1"/>
  <c r="V378" i="1"/>
  <c r="AB378" i="1" s="1"/>
  <c r="AH378" i="1" s="1"/>
  <c r="U378" i="1"/>
  <c r="AA378" i="1" s="1"/>
  <c r="AG378" i="1" s="1"/>
  <c r="T378" i="1"/>
  <c r="Z378" i="1" s="1"/>
  <c r="AF378" i="1" s="1"/>
  <c r="S378" i="1"/>
  <c r="Y378" i="1" s="1"/>
  <c r="AE378" i="1" s="1"/>
  <c r="R378" i="1"/>
  <c r="X378" i="1" s="1"/>
  <c r="AD378" i="1" s="1"/>
  <c r="V377" i="1"/>
  <c r="AB377" i="1" s="1"/>
  <c r="AH377" i="1" s="1"/>
  <c r="U377" i="1"/>
  <c r="AA377" i="1" s="1"/>
  <c r="AG377" i="1" s="1"/>
  <c r="T377" i="1"/>
  <c r="Z377" i="1" s="1"/>
  <c r="AF377" i="1" s="1"/>
  <c r="S377" i="1"/>
  <c r="Y377" i="1" s="1"/>
  <c r="AE377" i="1" s="1"/>
  <c r="R377" i="1"/>
  <c r="X377" i="1" s="1"/>
  <c r="AD377" i="1" s="1"/>
  <c r="V376" i="1"/>
  <c r="AB376" i="1" s="1"/>
  <c r="AH376" i="1" s="1"/>
  <c r="U376" i="1"/>
  <c r="AA376" i="1" s="1"/>
  <c r="AG376" i="1" s="1"/>
  <c r="T376" i="1"/>
  <c r="Z376" i="1" s="1"/>
  <c r="AF376" i="1" s="1"/>
  <c r="S376" i="1"/>
  <c r="Y376" i="1" s="1"/>
  <c r="AE376" i="1" s="1"/>
  <c r="R376" i="1"/>
  <c r="X376" i="1" s="1"/>
  <c r="AD376" i="1" s="1"/>
  <c r="V375" i="1"/>
  <c r="AB375" i="1" s="1"/>
  <c r="AH375" i="1" s="1"/>
  <c r="U375" i="1"/>
  <c r="AA375" i="1" s="1"/>
  <c r="AG375" i="1" s="1"/>
  <c r="T375" i="1"/>
  <c r="Z375" i="1" s="1"/>
  <c r="AF375" i="1" s="1"/>
  <c r="S375" i="1"/>
  <c r="Y375" i="1" s="1"/>
  <c r="AE375" i="1" s="1"/>
  <c r="R375" i="1"/>
  <c r="X375" i="1" s="1"/>
  <c r="AD375" i="1" s="1"/>
  <c r="V374" i="1"/>
  <c r="AB374" i="1" s="1"/>
  <c r="AH374" i="1" s="1"/>
  <c r="U374" i="1"/>
  <c r="AA374" i="1" s="1"/>
  <c r="AG374" i="1" s="1"/>
  <c r="T374" i="1"/>
  <c r="Z374" i="1" s="1"/>
  <c r="AF374" i="1" s="1"/>
  <c r="S374" i="1"/>
  <c r="Y374" i="1" s="1"/>
  <c r="AE374" i="1" s="1"/>
  <c r="R374" i="1"/>
  <c r="X374" i="1" s="1"/>
  <c r="AD374" i="1" s="1"/>
  <c r="V373" i="1"/>
  <c r="AB373" i="1" s="1"/>
  <c r="AH373" i="1" s="1"/>
  <c r="U373" i="1"/>
  <c r="AA373" i="1" s="1"/>
  <c r="AG373" i="1" s="1"/>
  <c r="T373" i="1"/>
  <c r="Z373" i="1" s="1"/>
  <c r="AF373" i="1" s="1"/>
  <c r="S373" i="1"/>
  <c r="Y373" i="1" s="1"/>
  <c r="AE373" i="1" s="1"/>
  <c r="R373" i="1"/>
  <c r="X373" i="1" s="1"/>
  <c r="AD373" i="1" s="1"/>
  <c r="V372" i="1"/>
  <c r="AB372" i="1" s="1"/>
  <c r="AH372" i="1" s="1"/>
  <c r="U372" i="1"/>
  <c r="AA372" i="1" s="1"/>
  <c r="AG372" i="1" s="1"/>
  <c r="T372" i="1"/>
  <c r="Z372" i="1" s="1"/>
  <c r="AF372" i="1" s="1"/>
  <c r="S372" i="1"/>
  <c r="Y372" i="1" s="1"/>
  <c r="AE372" i="1" s="1"/>
  <c r="R372" i="1"/>
  <c r="X372" i="1" s="1"/>
  <c r="AD372" i="1" s="1"/>
  <c r="V371" i="1"/>
  <c r="AB371" i="1" s="1"/>
  <c r="AH371" i="1" s="1"/>
  <c r="U371" i="1"/>
  <c r="AA371" i="1" s="1"/>
  <c r="AG371" i="1" s="1"/>
  <c r="T371" i="1"/>
  <c r="Z371" i="1" s="1"/>
  <c r="AF371" i="1" s="1"/>
  <c r="S371" i="1"/>
  <c r="Y371" i="1" s="1"/>
  <c r="AE371" i="1" s="1"/>
  <c r="R371" i="1"/>
  <c r="X371" i="1" s="1"/>
  <c r="AD371" i="1" s="1"/>
  <c r="V370" i="1"/>
  <c r="AB370" i="1" s="1"/>
  <c r="AH370" i="1" s="1"/>
  <c r="U370" i="1"/>
  <c r="AA370" i="1" s="1"/>
  <c r="AG370" i="1" s="1"/>
  <c r="T370" i="1"/>
  <c r="Z370" i="1" s="1"/>
  <c r="AF370" i="1" s="1"/>
  <c r="S370" i="1"/>
  <c r="Y370" i="1" s="1"/>
  <c r="AE370" i="1" s="1"/>
  <c r="R370" i="1"/>
  <c r="X370" i="1" s="1"/>
  <c r="AD370" i="1" s="1"/>
  <c r="V369" i="1"/>
  <c r="AB369" i="1" s="1"/>
  <c r="AH369" i="1" s="1"/>
  <c r="U369" i="1"/>
  <c r="AA369" i="1" s="1"/>
  <c r="AG369" i="1" s="1"/>
  <c r="T369" i="1"/>
  <c r="Z369" i="1" s="1"/>
  <c r="AF369" i="1" s="1"/>
  <c r="S369" i="1"/>
  <c r="Y369" i="1" s="1"/>
  <c r="AE369" i="1" s="1"/>
  <c r="R369" i="1"/>
  <c r="X369" i="1" s="1"/>
  <c r="AD369" i="1" s="1"/>
  <c r="V368" i="1"/>
  <c r="AB368" i="1" s="1"/>
  <c r="AH368" i="1" s="1"/>
  <c r="U368" i="1"/>
  <c r="AA368" i="1" s="1"/>
  <c r="AG368" i="1" s="1"/>
  <c r="T368" i="1"/>
  <c r="Z368" i="1" s="1"/>
  <c r="AF368" i="1" s="1"/>
  <c r="S368" i="1"/>
  <c r="Y368" i="1" s="1"/>
  <c r="AE368" i="1" s="1"/>
  <c r="R368" i="1"/>
  <c r="X368" i="1" s="1"/>
  <c r="AD368" i="1" s="1"/>
  <c r="V367" i="1"/>
  <c r="AB367" i="1" s="1"/>
  <c r="AH367" i="1" s="1"/>
  <c r="U367" i="1"/>
  <c r="AA367" i="1" s="1"/>
  <c r="AG367" i="1" s="1"/>
  <c r="T367" i="1"/>
  <c r="Z367" i="1" s="1"/>
  <c r="AF367" i="1" s="1"/>
  <c r="S367" i="1"/>
  <c r="Y367" i="1" s="1"/>
  <c r="AE367" i="1" s="1"/>
  <c r="R367" i="1"/>
  <c r="X367" i="1" s="1"/>
  <c r="AD367" i="1" s="1"/>
  <c r="V366" i="1"/>
  <c r="AB366" i="1" s="1"/>
  <c r="AH366" i="1" s="1"/>
  <c r="U366" i="1"/>
  <c r="AA366" i="1" s="1"/>
  <c r="AG366" i="1" s="1"/>
  <c r="T366" i="1"/>
  <c r="Z366" i="1" s="1"/>
  <c r="AF366" i="1" s="1"/>
  <c r="S366" i="1"/>
  <c r="Y366" i="1" s="1"/>
  <c r="AE366" i="1" s="1"/>
  <c r="R366" i="1"/>
  <c r="X366" i="1" s="1"/>
  <c r="AD366" i="1" s="1"/>
  <c r="V365" i="1"/>
  <c r="AB365" i="1" s="1"/>
  <c r="AH365" i="1" s="1"/>
  <c r="U365" i="1"/>
  <c r="AA365" i="1" s="1"/>
  <c r="AG365" i="1" s="1"/>
  <c r="T365" i="1"/>
  <c r="Z365" i="1" s="1"/>
  <c r="AF365" i="1" s="1"/>
  <c r="S365" i="1"/>
  <c r="Y365" i="1" s="1"/>
  <c r="AE365" i="1" s="1"/>
  <c r="R365" i="1"/>
  <c r="X365" i="1" s="1"/>
  <c r="AD365" i="1" s="1"/>
  <c r="V364" i="1"/>
  <c r="AB364" i="1" s="1"/>
  <c r="AH364" i="1" s="1"/>
  <c r="U364" i="1"/>
  <c r="AA364" i="1" s="1"/>
  <c r="AG364" i="1" s="1"/>
  <c r="T364" i="1"/>
  <c r="Z364" i="1" s="1"/>
  <c r="AF364" i="1" s="1"/>
  <c r="S364" i="1"/>
  <c r="Y364" i="1" s="1"/>
  <c r="AE364" i="1" s="1"/>
  <c r="R364" i="1"/>
  <c r="X364" i="1" s="1"/>
  <c r="AD364" i="1" s="1"/>
  <c r="V363" i="1"/>
  <c r="AB363" i="1" s="1"/>
  <c r="AH363" i="1" s="1"/>
  <c r="U363" i="1"/>
  <c r="AA363" i="1" s="1"/>
  <c r="AG363" i="1" s="1"/>
  <c r="T363" i="1"/>
  <c r="Z363" i="1" s="1"/>
  <c r="AF363" i="1" s="1"/>
  <c r="S363" i="1"/>
  <c r="Y363" i="1" s="1"/>
  <c r="AE363" i="1" s="1"/>
  <c r="R363" i="1"/>
  <c r="X363" i="1" s="1"/>
  <c r="AD363" i="1" s="1"/>
  <c r="V362" i="1"/>
  <c r="AB362" i="1" s="1"/>
  <c r="AH362" i="1" s="1"/>
  <c r="U362" i="1"/>
  <c r="AA362" i="1" s="1"/>
  <c r="AG362" i="1" s="1"/>
  <c r="T362" i="1"/>
  <c r="Z362" i="1" s="1"/>
  <c r="AF362" i="1" s="1"/>
  <c r="S362" i="1"/>
  <c r="Y362" i="1" s="1"/>
  <c r="AE362" i="1" s="1"/>
  <c r="R362" i="1"/>
  <c r="X362" i="1" s="1"/>
  <c r="AD362" i="1" s="1"/>
  <c r="V361" i="1"/>
  <c r="AB361" i="1" s="1"/>
  <c r="AH361" i="1" s="1"/>
  <c r="U361" i="1"/>
  <c r="AA361" i="1" s="1"/>
  <c r="AG361" i="1" s="1"/>
  <c r="T361" i="1"/>
  <c r="Z361" i="1" s="1"/>
  <c r="AF361" i="1" s="1"/>
  <c r="S361" i="1"/>
  <c r="Y361" i="1" s="1"/>
  <c r="AE361" i="1" s="1"/>
  <c r="R361" i="1"/>
  <c r="X361" i="1" s="1"/>
  <c r="AD361" i="1" s="1"/>
  <c r="V360" i="1"/>
  <c r="AB360" i="1" s="1"/>
  <c r="AH360" i="1" s="1"/>
  <c r="U360" i="1"/>
  <c r="AA360" i="1" s="1"/>
  <c r="AG360" i="1" s="1"/>
  <c r="T360" i="1"/>
  <c r="Z360" i="1" s="1"/>
  <c r="AF360" i="1" s="1"/>
  <c r="S360" i="1"/>
  <c r="Y360" i="1" s="1"/>
  <c r="AE360" i="1" s="1"/>
  <c r="R360" i="1"/>
  <c r="X360" i="1" s="1"/>
  <c r="AD360" i="1" s="1"/>
  <c r="V359" i="1"/>
  <c r="AB359" i="1" s="1"/>
  <c r="AH359" i="1" s="1"/>
  <c r="U359" i="1"/>
  <c r="AA359" i="1" s="1"/>
  <c r="AG359" i="1" s="1"/>
  <c r="T359" i="1"/>
  <c r="Z359" i="1" s="1"/>
  <c r="AF359" i="1" s="1"/>
  <c r="S359" i="1"/>
  <c r="Y359" i="1" s="1"/>
  <c r="AE359" i="1" s="1"/>
  <c r="R359" i="1"/>
  <c r="X359" i="1" s="1"/>
  <c r="AD359" i="1" s="1"/>
  <c r="V358" i="1"/>
  <c r="AB358" i="1" s="1"/>
  <c r="AH358" i="1" s="1"/>
  <c r="U358" i="1"/>
  <c r="AA358" i="1" s="1"/>
  <c r="AG358" i="1" s="1"/>
  <c r="T358" i="1"/>
  <c r="Z358" i="1" s="1"/>
  <c r="AF358" i="1" s="1"/>
  <c r="S358" i="1"/>
  <c r="Y358" i="1" s="1"/>
  <c r="AE358" i="1" s="1"/>
  <c r="R358" i="1"/>
  <c r="X358" i="1" s="1"/>
  <c r="AD358" i="1" s="1"/>
  <c r="V357" i="1"/>
  <c r="AB357" i="1" s="1"/>
  <c r="AH357" i="1" s="1"/>
  <c r="U357" i="1"/>
  <c r="AA357" i="1" s="1"/>
  <c r="AG357" i="1" s="1"/>
  <c r="T357" i="1"/>
  <c r="Z357" i="1" s="1"/>
  <c r="AF357" i="1" s="1"/>
  <c r="S357" i="1"/>
  <c r="Y357" i="1" s="1"/>
  <c r="AE357" i="1" s="1"/>
  <c r="R357" i="1"/>
  <c r="X357" i="1" s="1"/>
  <c r="AD357" i="1" s="1"/>
  <c r="V356" i="1"/>
  <c r="AB356" i="1" s="1"/>
  <c r="AH356" i="1" s="1"/>
  <c r="U356" i="1"/>
  <c r="AA356" i="1" s="1"/>
  <c r="AG356" i="1" s="1"/>
  <c r="T356" i="1"/>
  <c r="Z356" i="1" s="1"/>
  <c r="AF356" i="1" s="1"/>
  <c r="S356" i="1"/>
  <c r="Y356" i="1" s="1"/>
  <c r="AE356" i="1" s="1"/>
  <c r="R356" i="1"/>
  <c r="X356" i="1" s="1"/>
  <c r="AD356" i="1" s="1"/>
  <c r="V355" i="1"/>
  <c r="AB355" i="1" s="1"/>
  <c r="AH355" i="1" s="1"/>
  <c r="U355" i="1"/>
  <c r="AA355" i="1" s="1"/>
  <c r="AG355" i="1" s="1"/>
  <c r="T355" i="1"/>
  <c r="Z355" i="1" s="1"/>
  <c r="AF355" i="1" s="1"/>
  <c r="S355" i="1"/>
  <c r="Y355" i="1" s="1"/>
  <c r="AE355" i="1" s="1"/>
  <c r="R355" i="1"/>
  <c r="X355" i="1" s="1"/>
  <c r="AD355" i="1" s="1"/>
  <c r="V354" i="1"/>
  <c r="AB354" i="1" s="1"/>
  <c r="AH354" i="1" s="1"/>
  <c r="U354" i="1"/>
  <c r="AA354" i="1" s="1"/>
  <c r="AG354" i="1" s="1"/>
  <c r="T354" i="1"/>
  <c r="Z354" i="1" s="1"/>
  <c r="AF354" i="1" s="1"/>
  <c r="S354" i="1"/>
  <c r="Y354" i="1" s="1"/>
  <c r="AE354" i="1" s="1"/>
  <c r="R354" i="1"/>
  <c r="X354" i="1" s="1"/>
  <c r="AD354" i="1" s="1"/>
  <c r="V353" i="1"/>
  <c r="AB353" i="1" s="1"/>
  <c r="AH353" i="1" s="1"/>
  <c r="U353" i="1"/>
  <c r="AA353" i="1" s="1"/>
  <c r="AG353" i="1" s="1"/>
  <c r="T353" i="1"/>
  <c r="Z353" i="1" s="1"/>
  <c r="AF353" i="1" s="1"/>
  <c r="S353" i="1"/>
  <c r="Y353" i="1" s="1"/>
  <c r="AE353" i="1" s="1"/>
  <c r="R353" i="1"/>
  <c r="X353" i="1" s="1"/>
  <c r="AD353" i="1" s="1"/>
  <c r="V352" i="1"/>
  <c r="AB352" i="1" s="1"/>
  <c r="AH352" i="1" s="1"/>
  <c r="U352" i="1"/>
  <c r="AA352" i="1" s="1"/>
  <c r="AG352" i="1" s="1"/>
  <c r="T352" i="1"/>
  <c r="Z352" i="1" s="1"/>
  <c r="AF352" i="1" s="1"/>
  <c r="S352" i="1"/>
  <c r="Y352" i="1" s="1"/>
  <c r="AE352" i="1" s="1"/>
  <c r="R352" i="1"/>
  <c r="X352" i="1" s="1"/>
  <c r="AD352" i="1" s="1"/>
  <c r="V351" i="1"/>
  <c r="AB351" i="1" s="1"/>
  <c r="AH351" i="1" s="1"/>
  <c r="U351" i="1"/>
  <c r="AA351" i="1" s="1"/>
  <c r="AG351" i="1" s="1"/>
  <c r="T351" i="1"/>
  <c r="Z351" i="1" s="1"/>
  <c r="AF351" i="1" s="1"/>
  <c r="S351" i="1"/>
  <c r="Y351" i="1" s="1"/>
  <c r="AE351" i="1" s="1"/>
  <c r="R351" i="1"/>
  <c r="X351" i="1" s="1"/>
  <c r="AD351" i="1" s="1"/>
  <c r="V350" i="1"/>
  <c r="AB350" i="1" s="1"/>
  <c r="AH350" i="1" s="1"/>
  <c r="U350" i="1"/>
  <c r="AA350" i="1" s="1"/>
  <c r="AG350" i="1" s="1"/>
  <c r="T350" i="1"/>
  <c r="Z350" i="1" s="1"/>
  <c r="AF350" i="1" s="1"/>
  <c r="S350" i="1"/>
  <c r="Y350" i="1" s="1"/>
  <c r="AE350" i="1" s="1"/>
  <c r="R350" i="1"/>
  <c r="X350" i="1" s="1"/>
  <c r="AD350" i="1" s="1"/>
  <c r="V349" i="1"/>
  <c r="AB349" i="1" s="1"/>
  <c r="AH349" i="1" s="1"/>
  <c r="U349" i="1"/>
  <c r="AA349" i="1" s="1"/>
  <c r="AG349" i="1" s="1"/>
  <c r="T349" i="1"/>
  <c r="Z349" i="1" s="1"/>
  <c r="AF349" i="1" s="1"/>
  <c r="S349" i="1"/>
  <c r="Y349" i="1" s="1"/>
  <c r="AE349" i="1" s="1"/>
  <c r="R349" i="1"/>
  <c r="X349" i="1" s="1"/>
  <c r="AD349" i="1" s="1"/>
  <c r="V348" i="1"/>
  <c r="AB348" i="1" s="1"/>
  <c r="AH348" i="1" s="1"/>
  <c r="U348" i="1"/>
  <c r="AA348" i="1" s="1"/>
  <c r="AG348" i="1" s="1"/>
  <c r="T348" i="1"/>
  <c r="Z348" i="1" s="1"/>
  <c r="AF348" i="1" s="1"/>
  <c r="S348" i="1"/>
  <c r="Y348" i="1" s="1"/>
  <c r="AE348" i="1" s="1"/>
  <c r="R348" i="1"/>
  <c r="X348" i="1" s="1"/>
  <c r="AD348" i="1" s="1"/>
  <c r="V347" i="1"/>
  <c r="AB347" i="1" s="1"/>
  <c r="AH347" i="1" s="1"/>
  <c r="U347" i="1"/>
  <c r="AA347" i="1" s="1"/>
  <c r="AG347" i="1" s="1"/>
  <c r="T347" i="1"/>
  <c r="Z347" i="1" s="1"/>
  <c r="AF347" i="1" s="1"/>
  <c r="S347" i="1"/>
  <c r="Y347" i="1" s="1"/>
  <c r="AE347" i="1" s="1"/>
  <c r="R347" i="1"/>
  <c r="X347" i="1" s="1"/>
  <c r="AD347" i="1" s="1"/>
  <c r="V346" i="1"/>
  <c r="AB346" i="1" s="1"/>
  <c r="AH346" i="1" s="1"/>
  <c r="U346" i="1"/>
  <c r="AA346" i="1" s="1"/>
  <c r="AG346" i="1" s="1"/>
  <c r="T346" i="1"/>
  <c r="Z346" i="1" s="1"/>
  <c r="AF346" i="1" s="1"/>
  <c r="S346" i="1"/>
  <c r="Y346" i="1" s="1"/>
  <c r="AE346" i="1" s="1"/>
  <c r="R346" i="1"/>
  <c r="X346" i="1" s="1"/>
  <c r="AD346" i="1" s="1"/>
  <c r="V345" i="1"/>
  <c r="AB345" i="1" s="1"/>
  <c r="AH345" i="1" s="1"/>
  <c r="U345" i="1"/>
  <c r="AA345" i="1" s="1"/>
  <c r="AG345" i="1" s="1"/>
  <c r="T345" i="1"/>
  <c r="Z345" i="1" s="1"/>
  <c r="AF345" i="1" s="1"/>
  <c r="S345" i="1"/>
  <c r="Y345" i="1" s="1"/>
  <c r="AE345" i="1" s="1"/>
  <c r="R345" i="1"/>
  <c r="X345" i="1" s="1"/>
  <c r="AD345" i="1" s="1"/>
  <c r="V344" i="1"/>
  <c r="AB344" i="1" s="1"/>
  <c r="AH344" i="1" s="1"/>
  <c r="U344" i="1"/>
  <c r="AA344" i="1" s="1"/>
  <c r="AG344" i="1" s="1"/>
  <c r="T344" i="1"/>
  <c r="Z344" i="1" s="1"/>
  <c r="AF344" i="1" s="1"/>
  <c r="S344" i="1"/>
  <c r="Y344" i="1" s="1"/>
  <c r="AE344" i="1" s="1"/>
  <c r="R344" i="1"/>
  <c r="X344" i="1" s="1"/>
  <c r="AD344" i="1" s="1"/>
  <c r="V343" i="1"/>
  <c r="AB343" i="1" s="1"/>
  <c r="AH343" i="1" s="1"/>
  <c r="U343" i="1"/>
  <c r="AA343" i="1" s="1"/>
  <c r="AG343" i="1" s="1"/>
  <c r="T343" i="1"/>
  <c r="Z343" i="1" s="1"/>
  <c r="AF343" i="1" s="1"/>
  <c r="S343" i="1"/>
  <c r="Y343" i="1" s="1"/>
  <c r="AE343" i="1" s="1"/>
  <c r="R343" i="1"/>
  <c r="X343" i="1" s="1"/>
  <c r="AD343" i="1" s="1"/>
  <c r="V342" i="1"/>
  <c r="AB342" i="1" s="1"/>
  <c r="AH342" i="1" s="1"/>
  <c r="U342" i="1"/>
  <c r="AA342" i="1" s="1"/>
  <c r="AG342" i="1" s="1"/>
  <c r="T342" i="1"/>
  <c r="Z342" i="1" s="1"/>
  <c r="AF342" i="1" s="1"/>
  <c r="S342" i="1"/>
  <c r="Y342" i="1" s="1"/>
  <c r="AE342" i="1" s="1"/>
  <c r="R342" i="1"/>
  <c r="X342" i="1" s="1"/>
  <c r="AD342" i="1" s="1"/>
  <c r="AA341" i="1"/>
  <c r="AG341" i="1" s="1"/>
  <c r="V341" i="1"/>
  <c r="AB341" i="1" s="1"/>
  <c r="AH341" i="1" s="1"/>
  <c r="T341" i="1"/>
  <c r="Z341" i="1" s="1"/>
  <c r="AF341" i="1" s="1"/>
  <c r="S341" i="1"/>
  <c r="Y341" i="1" s="1"/>
  <c r="AE341" i="1" s="1"/>
  <c r="R341" i="1"/>
  <c r="X341" i="1" s="1"/>
  <c r="AD341" i="1" s="1"/>
  <c r="V340" i="1"/>
  <c r="AB340" i="1" s="1"/>
  <c r="AH340" i="1" s="1"/>
  <c r="U340" i="1"/>
  <c r="AA340" i="1" s="1"/>
  <c r="AG340" i="1" s="1"/>
  <c r="T340" i="1"/>
  <c r="Z340" i="1" s="1"/>
  <c r="AF340" i="1" s="1"/>
  <c r="S340" i="1"/>
  <c r="Y340" i="1" s="1"/>
  <c r="AE340" i="1" s="1"/>
  <c r="R340" i="1"/>
  <c r="X340" i="1" s="1"/>
  <c r="AD340" i="1" s="1"/>
  <c r="V339" i="1"/>
  <c r="AB339" i="1" s="1"/>
  <c r="AH339" i="1" s="1"/>
  <c r="U339" i="1"/>
  <c r="AA339" i="1" s="1"/>
  <c r="AG339" i="1" s="1"/>
  <c r="T339" i="1"/>
  <c r="Z339" i="1" s="1"/>
  <c r="AF339" i="1" s="1"/>
  <c r="S339" i="1"/>
  <c r="Y339" i="1" s="1"/>
  <c r="AE339" i="1" s="1"/>
  <c r="R339" i="1"/>
  <c r="X339" i="1" s="1"/>
  <c r="AD339" i="1" s="1"/>
  <c r="V338" i="1"/>
  <c r="AB338" i="1" s="1"/>
  <c r="AH338" i="1" s="1"/>
  <c r="U338" i="1"/>
  <c r="AA338" i="1" s="1"/>
  <c r="AG338" i="1" s="1"/>
  <c r="T338" i="1"/>
  <c r="Z338" i="1" s="1"/>
  <c r="AF338" i="1" s="1"/>
  <c r="S338" i="1"/>
  <c r="Y338" i="1" s="1"/>
  <c r="AE338" i="1" s="1"/>
  <c r="R338" i="1"/>
  <c r="X338" i="1" s="1"/>
  <c r="AD338" i="1" s="1"/>
  <c r="V337" i="1"/>
  <c r="AB337" i="1" s="1"/>
  <c r="AH337" i="1" s="1"/>
  <c r="U337" i="1"/>
  <c r="AA337" i="1" s="1"/>
  <c r="AG337" i="1" s="1"/>
  <c r="T337" i="1"/>
  <c r="Z337" i="1" s="1"/>
  <c r="AF337" i="1" s="1"/>
  <c r="S337" i="1"/>
  <c r="Y337" i="1" s="1"/>
  <c r="AE337" i="1" s="1"/>
  <c r="R337" i="1"/>
  <c r="X337" i="1" s="1"/>
  <c r="AD337" i="1" s="1"/>
  <c r="V336" i="1"/>
  <c r="AB336" i="1" s="1"/>
  <c r="AH336" i="1" s="1"/>
  <c r="U336" i="1"/>
  <c r="AA336" i="1" s="1"/>
  <c r="AG336" i="1" s="1"/>
  <c r="T336" i="1"/>
  <c r="Z336" i="1" s="1"/>
  <c r="AF336" i="1" s="1"/>
  <c r="S336" i="1"/>
  <c r="Y336" i="1" s="1"/>
  <c r="AE336" i="1" s="1"/>
  <c r="R336" i="1"/>
  <c r="X336" i="1" s="1"/>
  <c r="AD336" i="1" s="1"/>
  <c r="V335" i="1"/>
  <c r="AB335" i="1" s="1"/>
  <c r="AH335" i="1" s="1"/>
  <c r="U335" i="1"/>
  <c r="AA335" i="1" s="1"/>
  <c r="AG335" i="1" s="1"/>
  <c r="T335" i="1"/>
  <c r="Z335" i="1" s="1"/>
  <c r="AF335" i="1" s="1"/>
  <c r="S335" i="1"/>
  <c r="Y335" i="1" s="1"/>
  <c r="AE335" i="1" s="1"/>
  <c r="R335" i="1"/>
  <c r="X335" i="1" s="1"/>
  <c r="AD335" i="1" s="1"/>
  <c r="V334" i="1"/>
  <c r="AB334" i="1" s="1"/>
  <c r="AH334" i="1" s="1"/>
  <c r="U334" i="1"/>
  <c r="AA334" i="1" s="1"/>
  <c r="AG334" i="1" s="1"/>
  <c r="T334" i="1"/>
  <c r="Z334" i="1" s="1"/>
  <c r="AF334" i="1" s="1"/>
  <c r="S334" i="1"/>
  <c r="Y334" i="1" s="1"/>
  <c r="AE334" i="1" s="1"/>
  <c r="R334" i="1"/>
  <c r="X334" i="1" s="1"/>
  <c r="AD334" i="1" s="1"/>
  <c r="V333" i="1"/>
  <c r="AB333" i="1" s="1"/>
  <c r="AH333" i="1" s="1"/>
  <c r="U333" i="1"/>
  <c r="AA333" i="1" s="1"/>
  <c r="AG333" i="1" s="1"/>
  <c r="T333" i="1"/>
  <c r="Z333" i="1" s="1"/>
  <c r="AF333" i="1" s="1"/>
  <c r="S333" i="1"/>
  <c r="Y333" i="1" s="1"/>
  <c r="AE333" i="1" s="1"/>
  <c r="R333" i="1"/>
  <c r="X333" i="1" s="1"/>
  <c r="AD333" i="1" s="1"/>
  <c r="V332" i="1"/>
  <c r="AB332" i="1" s="1"/>
  <c r="AH332" i="1" s="1"/>
  <c r="U332" i="1"/>
  <c r="AA332" i="1" s="1"/>
  <c r="AG332" i="1" s="1"/>
  <c r="T332" i="1"/>
  <c r="Z332" i="1" s="1"/>
  <c r="AF332" i="1" s="1"/>
  <c r="S332" i="1"/>
  <c r="Y332" i="1" s="1"/>
  <c r="AE332" i="1" s="1"/>
  <c r="R332" i="1"/>
  <c r="X332" i="1" s="1"/>
  <c r="AD332" i="1" s="1"/>
  <c r="V331" i="1"/>
  <c r="AB331" i="1" s="1"/>
  <c r="AH331" i="1" s="1"/>
  <c r="U331" i="1"/>
  <c r="AA331" i="1" s="1"/>
  <c r="AG331" i="1" s="1"/>
  <c r="T331" i="1"/>
  <c r="Z331" i="1" s="1"/>
  <c r="AF331" i="1" s="1"/>
  <c r="S331" i="1"/>
  <c r="Y331" i="1" s="1"/>
  <c r="AE331" i="1" s="1"/>
  <c r="R331" i="1"/>
  <c r="X331" i="1" s="1"/>
  <c r="AD331" i="1" s="1"/>
  <c r="V330" i="1"/>
  <c r="AB330" i="1" s="1"/>
  <c r="AH330" i="1" s="1"/>
  <c r="U330" i="1"/>
  <c r="AA330" i="1" s="1"/>
  <c r="AG330" i="1" s="1"/>
  <c r="T330" i="1"/>
  <c r="Z330" i="1" s="1"/>
  <c r="AF330" i="1" s="1"/>
  <c r="S330" i="1"/>
  <c r="Y330" i="1" s="1"/>
  <c r="AE330" i="1" s="1"/>
  <c r="R330" i="1"/>
  <c r="X330" i="1" s="1"/>
  <c r="AD330" i="1" s="1"/>
  <c r="V329" i="1"/>
  <c r="AB329" i="1" s="1"/>
  <c r="AH329" i="1" s="1"/>
  <c r="U329" i="1"/>
  <c r="AA329" i="1" s="1"/>
  <c r="AG329" i="1" s="1"/>
  <c r="T329" i="1"/>
  <c r="Z329" i="1" s="1"/>
  <c r="AF329" i="1" s="1"/>
  <c r="S329" i="1"/>
  <c r="Y329" i="1" s="1"/>
  <c r="AE329" i="1" s="1"/>
  <c r="R329" i="1"/>
  <c r="X329" i="1" s="1"/>
  <c r="AD329" i="1" s="1"/>
  <c r="V328" i="1"/>
  <c r="AB328" i="1" s="1"/>
  <c r="AH328" i="1" s="1"/>
  <c r="U328" i="1"/>
  <c r="AA328" i="1" s="1"/>
  <c r="AG328" i="1" s="1"/>
  <c r="T328" i="1"/>
  <c r="Z328" i="1" s="1"/>
  <c r="AF328" i="1" s="1"/>
  <c r="S328" i="1"/>
  <c r="Y328" i="1" s="1"/>
  <c r="AE328" i="1" s="1"/>
  <c r="R328" i="1"/>
  <c r="X328" i="1" s="1"/>
  <c r="AD328" i="1" s="1"/>
  <c r="V327" i="1"/>
  <c r="AB327" i="1" s="1"/>
  <c r="AH327" i="1" s="1"/>
  <c r="U327" i="1"/>
  <c r="AA327" i="1" s="1"/>
  <c r="AG327" i="1" s="1"/>
  <c r="T327" i="1"/>
  <c r="Z327" i="1" s="1"/>
  <c r="AF327" i="1" s="1"/>
  <c r="S327" i="1"/>
  <c r="Y327" i="1" s="1"/>
  <c r="AE327" i="1" s="1"/>
  <c r="R327" i="1"/>
  <c r="X327" i="1" s="1"/>
  <c r="AD327" i="1" s="1"/>
  <c r="V326" i="1"/>
  <c r="AB326" i="1" s="1"/>
  <c r="AH326" i="1" s="1"/>
  <c r="U326" i="1"/>
  <c r="AA326" i="1" s="1"/>
  <c r="AG326" i="1" s="1"/>
  <c r="T326" i="1"/>
  <c r="Z326" i="1" s="1"/>
  <c r="AF326" i="1" s="1"/>
  <c r="S326" i="1"/>
  <c r="Y326" i="1" s="1"/>
  <c r="AE326" i="1" s="1"/>
  <c r="R326" i="1"/>
  <c r="X326" i="1" s="1"/>
  <c r="AD326" i="1" s="1"/>
  <c r="V325" i="1"/>
  <c r="AB325" i="1" s="1"/>
  <c r="AH325" i="1" s="1"/>
  <c r="U325" i="1"/>
  <c r="AA325" i="1" s="1"/>
  <c r="AG325" i="1" s="1"/>
  <c r="T325" i="1"/>
  <c r="Z325" i="1" s="1"/>
  <c r="AF325" i="1" s="1"/>
  <c r="S325" i="1"/>
  <c r="Y325" i="1" s="1"/>
  <c r="AE325" i="1" s="1"/>
  <c r="R325" i="1"/>
  <c r="X325" i="1" s="1"/>
  <c r="AD325" i="1" s="1"/>
  <c r="V324" i="1"/>
  <c r="AB324" i="1" s="1"/>
  <c r="AH324" i="1" s="1"/>
  <c r="U324" i="1"/>
  <c r="AA324" i="1" s="1"/>
  <c r="AG324" i="1" s="1"/>
  <c r="T324" i="1"/>
  <c r="Z324" i="1" s="1"/>
  <c r="AF324" i="1" s="1"/>
  <c r="S324" i="1"/>
  <c r="Y324" i="1" s="1"/>
  <c r="AE324" i="1" s="1"/>
  <c r="R324" i="1"/>
  <c r="X324" i="1" s="1"/>
  <c r="AD324" i="1" s="1"/>
  <c r="V323" i="1"/>
  <c r="AB323" i="1" s="1"/>
  <c r="AH323" i="1" s="1"/>
  <c r="U323" i="1"/>
  <c r="AA323" i="1" s="1"/>
  <c r="AG323" i="1" s="1"/>
  <c r="T323" i="1"/>
  <c r="Z323" i="1" s="1"/>
  <c r="AF323" i="1" s="1"/>
  <c r="S323" i="1"/>
  <c r="Y323" i="1" s="1"/>
  <c r="AE323" i="1" s="1"/>
  <c r="R323" i="1"/>
  <c r="X323" i="1" s="1"/>
  <c r="AD323" i="1" s="1"/>
  <c r="V322" i="1"/>
  <c r="AB322" i="1" s="1"/>
  <c r="AH322" i="1" s="1"/>
  <c r="U322" i="1"/>
  <c r="AA322" i="1" s="1"/>
  <c r="AG322" i="1" s="1"/>
  <c r="T322" i="1"/>
  <c r="Z322" i="1" s="1"/>
  <c r="AF322" i="1" s="1"/>
  <c r="S322" i="1"/>
  <c r="Y322" i="1" s="1"/>
  <c r="AE322" i="1" s="1"/>
  <c r="R322" i="1"/>
  <c r="X322" i="1" s="1"/>
  <c r="AD322" i="1" s="1"/>
  <c r="V321" i="1"/>
  <c r="AB321" i="1" s="1"/>
  <c r="AH321" i="1" s="1"/>
  <c r="U321" i="1"/>
  <c r="AA321" i="1" s="1"/>
  <c r="AG321" i="1" s="1"/>
  <c r="T321" i="1"/>
  <c r="Z321" i="1" s="1"/>
  <c r="AF321" i="1" s="1"/>
  <c r="S321" i="1"/>
  <c r="Y321" i="1" s="1"/>
  <c r="AE321" i="1" s="1"/>
  <c r="R321" i="1"/>
  <c r="X321" i="1" s="1"/>
  <c r="AD321" i="1" s="1"/>
  <c r="V320" i="1"/>
  <c r="AB320" i="1" s="1"/>
  <c r="AH320" i="1" s="1"/>
  <c r="U320" i="1"/>
  <c r="AA320" i="1" s="1"/>
  <c r="AG320" i="1" s="1"/>
  <c r="T320" i="1"/>
  <c r="Z320" i="1" s="1"/>
  <c r="AF320" i="1" s="1"/>
  <c r="S320" i="1"/>
  <c r="Y320" i="1" s="1"/>
  <c r="AE320" i="1" s="1"/>
  <c r="R320" i="1"/>
  <c r="X320" i="1" s="1"/>
  <c r="AD320" i="1" s="1"/>
  <c r="V319" i="1"/>
  <c r="AB319" i="1" s="1"/>
  <c r="AH319" i="1" s="1"/>
  <c r="U319" i="1"/>
  <c r="AA319" i="1" s="1"/>
  <c r="AG319" i="1" s="1"/>
  <c r="T319" i="1"/>
  <c r="Z319" i="1" s="1"/>
  <c r="AF319" i="1" s="1"/>
  <c r="S319" i="1"/>
  <c r="Y319" i="1" s="1"/>
  <c r="AE319" i="1" s="1"/>
  <c r="R319" i="1"/>
  <c r="X319" i="1" s="1"/>
  <c r="AD319" i="1" s="1"/>
  <c r="V318" i="1"/>
  <c r="AB318" i="1" s="1"/>
  <c r="AH318" i="1" s="1"/>
  <c r="U318" i="1"/>
  <c r="AA318" i="1" s="1"/>
  <c r="AG318" i="1" s="1"/>
  <c r="T318" i="1"/>
  <c r="Z318" i="1" s="1"/>
  <c r="AF318" i="1" s="1"/>
  <c r="S318" i="1"/>
  <c r="Y318" i="1" s="1"/>
  <c r="AE318" i="1" s="1"/>
  <c r="R318" i="1"/>
  <c r="X318" i="1" s="1"/>
  <c r="AD318" i="1" s="1"/>
  <c r="V317" i="1"/>
  <c r="AB317" i="1" s="1"/>
  <c r="AH317" i="1" s="1"/>
  <c r="U317" i="1"/>
  <c r="AA317" i="1" s="1"/>
  <c r="AG317" i="1" s="1"/>
  <c r="T317" i="1"/>
  <c r="Z317" i="1" s="1"/>
  <c r="AF317" i="1" s="1"/>
  <c r="S317" i="1"/>
  <c r="Y317" i="1" s="1"/>
  <c r="AE317" i="1" s="1"/>
  <c r="R317" i="1"/>
  <c r="X317" i="1" s="1"/>
  <c r="AD317" i="1" s="1"/>
  <c r="V316" i="1"/>
  <c r="AB316" i="1" s="1"/>
  <c r="AH316" i="1" s="1"/>
  <c r="U316" i="1"/>
  <c r="AA316" i="1" s="1"/>
  <c r="AG316" i="1" s="1"/>
  <c r="T316" i="1"/>
  <c r="Z316" i="1" s="1"/>
  <c r="AF316" i="1" s="1"/>
  <c r="S316" i="1"/>
  <c r="Y316" i="1" s="1"/>
  <c r="AE316" i="1" s="1"/>
  <c r="R316" i="1"/>
  <c r="X316" i="1" s="1"/>
  <c r="AD316" i="1" s="1"/>
  <c r="V315" i="1"/>
  <c r="AB315" i="1" s="1"/>
  <c r="AH315" i="1" s="1"/>
  <c r="U315" i="1"/>
  <c r="AA315" i="1" s="1"/>
  <c r="AG315" i="1" s="1"/>
  <c r="T315" i="1"/>
  <c r="Z315" i="1" s="1"/>
  <c r="AF315" i="1" s="1"/>
  <c r="S315" i="1"/>
  <c r="Y315" i="1" s="1"/>
  <c r="AE315" i="1" s="1"/>
  <c r="R315" i="1"/>
  <c r="X315" i="1" s="1"/>
  <c r="AD315" i="1" s="1"/>
  <c r="V314" i="1"/>
  <c r="AB314" i="1" s="1"/>
  <c r="AH314" i="1" s="1"/>
  <c r="U314" i="1"/>
  <c r="AA314" i="1" s="1"/>
  <c r="AG314" i="1" s="1"/>
  <c r="T314" i="1"/>
  <c r="Z314" i="1" s="1"/>
  <c r="AF314" i="1" s="1"/>
  <c r="S314" i="1"/>
  <c r="Y314" i="1" s="1"/>
  <c r="AE314" i="1" s="1"/>
  <c r="R314" i="1"/>
  <c r="X314" i="1" s="1"/>
  <c r="AD314" i="1" s="1"/>
  <c r="V313" i="1"/>
  <c r="AB313" i="1" s="1"/>
  <c r="AH313" i="1" s="1"/>
  <c r="U313" i="1"/>
  <c r="AA313" i="1" s="1"/>
  <c r="AG313" i="1" s="1"/>
  <c r="T313" i="1"/>
  <c r="Z313" i="1" s="1"/>
  <c r="AF313" i="1" s="1"/>
  <c r="S313" i="1"/>
  <c r="Y313" i="1" s="1"/>
  <c r="AE313" i="1" s="1"/>
  <c r="R313" i="1"/>
  <c r="X313" i="1" s="1"/>
  <c r="AD313" i="1" s="1"/>
  <c r="V312" i="1"/>
  <c r="AB312" i="1" s="1"/>
  <c r="AH312" i="1" s="1"/>
  <c r="U312" i="1"/>
  <c r="AA312" i="1" s="1"/>
  <c r="AG312" i="1" s="1"/>
  <c r="T312" i="1"/>
  <c r="Z312" i="1" s="1"/>
  <c r="AF312" i="1" s="1"/>
  <c r="S312" i="1"/>
  <c r="Y312" i="1" s="1"/>
  <c r="AE312" i="1" s="1"/>
  <c r="R312" i="1"/>
  <c r="X312" i="1" s="1"/>
  <c r="AD312" i="1" s="1"/>
  <c r="V311" i="1"/>
  <c r="AB311" i="1" s="1"/>
  <c r="AH311" i="1" s="1"/>
  <c r="U311" i="1"/>
  <c r="AA311" i="1" s="1"/>
  <c r="AG311" i="1" s="1"/>
  <c r="T311" i="1"/>
  <c r="Z311" i="1" s="1"/>
  <c r="AF311" i="1" s="1"/>
  <c r="S311" i="1"/>
  <c r="Y311" i="1" s="1"/>
  <c r="AE311" i="1" s="1"/>
  <c r="R311" i="1"/>
  <c r="X311" i="1" s="1"/>
  <c r="AD311" i="1" s="1"/>
  <c r="V310" i="1"/>
  <c r="AB310" i="1" s="1"/>
  <c r="AH310" i="1" s="1"/>
  <c r="U310" i="1"/>
  <c r="AA310" i="1" s="1"/>
  <c r="AG310" i="1" s="1"/>
  <c r="T310" i="1"/>
  <c r="Z310" i="1" s="1"/>
  <c r="AF310" i="1" s="1"/>
  <c r="S310" i="1"/>
  <c r="Y310" i="1" s="1"/>
  <c r="AE310" i="1" s="1"/>
  <c r="R310" i="1"/>
  <c r="X310" i="1" s="1"/>
  <c r="AD310" i="1" s="1"/>
  <c r="V309" i="1"/>
  <c r="AB309" i="1" s="1"/>
  <c r="AH309" i="1" s="1"/>
  <c r="U309" i="1"/>
  <c r="AA309" i="1" s="1"/>
  <c r="AG309" i="1" s="1"/>
  <c r="T309" i="1"/>
  <c r="Z309" i="1" s="1"/>
  <c r="AF309" i="1" s="1"/>
  <c r="S309" i="1"/>
  <c r="Y309" i="1" s="1"/>
  <c r="AE309" i="1" s="1"/>
  <c r="R309" i="1"/>
  <c r="X309" i="1" s="1"/>
  <c r="AD309" i="1" s="1"/>
  <c r="V308" i="1"/>
  <c r="AB308" i="1" s="1"/>
  <c r="AH308" i="1" s="1"/>
  <c r="U308" i="1"/>
  <c r="AA308" i="1" s="1"/>
  <c r="AG308" i="1" s="1"/>
  <c r="T308" i="1"/>
  <c r="Z308" i="1" s="1"/>
  <c r="AF308" i="1" s="1"/>
  <c r="S308" i="1"/>
  <c r="Y308" i="1" s="1"/>
  <c r="AE308" i="1" s="1"/>
  <c r="R308" i="1"/>
  <c r="X308" i="1" s="1"/>
  <c r="AD308" i="1" s="1"/>
  <c r="V307" i="1"/>
  <c r="AB307" i="1" s="1"/>
  <c r="AH307" i="1" s="1"/>
  <c r="U307" i="1"/>
  <c r="AA307" i="1" s="1"/>
  <c r="AG307" i="1" s="1"/>
  <c r="T307" i="1"/>
  <c r="Z307" i="1" s="1"/>
  <c r="AF307" i="1" s="1"/>
  <c r="S307" i="1"/>
  <c r="Y307" i="1" s="1"/>
  <c r="AE307" i="1" s="1"/>
  <c r="R307" i="1"/>
  <c r="X307" i="1" s="1"/>
  <c r="AD307" i="1" s="1"/>
  <c r="V306" i="1"/>
  <c r="AB306" i="1" s="1"/>
  <c r="AH306" i="1" s="1"/>
  <c r="U306" i="1"/>
  <c r="AA306" i="1" s="1"/>
  <c r="AG306" i="1" s="1"/>
  <c r="T306" i="1"/>
  <c r="Z306" i="1" s="1"/>
  <c r="AF306" i="1" s="1"/>
  <c r="S306" i="1"/>
  <c r="Y306" i="1" s="1"/>
  <c r="AE306" i="1" s="1"/>
  <c r="R306" i="1"/>
  <c r="X306" i="1" s="1"/>
  <c r="AD306" i="1" s="1"/>
  <c r="V305" i="1"/>
  <c r="AB305" i="1" s="1"/>
  <c r="AH305" i="1" s="1"/>
  <c r="U305" i="1"/>
  <c r="AA305" i="1" s="1"/>
  <c r="AG305" i="1" s="1"/>
  <c r="T305" i="1"/>
  <c r="Z305" i="1" s="1"/>
  <c r="AF305" i="1" s="1"/>
  <c r="S305" i="1"/>
  <c r="Y305" i="1" s="1"/>
  <c r="AE305" i="1" s="1"/>
  <c r="R305" i="1"/>
  <c r="X305" i="1" s="1"/>
  <c r="AD305" i="1" s="1"/>
  <c r="V304" i="1"/>
  <c r="AB304" i="1" s="1"/>
  <c r="AH304" i="1" s="1"/>
  <c r="U304" i="1"/>
  <c r="AA304" i="1" s="1"/>
  <c r="AG304" i="1" s="1"/>
  <c r="T304" i="1"/>
  <c r="Z304" i="1" s="1"/>
  <c r="AF304" i="1" s="1"/>
  <c r="S304" i="1"/>
  <c r="Y304" i="1" s="1"/>
  <c r="AE304" i="1" s="1"/>
  <c r="R304" i="1"/>
  <c r="X304" i="1" s="1"/>
  <c r="AD304" i="1" s="1"/>
  <c r="V303" i="1"/>
  <c r="AB303" i="1" s="1"/>
  <c r="AH303" i="1" s="1"/>
  <c r="U303" i="1"/>
  <c r="AA303" i="1" s="1"/>
  <c r="AG303" i="1" s="1"/>
  <c r="T303" i="1"/>
  <c r="Z303" i="1" s="1"/>
  <c r="AF303" i="1" s="1"/>
  <c r="S303" i="1"/>
  <c r="Y303" i="1" s="1"/>
  <c r="AE303" i="1" s="1"/>
  <c r="R303" i="1"/>
  <c r="X303" i="1" s="1"/>
  <c r="AD303" i="1" s="1"/>
  <c r="V302" i="1"/>
  <c r="AB302" i="1" s="1"/>
  <c r="AH302" i="1" s="1"/>
  <c r="U302" i="1"/>
  <c r="AA302" i="1" s="1"/>
  <c r="AG302" i="1" s="1"/>
  <c r="T302" i="1"/>
  <c r="Z302" i="1" s="1"/>
  <c r="AF302" i="1" s="1"/>
  <c r="S302" i="1"/>
  <c r="Y302" i="1" s="1"/>
  <c r="AE302" i="1" s="1"/>
  <c r="R302" i="1"/>
  <c r="X302" i="1" s="1"/>
  <c r="AD302" i="1" s="1"/>
  <c r="V301" i="1"/>
  <c r="AB301" i="1" s="1"/>
  <c r="AH301" i="1" s="1"/>
  <c r="U301" i="1"/>
  <c r="AA301" i="1" s="1"/>
  <c r="AG301" i="1" s="1"/>
  <c r="T301" i="1"/>
  <c r="Z301" i="1" s="1"/>
  <c r="AF301" i="1" s="1"/>
  <c r="S301" i="1"/>
  <c r="Y301" i="1" s="1"/>
  <c r="AE301" i="1" s="1"/>
  <c r="R301" i="1"/>
  <c r="X301" i="1" s="1"/>
  <c r="AD301" i="1" s="1"/>
  <c r="V300" i="1"/>
  <c r="AB300" i="1" s="1"/>
  <c r="AH300" i="1" s="1"/>
  <c r="U300" i="1"/>
  <c r="AA300" i="1" s="1"/>
  <c r="AG300" i="1" s="1"/>
  <c r="T300" i="1"/>
  <c r="Z300" i="1" s="1"/>
  <c r="AF300" i="1" s="1"/>
  <c r="S300" i="1"/>
  <c r="Y300" i="1" s="1"/>
  <c r="AE300" i="1" s="1"/>
  <c r="R300" i="1"/>
  <c r="X300" i="1" s="1"/>
  <c r="AD300" i="1" s="1"/>
  <c r="V299" i="1"/>
  <c r="AB299" i="1" s="1"/>
  <c r="AH299" i="1" s="1"/>
  <c r="U299" i="1"/>
  <c r="AA299" i="1" s="1"/>
  <c r="AG299" i="1" s="1"/>
  <c r="T299" i="1"/>
  <c r="Z299" i="1" s="1"/>
  <c r="AF299" i="1" s="1"/>
  <c r="S299" i="1"/>
  <c r="Y299" i="1" s="1"/>
  <c r="AE299" i="1" s="1"/>
  <c r="R299" i="1"/>
  <c r="X299" i="1" s="1"/>
  <c r="AD299" i="1" s="1"/>
  <c r="V298" i="1"/>
  <c r="AB298" i="1" s="1"/>
  <c r="AH298" i="1" s="1"/>
  <c r="U298" i="1"/>
  <c r="AA298" i="1" s="1"/>
  <c r="AG298" i="1" s="1"/>
  <c r="T298" i="1"/>
  <c r="Z298" i="1" s="1"/>
  <c r="AF298" i="1" s="1"/>
  <c r="S298" i="1"/>
  <c r="Y298" i="1" s="1"/>
  <c r="AE298" i="1" s="1"/>
  <c r="R298" i="1"/>
  <c r="X298" i="1" s="1"/>
  <c r="AD298" i="1" s="1"/>
  <c r="V297" i="1"/>
  <c r="AB297" i="1" s="1"/>
  <c r="AH297" i="1" s="1"/>
  <c r="U297" i="1"/>
  <c r="AA297" i="1" s="1"/>
  <c r="AG297" i="1" s="1"/>
  <c r="T297" i="1"/>
  <c r="Z297" i="1" s="1"/>
  <c r="AF297" i="1" s="1"/>
  <c r="S297" i="1"/>
  <c r="Y297" i="1" s="1"/>
  <c r="AE297" i="1" s="1"/>
  <c r="R297" i="1"/>
  <c r="X297" i="1" s="1"/>
  <c r="AD297" i="1" s="1"/>
  <c r="V296" i="1"/>
  <c r="AB296" i="1" s="1"/>
  <c r="AH296" i="1" s="1"/>
  <c r="U296" i="1"/>
  <c r="AA296" i="1" s="1"/>
  <c r="AG296" i="1" s="1"/>
  <c r="T296" i="1"/>
  <c r="Z296" i="1" s="1"/>
  <c r="AF296" i="1" s="1"/>
  <c r="S296" i="1"/>
  <c r="Y296" i="1" s="1"/>
  <c r="AE296" i="1" s="1"/>
  <c r="R296" i="1"/>
  <c r="X296" i="1" s="1"/>
  <c r="AD296" i="1" s="1"/>
  <c r="V295" i="1"/>
  <c r="AB295" i="1" s="1"/>
  <c r="AH295" i="1" s="1"/>
  <c r="U295" i="1"/>
  <c r="AA295" i="1" s="1"/>
  <c r="AG295" i="1" s="1"/>
  <c r="T295" i="1"/>
  <c r="Z295" i="1" s="1"/>
  <c r="AF295" i="1" s="1"/>
  <c r="S295" i="1"/>
  <c r="Y295" i="1" s="1"/>
  <c r="AE295" i="1" s="1"/>
  <c r="R295" i="1"/>
  <c r="X295" i="1" s="1"/>
  <c r="AD295" i="1" s="1"/>
  <c r="V294" i="1"/>
  <c r="AB294" i="1" s="1"/>
  <c r="AH294" i="1" s="1"/>
  <c r="U294" i="1"/>
  <c r="AA294" i="1" s="1"/>
  <c r="AG294" i="1" s="1"/>
  <c r="T294" i="1"/>
  <c r="Z294" i="1" s="1"/>
  <c r="AF294" i="1" s="1"/>
  <c r="S294" i="1"/>
  <c r="Y294" i="1" s="1"/>
  <c r="AE294" i="1" s="1"/>
  <c r="R294" i="1"/>
  <c r="X294" i="1" s="1"/>
  <c r="AD294" i="1" s="1"/>
  <c r="V293" i="1"/>
  <c r="AB293" i="1" s="1"/>
  <c r="AH293" i="1" s="1"/>
  <c r="U293" i="1"/>
  <c r="AA293" i="1" s="1"/>
  <c r="AG293" i="1" s="1"/>
  <c r="T293" i="1"/>
  <c r="Z293" i="1" s="1"/>
  <c r="AF293" i="1" s="1"/>
  <c r="S293" i="1"/>
  <c r="Y293" i="1" s="1"/>
  <c r="AE293" i="1" s="1"/>
  <c r="R293" i="1"/>
  <c r="X293" i="1" s="1"/>
  <c r="AD293" i="1" s="1"/>
  <c r="V292" i="1"/>
  <c r="AB292" i="1" s="1"/>
  <c r="AH292" i="1" s="1"/>
  <c r="U292" i="1"/>
  <c r="AA292" i="1" s="1"/>
  <c r="AG292" i="1" s="1"/>
  <c r="T292" i="1"/>
  <c r="Z292" i="1" s="1"/>
  <c r="AF292" i="1" s="1"/>
  <c r="S292" i="1"/>
  <c r="Y292" i="1" s="1"/>
  <c r="AE292" i="1" s="1"/>
  <c r="R292" i="1"/>
  <c r="X292" i="1" s="1"/>
  <c r="AD292" i="1" s="1"/>
  <c r="V291" i="1"/>
  <c r="AB291" i="1" s="1"/>
  <c r="AH291" i="1" s="1"/>
  <c r="U291" i="1"/>
  <c r="AA291" i="1" s="1"/>
  <c r="AG291" i="1" s="1"/>
  <c r="T291" i="1"/>
  <c r="Z291" i="1" s="1"/>
  <c r="AF291" i="1" s="1"/>
  <c r="S291" i="1"/>
  <c r="Y291" i="1" s="1"/>
  <c r="AE291" i="1" s="1"/>
  <c r="R291" i="1"/>
  <c r="X291" i="1" s="1"/>
  <c r="AD291" i="1" s="1"/>
  <c r="V290" i="1"/>
  <c r="AB290" i="1" s="1"/>
  <c r="AH290" i="1" s="1"/>
  <c r="U290" i="1"/>
  <c r="AA290" i="1" s="1"/>
  <c r="AG290" i="1" s="1"/>
  <c r="T290" i="1"/>
  <c r="Z290" i="1" s="1"/>
  <c r="AF290" i="1" s="1"/>
  <c r="S290" i="1"/>
  <c r="Y290" i="1" s="1"/>
  <c r="AE290" i="1" s="1"/>
  <c r="R290" i="1"/>
  <c r="X290" i="1" s="1"/>
  <c r="AD290" i="1" s="1"/>
  <c r="V289" i="1"/>
  <c r="AB289" i="1" s="1"/>
  <c r="AH289" i="1" s="1"/>
  <c r="U289" i="1"/>
  <c r="AA289" i="1" s="1"/>
  <c r="AG289" i="1" s="1"/>
  <c r="T289" i="1"/>
  <c r="Z289" i="1" s="1"/>
  <c r="AF289" i="1" s="1"/>
  <c r="S289" i="1"/>
  <c r="Y289" i="1" s="1"/>
  <c r="AE289" i="1" s="1"/>
  <c r="R289" i="1"/>
  <c r="X289" i="1" s="1"/>
  <c r="AD289" i="1" s="1"/>
  <c r="V288" i="1"/>
  <c r="AB288" i="1" s="1"/>
  <c r="AH288" i="1" s="1"/>
  <c r="U288" i="1"/>
  <c r="AA288" i="1" s="1"/>
  <c r="AG288" i="1" s="1"/>
  <c r="T288" i="1"/>
  <c r="Z288" i="1" s="1"/>
  <c r="AF288" i="1" s="1"/>
  <c r="S288" i="1"/>
  <c r="Y288" i="1" s="1"/>
  <c r="AE288" i="1" s="1"/>
  <c r="R288" i="1"/>
  <c r="X288" i="1" s="1"/>
  <c r="AD288" i="1" s="1"/>
  <c r="V287" i="1"/>
  <c r="AB287" i="1" s="1"/>
  <c r="AH287" i="1" s="1"/>
  <c r="U287" i="1"/>
  <c r="AA287" i="1" s="1"/>
  <c r="AG287" i="1" s="1"/>
  <c r="T287" i="1"/>
  <c r="Z287" i="1" s="1"/>
  <c r="AF287" i="1" s="1"/>
  <c r="S287" i="1"/>
  <c r="Y287" i="1" s="1"/>
  <c r="AE287" i="1" s="1"/>
  <c r="R287" i="1"/>
  <c r="X287" i="1" s="1"/>
  <c r="AD287" i="1" s="1"/>
  <c r="V286" i="1"/>
  <c r="AB286" i="1" s="1"/>
  <c r="AH286" i="1" s="1"/>
  <c r="U286" i="1"/>
  <c r="AA286" i="1" s="1"/>
  <c r="AG286" i="1" s="1"/>
  <c r="T286" i="1"/>
  <c r="Z286" i="1" s="1"/>
  <c r="AF286" i="1" s="1"/>
  <c r="S286" i="1"/>
  <c r="Y286" i="1" s="1"/>
  <c r="AE286" i="1" s="1"/>
  <c r="R286" i="1"/>
  <c r="X286" i="1" s="1"/>
  <c r="AD286" i="1" s="1"/>
  <c r="V285" i="1"/>
  <c r="AB285" i="1" s="1"/>
  <c r="AH285" i="1" s="1"/>
  <c r="U285" i="1"/>
  <c r="AA285" i="1" s="1"/>
  <c r="AG285" i="1" s="1"/>
  <c r="T285" i="1"/>
  <c r="Z285" i="1" s="1"/>
  <c r="AF285" i="1" s="1"/>
  <c r="S285" i="1"/>
  <c r="Y285" i="1" s="1"/>
  <c r="AE285" i="1" s="1"/>
  <c r="R285" i="1"/>
  <c r="X285" i="1" s="1"/>
  <c r="AD285" i="1" s="1"/>
  <c r="V284" i="1"/>
  <c r="AB284" i="1" s="1"/>
  <c r="AH284" i="1" s="1"/>
  <c r="U284" i="1"/>
  <c r="AA284" i="1" s="1"/>
  <c r="AG284" i="1" s="1"/>
  <c r="T284" i="1"/>
  <c r="Z284" i="1" s="1"/>
  <c r="AF284" i="1" s="1"/>
  <c r="S284" i="1"/>
  <c r="Y284" i="1" s="1"/>
  <c r="AE284" i="1" s="1"/>
  <c r="R284" i="1"/>
  <c r="X284" i="1" s="1"/>
  <c r="AD284" i="1" s="1"/>
  <c r="V283" i="1"/>
  <c r="AB283" i="1" s="1"/>
  <c r="AH283" i="1" s="1"/>
  <c r="U283" i="1"/>
  <c r="AA283" i="1" s="1"/>
  <c r="AG283" i="1" s="1"/>
  <c r="T283" i="1"/>
  <c r="Z283" i="1" s="1"/>
  <c r="AF283" i="1" s="1"/>
  <c r="S283" i="1"/>
  <c r="Y283" i="1" s="1"/>
  <c r="AE283" i="1" s="1"/>
  <c r="R283" i="1"/>
  <c r="X283" i="1" s="1"/>
  <c r="AD283" i="1" s="1"/>
  <c r="V282" i="1"/>
  <c r="AB282" i="1" s="1"/>
  <c r="AH282" i="1" s="1"/>
  <c r="U282" i="1"/>
  <c r="AA282" i="1" s="1"/>
  <c r="AG282" i="1" s="1"/>
  <c r="T282" i="1"/>
  <c r="Z282" i="1" s="1"/>
  <c r="AF282" i="1" s="1"/>
  <c r="S282" i="1"/>
  <c r="Y282" i="1" s="1"/>
  <c r="AE282" i="1" s="1"/>
  <c r="R282" i="1"/>
  <c r="X282" i="1" s="1"/>
  <c r="AD282" i="1" s="1"/>
  <c r="V281" i="1"/>
  <c r="AB281" i="1" s="1"/>
  <c r="AH281" i="1" s="1"/>
  <c r="U281" i="1"/>
  <c r="AA281" i="1" s="1"/>
  <c r="AG281" i="1" s="1"/>
  <c r="T281" i="1"/>
  <c r="Z281" i="1" s="1"/>
  <c r="AF281" i="1" s="1"/>
  <c r="S281" i="1"/>
  <c r="Y281" i="1" s="1"/>
  <c r="AE281" i="1" s="1"/>
  <c r="R281" i="1"/>
  <c r="X281" i="1" s="1"/>
  <c r="AD281" i="1" s="1"/>
  <c r="V280" i="1"/>
  <c r="AB280" i="1" s="1"/>
  <c r="AH280" i="1" s="1"/>
  <c r="U280" i="1"/>
  <c r="AA280" i="1" s="1"/>
  <c r="AG280" i="1" s="1"/>
  <c r="T280" i="1"/>
  <c r="Z280" i="1" s="1"/>
  <c r="AF280" i="1" s="1"/>
  <c r="S280" i="1"/>
  <c r="Y280" i="1" s="1"/>
  <c r="AE280" i="1" s="1"/>
  <c r="R280" i="1"/>
  <c r="X280" i="1" s="1"/>
  <c r="AD280" i="1" s="1"/>
  <c r="V279" i="1"/>
  <c r="AB279" i="1" s="1"/>
  <c r="AH279" i="1" s="1"/>
  <c r="U279" i="1"/>
  <c r="AA279" i="1" s="1"/>
  <c r="AG279" i="1" s="1"/>
  <c r="T279" i="1"/>
  <c r="Z279" i="1" s="1"/>
  <c r="AF279" i="1" s="1"/>
  <c r="S279" i="1"/>
  <c r="Y279" i="1" s="1"/>
  <c r="AE279" i="1" s="1"/>
  <c r="R279" i="1"/>
  <c r="X279" i="1" s="1"/>
  <c r="AD279" i="1" s="1"/>
  <c r="V278" i="1"/>
  <c r="AB278" i="1" s="1"/>
  <c r="AH278" i="1" s="1"/>
  <c r="U278" i="1"/>
  <c r="AA278" i="1" s="1"/>
  <c r="AG278" i="1" s="1"/>
  <c r="T278" i="1"/>
  <c r="Z278" i="1" s="1"/>
  <c r="AF278" i="1" s="1"/>
  <c r="S278" i="1"/>
  <c r="Y278" i="1" s="1"/>
  <c r="AE278" i="1" s="1"/>
  <c r="R278" i="1"/>
  <c r="X278" i="1" s="1"/>
  <c r="AD278" i="1" s="1"/>
  <c r="V277" i="1"/>
  <c r="AB277" i="1" s="1"/>
  <c r="AH277" i="1" s="1"/>
  <c r="U277" i="1"/>
  <c r="AA277" i="1" s="1"/>
  <c r="AG277" i="1" s="1"/>
  <c r="T277" i="1"/>
  <c r="Z277" i="1" s="1"/>
  <c r="AF277" i="1" s="1"/>
  <c r="S277" i="1"/>
  <c r="Y277" i="1" s="1"/>
  <c r="AE277" i="1" s="1"/>
  <c r="R277" i="1"/>
  <c r="X277" i="1" s="1"/>
  <c r="AD277" i="1" s="1"/>
  <c r="V276" i="1"/>
  <c r="AB276" i="1" s="1"/>
  <c r="AH276" i="1" s="1"/>
  <c r="U276" i="1"/>
  <c r="AA276" i="1" s="1"/>
  <c r="AG276" i="1" s="1"/>
  <c r="T276" i="1"/>
  <c r="Z276" i="1" s="1"/>
  <c r="AF276" i="1" s="1"/>
  <c r="S276" i="1"/>
  <c r="Y276" i="1" s="1"/>
  <c r="AE276" i="1" s="1"/>
  <c r="R276" i="1"/>
  <c r="X276" i="1" s="1"/>
  <c r="AD276" i="1" s="1"/>
  <c r="V275" i="1"/>
  <c r="AB275" i="1" s="1"/>
  <c r="AH275" i="1" s="1"/>
  <c r="U275" i="1"/>
  <c r="AA275" i="1" s="1"/>
  <c r="AG275" i="1" s="1"/>
  <c r="T275" i="1"/>
  <c r="Z275" i="1" s="1"/>
  <c r="AF275" i="1" s="1"/>
  <c r="S275" i="1"/>
  <c r="Y275" i="1" s="1"/>
  <c r="AE275" i="1" s="1"/>
  <c r="R275" i="1"/>
  <c r="X275" i="1" s="1"/>
  <c r="AD275" i="1" s="1"/>
  <c r="V274" i="1"/>
  <c r="AB274" i="1" s="1"/>
  <c r="AH274" i="1" s="1"/>
  <c r="U274" i="1"/>
  <c r="AA274" i="1" s="1"/>
  <c r="AG274" i="1" s="1"/>
  <c r="T274" i="1"/>
  <c r="Z274" i="1" s="1"/>
  <c r="AF274" i="1" s="1"/>
  <c r="S274" i="1"/>
  <c r="Y274" i="1" s="1"/>
  <c r="AE274" i="1" s="1"/>
  <c r="R274" i="1"/>
  <c r="X274" i="1" s="1"/>
  <c r="AD274" i="1" s="1"/>
  <c r="V273" i="1"/>
  <c r="AB273" i="1" s="1"/>
  <c r="AH273" i="1" s="1"/>
  <c r="U273" i="1"/>
  <c r="AA273" i="1" s="1"/>
  <c r="AG273" i="1" s="1"/>
  <c r="T273" i="1"/>
  <c r="Z273" i="1" s="1"/>
  <c r="AF273" i="1" s="1"/>
  <c r="S273" i="1"/>
  <c r="Y273" i="1" s="1"/>
  <c r="AE273" i="1" s="1"/>
  <c r="R273" i="1"/>
  <c r="X273" i="1" s="1"/>
  <c r="AD273" i="1" s="1"/>
  <c r="V272" i="1"/>
  <c r="AB272" i="1" s="1"/>
  <c r="AH272" i="1" s="1"/>
  <c r="U272" i="1"/>
  <c r="AA272" i="1" s="1"/>
  <c r="AG272" i="1" s="1"/>
  <c r="T272" i="1"/>
  <c r="Z272" i="1" s="1"/>
  <c r="AF272" i="1" s="1"/>
  <c r="S272" i="1"/>
  <c r="Y272" i="1" s="1"/>
  <c r="AE272" i="1" s="1"/>
  <c r="R272" i="1"/>
  <c r="X272" i="1" s="1"/>
  <c r="AD272" i="1" s="1"/>
  <c r="V271" i="1"/>
  <c r="AB271" i="1" s="1"/>
  <c r="AH271" i="1" s="1"/>
  <c r="U271" i="1"/>
  <c r="AA271" i="1" s="1"/>
  <c r="AG271" i="1" s="1"/>
  <c r="T271" i="1"/>
  <c r="Z271" i="1" s="1"/>
  <c r="AF271" i="1" s="1"/>
  <c r="S271" i="1"/>
  <c r="Y271" i="1" s="1"/>
  <c r="AE271" i="1" s="1"/>
  <c r="R271" i="1"/>
  <c r="X271" i="1" s="1"/>
  <c r="AD271" i="1" s="1"/>
  <c r="V270" i="1"/>
  <c r="AB270" i="1" s="1"/>
  <c r="AH270" i="1" s="1"/>
  <c r="U270" i="1"/>
  <c r="AA270" i="1" s="1"/>
  <c r="AG270" i="1" s="1"/>
  <c r="T270" i="1"/>
  <c r="Z270" i="1" s="1"/>
  <c r="AF270" i="1" s="1"/>
  <c r="S270" i="1"/>
  <c r="Y270" i="1" s="1"/>
  <c r="AE270" i="1" s="1"/>
  <c r="R270" i="1"/>
  <c r="X270" i="1" s="1"/>
  <c r="AD270" i="1" s="1"/>
  <c r="V269" i="1"/>
  <c r="AB269" i="1" s="1"/>
  <c r="AH269" i="1" s="1"/>
  <c r="U269" i="1"/>
  <c r="AA269" i="1" s="1"/>
  <c r="AG269" i="1" s="1"/>
  <c r="T269" i="1"/>
  <c r="Z269" i="1" s="1"/>
  <c r="AF269" i="1" s="1"/>
  <c r="S269" i="1"/>
  <c r="Y269" i="1" s="1"/>
  <c r="AE269" i="1" s="1"/>
  <c r="R269" i="1"/>
  <c r="X269" i="1" s="1"/>
  <c r="AD269" i="1" s="1"/>
  <c r="V268" i="1"/>
  <c r="AB268" i="1" s="1"/>
  <c r="AH268" i="1" s="1"/>
  <c r="U268" i="1"/>
  <c r="AA268" i="1" s="1"/>
  <c r="AG268" i="1" s="1"/>
  <c r="T268" i="1"/>
  <c r="Z268" i="1" s="1"/>
  <c r="AF268" i="1" s="1"/>
  <c r="S268" i="1"/>
  <c r="Y268" i="1" s="1"/>
  <c r="AE268" i="1" s="1"/>
  <c r="R268" i="1"/>
  <c r="X268" i="1" s="1"/>
  <c r="AD268" i="1" s="1"/>
  <c r="V267" i="1"/>
  <c r="AB267" i="1" s="1"/>
  <c r="AH267" i="1" s="1"/>
  <c r="U267" i="1"/>
  <c r="AA267" i="1" s="1"/>
  <c r="AG267" i="1" s="1"/>
  <c r="T267" i="1"/>
  <c r="Z267" i="1" s="1"/>
  <c r="AF267" i="1" s="1"/>
  <c r="S267" i="1"/>
  <c r="Y267" i="1" s="1"/>
  <c r="AE267" i="1" s="1"/>
  <c r="R267" i="1"/>
  <c r="X267" i="1" s="1"/>
  <c r="AD267" i="1" s="1"/>
  <c r="V266" i="1"/>
  <c r="AB266" i="1" s="1"/>
  <c r="AH266" i="1" s="1"/>
  <c r="U266" i="1"/>
  <c r="AA266" i="1" s="1"/>
  <c r="AG266" i="1" s="1"/>
  <c r="T266" i="1"/>
  <c r="Z266" i="1" s="1"/>
  <c r="AF266" i="1" s="1"/>
  <c r="S266" i="1"/>
  <c r="Y266" i="1" s="1"/>
  <c r="AE266" i="1" s="1"/>
  <c r="R266" i="1"/>
  <c r="X266" i="1" s="1"/>
  <c r="AD266" i="1" s="1"/>
  <c r="V265" i="1"/>
  <c r="AB265" i="1" s="1"/>
  <c r="AH265" i="1" s="1"/>
  <c r="U265" i="1"/>
  <c r="AA265" i="1" s="1"/>
  <c r="AG265" i="1" s="1"/>
  <c r="T265" i="1"/>
  <c r="Z265" i="1" s="1"/>
  <c r="AF265" i="1" s="1"/>
  <c r="S265" i="1"/>
  <c r="Y265" i="1" s="1"/>
  <c r="AE265" i="1" s="1"/>
  <c r="R265" i="1"/>
  <c r="X265" i="1" s="1"/>
  <c r="AD265" i="1" s="1"/>
  <c r="V264" i="1"/>
  <c r="AB264" i="1" s="1"/>
  <c r="AH264" i="1" s="1"/>
  <c r="U264" i="1"/>
  <c r="AA264" i="1" s="1"/>
  <c r="AG264" i="1" s="1"/>
  <c r="T264" i="1"/>
  <c r="Z264" i="1" s="1"/>
  <c r="AF264" i="1" s="1"/>
  <c r="S264" i="1"/>
  <c r="Y264" i="1" s="1"/>
  <c r="AE264" i="1" s="1"/>
  <c r="R264" i="1"/>
  <c r="X264" i="1" s="1"/>
  <c r="AD264" i="1" s="1"/>
  <c r="V263" i="1"/>
  <c r="AB263" i="1" s="1"/>
  <c r="AH263" i="1" s="1"/>
  <c r="U263" i="1"/>
  <c r="AA263" i="1" s="1"/>
  <c r="AG263" i="1" s="1"/>
  <c r="T263" i="1"/>
  <c r="Z263" i="1" s="1"/>
  <c r="AF263" i="1" s="1"/>
  <c r="S263" i="1"/>
  <c r="Y263" i="1" s="1"/>
  <c r="AE263" i="1" s="1"/>
  <c r="R263" i="1"/>
  <c r="X263" i="1" s="1"/>
  <c r="AD263" i="1" s="1"/>
  <c r="V262" i="1"/>
  <c r="AB262" i="1" s="1"/>
  <c r="AH262" i="1" s="1"/>
  <c r="U262" i="1"/>
  <c r="AA262" i="1" s="1"/>
  <c r="AG262" i="1" s="1"/>
  <c r="T262" i="1"/>
  <c r="Z262" i="1" s="1"/>
  <c r="AF262" i="1" s="1"/>
  <c r="S262" i="1"/>
  <c r="Y262" i="1" s="1"/>
  <c r="AE262" i="1" s="1"/>
  <c r="R262" i="1"/>
  <c r="X262" i="1" s="1"/>
  <c r="AD262" i="1" s="1"/>
  <c r="V261" i="1"/>
  <c r="AB261" i="1" s="1"/>
  <c r="AH261" i="1" s="1"/>
  <c r="U261" i="1"/>
  <c r="AA261" i="1" s="1"/>
  <c r="AG261" i="1" s="1"/>
  <c r="T261" i="1"/>
  <c r="Z261" i="1" s="1"/>
  <c r="AF261" i="1" s="1"/>
  <c r="S261" i="1"/>
  <c r="Y261" i="1" s="1"/>
  <c r="AE261" i="1" s="1"/>
  <c r="R261" i="1"/>
  <c r="X261" i="1" s="1"/>
  <c r="AD261" i="1" s="1"/>
  <c r="V260" i="1"/>
  <c r="AB260" i="1" s="1"/>
  <c r="AH260" i="1" s="1"/>
  <c r="U260" i="1"/>
  <c r="AA260" i="1" s="1"/>
  <c r="AG260" i="1" s="1"/>
  <c r="T260" i="1"/>
  <c r="Z260" i="1" s="1"/>
  <c r="AF260" i="1" s="1"/>
  <c r="S260" i="1"/>
  <c r="Y260" i="1" s="1"/>
  <c r="AE260" i="1" s="1"/>
  <c r="R260" i="1"/>
  <c r="X260" i="1" s="1"/>
  <c r="AD260" i="1" s="1"/>
  <c r="V259" i="1"/>
  <c r="AB259" i="1" s="1"/>
  <c r="AH259" i="1" s="1"/>
  <c r="U259" i="1"/>
  <c r="AA259" i="1" s="1"/>
  <c r="AG259" i="1" s="1"/>
  <c r="T259" i="1"/>
  <c r="Z259" i="1" s="1"/>
  <c r="AF259" i="1" s="1"/>
  <c r="S259" i="1"/>
  <c r="Y259" i="1" s="1"/>
  <c r="AE259" i="1" s="1"/>
  <c r="R259" i="1"/>
  <c r="X259" i="1" s="1"/>
  <c r="AD259" i="1" s="1"/>
  <c r="V258" i="1"/>
  <c r="AB258" i="1" s="1"/>
  <c r="AH258" i="1" s="1"/>
  <c r="U258" i="1"/>
  <c r="AA258" i="1" s="1"/>
  <c r="AG258" i="1" s="1"/>
  <c r="T258" i="1"/>
  <c r="Z258" i="1" s="1"/>
  <c r="AF258" i="1" s="1"/>
  <c r="S258" i="1"/>
  <c r="Y258" i="1" s="1"/>
  <c r="AE258" i="1" s="1"/>
  <c r="R258" i="1"/>
  <c r="X258" i="1" s="1"/>
  <c r="AD258" i="1" s="1"/>
  <c r="V257" i="1"/>
  <c r="AB257" i="1" s="1"/>
  <c r="AH257" i="1" s="1"/>
  <c r="U257" i="1"/>
  <c r="AA257" i="1" s="1"/>
  <c r="AG257" i="1" s="1"/>
  <c r="T257" i="1"/>
  <c r="Z257" i="1" s="1"/>
  <c r="AF257" i="1" s="1"/>
  <c r="S257" i="1"/>
  <c r="Y257" i="1" s="1"/>
  <c r="AE257" i="1" s="1"/>
  <c r="R257" i="1"/>
  <c r="X257" i="1" s="1"/>
  <c r="AD257" i="1" s="1"/>
  <c r="V256" i="1"/>
  <c r="AB256" i="1" s="1"/>
  <c r="AH256" i="1" s="1"/>
  <c r="U256" i="1"/>
  <c r="AA256" i="1" s="1"/>
  <c r="AG256" i="1" s="1"/>
  <c r="T256" i="1"/>
  <c r="Z256" i="1" s="1"/>
  <c r="AF256" i="1" s="1"/>
  <c r="S256" i="1"/>
  <c r="Y256" i="1" s="1"/>
  <c r="AE256" i="1" s="1"/>
  <c r="R256" i="1"/>
  <c r="X256" i="1" s="1"/>
  <c r="AD256" i="1" s="1"/>
  <c r="V255" i="1"/>
  <c r="AB255" i="1" s="1"/>
  <c r="AH255" i="1" s="1"/>
  <c r="U255" i="1"/>
  <c r="AA255" i="1" s="1"/>
  <c r="AG255" i="1" s="1"/>
  <c r="T255" i="1"/>
  <c r="Z255" i="1" s="1"/>
  <c r="AF255" i="1" s="1"/>
  <c r="S255" i="1"/>
  <c r="Y255" i="1" s="1"/>
  <c r="AE255" i="1" s="1"/>
  <c r="R255" i="1"/>
  <c r="X255" i="1" s="1"/>
  <c r="AD255" i="1" s="1"/>
  <c r="V254" i="1"/>
  <c r="AB254" i="1" s="1"/>
  <c r="AH254" i="1" s="1"/>
  <c r="U254" i="1"/>
  <c r="AA254" i="1" s="1"/>
  <c r="AG254" i="1" s="1"/>
  <c r="T254" i="1"/>
  <c r="Z254" i="1" s="1"/>
  <c r="AF254" i="1" s="1"/>
  <c r="S254" i="1"/>
  <c r="Y254" i="1" s="1"/>
  <c r="AE254" i="1" s="1"/>
  <c r="R254" i="1"/>
  <c r="X254" i="1" s="1"/>
  <c r="AD254" i="1" s="1"/>
  <c r="V253" i="1"/>
  <c r="AB253" i="1" s="1"/>
  <c r="AH253" i="1" s="1"/>
  <c r="U253" i="1"/>
  <c r="AA253" i="1" s="1"/>
  <c r="AG253" i="1" s="1"/>
  <c r="T253" i="1"/>
  <c r="Z253" i="1" s="1"/>
  <c r="AF253" i="1" s="1"/>
  <c r="S253" i="1"/>
  <c r="Y253" i="1" s="1"/>
  <c r="AE253" i="1" s="1"/>
  <c r="R253" i="1"/>
  <c r="X253" i="1" s="1"/>
  <c r="AD253" i="1" s="1"/>
  <c r="V252" i="1"/>
  <c r="AB252" i="1" s="1"/>
  <c r="AH252" i="1" s="1"/>
  <c r="U252" i="1"/>
  <c r="AA252" i="1" s="1"/>
  <c r="AG252" i="1" s="1"/>
  <c r="T252" i="1"/>
  <c r="Z252" i="1" s="1"/>
  <c r="AF252" i="1" s="1"/>
  <c r="S252" i="1"/>
  <c r="Y252" i="1" s="1"/>
  <c r="AE252" i="1" s="1"/>
  <c r="R252" i="1"/>
  <c r="X252" i="1" s="1"/>
  <c r="AD252" i="1" s="1"/>
  <c r="V251" i="1"/>
  <c r="AB251" i="1" s="1"/>
  <c r="AH251" i="1" s="1"/>
  <c r="U251" i="1"/>
  <c r="AA251" i="1" s="1"/>
  <c r="AG251" i="1" s="1"/>
  <c r="T251" i="1"/>
  <c r="Z251" i="1" s="1"/>
  <c r="AF251" i="1" s="1"/>
  <c r="S251" i="1"/>
  <c r="Y251" i="1" s="1"/>
  <c r="AE251" i="1" s="1"/>
  <c r="R251" i="1"/>
  <c r="X251" i="1" s="1"/>
  <c r="AD251" i="1" s="1"/>
  <c r="V250" i="1"/>
  <c r="AB250" i="1" s="1"/>
  <c r="AH250" i="1" s="1"/>
  <c r="U250" i="1"/>
  <c r="AA250" i="1" s="1"/>
  <c r="AG250" i="1" s="1"/>
  <c r="T250" i="1"/>
  <c r="Z250" i="1" s="1"/>
  <c r="AF250" i="1" s="1"/>
  <c r="S250" i="1"/>
  <c r="Y250" i="1" s="1"/>
  <c r="AE250" i="1" s="1"/>
  <c r="R250" i="1"/>
  <c r="X250" i="1" s="1"/>
  <c r="AD250" i="1" s="1"/>
  <c r="V249" i="1"/>
  <c r="AB249" i="1" s="1"/>
  <c r="AH249" i="1" s="1"/>
  <c r="U249" i="1"/>
  <c r="AA249" i="1" s="1"/>
  <c r="AG249" i="1" s="1"/>
  <c r="T249" i="1"/>
  <c r="Z249" i="1" s="1"/>
  <c r="AF249" i="1" s="1"/>
  <c r="S249" i="1"/>
  <c r="Y249" i="1" s="1"/>
  <c r="AE249" i="1" s="1"/>
  <c r="R249" i="1"/>
  <c r="X249" i="1" s="1"/>
  <c r="AD249" i="1" s="1"/>
  <c r="V248" i="1"/>
  <c r="AB248" i="1" s="1"/>
  <c r="AH248" i="1" s="1"/>
  <c r="U248" i="1"/>
  <c r="AA248" i="1" s="1"/>
  <c r="AG248" i="1" s="1"/>
  <c r="T248" i="1"/>
  <c r="Z248" i="1" s="1"/>
  <c r="AF248" i="1" s="1"/>
  <c r="S248" i="1"/>
  <c r="Y248" i="1" s="1"/>
  <c r="AE248" i="1" s="1"/>
  <c r="R248" i="1"/>
  <c r="X248" i="1" s="1"/>
  <c r="AD248" i="1" s="1"/>
  <c r="V247" i="1"/>
  <c r="AB247" i="1" s="1"/>
  <c r="AH247" i="1" s="1"/>
  <c r="U247" i="1"/>
  <c r="AA247" i="1" s="1"/>
  <c r="AG247" i="1" s="1"/>
  <c r="T247" i="1"/>
  <c r="Z247" i="1" s="1"/>
  <c r="AF247" i="1" s="1"/>
  <c r="S247" i="1"/>
  <c r="Y247" i="1" s="1"/>
  <c r="AE247" i="1" s="1"/>
  <c r="R247" i="1"/>
  <c r="X247" i="1" s="1"/>
  <c r="AD247" i="1" s="1"/>
  <c r="V246" i="1"/>
  <c r="AB246" i="1" s="1"/>
  <c r="AH246" i="1" s="1"/>
  <c r="U246" i="1"/>
  <c r="AA246" i="1" s="1"/>
  <c r="AG246" i="1" s="1"/>
  <c r="T246" i="1"/>
  <c r="Z246" i="1" s="1"/>
  <c r="AF246" i="1" s="1"/>
  <c r="S246" i="1"/>
  <c r="Y246" i="1" s="1"/>
  <c r="AE246" i="1" s="1"/>
  <c r="R246" i="1"/>
  <c r="X246" i="1" s="1"/>
  <c r="AD246" i="1" s="1"/>
  <c r="V245" i="1"/>
  <c r="AB245" i="1" s="1"/>
  <c r="AH245" i="1" s="1"/>
  <c r="U245" i="1"/>
  <c r="AA245" i="1" s="1"/>
  <c r="AG245" i="1" s="1"/>
  <c r="T245" i="1"/>
  <c r="Z245" i="1" s="1"/>
  <c r="AF245" i="1" s="1"/>
  <c r="S245" i="1"/>
  <c r="Y245" i="1" s="1"/>
  <c r="AE245" i="1" s="1"/>
  <c r="R245" i="1"/>
  <c r="X245" i="1" s="1"/>
  <c r="AD245" i="1" s="1"/>
  <c r="V244" i="1"/>
  <c r="AB244" i="1" s="1"/>
  <c r="AH244" i="1" s="1"/>
  <c r="U244" i="1"/>
  <c r="AA244" i="1" s="1"/>
  <c r="AG244" i="1" s="1"/>
  <c r="T244" i="1"/>
  <c r="Z244" i="1" s="1"/>
  <c r="AF244" i="1" s="1"/>
  <c r="S244" i="1"/>
  <c r="Y244" i="1" s="1"/>
  <c r="AE244" i="1" s="1"/>
  <c r="R244" i="1"/>
  <c r="X244" i="1" s="1"/>
  <c r="AD244" i="1" s="1"/>
  <c r="V243" i="1"/>
  <c r="AB243" i="1" s="1"/>
  <c r="AH243" i="1" s="1"/>
  <c r="U243" i="1"/>
  <c r="AA243" i="1" s="1"/>
  <c r="AG243" i="1" s="1"/>
  <c r="T243" i="1"/>
  <c r="Z243" i="1" s="1"/>
  <c r="AF243" i="1" s="1"/>
  <c r="S243" i="1"/>
  <c r="Y243" i="1" s="1"/>
  <c r="AE243" i="1" s="1"/>
  <c r="R243" i="1"/>
  <c r="X243" i="1" s="1"/>
  <c r="AD243" i="1" s="1"/>
  <c r="V242" i="1"/>
  <c r="AB242" i="1" s="1"/>
  <c r="AH242" i="1" s="1"/>
  <c r="U242" i="1"/>
  <c r="AA242" i="1" s="1"/>
  <c r="AG242" i="1" s="1"/>
  <c r="T242" i="1"/>
  <c r="Z242" i="1" s="1"/>
  <c r="AF242" i="1" s="1"/>
  <c r="S242" i="1"/>
  <c r="Y242" i="1" s="1"/>
  <c r="AE242" i="1" s="1"/>
  <c r="R242" i="1"/>
  <c r="X242" i="1" s="1"/>
  <c r="AD242" i="1" s="1"/>
  <c r="V241" i="1"/>
  <c r="AB241" i="1" s="1"/>
  <c r="AH241" i="1" s="1"/>
  <c r="U241" i="1"/>
  <c r="AA241" i="1" s="1"/>
  <c r="AG241" i="1" s="1"/>
  <c r="T241" i="1"/>
  <c r="Z241" i="1" s="1"/>
  <c r="AF241" i="1" s="1"/>
  <c r="S241" i="1"/>
  <c r="Y241" i="1" s="1"/>
  <c r="AE241" i="1" s="1"/>
  <c r="R241" i="1"/>
  <c r="X241" i="1" s="1"/>
  <c r="AD241" i="1" s="1"/>
  <c r="V240" i="1"/>
  <c r="AB240" i="1" s="1"/>
  <c r="AH240" i="1" s="1"/>
  <c r="U240" i="1"/>
  <c r="AA240" i="1" s="1"/>
  <c r="AG240" i="1" s="1"/>
  <c r="T240" i="1"/>
  <c r="Z240" i="1" s="1"/>
  <c r="AF240" i="1" s="1"/>
  <c r="S240" i="1"/>
  <c r="Y240" i="1" s="1"/>
  <c r="AE240" i="1" s="1"/>
  <c r="R240" i="1"/>
  <c r="X240" i="1" s="1"/>
  <c r="AD240" i="1" s="1"/>
  <c r="V239" i="1"/>
  <c r="AB239" i="1" s="1"/>
  <c r="AH239" i="1" s="1"/>
  <c r="U239" i="1"/>
  <c r="AA239" i="1" s="1"/>
  <c r="AG239" i="1" s="1"/>
  <c r="T239" i="1"/>
  <c r="Z239" i="1" s="1"/>
  <c r="AF239" i="1" s="1"/>
  <c r="S239" i="1"/>
  <c r="Y239" i="1" s="1"/>
  <c r="AE239" i="1" s="1"/>
  <c r="R239" i="1"/>
  <c r="X239" i="1" s="1"/>
  <c r="AD239" i="1" s="1"/>
  <c r="V238" i="1"/>
  <c r="AB238" i="1" s="1"/>
  <c r="AH238" i="1" s="1"/>
  <c r="U238" i="1"/>
  <c r="AA238" i="1" s="1"/>
  <c r="AG238" i="1" s="1"/>
  <c r="T238" i="1"/>
  <c r="Z238" i="1" s="1"/>
  <c r="AF238" i="1" s="1"/>
  <c r="S238" i="1"/>
  <c r="Y238" i="1" s="1"/>
  <c r="AE238" i="1" s="1"/>
  <c r="R238" i="1"/>
  <c r="X238" i="1" s="1"/>
  <c r="AD238" i="1" s="1"/>
  <c r="V237" i="1"/>
  <c r="AB237" i="1" s="1"/>
  <c r="AH237" i="1" s="1"/>
  <c r="U237" i="1"/>
  <c r="AA237" i="1" s="1"/>
  <c r="AG237" i="1" s="1"/>
  <c r="T237" i="1"/>
  <c r="Z237" i="1" s="1"/>
  <c r="AF237" i="1" s="1"/>
  <c r="S237" i="1"/>
  <c r="Y237" i="1" s="1"/>
  <c r="AE237" i="1" s="1"/>
  <c r="R237" i="1"/>
  <c r="X237" i="1" s="1"/>
  <c r="AD237" i="1" s="1"/>
  <c r="V236" i="1"/>
  <c r="AB236" i="1" s="1"/>
  <c r="AH236" i="1" s="1"/>
  <c r="U236" i="1"/>
  <c r="AA236" i="1" s="1"/>
  <c r="AG236" i="1" s="1"/>
  <c r="T236" i="1"/>
  <c r="Z236" i="1" s="1"/>
  <c r="AF236" i="1" s="1"/>
  <c r="S236" i="1"/>
  <c r="Y236" i="1" s="1"/>
  <c r="AE236" i="1" s="1"/>
  <c r="R236" i="1"/>
  <c r="X236" i="1" s="1"/>
  <c r="AD236" i="1" s="1"/>
  <c r="V235" i="1"/>
  <c r="AB235" i="1" s="1"/>
  <c r="AH235" i="1" s="1"/>
  <c r="U235" i="1"/>
  <c r="AA235" i="1" s="1"/>
  <c r="AG235" i="1" s="1"/>
  <c r="T235" i="1"/>
  <c r="Z235" i="1" s="1"/>
  <c r="AF235" i="1" s="1"/>
  <c r="S235" i="1"/>
  <c r="Y235" i="1" s="1"/>
  <c r="AE235" i="1" s="1"/>
  <c r="R235" i="1"/>
  <c r="X235" i="1" s="1"/>
  <c r="AD235" i="1" s="1"/>
  <c r="V234" i="1"/>
  <c r="AB234" i="1" s="1"/>
  <c r="AH234" i="1" s="1"/>
  <c r="U234" i="1"/>
  <c r="AA234" i="1" s="1"/>
  <c r="AG234" i="1" s="1"/>
  <c r="T234" i="1"/>
  <c r="Z234" i="1" s="1"/>
  <c r="AF234" i="1" s="1"/>
  <c r="S234" i="1"/>
  <c r="Y234" i="1" s="1"/>
  <c r="AE234" i="1" s="1"/>
  <c r="R234" i="1"/>
  <c r="X234" i="1" s="1"/>
  <c r="AD234" i="1" s="1"/>
  <c r="V233" i="1"/>
  <c r="AB233" i="1" s="1"/>
  <c r="AH233" i="1" s="1"/>
  <c r="U233" i="1"/>
  <c r="AA233" i="1" s="1"/>
  <c r="AG233" i="1" s="1"/>
  <c r="T233" i="1"/>
  <c r="Z233" i="1" s="1"/>
  <c r="AF233" i="1" s="1"/>
  <c r="S233" i="1"/>
  <c r="Y233" i="1" s="1"/>
  <c r="AE233" i="1" s="1"/>
  <c r="R233" i="1"/>
  <c r="X233" i="1" s="1"/>
  <c r="AD233" i="1" s="1"/>
  <c r="V232" i="1"/>
  <c r="AB232" i="1" s="1"/>
  <c r="AH232" i="1" s="1"/>
  <c r="U232" i="1"/>
  <c r="AA232" i="1" s="1"/>
  <c r="AG232" i="1" s="1"/>
  <c r="T232" i="1"/>
  <c r="Z232" i="1" s="1"/>
  <c r="AF232" i="1" s="1"/>
  <c r="S232" i="1"/>
  <c r="Y232" i="1" s="1"/>
  <c r="AE232" i="1" s="1"/>
  <c r="R232" i="1"/>
  <c r="X232" i="1" s="1"/>
  <c r="AD232" i="1" s="1"/>
  <c r="V231" i="1"/>
  <c r="AB231" i="1" s="1"/>
  <c r="AH231" i="1" s="1"/>
  <c r="U231" i="1"/>
  <c r="AA231" i="1" s="1"/>
  <c r="AG231" i="1" s="1"/>
  <c r="T231" i="1"/>
  <c r="Z231" i="1" s="1"/>
  <c r="AF231" i="1" s="1"/>
  <c r="S231" i="1"/>
  <c r="Y231" i="1" s="1"/>
  <c r="AE231" i="1" s="1"/>
  <c r="R231" i="1"/>
  <c r="X231" i="1" s="1"/>
  <c r="AD231" i="1" s="1"/>
  <c r="V230" i="1"/>
  <c r="AB230" i="1" s="1"/>
  <c r="AH230" i="1" s="1"/>
  <c r="U230" i="1"/>
  <c r="AA230" i="1" s="1"/>
  <c r="AG230" i="1" s="1"/>
  <c r="T230" i="1"/>
  <c r="Z230" i="1" s="1"/>
  <c r="AF230" i="1" s="1"/>
  <c r="S230" i="1"/>
  <c r="Y230" i="1" s="1"/>
  <c r="AE230" i="1" s="1"/>
  <c r="R230" i="1"/>
  <c r="X230" i="1" s="1"/>
  <c r="AD230" i="1" s="1"/>
  <c r="V229" i="1"/>
  <c r="AB229" i="1" s="1"/>
  <c r="AH229" i="1" s="1"/>
  <c r="U229" i="1"/>
  <c r="AA229" i="1" s="1"/>
  <c r="AG229" i="1" s="1"/>
  <c r="T229" i="1"/>
  <c r="Z229" i="1" s="1"/>
  <c r="AF229" i="1" s="1"/>
  <c r="S229" i="1"/>
  <c r="Y229" i="1" s="1"/>
  <c r="AE229" i="1" s="1"/>
  <c r="R229" i="1"/>
  <c r="X229" i="1" s="1"/>
  <c r="AD229" i="1" s="1"/>
  <c r="V228" i="1"/>
  <c r="AB228" i="1" s="1"/>
  <c r="AH228" i="1" s="1"/>
  <c r="U228" i="1"/>
  <c r="AA228" i="1" s="1"/>
  <c r="AG228" i="1" s="1"/>
  <c r="T228" i="1"/>
  <c r="Z228" i="1" s="1"/>
  <c r="AF228" i="1" s="1"/>
  <c r="S228" i="1"/>
  <c r="Y228" i="1" s="1"/>
  <c r="AE228" i="1" s="1"/>
  <c r="R228" i="1"/>
  <c r="X228" i="1" s="1"/>
  <c r="AD228" i="1" s="1"/>
  <c r="V227" i="1"/>
  <c r="AB227" i="1" s="1"/>
  <c r="AH227" i="1" s="1"/>
  <c r="U227" i="1"/>
  <c r="AA227" i="1" s="1"/>
  <c r="AG227" i="1" s="1"/>
  <c r="T227" i="1"/>
  <c r="Z227" i="1" s="1"/>
  <c r="AF227" i="1" s="1"/>
  <c r="S227" i="1"/>
  <c r="Y227" i="1" s="1"/>
  <c r="AE227" i="1" s="1"/>
  <c r="R227" i="1"/>
  <c r="X227" i="1" s="1"/>
  <c r="AD227" i="1" s="1"/>
  <c r="V226" i="1"/>
  <c r="AB226" i="1" s="1"/>
  <c r="AH226" i="1" s="1"/>
  <c r="U226" i="1"/>
  <c r="AA226" i="1" s="1"/>
  <c r="AG226" i="1" s="1"/>
  <c r="T226" i="1"/>
  <c r="Z226" i="1" s="1"/>
  <c r="AF226" i="1" s="1"/>
  <c r="S226" i="1"/>
  <c r="Y226" i="1" s="1"/>
  <c r="AE226" i="1" s="1"/>
  <c r="R226" i="1"/>
  <c r="X226" i="1" s="1"/>
  <c r="AD226" i="1" s="1"/>
  <c r="V225" i="1"/>
  <c r="AB225" i="1" s="1"/>
  <c r="AH225" i="1" s="1"/>
  <c r="U225" i="1"/>
  <c r="AA225" i="1" s="1"/>
  <c r="AG225" i="1" s="1"/>
  <c r="T225" i="1"/>
  <c r="Z225" i="1" s="1"/>
  <c r="AF225" i="1" s="1"/>
  <c r="S225" i="1"/>
  <c r="Y225" i="1" s="1"/>
  <c r="AE225" i="1" s="1"/>
  <c r="R225" i="1"/>
  <c r="X225" i="1" s="1"/>
  <c r="AD225" i="1" s="1"/>
  <c r="V224" i="1"/>
  <c r="AB224" i="1" s="1"/>
  <c r="AH224" i="1" s="1"/>
  <c r="U224" i="1"/>
  <c r="AA224" i="1" s="1"/>
  <c r="AG224" i="1" s="1"/>
  <c r="T224" i="1"/>
  <c r="Z224" i="1" s="1"/>
  <c r="AF224" i="1" s="1"/>
  <c r="S224" i="1"/>
  <c r="Y224" i="1" s="1"/>
  <c r="AE224" i="1" s="1"/>
  <c r="R224" i="1"/>
  <c r="X224" i="1" s="1"/>
  <c r="AD224" i="1" s="1"/>
  <c r="V223" i="1"/>
  <c r="AB223" i="1" s="1"/>
  <c r="AH223" i="1" s="1"/>
  <c r="U223" i="1"/>
  <c r="AA223" i="1" s="1"/>
  <c r="AG223" i="1" s="1"/>
  <c r="T223" i="1"/>
  <c r="Z223" i="1" s="1"/>
  <c r="AF223" i="1" s="1"/>
  <c r="S223" i="1"/>
  <c r="Y223" i="1" s="1"/>
  <c r="AE223" i="1" s="1"/>
  <c r="R223" i="1"/>
  <c r="X223" i="1" s="1"/>
  <c r="AD223" i="1" s="1"/>
  <c r="V222" i="1"/>
  <c r="AB222" i="1" s="1"/>
  <c r="AH222" i="1" s="1"/>
  <c r="U222" i="1"/>
  <c r="AA222" i="1" s="1"/>
  <c r="AG222" i="1" s="1"/>
  <c r="T222" i="1"/>
  <c r="Z222" i="1" s="1"/>
  <c r="AF222" i="1" s="1"/>
  <c r="S222" i="1"/>
  <c r="Y222" i="1" s="1"/>
  <c r="AE222" i="1" s="1"/>
  <c r="R222" i="1"/>
  <c r="X222" i="1" s="1"/>
  <c r="AD222" i="1" s="1"/>
  <c r="V221" i="1"/>
  <c r="AB221" i="1" s="1"/>
  <c r="AH221" i="1" s="1"/>
  <c r="U221" i="1"/>
  <c r="AA221" i="1" s="1"/>
  <c r="AG221" i="1" s="1"/>
  <c r="T221" i="1"/>
  <c r="Z221" i="1" s="1"/>
  <c r="AF221" i="1" s="1"/>
  <c r="S221" i="1"/>
  <c r="Y221" i="1" s="1"/>
  <c r="AE221" i="1" s="1"/>
  <c r="R221" i="1"/>
  <c r="X221" i="1" s="1"/>
  <c r="AD221" i="1" s="1"/>
  <c r="V220" i="1"/>
  <c r="AB220" i="1" s="1"/>
  <c r="AH220" i="1" s="1"/>
  <c r="U220" i="1"/>
  <c r="AA220" i="1" s="1"/>
  <c r="AG220" i="1" s="1"/>
  <c r="T220" i="1"/>
  <c r="Z220" i="1" s="1"/>
  <c r="AF220" i="1" s="1"/>
  <c r="S220" i="1"/>
  <c r="Y220" i="1" s="1"/>
  <c r="AE220" i="1" s="1"/>
  <c r="R220" i="1"/>
  <c r="X220" i="1" s="1"/>
  <c r="AD220" i="1" s="1"/>
  <c r="V219" i="1"/>
  <c r="AB219" i="1" s="1"/>
  <c r="AH219" i="1" s="1"/>
  <c r="U219" i="1"/>
  <c r="AA219" i="1" s="1"/>
  <c r="AG219" i="1" s="1"/>
  <c r="T219" i="1"/>
  <c r="Z219" i="1" s="1"/>
  <c r="AF219" i="1" s="1"/>
  <c r="S219" i="1"/>
  <c r="Y219" i="1" s="1"/>
  <c r="AE219" i="1" s="1"/>
  <c r="R219" i="1"/>
  <c r="X219" i="1" s="1"/>
  <c r="AD219" i="1" s="1"/>
  <c r="V218" i="1"/>
  <c r="AB218" i="1" s="1"/>
  <c r="AH218" i="1" s="1"/>
  <c r="U218" i="1"/>
  <c r="AA218" i="1" s="1"/>
  <c r="AG218" i="1" s="1"/>
  <c r="T218" i="1"/>
  <c r="Z218" i="1" s="1"/>
  <c r="AF218" i="1" s="1"/>
  <c r="S218" i="1"/>
  <c r="Y218" i="1" s="1"/>
  <c r="AE218" i="1" s="1"/>
  <c r="R218" i="1"/>
  <c r="X218" i="1" s="1"/>
  <c r="AD218" i="1" s="1"/>
  <c r="V217" i="1"/>
  <c r="AB217" i="1" s="1"/>
  <c r="AH217" i="1" s="1"/>
  <c r="U217" i="1"/>
  <c r="AA217" i="1" s="1"/>
  <c r="AG217" i="1" s="1"/>
  <c r="T217" i="1"/>
  <c r="Z217" i="1" s="1"/>
  <c r="AF217" i="1" s="1"/>
  <c r="S217" i="1"/>
  <c r="Y217" i="1" s="1"/>
  <c r="AE217" i="1" s="1"/>
  <c r="R217" i="1"/>
  <c r="X217" i="1" s="1"/>
  <c r="AD217" i="1" s="1"/>
  <c r="V216" i="1"/>
  <c r="AB216" i="1" s="1"/>
  <c r="AH216" i="1" s="1"/>
  <c r="U216" i="1"/>
  <c r="AA216" i="1" s="1"/>
  <c r="AG216" i="1" s="1"/>
  <c r="T216" i="1"/>
  <c r="Z216" i="1" s="1"/>
  <c r="AF216" i="1" s="1"/>
  <c r="S216" i="1"/>
  <c r="Y216" i="1" s="1"/>
  <c r="AE216" i="1" s="1"/>
  <c r="R216" i="1"/>
  <c r="X216" i="1" s="1"/>
  <c r="AD216" i="1" s="1"/>
  <c r="V215" i="1"/>
  <c r="AB215" i="1" s="1"/>
  <c r="AH215" i="1" s="1"/>
  <c r="U215" i="1"/>
  <c r="AA215" i="1" s="1"/>
  <c r="AG215" i="1" s="1"/>
  <c r="T215" i="1"/>
  <c r="Z215" i="1" s="1"/>
  <c r="AF215" i="1" s="1"/>
  <c r="S215" i="1"/>
  <c r="Y215" i="1" s="1"/>
  <c r="AE215" i="1" s="1"/>
  <c r="R215" i="1"/>
  <c r="X215" i="1" s="1"/>
  <c r="AD215" i="1" s="1"/>
  <c r="V214" i="1"/>
  <c r="AB214" i="1" s="1"/>
  <c r="AH214" i="1" s="1"/>
  <c r="U214" i="1"/>
  <c r="AA214" i="1" s="1"/>
  <c r="AG214" i="1" s="1"/>
  <c r="T214" i="1"/>
  <c r="Z214" i="1" s="1"/>
  <c r="AF214" i="1" s="1"/>
  <c r="S214" i="1"/>
  <c r="Y214" i="1" s="1"/>
  <c r="AE214" i="1" s="1"/>
  <c r="R214" i="1"/>
  <c r="X214" i="1" s="1"/>
  <c r="AD214" i="1" s="1"/>
  <c r="V213" i="1"/>
  <c r="AB213" i="1" s="1"/>
  <c r="AH213" i="1" s="1"/>
  <c r="U213" i="1"/>
  <c r="AA213" i="1" s="1"/>
  <c r="AG213" i="1" s="1"/>
  <c r="T213" i="1"/>
  <c r="Z213" i="1" s="1"/>
  <c r="AF213" i="1" s="1"/>
  <c r="S213" i="1"/>
  <c r="Y213" i="1" s="1"/>
  <c r="AE213" i="1" s="1"/>
  <c r="R213" i="1"/>
  <c r="X213" i="1" s="1"/>
  <c r="AD213" i="1" s="1"/>
  <c r="V212" i="1"/>
  <c r="AB212" i="1" s="1"/>
  <c r="AH212" i="1" s="1"/>
  <c r="U212" i="1"/>
  <c r="AA212" i="1" s="1"/>
  <c r="AG212" i="1" s="1"/>
  <c r="T212" i="1"/>
  <c r="Z212" i="1" s="1"/>
  <c r="AF212" i="1" s="1"/>
  <c r="S212" i="1"/>
  <c r="Y212" i="1" s="1"/>
  <c r="AE212" i="1" s="1"/>
  <c r="R212" i="1"/>
  <c r="X212" i="1" s="1"/>
  <c r="AD212" i="1" s="1"/>
  <c r="V211" i="1"/>
  <c r="AB211" i="1" s="1"/>
  <c r="AH211" i="1" s="1"/>
  <c r="U211" i="1"/>
  <c r="AA211" i="1" s="1"/>
  <c r="AG211" i="1" s="1"/>
  <c r="T211" i="1"/>
  <c r="Z211" i="1" s="1"/>
  <c r="AF211" i="1" s="1"/>
  <c r="S211" i="1"/>
  <c r="Y211" i="1" s="1"/>
  <c r="AE211" i="1" s="1"/>
  <c r="R211" i="1"/>
  <c r="X211" i="1" s="1"/>
  <c r="AD211" i="1" s="1"/>
  <c r="V210" i="1"/>
  <c r="AB210" i="1" s="1"/>
  <c r="AH210" i="1" s="1"/>
  <c r="U210" i="1"/>
  <c r="AA210" i="1" s="1"/>
  <c r="AG210" i="1" s="1"/>
  <c r="T210" i="1"/>
  <c r="Z210" i="1" s="1"/>
  <c r="AF210" i="1" s="1"/>
  <c r="S210" i="1"/>
  <c r="Y210" i="1" s="1"/>
  <c r="AE210" i="1" s="1"/>
  <c r="R210" i="1"/>
  <c r="X210" i="1" s="1"/>
  <c r="AD210" i="1" s="1"/>
  <c r="V209" i="1"/>
  <c r="AB209" i="1" s="1"/>
  <c r="AH209" i="1" s="1"/>
  <c r="U209" i="1"/>
  <c r="AA209" i="1" s="1"/>
  <c r="AG209" i="1" s="1"/>
  <c r="T209" i="1"/>
  <c r="Z209" i="1" s="1"/>
  <c r="AF209" i="1" s="1"/>
  <c r="S209" i="1"/>
  <c r="Y209" i="1" s="1"/>
  <c r="AE209" i="1" s="1"/>
  <c r="R209" i="1"/>
  <c r="X209" i="1" s="1"/>
  <c r="AD209" i="1" s="1"/>
  <c r="V208" i="1"/>
  <c r="AB208" i="1" s="1"/>
  <c r="AH208" i="1" s="1"/>
  <c r="U208" i="1"/>
  <c r="AA208" i="1" s="1"/>
  <c r="AG208" i="1" s="1"/>
  <c r="T208" i="1"/>
  <c r="Z208" i="1" s="1"/>
  <c r="AF208" i="1" s="1"/>
  <c r="S208" i="1"/>
  <c r="Y208" i="1" s="1"/>
  <c r="AE208" i="1" s="1"/>
  <c r="R208" i="1"/>
  <c r="X208" i="1" s="1"/>
  <c r="AD208" i="1" s="1"/>
  <c r="V207" i="1"/>
  <c r="AB207" i="1" s="1"/>
  <c r="AH207" i="1" s="1"/>
  <c r="U207" i="1"/>
  <c r="AA207" i="1" s="1"/>
  <c r="AG207" i="1" s="1"/>
  <c r="T207" i="1"/>
  <c r="Z207" i="1" s="1"/>
  <c r="AF207" i="1" s="1"/>
  <c r="S207" i="1"/>
  <c r="Y207" i="1" s="1"/>
  <c r="AE207" i="1" s="1"/>
  <c r="R207" i="1"/>
  <c r="X207" i="1" s="1"/>
  <c r="AD207" i="1" s="1"/>
  <c r="V206" i="1"/>
  <c r="AB206" i="1" s="1"/>
  <c r="AH206" i="1" s="1"/>
  <c r="U206" i="1"/>
  <c r="AA206" i="1" s="1"/>
  <c r="AG206" i="1" s="1"/>
  <c r="T206" i="1"/>
  <c r="Z206" i="1" s="1"/>
  <c r="AF206" i="1" s="1"/>
  <c r="S206" i="1"/>
  <c r="Y206" i="1" s="1"/>
  <c r="AE206" i="1" s="1"/>
  <c r="R206" i="1"/>
  <c r="X206" i="1" s="1"/>
  <c r="AD206" i="1" s="1"/>
  <c r="V205" i="1"/>
  <c r="AB205" i="1" s="1"/>
  <c r="AH205" i="1" s="1"/>
  <c r="U205" i="1"/>
  <c r="AA205" i="1" s="1"/>
  <c r="AG205" i="1" s="1"/>
  <c r="T205" i="1"/>
  <c r="Z205" i="1" s="1"/>
  <c r="AF205" i="1" s="1"/>
  <c r="S205" i="1"/>
  <c r="Y205" i="1" s="1"/>
  <c r="AE205" i="1" s="1"/>
  <c r="R205" i="1"/>
  <c r="X205" i="1" s="1"/>
  <c r="AD205" i="1" s="1"/>
  <c r="V204" i="1"/>
  <c r="AB204" i="1" s="1"/>
  <c r="AH204" i="1" s="1"/>
  <c r="U204" i="1"/>
  <c r="AA204" i="1" s="1"/>
  <c r="AG204" i="1" s="1"/>
  <c r="T204" i="1"/>
  <c r="Z204" i="1" s="1"/>
  <c r="AF204" i="1" s="1"/>
  <c r="S204" i="1"/>
  <c r="Y204" i="1" s="1"/>
  <c r="AE204" i="1" s="1"/>
  <c r="R204" i="1"/>
  <c r="X204" i="1" s="1"/>
  <c r="AD204" i="1" s="1"/>
  <c r="V203" i="1"/>
  <c r="AB203" i="1" s="1"/>
  <c r="AH203" i="1" s="1"/>
  <c r="U203" i="1"/>
  <c r="AA203" i="1" s="1"/>
  <c r="AG203" i="1" s="1"/>
  <c r="T203" i="1"/>
  <c r="Z203" i="1" s="1"/>
  <c r="AF203" i="1" s="1"/>
  <c r="S203" i="1"/>
  <c r="Y203" i="1" s="1"/>
  <c r="AE203" i="1" s="1"/>
  <c r="R203" i="1"/>
  <c r="X203" i="1" s="1"/>
  <c r="AD203" i="1" s="1"/>
  <c r="V202" i="1"/>
  <c r="AB202" i="1" s="1"/>
  <c r="AH202" i="1" s="1"/>
  <c r="U202" i="1"/>
  <c r="AA202" i="1" s="1"/>
  <c r="AG202" i="1" s="1"/>
  <c r="T202" i="1"/>
  <c r="Z202" i="1" s="1"/>
  <c r="AF202" i="1" s="1"/>
  <c r="S202" i="1"/>
  <c r="Y202" i="1" s="1"/>
  <c r="AE202" i="1" s="1"/>
  <c r="R202" i="1"/>
  <c r="X202" i="1" s="1"/>
  <c r="AD202" i="1" s="1"/>
  <c r="V201" i="1"/>
  <c r="AB201" i="1" s="1"/>
  <c r="AH201" i="1" s="1"/>
  <c r="U201" i="1"/>
  <c r="AA201" i="1" s="1"/>
  <c r="AG201" i="1" s="1"/>
  <c r="T201" i="1"/>
  <c r="Z201" i="1" s="1"/>
  <c r="AF201" i="1" s="1"/>
  <c r="S201" i="1"/>
  <c r="Y201" i="1" s="1"/>
  <c r="AE201" i="1" s="1"/>
  <c r="R201" i="1"/>
  <c r="X201" i="1" s="1"/>
  <c r="AD201" i="1" s="1"/>
  <c r="V200" i="1"/>
  <c r="AB200" i="1" s="1"/>
  <c r="AH200" i="1" s="1"/>
  <c r="U200" i="1"/>
  <c r="AA200" i="1" s="1"/>
  <c r="AG200" i="1" s="1"/>
  <c r="T200" i="1"/>
  <c r="Z200" i="1" s="1"/>
  <c r="AF200" i="1" s="1"/>
  <c r="S200" i="1"/>
  <c r="Y200" i="1" s="1"/>
  <c r="AE200" i="1" s="1"/>
  <c r="R200" i="1"/>
  <c r="X200" i="1" s="1"/>
  <c r="AD200" i="1" s="1"/>
  <c r="V199" i="1"/>
  <c r="AB199" i="1" s="1"/>
  <c r="AH199" i="1" s="1"/>
  <c r="U199" i="1"/>
  <c r="AA199" i="1" s="1"/>
  <c r="AG199" i="1" s="1"/>
  <c r="T199" i="1"/>
  <c r="Z199" i="1" s="1"/>
  <c r="AF199" i="1" s="1"/>
  <c r="S199" i="1"/>
  <c r="Y199" i="1" s="1"/>
  <c r="AE199" i="1" s="1"/>
  <c r="R199" i="1"/>
  <c r="X199" i="1" s="1"/>
  <c r="AD199" i="1" s="1"/>
  <c r="V198" i="1"/>
  <c r="AB198" i="1" s="1"/>
  <c r="AH198" i="1" s="1"/>
  <c r="U198" i="1"/>
  <c r="AA198" i="1" s="1"/>
  <c r="AG198" i="1" s="1"/>
  <c r="T198" i="1"/>
  <c r="Z198" i="1" s="1"/>
  <c r="AF198" i="1" s="1"/>
  <c r="S198" i="1"/>
  <c r="Y198" i="1" s="1"/>
  <c r="AE198" i="1" s="1"/>
  <c r="R198" i="1"/>
  <c r="X198" i="1" s="1"/>
  <c r="AD198" i="1" s="1"/>
  <c r="V197" i="1"/>
  <c r="AB197" i="1" s="1"/>
  <c r="AH197" i="1" s="1"/>
  <c r="U197" i="1"/>
  <c r="AA197" i="1" s="1"/>
  <c r="AG197" i="1" s="1"/>
  <c r="T197" i="1"/>
  <c r="Z197" i="1" s="1"/>
  <c r="AF197" i="1" s="1"/>
  <c r="S197" i="1"/>
  <c r="Y197" i="1" s="1"/>
  <c r="AE197" i="1" s="1"/>
  <c r="R197" i="1"/>
  <c r="X197" i="1" s="1"/>
  <c r="AD197" i="1" s="1"/>
  <c r="V196" i="1"/>
  <c r="AB196" i="1" s="1"/>
  <c r="AH196" i="1" s="1"/>
  <c r="U196" i="1"/>
  <c r="AA196" i="1" s="1"/>
  <c r="AG196" i="1" s="1"/>
  <c r="T196" i="1"/>
  <c r="Z196" i="1" s="1"/>
  <c r="AF196" i="1" s="1"/>
  <c r="S196" i="1"/>
  <c r="Y196" i="1" s="1"/>
  <c r="AE196" i="1" s="1"/>
  <c r="R196" i="1"/>
  <c r="X196" i="1" s="1"/>
  <c r="AD196" i="1" s="1"/>
  <c r="V195" i="1"/>
  <c r="AB195" i="1" s="1"/>
  <c r="AH195" i="1" s="1"/>
  <c r="U195" i="1"/>
  <c r="AA195" i="1" s="1"/>
  <c r="AG195" i="1" s="1"/>
  <c r="T195" i="1"/>
  <c r="Z195" i="1" s="1"/>
  <c r="AF195" i="1" s="1"/>
  <c r="S195" i="1"/>
  <c r="Y195" i="1" s="1"/>
  <c r="AE195" i="1" s="1"/>
  <c r="R195" i="1"/>
  <c r="X195" i="1" s="1"/>
  <c r="AD195" i="1" s="1"/>
  <c r="V194" i="1"/>
  <c r="AB194" i="1" s="1"/>
  <c r="AH194" i="1" s="1"/>
  <c r="U194" i="1"/>
  <c r="AA194" i="1" s="1"/>
  <c r="AG194" i="1" s="1"/>
  <c r="T194" i="1"/>
  <c r="Z194" i="1" s="1"/>
  <c r="AF194" i="1" s="1"/>
  <c r="S194" i="1"/>
  <c r="Y194" i="1" s="1"/>
  <c r="AE194" i="1" s="1"/>
  <c r="R194" i="1"/>
  <c r="X194" i="1" s="1"/>
  <c r="AD194" i="1" s="1"/>
  <c r="V193" i="1"/>
  <c r="AB193" i="1" s="1"/>
  <c r="AH193" i="1" s="1"/>
  <c r="U193" i="1"/>
  <c r="AA193" i="1" s="1"/>
  <c r="AG193" i="1" s="1"/>
  <c r="T193" i="1"/>
  <c r="Z193" i="1" s="1"/>
  <c r="AF193" i="1" s="1"/>
  <c r="S193" i="1"/>
  <c r="Y193" i="1" s="1"/>
  <c r="AE193" i="1" s="1"/>
  <c r="R193" i="1"/>
  <c r="X193" i="1" s="1"/>
  <c r="AD193" i="1" s="1"/>
  <c r="V192" i="1"/>
  <c r="AB192" i="1" s="1"/>
  <c r="AH192" i="1" s="1"/>
  <c r="U192" i="1"/>
  <c r="AA192" i="1" s="1"/>
  <c r="AG192" i="1" s="1"/>
  <c r="T192" i="1"/>
  <c r="Z192" i="1" s="1"/>
  <c r="AF192" i="1" s="1"/>
  <c r="S192" i="1"/>
  <c r="Y192" i="1" s="1"/>
  <c r="AE192" i="1" s="1"/>
  <c r="R192" i="1"/>
  <c r="X192" i="1" s="1"/>
  <c r="AD192" i="1" s="1"/>
  <c r="V191" i="1"/>
  <c r="AB191" i="1" s="1"/>
  <c r="AH191" i="1" s="1"/>
  <c r="U191" i="1"/>
  <c r="AA191" i="1" s="1"/>
  <c r="AG191" i="1" s="1"/>
  <c r="T191" i="1"/>
  <c r="Z191" i="1" s="1"/>
  <c r="AF191" i="1" s="1"/>
  <c r="S191" i="1"/>
  <c r="Y191" i="1" s="1"/>
  <c r="AE191" i="1" s="1"/>
  <c r="R191" i="1"/>
  <c r="X191" i="1" s="1"/>
  <c r="AD191" i="1" s="1"/>
  <c r="V190" i="1"/>
  <c r="AB190" i="1" s="1"/>
  <c r="AH190" i="1" s="1"/>
  <c r="U190" i="1"/>
  <c r="AA190" i="1" s="1"/>
  <c r="AG190" i="1" s="1"/>
  <c r="T190" i="1"/>
  <c r="Z190" i="1" s="1"/>
  <c r="AF190" i="1" s="1"/>
  <c r="S190" i="1"/>
  <c r="Y190" i="1" s="1"/>
  <c r="AE190" i="1" s="1"/>
  <c r="R190" i="1"/>
  <c r="X190" i="1" s="1"/>
  <c r="AD190" i="1" s="1"/>
  <c r="V189" i="1"/>
  <c r="AB189" i="1" s="1"/>
  <c r="AH189" i="1" s="1"/>
  <c r="U189" i="1"/>
  <c r="AA189" i="1" s="1"/>
  <c r="AG189" i="1" s="1"/>
  <c r="T189" i="1"/>
  <c r="Z189" i="1" s="1"/>
  <c r="AF189" i="1" s="1"/>
  <c r="S189" i="1"/>
  <c r="Y189" i="1" s="1"/>
  <c r="AE189" i="1" s="1"/>
  <c r="R189" i="1"/>
  <c r="X189" i="1" s="1"/>
  <c r="AD189" i="1" s="1"/>
  <c r="V188" i="1"/>
  <c r="AB188" i="1" s="1"/>
  <c r="AH188" i="1" s="1"/>
  <c r="U188" i="1"/>
  <c r="AA188" i="1" s="1"/>
  <c r="AG188" i="1" s="1"/>
  <c r="T188" i="1"/>
  <c r="Z188" i="1" s="1"/>
  <c r="AF188" i="1" s="1"/>
  <c r="S188" i="1"/>
  <c r="Y188" i="1" s="1"/>
  <c r="AE188" i="1" s="1"/>
  <c r="R188" i="1"/>
  <c r="X188" i="1" s="1"/>
  <c r="AD188" i="1" s="1"/>
  <c r="V187" i="1"/>
  <c r="AB187" i="1" s="1"/>
  <c r="AH187" i="1" s="1"/>
  <c r="U187" i="1"/>
  <c r="AA187" i="1" s="1"/>
  <c r="AG187" i="1" s="1"/>
  <c r="T187" i="1"/>
  <c r="Z187" i="1" s="1"/>
  <c r="AF187" i="1" s="1"/>
  <c r="S187" i="1"/>
  <c r="Y187" i="1" s="1"/>
  <c r="AE187" i="1" s="1"/>
  <c r="R187" i="1"/>
  <c r="X187" i="1" s="1"/>
  <c r="AD187" i="1" s="1"/>
  <c r="V186" i="1"/>
  <c r="AB186" i="1" s="1"/>
  <c r="AH186" i="1" s="1"/>
  <c r="U186" i="1"/>
  <c r="AA186" i="1" s="1"/>
  <c r="AG186" i="1" s="1"/>
  <c r="T186" i="1"/>
  <c r="Z186" i="1" s="1"/>
  <c r="AF186" i="1" s="1"/>
  <c r="S186" i="1"/>
  <c r="Y186" i="1" s="1"/>
  <c r="AE186" i="1" s="1"/>
  <c r="R186" i="1"/>
  <c r="X186" i="1" s="1"/>
  <c r="AD186" i="1" s="1"/>
  <c r="V185" i="1"/>
  <c r="AB185" i="1" s="1"/>
  <c r="AH185" i="1" s="1"/>
  <c r="U185" i="1"/>
  <c r="AA185" i="1" s="1"/>
  <c r="AG185" i="1" s="1"/>
  <c r="T185" i="1"/>
  <c r="Z185" i="1" s="1"/>
  <c r="AF185" i="1" s="1"/>
  <c r="S185" i="1"/>
  <c r="Y185" i="1" s="1"/>
  <c r="AE185" i="1" s="1"/>
  <c r="R185" i="1"/>
  <c r="X185" i="1" s="1"/>
  <c r="AD185" i="1" s="1"/>
  <c r="V184" i="1"/>
  <c r="AB184" i="1" s="1"/>
  <c r="AH184" i="1" s="1"/>
  <c r="U184" i="1"/>
  <c r="AA184" i="1" s="1"/>
  <c r="AG184" i="1" s="1"/>
  <c r="T184" i="1"/>
  <c r="Z184" i="1" s="1"/>
  <c r="AF184" i="1" s="1"/>
  <c r="S184" i="1"/>
  <c r="Y184" i="1" s="1"/>
  <c r="AE184" i="1" s="1"/>
  <c r="R184" i="1"/>
  <c r="X184" i="1" s="1"/>
  <c r="AD184" i="1" s="1"/>
  <c r="V183" i="1"/>
  <c r="AB183" i="1" s="1"/>
  <c r="AH183" i="1" s="1"/>
  <c r="U183" i="1"/>
  <c r="AA183" i="1" s="1"/>
  <c r="AG183" i="1" s="1"/>
  <c r="T183" i="1"/>
  <c r="Z183" i="1" s="1"/>
  <c r="AF183" i="1" s="1"/>
  <c r="S183" i="1"/>
  <c r="Y183" i="1" s="1"/>
  <c r="AE183" i="1" s="1"/>
  <c r="R183" i="1"/>
  <c r="X183" i="1" s="1"/>
  <c r="AD183" i="1" s="1"/>
  <c r="V182" i="1"/>
  <c r="AB182" i="1" s="1"/>
  <c r="AH182" i="1" s="1"/>
  <c r="U182" i="1"/>
  <c r="AA182" i="1" s="1"/>
  <c r="AG182" i="1" s="1"/>
  <c r="T182" i="1"/>
  <c r="Z182" i="1" s="1"/>
  <c r="AF182" i="1" s="1"/>
  <c r="S182" i="1"/>
  <c r="Y182" i="1" s="1"/>
  <c r="AE182" i="1" s="1"/>
  <c r="R182" i="1"/>
  <c r="X182" i="1" s="1"/>
  <c r="AD182" i="1" s="1"/>
  <c r="V181" i="1"/>
  <c r="AB181" i="1" s="1"/>
  <c r="AH181" i="1" s="1"/>
  <c r="U181" i="1"/>
  <c r="AA181" i="1" s="1"/>
  <c r="AG181" i="1" s="1"/>
  <c r="T181" i="1"/>
  <c r="Z181" i="1" s="1"/>
  <c r="AF181" i="1" s="1"/>
  <c r="S181" i="1"/>
  <c r="Y181" i="1" s="1"/>
  <c r="AE181" i="1" s="1"/>
  <c r="R181" i="1"/>
  <c r="X181" i="1" s="1"/>
  <c r="AD181" i="1" s="1"/>
  <c r="V180" i="1"/>
  <c r="AB180" i="1" s="1"/>
  <c r="AH180" i="1" s="1"/>
  <c r="U180" i="1"/>
  <c r="AA180" i="1" s="1"/>
  <c r="AG180" i="1" s="1"/>
  <c r="T180" i="1"/>
  <c r="Z180" i="1" s="1"/>
  <c r="AF180" i="1" s="1"/>
  <c r="S180" i="1"/>
  <c r="Y180" i="1" s="1"/>
  <c r="AE180" i="1" s="1"/>
  <c r="R180" i="1"/>
  <c r="X180" i="1" s="1"/>
  <c r="AD180" i="1" s="1"/>
  <c r="V179" i="1"/>
  <c r="AB179" i="1" s="1"/>
  <c r="AH179" i="1" s="1"/>
  <c r="U179" i="1"/>
  <c r="AA179" i="1" s="1"/>
  <c r="AG179" i="1" s="1"/>
  <c r="T179" i="1"/>
  <c r="Z179" i="1" s="1"/>
  <c r="AF179" i="1" s="1"/>
  <c r="S179" i="1"/>
  <c r="Y179" i="1" s="1"/>
  <c r="AE179" i="1" s="1"/>
  <c r="R179" i="1"/>
  <c r="X179" i="1" s="1"/>
  <c r="AD179" i="1" s="1"/>
  <c r="V178" i="1"/>
  <c r="AB178" i="1" s="1"/>
  <c r="AH178" i="1" s="1"/>
  <c r="U178" i="1"/>
  <c r="AA178" i="1" s="1"/>
  <c r="AG178" i="1" s="1"/>
  <c r="T178" i="1"/>
  <c r="Z178" i="1" s="1"/>
  <c r="AF178" i="1" s="1"/>
  <c r="S178" i="1"/>
  <c r="Y178" i="1" s="1"/>
  <c r="AE178" i="1" s="1"/>
  <c r="R178" i="1"/>
  <c r="X178" i="1" s="1"/>
  <c r="AD178" i="1" s="1"/>
  <c r="V177" i="1"/>
  <c r="AB177" i="1" s="1"/>
  <c r="AH177" i="1" s="1"/>
  <c r="U177" i="1"/>
  <c r="AA177" i="1" s="1"/>
  <c r="AG177" i="1" s="1"/>
  <c r="T177" i="1"/>
  <c r="Z177" i="1" s="1"/>
  <c r="AF177" i="1" s="1"/>
  <c r="S177" i="1"/>
  <c r="Y177" i="1" s="1"/>
  <c r="AE177" i="1" s="1"/>
  <c r="R177" i="1"/>
  <c r="X177" i="1" s="1"/>
  <c r="AD177" i="1" s="1"/>
  <c r="V176" i="1"/>
  <c r="AB176" i="1" s="1"/>
  <c r="AH176" i="1" s="1"/>
  <c r="U176" i="1"/>
  <c r="AA176" i="1" s="1"/>
  <c r="AG176" i="1" s="1"/>
  <c r="T176" i="1"/>
  <c r="Z176" i="1" s="1"/>
  <c r="AF176" i="1" s="1"/>
  <c r="S176" i="1"/>
  <c r="Y176" i="1" s="1"/>
  <c r="AE176" i="1" s="1"/>
  <c r="R176" i="1"/>
  <c r="X176" i="1" s="1"/>
  <c r="AD176" i="1" s="1"/>
  <c r="V175" i="1"/>
  <c r="AB175" i="1" s="1"/>
  <c r="AH175" i="1" s="1"/>
  <c r="U175" i="1"/>
  <c r="AA175" i="1" s="1"/>
  <c r="AG175" i="1" s="1"/>
  <c r="T175" i="1"/>
  <c r="Z175" i="1" s="1"/>
  <c r="AF175" i="1" s="1"/>
  <c r="S175" i="1"/>
  <c r="Y175" i="1" s="1"/>
  <c r="AE175" i="1" s="1"/>
  <c r="R175" i="1"/>
  <c r="X175" i="1" s="1"/>
  <c r="AD175" i="1" s="1"/>
  <c r="V174" i="1"/>
  <c r="AB174" i="1" s="1"/>
  <c r="AH174" i="1" s="1"/>
  <c r="U174" i="1"/>
  <c r="AA174" i="1" s="1"/>
  <c r="AG174" i="1" s="1"/>
  <c r="T174" i="1"/>
  <c r="Z174" i="1" s="1"/>
  <c r="AF174" i="1" s="1"/>
  <c r="S174" i="1"/>
  <c r="Y174" i="1" s="1"/>
  <c r="AE174" i="1" s="1"/>
  <c r="R174" i="1"/>
  <c r="X174" i="1" s="1"/>
  <c r="AD174" i="1" s="1"/>
  <c r="V173" i="1"/>
  <c r="AB173" i="1" s="1"/>
  <c r="AH173" i="1" s="1"/>
  <c r="U173" i="1"/>
  <c r="AA173" i="1" s="1"/>
  <c r="AG173" i="1" s="1"/>
  <c r="T173" i="1"/>
  <c r="Z173" i="1" s="1"/>
  <c r="AF173" i="1" s="1"/>
  <c r="S173" i="1"/>
  <c r="Y173" i="1" s="1"/>
  <c r="AE173" i="1" s="1"/>
  <c r="R173" i="1"/>
  <c r="X173" i="1" s="1"/>
  <c r="AD173" i="1" s="1"/>
  <c r="V172" i="1"/>
  <c r="AB172" i="1" s="1"/>
  <c r="AH172" i="1" s="1"/>
  <c r="U172" i="1"/>
  <c r="AA172" i="1" s="1"/>
  <c r="AG172" i="1" s="1"/>
  <c r="T172" i="1"/>
  <c r="Z172" i="1" s="1"/>
  <c r="AF172" i="1" s="1"/>
  <c r="S172" i="1"/>
  <c r="Y172" i="1" s="1"/>
  <c r="AE172" i="1" s="1"/>
  <c r="R172" i="1"/>
  <c r="X172" i="1" s="1"/>
  <c r="AD172" i="1" s="1"/>
  <c r="V171" i="1"/>
  <c r="AB171" i="1" s="1"/>
  <c r="AH171" i="1" s="1"/>
  <c r="U171" i="1"/>
  <c r="AA171" i="1" s="1"/>
  <c r="AG171" i="1" s="1"/>
  <c r="T171" i="1"/>
  <c r="Z171" i="1" s="1"/>
  <c r="AF171" i="1" s="1"/>
  <c r="S171" i="1"/>
  <c r="Y171" i="1" s="1"/>
  <c r="AE171" i="1" s="1"/>
  <c r="R171" i="1"/>
  <c r="X171" i="1" s="1"/>
  <c r="AD171" i="1" s="1"/>
  <c r="V170" i="1"/>
  <c r="AB170" i="1" s="1"/>
  <c r="AH170" i="1" s="1"/>
  <c r="U170" i="1"/>
  <c r="AA170" i="1" s="1"/>
  <c r="AG170" i="1" s="1"/>
  <c r="T170" i="1"/>
  <c r="Z170" i="1" s="1"/>
  <c r="AF170" i="1" s="1"/>
  <c r="S170" i="1"/>
  <c r="Y170" i="1" s="1"/>
  <c r="AE170" i="1" s="1"/>
  <c r="R170" i="1"/>
  <c r="X170" i="1" s="1"/>
  <c r="AD170" i="1" s="1"/>
  <c r="V169" i="1"/>
  <c r="AB169" i="1" s="1"/>
  <c r="AH169" i="1" s="1"/>
  <c r="U169" i="1"/>
  <c r="AA169" i="1" s="1"/>
  <c r="AG169" i="1" s="1"/>
  <c r="T169" i="1"/>
  <c r="Z169" i="1" s="1"/>
  <c r="AF169" i="1" s="1"/>
  <c r="S169" i="1"/>
  <c r="Y169" i="1" s="1"/>
  <c r="AE169" i="1" s="1"/>
  <c r="R169" i="1"/>
  <c r="X169" i="1" s="1"/>
  <c r="AD169" i="1" s="1"/>
  <c r="V168" i="1"/>
  <c r="AB168" i="1" s="1"/>
  <c r="AH168" i="1" s="1"/>
  <c r="U168" i="1"/>
  <c r="AA168" i="1" s="1"/>
  <c r="AG168" i="1" s="1"/>
  <c r="T168" i="1"/>
  <c r="Z168" i="1" s="1"/>
  <c r="AF168" i="1" s="1"/>
  <c r="S168" i="1"/>
  <c r="Y168" i="1" s="1"/>
  <c r="AE168" i="1" s="1"/>
  <c r="R168" i="1"/>
  <c r="X168" i="1" s="1"/>
  <c r="AD168" i="1" s="1"/>
  <c r="V167" i="1"/>
  <c r="AB167" i="1" s="1"/>
  <c r="AH167" i="1" s="1"/>
  <c r="U167" i="1"/>
  <c r="AA167" i="1" s="1"/>
  <c r="AG167" i="1" s="1"/>
  <c r="T167" i="1"/>
  <c r="Z167" i="1" s="1"/>
  <c r="AF167" i="1" s="1"/>
  <c r="S167" i="1"/>
  <c r="Y167" i="1" s="1"/>
  <c r="AE167" i="1" s="1"/>
  <c r="R167" i="1"/>
  <c r="X167" i="1" s="1"/>
  <c r="AD167" i="1" s="1"/>
  <c r="V166" i="1"/>
  <c r="AB166" i="1" s="1"/>
  <c r="AH166" i="1" s="1"/>
  <c r="U166" i="1"/>
  <c r="AA166" i="1" s="1"/>
  <c r="AG166" i="1" s="1"/>
  <c r="T166" i="1"/>
  <c r="Z166" i="1" s="1"/>
  <c r="AF166" i="1" s="1"/>
  <c r="S166" i="1"/>
  <c r="Y166" i="1" s="1"/>
  <c r="AE166" i="1" s="1"/>
  <c r="R166" i="1"/>
  <c r="X166" i="1" s="1"/>
  <c r="AD166" i="1" s="1"/>
  <c r="V165" i="1"/>
  <c r="AB165" i="1" s="1"/>
  <c r="AH165" i="1" s="1"/>
  <c r="U165" i="1"/>
  <c r="AA165" i="1" s="1"/>
  <c r="AG165" i="1" s="1"/>
  <c r="T165" i="1"/>
  <c r="Z165" i="1" s="1"/>
  <c r="AF165" i="1" s="1"/>
  <c r="S165" i="1"/>
  <c r="Y165" i="1" s="1"/>
  <c r="AE165" i="1" s="1"/>
  <c r="R165" i="1"/>
  <c r="X165" i="1" s="1"/>
  <c r="AD165" i="1" s="1"/>
  <c r="V164" i="1"/>
  <c r="AB164" i="1" s="1"/>
  <c r="AH164" i="1" s="1"/>
  <c r="U164" i="1"/>
  <c r="AA164" i="1" s="1"/>
  <c r="AG164" i="1" s="1"/>
  <c r="T164" i="1"/>
  <c r="Z164" i="1" s="1"/>
  <c r="AF164" i="1" s="1"/>
  <c r="S164" i="1"/>
  <c r="Y164" i="1" s="1"/>
  <c r="AE164" i="1" s="1"/>
  <c r="R164" i="1"/>
  <c r="X164" i="1" s="1"/>
  <c r="AD164" i="1" s="1"/>
  <c r="V163" i="1"/>
  <c r="AB163" i="1" s="1"/>
  <c r="AH163" i="1" s="1"/>
  <c r="U163" i="1"/>
  <c r="AA163" i="1" s="1"/>
  <c r="AG163" i="1" s="1"/>
  <c r="T163" i="1"/>
  <c r="Z163" i="1" s="1"/>
  <c r="AF163" i="1" s="1"/>
  <c r="S163" i="1"/>
  <c r="Y163" i="1" s="1"/>
  <c r="AE163" i="1" s="1"/>
  <c r="R163" i="1"/>
  <c r="X163" i="1" s="1"/>
  <c r="AD163" i="1" s="1"/>
  <c r="V162" i="1"/>
  <c r="AB162" i="1" s="1"/>
  <c r="AH162" i="1" s="1"/>
  <c r="U162" i="1"/>
  <c r="AA162" i="1" s="1"/>
  <c r="AG162" i="1" s="1"/>
  <c r="T162" i="1"/>
  <c r="Z162" i="1" s="1"/>
  <c r="AF162" i="1" s="1"/>
  <c r="S162" i="1"/>
  <c r="Y162" i="1" s="1"/>
  <c r="AE162" i="1" s="1"/>
  <c r="R162" i="1"/>
  <c r="X162" i="1" s="1"/>
  <c r="AD162" i="1" s="1"/>
  <c r="V161" i="1"/>
  <c r="AB161" i="1" s="1"/>
  <c r="AH161" i="1" s="1"/>
  <c r="U161" i="1"/>
  <c r="AA161" i="1" s="1"/>
  <c r="AG161" i="1" s="1"/>
  <c r="T161" i="1"/>
  <c r="Z161" i="1" s="1"/>
  <c r="AF161" i="1" s="1"/>
  <c r="S161" i="1"/>
  <c r="Y161" i="1" s="1"/>
  <c r="AE161" i="1" s="1"/>
  <c r="R161" i="1"/>
  <c r="X161" i="1" s="1"/>
  <c r="AD161" i="1" s="1"/>
  <c r="V160" i="1"/>
  <c r="AB160" i="1" s="1"/>
  <c r="AH160" i="1" s="1"/>
  <c r="U160" i="1"/>
  <c r="AA160" i="1" s="1"/>
  <c r="AG160" i="1" s="1"/>
  <c r="T160" i="1"/>
  <c r="Z160" i="1" s="1"/>
  <c r="AF160" i="1" s="1"/>
  <c r="S160" i="1"/>
  <c r="Y160" i="1" s="1"/>
  <c r="AE160" i="1" s="1"/>
  <c r="R160" i="1"/>
  <c r="X160" i="1" s="1"/>
  <c r="AD160" i="1" s="1"/>
  <c r="V159" i="1"/>
  <c r="AB159" i="1" s="1"/>
  <c r="AH159" i="1" s="1"/>
  <c r="U159" i="1"/>
  <c r="AA159" i="1" s="1"/>
  <c r="AG159" i="1" s="1"/>
  <c r="T159" i="1"/>
  <c r="Z159" i="1" s="1"/>
  <c r="AF159" i="1" s="1"/>
  <c r="S159" i="1"/>
  <c r="Y159" i="1" s="1"/>
  <c r="AE159" i="1" s="1"/>
  <c r="R159" i="1"/>
  <c r="X159" i="1" s="1"/>
  <c r="AD159" i="1" s="1"/>
  <c r="V158" i="1"/>
  <c r="AB158" i="1" s="1"/>
  <c r="AH158" i="1" s="1"/>
  <c r="U158" i="1"/>
  <c r="AA158" i="1" s="1"/>
  <c r="AG158" i="1" s="1"/>
  <c r="T158" i="1"/>
  <c r="Z158" i="1" s="1"/>
  <c r="AF158" i="1" s="1"/>
  <c r="S158" i="1"/>
  <c r="Y158" i="1" s="1"/>
  <c r="AE158" i="1" s="1"/>
  <c r="R158" i="1"/>
  <c r="X158" i="1" s="1"/>
  <c r="AD158" i="1" s="1"/>
  <c r="V157" i="1"/>
  <c r="AB157" i="1" s="1"/>
  <c r="AH157" i="1" s="1"/>
  <c r="U157" i="1"/>
  <c r="AA157" i="1" s="1"/>
  <c r="AG157" i="1" s="1"/>
  <c r="T157" i="1"/>
  <c r="Z157" i="1" s="1"/>
  <c r="AF157" i="1" s="1"/>
  <c r="S157" i="1"/>
  <c r="Y157" i="1" s="1"/>
  <c r="AE157" i="1" s="1"/>
  <c r="R157" i="1"/>
  <c r="X157" i="1" s="1"/>
  <c r="AD157" i="1" s="1"/>
  <c r="V156" i="1"/>
  <c r="AB156" i="1" s="1"/>
  <c r="AH156" i="1" s="1"/>
  <c r="U156" i="1"/>
  <c r="AA156" i="1" s="1"/>
  <c r="AG156" i="1" s="1"/>
  <c r="T156" i="1"/>
  <c r="Z156" i="1" s="1"/>
  <c r="AF156" i="1" s="1"/>
  <c r="S156" i="1"/>
  <c r="Y156" i="1" s="1"/>
  <c r="AE156" i="1" s="1"/>
  <c r="R156" i="1"/>
  <c r="X156" i="1" s="1"/>
  <c r="AD156" i="1" s="1"/>
  <c r="V155" i="1"/>
  <c r="AB155" i="1" s="1"/>
  <c r="AH155" i="1" s="1"/>
  <c r="U155" i="1"/>
  <c r="AA155" i="1" s="1"/>
  <c r="AG155" i="1" s="1"/>
  <c r="T155" i="1"/>
  <c r="Z155" i="1" s="1"/>
  <c r="AF155" i="1" s="1"/>
  <c r="S155" i="1"/>
  <c r="Y155" i="1" s="1"/>
  <c r="AE155" i="1" s="1"/>
  <c r="R155" i="1"/>
  <c r="X155" i="1" s="1"/>
  <c r="AD155" i="1" s="1"/>
  <c r="V154" i="1"/>
  <c r="AB154" i="1" s="1"/>
  <c r="AH154" i="1" s="1"/>
  <c r="U154" i="1"/>
  <c r="AA154" i="1" s="1"/>
  <c r="AG154" i="1" s="1"/>
  <c r="T154" i="1"/>
  <c r="Z154" i="1" s="1"/>
  <c r="AF154" i="1" s="1"/>
  <c r="S154" i="1"/>
  <c r="Y154" i="1" s="1"/>
  <c r="AE154" i="1" s="1"/>
  <c r="R154" i="1"/>
  <c r="X154" i="1" s="1"/>
  <c r="AD154" i="1" s="1"/>
  <c r="V153" i="1"/>
  <c r="AB153" i="1" s="1"/>
  <c r="AH153" i="1" s="1"/>
  <c r="U153" i="1"/>
  <c r="AA153" i="1" s="1"/>
  <c r="AG153" i="1" s="1"/>
  <c r="T153" i="1"/>
  <c r="Z153" i="1" s="1"/>
  <c r="AF153" i="1" s="1"/>
  <c r="S153" i="1"/>
  <c r="Y153" i="1" s="1"/>
  <c r="AE153" i="1" s="1"/>
  <c r="R153" i="1"/>
  <c r="X153" i="1" s="1"/>
  <c r="AD153" i="1" s="1"/>
  <c r="V152" i="1"/>
  <c r="AB152" i="1" s="1"/>
  <c r="AH152" i="1" s="1"/>
  <c r="U152" i="1"/>
  <c r="AA152" i="1" s="1"/>
  <c r="AG152" i="1" s="1"/>
  <c r="T152" i="1"/>
  <c r="Z152" i="1" s="1"/>
  <c r="AF152" i="1" s="1"/>
  <c r="S152" i="1"/>
  <c r="Y152" i="1" s="1"/>
  <c r="AE152" i="1" s="1"/>
  <c r="R152" i="1"/>
  <c r="X152" i="1" s="1"/>
  <c r="AD152" i="1" s="1"/>
  <c r="V151" i="1"/>
  <c r="AB151" i="1" s="1"/>
  <c r="AH151" i="1" s="1"/>
  <c r="U151" i="1"/>
  <c r="AA151" i="1" s="1"/>
  <c r="AG151" i="1" s="1"/>
  <c r="T151" i="1"/>
  <c r="Z151" i="1" s="1"/>
  <c r="AF151" i="1" s="1"/>
  <c r="S151" i="1"/>
  <c r="Y151" i="1" s="1"/>
  <c r="AE151" i="1" s="1"/>
  <c r="R151" i="1"/>
  <c r="X151" i="1" s="1"/>
  <c r="AD151" i="1" s="1"/>
  <c r="V150" i="1"/>
  <c r="AB150" i="1" s="1"/>
  <c r="AH150" i="1" s="1"/>
  <c r="U150" i="1"/>
  <c r="AA150" i="1" s="1"/>
  <c r="AG150" i="1" s="1"/>
  <c r="T150" i="1"/>
  <c r="Z150" i="1" s="1"/>
  <c r="AF150" i="1" s="1"/>
  <c r="S150" i="1"/>
  <c r="Y150" i="1" s="1"/>
  <c r="AE150" i="1" s="1"/>
  <c r="R150" i="1"/>
  <c r="X150" i="1" s="1"/>
  <c r="AD150" i="1" s="1"/>
  <c r="V149" i="1"/>
  <c r="AB149" i="1" s="1"/>
  <c r="AH149" i="1" s="1"/>
  <c r="U149" i="1"/>
  <c r="AA149" i="1" s="1"/>
  <c r="AG149" i="1" s="1"/>
  <c r="T149" i="1"/>
  <c r="Z149" i="1" s="1"/>
  <c r="AF149" i="1" s="1"/>
  <c r="S149" i="1"/>
  <c r="Y149" i="1" s="1"/>
  <c r="AE149" i="1" s="1"/>
  <c r="R149" i="1"/>
  <c r="X149" i="1" s="1"/>
  <c r="AD149" i="1" s="1"/>
  <c r="V148" i="1"/>
  <c r="AB148" i="1" s="1"/>
  <c r="AH148" i="1" s="1"/>
  <c r="U148" i="1"/>
  <c r="AA148" i="1" s="1"/>
  <c r="AG148" i="1" s="1"/>
  <c r="T148" i="1"/>
  <c r="Z148" i="1" s="1"/>
  <c r="AF148" i="1" s="1"/>
  <c r="S148" i="1"/>
  <c r="Y148" i="1" s="1"/>
  <c r="AE148" i="1" s="1"/>
  <c r="R148" i="1"/>
  <c r="X148" i="1" s="1"/>
  <c r="AD148" i="1" s="1"/>
  <c r="V147" i="1"/>
  <c r="AB147" i="1" s="1"/>
  <c r="AH147" i="1" s="1"/>
  <c r="U147" i="1"/>
  <c r="AA147" i="1" s="1"/>
  <c r="AG147" i="1" s="1"/>
  <c r="T147" i="1"/>
  <c r="Z147" i="1" s="1"/>
  <c r="AF147" i="1" s="1"/>
  <c r="S147" i="1"/>
  <c r="Y147" i="1" s="1"/>
  <c r="AE147" i="1" s="1"/>
  <c r="R147" i="1"/>
  <c r="X147" i="1" s="1"/>
  <c r="AD147" i="1" s="1"/>
  <c r="V146" i="1"/>
  <c r="AB146" i="1" s="1"/>
  <c r="AH146" i="1" s="1"/>
  <c r="U146" i="1"/>
  <c r="AA146" i="1" s="1"/>
  <c r="AG146" i="1" s="1"/>
  <c r="T146" i="1"/>
  <c r="Z146" i="1" s="1"/>
  <c r="AF146" i="1" s="1"/>
  <c r="S146" i="1"/>
  <c r="Y146" i="1" s="1"/>
  <c r="AE146" i="1" s="1"/>
  <c r="R146" i="1"/>
  <c r="X146" i="1" s="1"/>
  <c r="AD146" i="1" s="1"/>
  <c r="V145" i="1"/>
  <c r="AB145" i="1" s="1"/>
  <c r="AH145" i="1" s="1"/>
  <c r="U145" i="1"/>
  <c r="AA145" i="1" s="1"/>
  <c r="AG145" i="1" s="1"/>
  <c r="T145" i="1"/>
  <c r="Z145" i="1" s="1"/>
  <c r="AF145" i="1" s="1"/>
  <c r="S145" i="1"/>
  <c r="Y145" i="1" s="1"/>
  <c r="AE145" i="1" s="1"/>
  <c r="R145" i="1"/>
  <c r="X145" i="1" s="1"/>
  <c r="AD145" i="1" s="1"/>
  <c r="V144" i="1"/>
  <c r="AB144" i="1" s="1"/>
  <c r="AH144" i="1" s="1"/>
  <c r="U144" i="1"/>
  <c r="AA144" i="1" s="1"/>
  <c r="AG144" i="1" s="1"/>
  <c r="T144" i="1"/>
  <c r="Z144" i="1" s="1"/>
  <c r="AF144" i="1" s="1"/>
  <c r="S144" i="1"/>
  <c r="Y144" i="1" s="1"/>
  <c r="AE144" i="1" s="1"/>
  <c r="R144" i="1"/>
  <c r="X144" i="1" s="1"/>
  <c r="AD144" i="1" s="1"/>
  <c r="V143" i="1"/>
  <c r="AB143" i="1" s="1"/>
  <c r="AH143" i="1" s="1"/>
  <c r="U143" i="1"/>
  <c r="AA143" i="1" s="1"/>
  <c r="AG143" i="1" s="1"/>
  <c r="T143" i="1"/>
  <c r="Z143" i="1" s="1"/>
  <c r="AF143" i="1" s="1"/>
  <c r="S143" i="1"/>
  <c r="Y143" i="1" s="1"/>
  <c r="AE143" i="1" s="1"/>
  <c r="R143" i="1"/>
  <c r="X143" i="1" s="1"/>
  <c r="AD143" i="1" s="1"/>
  <c r="V142" i="1"/>
  <c r="AB142" i="1" s="1"/>
  <c r="AH142" i="1" s="1"/>
  <c r="U142" i="1"/>
  <c r="AA142" i="1" s="1"/>
  <c r="AG142" i="1" s="1"/>
  <c r="T142" i="1"/>
  <c r="Z142" i="1" s="1"/>
  <c r="AF142" i="1" s="1"/>
  <c r="S142" i="1"/>
  <c r="Y142" i="1" s="1"/>
  <c r="AE142" i="1" s="1"/>
  <c r="R142" i="1"/>
  <c r="X142" i="1" s="1"/>
  <c r="AD142" i="1" s="1"/>
  <c r="V141" i="1"/>
  <c r="AB141" i="1" s="1"/>
  <c r="AH141" i="1" s="1"/>
  <c r="U141" i="1"/>
  <c r="AA141" i="1" s="1"/>
  <c r="AG141" i="1" s="1"/>
  <c r="T141" i="1"/>
  <c r="Z141" i="1" s="1"/>
  <c r="AF141" i="1" s="1"/>
  <c r="S141" i="1"/>
  <c r="Y141" i="1" s="1"/>
  <c r="AE141" i="1" s="1"/>
  <c r="R141" i="1"/>
  <c r="X141" i="1" s="1"/>
  <c r="AD141" i="1" s="1"/>
  <c r="V140" i="1"/>
  <c r="AB140" i="1" s="1"/>
  <c r="AH140" i="1" s="1"/>
  <c r="U140" i="1"/>
  <c r="AA140" i="1" s="1"/>
  <c r="AG140" i="1" s="1"/>
  <c r="T140" i="1"/>
  <c r="Z140" i="1" s="1"/>
  <c r="AF140" i="1" s="1"/>
  <c r="S140" i="1"/>
  <c r="Y140" i="1" s="1"/>
  <c r="AE140" i="1" s="1"/>
  <c r="R140" i="1"/>
  <c r="X140" i="1" s="1"/>
  <c r="AD140" i="1" s="1"/>
  <c r="V139" i="1"/>
  <c r="AB139" i="1" s="1"/>
  <c r="AH139" i="1" s="1"/>
  <c r="U139" i="1"/>
  <c r="AA139" i="1" s="1"/>
  <c r="AG139" i="1" s="1"/>
  <c r="T139" i="1"/>
  <c r="Z139" i="1" s="1"/>
  <c r="AF139" i="1" s="1"/>
  <c r="S139" i="1"/>
  <c r="Y139" i="1" s="1"/>
  <c r="AE139" i="1" s="1"/>
  <c r="R139" i="1"/>
  <c r="X139" i="1" s="1"/>
  <c r="AD139" i="1" s="1"/>
  <c r="V138" i="1"/>
  <c r="AB138" i="1" s="1"/>
  <c r="AH138" i="1" s="1"/>
  <c r="U138" i="1"/>
  <c r="AA138" i="1" s="1"/>
  <c r="AG138" i="1" s="1"/>
  <c r="T138" i="1"/>
  <c r="Z138" i="1" s="1"/>
  <c r="AF138" i="1" s="1"/>
  <c r="S138" i="1"/>
  <c r="Y138" i="1" s="1"/>
  <c r="AE138" i="1" s="1"/>
  <c r="R138" i="1"/>
  <c r="X138" i="1" s="1"/>
  <c r="AD138" i="1" s="1"/>
  <c r="V137" i="1"/>
  <c r="AB137" i="1" s="1"/>
  <c r="AH137" i="1" s="1"/>
  <c r="U137" i="1"/>
  <c r="AA137" i="1" s="1"/>
  <c r="AG137" i="1" s="1"/>
  <c r="T137" i="1"/>
  <c r="Z137" i="1" s="1"/>
  <c r="AF137" i="1" s="1"/>
  <c r="S137" i="1"/>
  <c r="Y137" i="1" s="1"/>
  <c r="AE137" i="1" s="1"/>
  <c r="R137" i="1"/>
  <c r="X137" i="1" s="1"/>
  <c r="AD137" i="1" s="1"/>
  <c r="V136" i="1"/>
  <c r="AB136" i="1" s="1"/>
  <c r="AH136" i="1" s="1"/>
  <c r="U136" i="1"/>
  <c r="AA136" i="1" s="1"/>
  <c r="AG136" i="1" s="1"/>
  <c r="T136" i="1"/>
  <c r="Z136" i="1" s="1"/>
  <c r="AF136" i="1" s="1"/>
  <c r="S136" i="1"/>
  <c r="Y136" i="1" s="1"/>
  <c r="AE136" i="1" s="1"/>
  <c r="R136" i="1"/>
  <c r="X136" i="1" s="1"/>
  <c r="AD136" i="1" s="1"/>
  <c r="V135" i="1"/>
  <c r="AB135" i="1" s="1"/>
  <c r="AH135" i="1" s="1"/>
  <c r="U135" i="1"/>
  <c r="AA135" i="1" s="1"/>
  <c r="AG135" i="1" s="1"/>
  <c r="T135" i="1"/>
  <c r="Z135" i="1" s="1"/>
  <c r="AF135" i="1" s="1"/>
  <c r="S135" i="1"/>
  <c r="Y135" i="1" s="1"/>
  <c r="AE135" i="1" s="1"/>
  <c r="R135" i="1"/>
  <c r="X135" i="1" s="1"/>
  <c r="AD135" i="1" s="1"/>
  <c r="V134" i="1"/>
  <c r="AB134" i="1" s="1"/>
  <c r="AH134" i="1" s="1"/>
  <c r="U134" i="1"/>
  <c r="AA134" i="1" s="1"/>
  <c r="AG134" i="1" s="1"/>
  <c r="T134" i="1"/>
  <c r="Z134" i="1" s="1"/>
  <c r="AF134" i="1" s="1"/>
  <c r="S134" i="1"/>
  <c r="Y134" i="1" s="1"/>
  <c r="AE134" i="1" s="1"/>
  <c r="R134" i="1"/>
  <c r="X134" i="1" s="1"/>
  <c r="AD134" i="1" s="1"/>
  <c r="V133" i="1"/>
  <c r="AB133" i="1" s="1"/>
  <c r="AH133" i="1" s="1"/>
  <c r="U133" i="1"/>
  <c r="AA133" i="1" s="1"/>
  <c r="AG133" i="1" s="1"/>
  <c r="T133" i="1"/>
  <c r="Z133" i="1" s="1"/>
  <c r="AF133" i="1" s="1"/>
  <c r="S133" i="1"/>
  <c r="Y133" i="1" s="1"/>
  <c r="AE133" i="1" s="1"/>
  <c r="R133" i="1"/>
  <c r="X133" i="1" s="1"/>
  <c r="AD133" i="1" s="1"/>
  <c r="V132" i="1"/>
  <c r="AB132" i="1" s="1"/>
  <c r="AH132" i="1" s="1"/>
  <c r="U132" i="1"/>
  <c r="AA132" i="1" s="1"/>
  <c r="AG132" i="1" s="1"/>
  <c r="T132" i="1"/>
  <c r="Z132" i="1" s="1"/>
  <c r="AF132" i="1" s="1"/>
  <c r="S132" i="1"/>
  <c r="Y132" i="1" s="1"/>
  <c r="AE132" i="1" s="1"/>
  <c r="R132" i="1"/>
  <c r="X132" i="1" s="1"/>
  <c r="AD132" i="1" s="1"/>
  <c r="V131" i="1"/>
  <c r="AB131" i="1" s="1"/>
  <c r="AH131" i="1" s="1"/>
  <c r="U131" i="1"/>
  <c r="AA131" i="1" s="1"/>
  <c r="AG131" i="1" s="1"/>
  <c r="T131" i="1"/>
  <c r="Z131" i="1" s="1"/>
  <c r="AF131" i="1" s="1"/>
  <c r="S131" i="1"/>
  <c r="Y131" i="1" s="1"/>
  <c r="AE131" i="1" s="1"/>
  <c r="R131" i="1"/>
  <c r="X131" i="1" s="1"/>
  <c r="AD131" i="1" s="1"/>
  <c r="V130" i="1"/>
  <c r="AB130" i="1" s="1"/>
  <c r="AH130" i="1" s="1"/>
  <c r="U130" i="1"/>
  <c r="AA130" i="1" s="1"/>
  <c r="AG130" i="1" s="1"/>
  <c r="T130" i="1"/>
  <c r="Z130" i="1" s="1"/>
  <c r="AF130" i="1" s="1"/>
  <c r="S130" i="1"/>
  <c r="Y130" i="1" s="1"/>
  <c r="AE130" i="1" s="1"/>
  <c r="R130" i="1"/>
  <c r="X130" i="1" s="1"/>
  <c r="AD130" i="1" s="1"/>
  <c r="V129" i="1"/>
  <c r="AB129" i="1" s="1"/>
  <c r="AH129" i="1" s="1"/>
  <c r="U129" i="1"/>
  <c r="AA129" i="1" s="1"/>
  <c r="AG129" i="1" s="1"/>
  <c r="T129" i="1"/>
  <c r="Z129" i="1" s="1"/>
  <c r="AF129" i="1" s="1"/>
  <c r="S129" i="1"/>
  <c r="Y129" i="1" s="1"/>
  <c r="AE129" i="1" s="1"/>
  <c r="R129" i="1"/>
  <c r="X129" i="1" s="1"/>
  <c r="AD129" i="1" s="1"/>
  <c r="V128" i="1"/>
  <c r="AB128" i="1" s="1"/>
  <c r="AH128" i="1" s="1"/>
  <c r="U128" i="1"/>
  <c r="AA128" i="1" s="1"/>
  <c r="AG128" i="1" s="1"/>
  <c r="T128" i="1"/>
  <c r="Z128" i="1" s="1"/>
  <c r="AF128" i="1" s="1"/>
  <c r="S128" i="1"/>
  <c r="Y128" i="1" s="1"/>
  <c r="AE128" i="1" s="1"/>
  <c r="R128" i="1"/>
  <c r="X128" i="1" s="1"/>
  <c r="AD128" i="1" s="1"/>
  <c r="V127" i="1"/>
  <c r="AB127" i="1" s="1"/>
  <c r="AH127" i="1" s="1"/>
  <c r="U127" i="1"/>
  <c r="AA127" i="1" s="1"/>
  <c r="AG127" i="1" s="1"/>
  <c r="T127" i="1"/>
  <c r="Z127" i="1" s="1"/>
  <c r="AF127" i="1" s="1"/>
  <c r="S127" i="1"/>
  <c r="Y127" i="1" s="1"/>
  <c r="AE127" i="1" s="1"/>
  <c r="R127" i="1"/>
  <c r="X127" i="1" s="1"/>
  <c r="AD127" i="1" s="1"/>
  <c r="V126" i="1"/>
  <c r="AB126" i="1" s="1"/>
  <c r="AH126" i="1" s="1"/>
  <c r="U126" i="1"/>
  <c r="AA126" i="1" s="1"/>
  <c r="AG126" i="1" s="1"/>
  <c r="T126" i="1"/>
  <c r="Z126" i="1" s="1"/>
  <c r="AF126" i="1" s="1"/>
  <c r="S126" i="1"/>
  <c r="Y126" i="1" s="1"/>
  <c r="AE126" i="1" s="1"/>
  <c r="R126" i="1"/>
  <c r="X126" i="1" s="1"/>
  <c r="AD126" i="1" s="1"/>
  <c r="V125" i="1"/>
  <c r="AB125" i="1" s="1"/>
  <c r="AH125" i="1" s="1"/>
  <c r="U125" i="1"/>
  <c r="AA125" i="1" s="1"/>
  <c r="AG125" i="1" s="1"/>
  <c r="T125" i="1"/>
  <c r="Z125" i="1" s="1"/>
  <c r="AF125" i="1" s="1"/>
  <c r="S125" i="1"/>
  <c r="Y125" i="1" s="1"/>
  <c r="AE125" i="1" s="1"/>
  <c r="R125" i="1"/>
  <c r="X125" i="1" s="1"/>
  <c r="AD125" i="1" s="1"/>
  <c r="V124" i="1"/>
  <c r="AB124" i="1" s="1"/>
  <c r="AH124" i="1" s="1"/>
  <c r="U124" i="1"/>
  <c r="AA124" i="1" s="1"/>
  <c r="AG124" i="1" s="1"/>
  <c r="T124" i="1"/>
  <c r="Z124" i="1" s="1"/>
  <c r="AF124" i="1" s="1"/>
  <c r="S124" i="1"/>
  <c r="Y124" i="1" s="1"/>
  <c r="AE124" i="1" s="1"/>
  <c r="R124" i="1"/>
  <c r="X124" i="1" s="1"/>
  <c r="AD124" i="1" s="1"/>
  <c r="V123" i="1"/>
  <c r="AB123" i="1" s="1"/>
  <c r="AH123" i="1" s="1"/>
  <c r="U123" i="1"/>
  <c r="AA123" i="1" s="1"/>
  <c r="AG123" i="1" s="1"/>
  <c r="T123" i="1"/>
  <c r="Z123" i="1" s="1"/>
  <c r="AF123" i="1" s="1"/>
  <c r="S123" i="1"/>
  <c r="Y123" i="1" s="1"/>
  <c r="AE123" i="1" s="1"/>
  <c r="R123" i="1"/>
  <c r="X123" i="1" s="1"/>
  <c r="AD123" i="1" s="1"/>
  <c r="V122" i="1"/>
  <c r="AB122" i="1" s="1"/>
  <c r="AH122" i="1" s="1"/>
  <c r="U122" i="1"/>
  <c r="AA122" i="1" s="1"/>
  <c r="AG122" i="1" s="1"/>
  <c r="T122" i="1"/>
  <c r="Z122" i="1" s="1"/>
  <c r="AF122" i="1" s="1"/>
  <c r="S122" i="1"/>
  <c r="Y122" i="1" s="1"/>
  <c r="AE122" i="1" s="1"/>
  <c r="R122" i="1"/>
  <c r="X122" i="1" s="1"/>
  <c r="AD122" i="1" s="1"/>
  <c r="V121" i="1"/>
  <c r="AB121" i="1" s="1"/>
  <c r="AH121" i="1" s="1"/>
  <c r="U121" i="1"/>
  <c r="AA121" i="1" s="1"/>
  <c r="AG121" i="1" s="1"/>
  <c r="T121" i="1"/>
  <c r="Z121" i="1" s="1"/>
  <c r="AF121" i="1" s="1"/>
  <c r="S121" i="1"/>
  <c r="Y121" i="1" s="1"/>
  <c r="AE121" i="1" s="1"/>
  <c r="R121" i="1"/>
  <c r="X121" i="1" s="1"/>
  <c r="AD121" i="1" s="1"/>
  <c r="V120" i="1"/>
  <c r="AB120" i="1" s="1"/>
  <c r="AH120" i="1" s="1"/>
  <c r="U120" i="1"/>
  <c r="AA120" i="1" s="1"/>
  <c r="AG120" i="1" s="1"/>
  <c r="T120" i="1"/>
  <c r="Z120" i="1" s="1"/>
  <c r="AF120" i="1" s="1"/>
  <c r="S120" i="1"/>
  <c r="Y120" i="1" s="1"/>
  <c r="AE120" i="1" s="1"/>
  <c r="R120" i="1"/>
  <c r="X120" i="1" s="1"/>
  <c r="AD120" i="1" s="1"/>
  <c r="V119" i="1"/>
  <c r="AB119" i="1" s="1"/>
  <c r="AH119" i="1" s="1"/>
  <c r="U119" i="1"/>
  <c r="AA119" i="1" s="1"/>
  <c r="AG119" i="1" s="1"/>
  <c r="T119" i="1"/>
  <c r="Z119" i="1" s="1"/>
  <c r="AF119" i="1" s="1"/>
  <c r="S119" i="1"/>
  <c r="Y119" i="1" s="1"/>
  <c r="AE119" i="1" s="1"/>
  <c r="R119" i="1"/>
  <c r="X119" i="1" s="1"/>
  <c r="AD119" i="1" s="1"/>
  <c r="V118" i="1"/>
  <c r="AB118" i="1" s="1"/>
  <c r="AH118" i="1" s="1"/>
  <c r="U118" i="1"/>
  <c r="AA118" i="1" s="1"/>
  <c r="AG118" i="1" s="1"/>
  <c r="T118" i="1"/>
  <c r="Z118" i="1" s="1"/>
  <c r="AF118" i="1" s="1"/>
  <c r="S118" i="1"/>
  <c r="Y118" i="1" s="1"/>
  <c r="AE118" i="1" s="1"/>
  <c r="R118" i="1"/>
  <c r="X118" i="1" s="1"/>
  <c r="AD118" i="1" s="1"/>
  <c r="V117" i="1"/>
  <c r="AB117" i="1" s="1"/>
  <c r="AH117" i="1" s="1"/>
  <c r="U117" i="1"/>
  <c r="AA117" i="1" s="1"/>
  <c r="AG117" i="1" s="1"/>
  <c r="T117" i="1"/>
  <c r="Z117" i="1" s="1"/>
  <c r="AF117" i="1" s="1"/>
  <c r="S117" i="1"/>
  <c r="Y117" i="1" s="1"/>
  <c r="AE117" i="1" s="1"/>
  <c r="R117" i="1"/>
  <c r="X117" i="1" s="1"/>
  <c r="AD117" i="1" s="1"/>
  <c r="V116" i="1"/>
  <c r="AB116" i="1" s="1"/>
  <c r="AH116" i="1" s="1"/>
  <c r="U116" i="1"/>
  <c r="AA116" i="1" s="1"/>
  <c r="AG116" i="1" s="1"/>
  <c r="T116" i="1"/>
  <c r="Z116" i="1" s="1"/>
  <c r="AF116" i="1" s="1"/>
  <c r="S116" i="1"/>
  <c r="Y116" i="1" s="1"/>
  <c r="AE116" i="1" s="1"/>
  <c r="R116" i="1"/>
  <c r="X116" i="1" s="1"/>
  <c r="AD116" i="1" s="1"/>
  <c r="V115" i="1"/>
  <c r="AB115" i="1" s="1"/>
  <c r="AH115" i="1" s="1"/>
  <c r="U115" i="1"/>
  <c r="AA115" i="1" s="1"/>
  <c r="AG115" i="1" s="1"/>
  <c r="T115" i="1"/>
  <c r="Z115" i="1" s="1"/>
  <c r="AF115" i="1" s="1"/>
  <c r="S115" i="1"/>
  <c r="Y115" i="1" s="1"/>
  <c r="AE115" i="1" s="1"/>
  <c r="R115" i="1"/>
  <c r="X115" i="1" s="1"/>
  <c r="AD115" i="1" s="1"/>
  <c r="V114" i="1"/>
  <c r="AB114" i="1" s="1"/>
  <c r="AH114" i="1" s="1"/>
  <c r="U114" i="1"/>
  <c r="AA114" i="1" s="1"/>
  <c r="AG114" i="1" s="1"/>
  <c r="T114" i="1"/>
  <c r="Z114" i="1" s="1"/>
  <c r="AF114" i="1" s="1"/>
  <c r="S114" i="1"/>
  <c r="Y114" i="1" s="1"/>
  <c r="AE114" i="1" s="1"/>
  <c r="R114" i="1"/>
  <c r="X114" i="1" s="1"/>
  <c r="AD114" i="1" s="1"/>
  <c r="V113" i="1"/>
  <c r="AB113" i="1" s="1"/>
  <c r="AH113" i="1" s="1"/>
  <c r="U113" i="1"/>
  <c r="AA113" i="1" s="1"/>
  <c r="AG113" i="1" s="1"/>
  <c r="T113" i="1"/>
  <c r="Z113" i="1" s="1"/>
  <c r="AF113" i="1" s="1"/>
  <c r="S113" i="1"/>
  <c r="Y113" i="1" s="1"/>
  <c r="AE113" i="1" s="1"/>
  <c r="R113" i="1"/>
  <c r="X113" i="1" s="1"/>
  <c r="AD113" i="1" s="1"/>
  <c r="V112" i="1"/>
  <c r="AB112" i="1" s="1"/>
  <c r="AH112" i="1" s="1"/>
  <c r="U112" i="1"/>
  <c r="AA112" i="1" s="1"/>
  <c r="AG112" i="1" s="1"/>
  <c r="T112" i="1"/>
  <c r="Z112" i="1" s="1"/>
  <c r="AF112" i="1" s="1"/>
  <c r="S112" i="1"/>
  <c r="Y112" i="1" s="1"/>
  <c r="AE112" i="1" s="1"/>
  <c r="R112" i="1"/>
  <c r="X112" i="1" s="1"/>
  <c r="AD112" i="1" s="1"/>
  <c r="V111" i="1"/>
  <c r="AB111" i="1" s="1"/>
  <c r="AH111" i="1" s="1"/>
  <c r="U111" i="1"/>
  <c r="AA111" i="1" s="1"/>
  <c r="AG111" i="1" s="1"/>
  <c r="T111" i="1"/>
  <c r="Z111" i="1" s="1"/>
  <c r="AF111" i="1" s="1"/>
  <c r="S111" i="1"/>
  <c r="Y111" i="1" s="1"/>
  <c r="AE111" i="1" s="1"/>
  <c r="R111" i="1"/>
  <c r="X111" i="1" s="1"/>
  <c r="AD111" i="1" s="1"/>
  <c r="V110" i="1"/>
  <c r="AB110" i="1" s="1"/>
  <c r="AH110" i="1" s="1"/>
  <c r="U110" i="1"/>
  <c r="AA110" i="1" s="1"/>
  <c r="AG110" i="1" s="1"/>
  <c r="T110" i="1"/>
  <c r="Z110" i="1" s="1"/>
  <c r="AF110" i="1" s="1"/>
  <c r="S110" i="1"/>
  <c r="Y110" i="1" s="1"/>
  <c r="AE110" i="1" s="1"/>
  <c r="R110" i="1"/>
  <c r="X110" i="1" s="1"/>
  <c r="AD110" i="1" s="1"/>
  <c r="V109" i="1"/>
  <c r="AB109" i="1" s="1"/>
  <c r="AH109" i="1" s="1"/>
  <c r="U109" i="1"/>
  <c r="AA109" i="1" s="1"/>
  <c r="AG109" i="1" s="1"/>
  <c r="T109" i="1"/>
  <c r="Z109" i="1" s="1"/>
  <c r="AF109" i="1" s="1"/>
  <c r="S109" i="1"/>
  <c r="Y109" i="1" s="1"/>
  <c r="AE109" i="1" s="1"/>
  <c r="R109" i="1"/>
  <c r="X109" i="1" s="1"/>
  <c r="AD109" i="1" s="1"/>
  <c r="V108" i="1"/>
  <c r="AB108" i="1" s="1"/>
  <c r="AH108" i="1" s="1"/>
  <c r="U108" i="1"/>
  <c r="AA108" i="1" s="1"/>
  <c r="AG108" i="1" s="1"/>
  <c r="T108" i="1"/>
  <c r="Z108" i="1" s="1"/>
  <c r="AF108" i="1" s="1"/>
  <c r="S108" i="1"/>
  <c r="Y108" i="1" s="1"/>
  <c r="AE108" i="1" s="1"/>
  <c r="R108" i="1"/>
  <c r="X108" i="1" s="1"/>
  <c r="AD108" i="1" s="1"/>
  <c r="V107" i="1"/>
  <c r="AB107" i="1" s="1"/>
  <c r="AH107" i="1" s="1"/>
  <c r="U107" i="1"/>
  <c r="AA107" i="1" s="1"/>
  <c r="AG107" i="1" s="1"/>
  <c r="T107" i="1"/>
  <c r="Z107" i="1" s="1"/>
  <c r="AF107" i="1" s="1"/>
  <c r="S107" i="1"/>
  <c r="Y107" i="1" s="1"/>
  <c r="AE107" i="1" s="1"/>
  <c r="R107" i="1"/>
  <c r="X107" i="1" s="1"/>
  <c r="AD107" i="1" s="1"/>
  <c r="V106" i="1"/>
  <c r="AB106" i="1" s="1"/>
  <c r="AH106" i="1" s="1"/>
  <c r="U106" i="1"/>
  <c r="AA106" i="1" s="1"/>
  <c r="AG106" i="1" s="1"/>
  <c r="T106" i="1"/>
  <c r="Z106" i="1" s="1"/>
  <c r="AF106" i="1" s="1"/>
  <c r="S106" i="1"/>
  <c r="Y106" i="1" s="1"/>
  <c r="AE106" i="1" s="1"/>
  <c r="R106" i="1"/>
  <c r="X106" i="1" s="1"/>
  <c r="AD106" i="1" s="1"/>
  <c r="V105" i="1"/>
  <c r="AB105" i="1" s="1"/>
  <c r="AH105" i="1" s="1"/>
  <c r="U105" i="1"/>
  <c r="AA105" i="1" s="1"/>
  <c r="AG105" i="1" s="1"/>
  <c r="T105" i="1"/>
  <c r="Z105" i="1" s="1"/>
  <c r="AF105" i="1" s="1"/>
  <c r="S105" i="1"/>
  <c r="Y105" i="1" s="1"/>
  <c r="AE105" i="1" s="1"/>
  <c r="R105" i="1"/>
  <c r="X105" i="1" s="1"/>
  <c r="AD105" i="1" s="1"/>
  <c r="V104" i="1"/>
  <c r="AB104" i="1" s="1"/>
  <c r="AH104" i="1" s="1"/>
  <c r="U104" i="1"/>
  <c r="AA104" i="1" s="1"/>
  <c r="AG104" i="1" s="1"/>
  <c r="T104" i="1"/>
  <c r="Z104" i="1" s="1"/>
  <c r="AF104" i="1" s="1"/>
  <c r="S104" i="1"/>
  <c r="Y104" i="1" s="1"/>
  <c r="AE104" i="1" s="1"/>
  <c r="R104" i="1"/>
  <c r="X104" i="1" s="1"/>
  <c r="AD104" i="1" s="1"/>
  <c r="V103" i="1"/>
  <c r="AB103" i="1" s="1"/>
  <c r="AH103" i="1" s="1"/>
  <c r="U103" i="1"/>
  <c r="AA103" i="1" s="1"/>
  <c r="AG103" i="1" s="1"/>
  <c r="T103" i="1"/>
  <c r="Z103" i="1" s="1"/>
  <c r="AF103" i="1" s="1"/>
  <c r="S103" i="1"/>
  <c r="Y103" i="1" s="1"/>
  <c r="AE103" i="1" s="1"/>
  <c r="R103" i="1"/>
  <c r="X103" i="1" s="1"/>
  <c r="AD103" i="1" s="1"/>
  <c r="V102" i="1"/>
  <c r="AB102" i="1" s="1"/>
  <c r="AH102" i="1" s="1"/>
  <c r="U102" i="1"/>
  <c r="AA102" i="1" s="1"/>
  <c r="AG102" i="1" s="1"/>
  <c r="T102" i="1"/>
  <c r="Z102" i="1" s="1"/>
  <c r="AF102" i="1" s="1"/>
  <c r="S102" i="1"/>
  <c r="Y102" i="1" s="1"/>
  <c r="AE102" i="1" s="1"/>
  <c r="R102" i="1"/>
  <c r="X102" i="1" s="1"/>
  <c r="AD102" i="1" s="1"/>
  <c r="V101" i="1"/>
  <c r="AB101" i="1" s="1"/>
  <c r="AH101" i="1" s="1"/>
  <c r="U101" i="1"/>
  <c r="AA101" i="1" s="1"/>
  <c r="AG101" i="1" s="1"/>
  <c r="T101" i="1"/>
  <c r="Z101" i="1" s="1"/>
  <c r="AF101" i="1" s="1"/>
  <c r="S101" i="1"/>
  <c r="Y101" i="1" s="1"/>
  <c r="AE101" i="1" s="1"/>
  <c r="R101" i="1"/>
  <c r="X101" i="1" s="1"/>
  <c r="AD101" i="1" s="1"/>
  <c r="AN100" i="1"/>
  <c r="V100" i="1"/>
  <c r="AB100" i="1" s="1"/>
  <c r="AH100" i="1" s="1"/>
  <c r="U100" i="1"/>
  <c r="AA100" i="1" s="1"/>
  <c r="AG100" i="1" s="1"/>
  <c r="T100" i="1"/>
  <c r="Z100" i="1" s="1"/>
  <c r="AF100" i="1" s="1"/>
  <c r="S100" i="1"/>
  <c r="Y100" i="1" s="1"/>
  <c r="AE100" i="1" s="1"/>
  <c r="R100" i="1"/>
  <c r="X100" i="1" s="1"/>
  <c r="AD100" i="1" s="1"/>
  <c r="V99" i="1"/>
  <c r="AB99" i="1" s="1"/>
  <c r="AH99" i="1" s="1"/>
  <c r="U99" i="1"/>
  <c r="AA99" i="1" s="1"/>
  <c r="AG99" i="1" s="1"/>
  <c r="T99" i="1"/>
  <c r="Z99" i="1" s="1"/>
  <c r="AF99" i="1" s="1"/>
  <c r="S99" i="1"/>
  <c r="Y99" i="1" s="1"/>
  <c r="AE99" i="1" s="1"/>
  <c r="R99" i="1"/>
  <c r="X99" i="1" s="1"/>
  <c r="AD99" i="1" s="1"/>
  <c r="V98" i="1"/>
  <c r="AB98" i="1" s="1"/>
  <c r="AH98" i="1" s="1"/>
  <c r="U98" i="1"/>
  <c r="AA98" i="1" s="1"/>
  <c r="AG98" i="1" s="1"/>
  <c r="T98" i="1"/>
  <c r="Z98" i="1" s="1"/>
  <c r="AF98" i="1" s="1"/>
  <c r="S98" i="1"/>
  <c r="Y98" i="1" s="1"/>
  <c r="AE98" i="1" s="1"/>
  <c r="R98" i="1"/>
  <c r="X98" i="1" s="1"/>
  <c r="AD98" i="1" s="1"/>
  <c r="V97" i="1"/>
  <c r="AB97" i="1" s="1"/>
  <c r="AH97" i="1" s="1"/>
  <c r="U97" i="1"/>
  <c r="AA97" i="1" s="1"/>
  <c r="AG97" i="1" s="1"/>
  <c r="T97" i="1"/>
  <c r="Z97" i="1" s="1"/>
  <c r="AF97" i="1" s="1"/>
  <c r="S97" i="1"/>
  <c r="Y97" i="1" s="1"/>
  <c r="AE97" i="1" s="1"/>
  <c r="R97" i="1"/>
  <c r="X97" i="1" s="1"/>
  <c r="AD97" i="1" s="1"/>
  <c r="V96" i="1"/>
  <c r="AB96" i="1" s="1"/>
  <c r="AH96" i="1" s="1"/>
  <c r="U96" i="1"/>
  <c r="AA96" i="1" s="1"/>
  <c r="AG96" i="1" s="1"/>
  <c r="T96" i="1"/>
  <c r="Z96" i="1" s="1"/>
  <c r="AF96" i="1" s="1"/>
  <c r="S96" i="1"/>
  <c r="Y96" i="1" s="1"/>
  <c r="AE96" i="1" s="1"/>
  <c r="R96" i="1"/>
  <c r="X96" i="1" s="1"/>
  <c r="AD96" i="1" s="1"/>
  <c r="V95" i="1"/>
  <c r="AB95" i="1" s="1"/>
  <c r="AH95" i="1" s="1"/>
  <c r="U95" i="1"/>
  <c r="AA95" i="1" s="1"/>
  <c r="AG95" i="1" s="1"/>
  <c r="T95" i="1"/>
  <c r="Z95" i="1" s="1"/>
  <c r="AF95" i="1" s="1"/>
  <c r="S95" i="1"/>
  <c r="Y95" i="1" s="1"/>
  <c r="AE95" i="1" s="1"/>
  <c r="R95" i="1"/>
  <c r="X95" i="1" s="1"/>
  <c r="AD95" i="1" s="1"/>
  <c r="V94" i="1"/>
  <c r="AB94" i="1" s="1"/>
  <c r="AH94" i="1" s="1"/>
  <c r="U94" i="1"/>
  <c r="AA94" i="1" s="1"/>
  <c r="AG94" i="1" s="1"/>
  <c r="T94" i="1"/>
  <c r="Z94" i="1" s="1"/>
  <c r="AF94" i="1" s="1"/>
  <c r="S94" i="1"/>
  <c r="Y94" i="1" s="1"/>
  <c r="AE94" i="1" s="1"/>
  <c r="R94" i="1"/>
  <c r="X94" i="1" s="1"/>
  <c r="AD94" i="1" s="1"/>
  <c r="V93" i="1"/>
  <c r="AB93" i="1" s="1"/>
  <c r="AH93" i="1" s="1"/>
  <c r="U93" i="1"/>
  <c r="AA93" i="1" s="1"/>
  <c r="AG93" i="1" s="1"/>
  <c r="T93" i="1"/>
  <c r="Z93" i="1" s="1"/>
  <c r="AF93" i="1" s="1"/>
  <c r="S93" i="1"/>
  <c r="Y93" i="1" s="1"/>
  <c r="AE93" i="1" s="1"/>
  <c r="R93" i="1"/>
  <c r="X93" i="1" s="1"/>
  <c r="AD93" i="1" s="1"/>
  <c r="V92" i="1"/>
  <c r="AB92" i="1" s="1"/>
  <c r="AH92" i="1" s="1"/>
  <c r="U92" i="1"/>
  <c r="AA92" i="1" s="1"/>
  <c r="AG92" i="1" s="1"/>
  <c r="T92" i="1"/>
  <c r="Z92" i="1" s="1"/>
  <c r="AF92" i="1" s="1"/>
  <c r="S92" i="1"/>
  <c r="Y92" i="1" s="1"/>
  <c r="AE92" i="1" s="1"/>
  <c r="R92" i="1"/>
  <c r="X92" i="1" s="1"/>
  <c r="AD92" i="1" s="1"/>
  <c r="V91" i="1"/>
  <c r="AB91" i="1" s="1"/>
  <c r="AH91" i="1" s="1"/>
  <c r="U91" i="1"/>
  <c r="AA91" i="1" s="1"/>
  <c r="AG91" i="1" s="1"/>
  <c r="T91" i="1"/>
  <c r="Z91" i="1" s="1"/>
  <c r="AF91" i="1" s="1"/>
  <c r="S91" i="1"/>
  <c r="Y91" i="1" s="1"/>
  <c r="AE91" i="1" s="1"/>
  <c r="R91" i="1"/>
  <c r="X91" i="1" s="1"/>
  <c r="AD91" i="1" s="1"/>
  <c r="V90" i="1"/>
  <c r="AB90" i="1" s="1"/>
  <c r="AH90" i="1" s="1"/>
  <c r="U90" i="1"/>
  <c r="AA90" i="1" s="1"/>
  <c r="AG90" i="1" s="1"/>
  <c r="T90" i="1"/>
  <c r="Z90" i="1" s="1"/>
  <c r="AF90" i="1" s="1"/>
  <c r="S90" i="1"/>
  <c r="Y90" i="1" s="1"/>
  <c r="AE90" i="1" s="1"/>
  <c r="R90" i="1"/>
  <c r="X90" i="1" s="1"/>
  <c r="AD90" i="1" s="1"/>
  <c r="V89" i="1"/>
  <c r="AB89" i="1" s="1"/>
  <c r="AH89" i="1" s="1"/>
  <c r="U89" i="1"/>
  <c r="AA89" i="1" s="1"/>
  <c r="AG89" i="1" s="1"/>
  <c r="T89" i="1"/>
  <c r="Z89" i="1" s="1"/>
  <c r="AF89" i="1" s="1"/>
  <c r="S89" i="1"/>
  <c r="Y89" i="1" s="1"/>
  <c r="AE89" i="1" s="1"/>
  <c r="R89" i="1"/>
  <c r="X89" i="1" s="1"/>
  <c r="AD89" i="1" s="1"/>
  <c r="V88" i="1"/>
  <c r="AB88" i="1" s="1"/>
  <c r="AH88" i="1" s="1"/>
  <c r="U88" i="1"/>
  <c r="AA88" i="1" s="1"/>
  <c r="AG88" i="1" s="1"/>
  <c r="T88" i="1"/>
  <c r="Z88" i="1" s="1"/>
  <c r="AF88" i="1" s="1"/>
  <c r="S88" i="1"/>
  <c r="Y88" i="1" s="1"/>
  <c r="AE88" i="1" s="1"/>
  <c r="R88" i="1"/>
  <c r="X88" i="1" s="1"/>
  <c r="AD88" i="1" s="1"/>
  <c r="V87" i="1"/>
  <c r="AB87" i="1" s="1"/>
  <c r="AH87" i="1" s="1"/>
  <c r="U87" i="1"/>
  <c r="AA87" i="1" s="1"/>
  <c r="AG87" i="1" s="1"/>
  <c r="T87" i="1"/>
  <c r="Z87" i="1" s="1"/>
  <c r="AF87" i="1" s="1"/>
  <c r="S87" i="1"/>
  <c r="Y87" i="1" s="1"/>
  <c r="AE87" i="1" s="1"/>
  <c r="R87" i="1"/>
  <c r="X87" i="1" s="1"/>
  <c r="AD87" i="1" s="1"/>
  <c r="V86" i="1"/>
  <c r="AB86" i="1" s="1"/>
  <c r="AH86" i="1" s="1"/>
  <c r="U86" i="1"/>
  <c r="AA86" i="1" s="1"/>
  <c r="AG86" i="1" s="1"/>
  <c r="T86" i="1"/>
  <c r="Z86" i="1" s="1"/>
  <c r="AF86" i="1" s="1"/>
  <c r="S86" i="1"/>
  <c r="Y86" i="1" s="1"/>
  <c r="AE86" i="1" s="1"/>
  <c r="R86" i="1"/>
  <c r="X86" i="1" s="1"/>
  <c r="AD86" i="1" s="1"/>
  <c r="V85" i="1"/>
  <c r="AB85" i="1" s="1"/>
  <c r="AH85" i="1" s="1"/>
  <c r="U85" i="1"/>
  <c r="AA85" i="1" s="1"/>
  <c r="AG85" i="1" s="1"/>
  <c r="T85" i="1"/>
  <c r="Z85" i="1" s="1"/>
  <c r="AF85" i="1" s="1"/>
  <c r="S85" i="1"/>
  <c r="Y85" i="1" s="1"/>
  <c r="AE85" i="1" s="1"/>
  <c r="R85" i="1"/>
  <c r="X85" i="1" s="1"/>
  <c r="AD85" i="1" s="1"/>
  <c r="V84" i="1"/>
  <c r="AB84" i="1" s="1"/>
  <c r="AH84" i="1" s="1"/>
  <c r="U84" i="1"/>
  <c r="AA84" i="1" s="1"/>
  <c r="AG84" i="1" s="1"/>
  <c r="T84" i="1"/>
  <c r="Z84" i="1" s="1"/>
  <c r="AF84" i="1" s="1"/>
  <c r="S84" i="1"/>
  <c r="Y84" i="1" s="1"/>
  <c r="AE84" i="1" s="1"/>
  <c r="R84" i="1"/>
  <c r="X84" i="1" s="1"/>
  <c r="AD84" i="1" s="1"/>
  <c r="V83" i="1"/>
  <c r="AB83" i="1" s="1"/>
  <c r="AH83" i="1" s="1"/>
  <c r="U83" i="1"/>
  <c r="AA83" i="1" s="1"/>
  <c r="AG83" i="1" s="1"/>
  <c r="T83" i="1"/>
  <c r="Z83" i="1" s="1"/>
  <c r="AF83" i="1" s="1"/>
  <c r="S83" i="1"/>
  <c r="Y83" i="1" s="1"/>
  <c r="AE83" i="1" s="1"/>
  <c r="R83" i="1"/>
  <c r="X83" i="1" s="1"/>
  <c r="AD83" i="1" s="1"/>
  <c r="V82" i="1"/>
  <c r="AB82" i="1" s="1"/>
  <c r="AH82" i="1" s="1"/>
  <c r="U82" i="1"/>
  <c r="AA82" i="1" s="1"/>
  <c r="AG82" i="1" s="1"/>
  <c r="T82" i="1"/>
  <c r="Z82" i="1" s="1"/>
  <c r="AF82" i="1" s="1"/>
  <c r="S82" i="1"/>
  <c r="Y82" i="1" s="1"/>
  <c r="AE82" i="1" s="1"/>
  <c r="R82" i="1"/>
  <c r="X82" i="1" s="1"/>
  <c r="AD82" i="1" s="1"/>
  <c r="V81" i="1"/>
  <c r="AB81" i="1" s="1"/>
  <c r="AH81" i="1" s="1"/>
  <c r="U81" i="1"/>
  <c r="AA81" i="1" s="1"/>
  <c r="AG81" i="1" s="1"/>
  <c r="T81" i="1"/>
  <c r="Z81" i="1" s="1"/>
  <c r="AF81" i="1" s="1"/>
  <c r="S81" i="1"/>
  <c r="Y81" i="1" s="1"/>
  <c r="AE81" i="1" s="1"/>
  <c r="R81" i="1"/>
  <c r="X81" i="1" s="1"/>
  <c r="AD81" i="1" s="1"/>
  <c r="V80" i="1"/>
  <c r="AB80" i="1" s="1"/>
  <c r="AH80" i="1" s="1"/>
  <c r="U80" i="1"/>
  <c r="AA80" i="1" s="1"/>
  <c r="AG80" i="1" s="1"/>
  <c r="T80" i="1"/>
  <c r="Z80" i="1" s="1"/>
  <c r="AF80" i="1" s="1"/>
  <c r="S80" i="1"/>
  <c r="Y80" i="1" s="1"/>
  <c r="AE80" i="1" s="1"/>
  <c r="R80" i="1"/>
  <c r="X80" i="1" s="1"/>
  <c r="AD80" i="1" s="1"/>
  <c r="V79" i="1"/>
  <c r="AB79" i="1" s="1"/>
  <c r="AH79" i="1" s="1"/>
  <c r="U79" i="1"/>
  <c r="AA79" i="1" s="1"/>
  <c r="AG79" i="1" s="1"/>
  <c r="T79" i="1"/>
  <c r="Z79" i="1" s="1"/>
  <c r="AF79" i="1" s="1"/>
  <c r="S79" i="1"/>
  <c r="Y79" i="1" s="1"/>
  <c r="AE79" i="1" s="1"/>
  <c r="R79" i="1"/>
  <c r="X79" i="1" s="1"/>
  <c r="AD79" i="1" s="1"/>
  <c r="V78" i="1"/>
  <c r="AB78" i="1" s="1"/>
  <c r="AH78" i="1" s="1"/>
  <c r="U78" i="1"/>
  <c r="AA78" i="1" s="1"/>
  <c r="AG78" i="1" s="1"/>
  <c r="T78" i="1"/>
  <c r="Z78" i="1" s="1"/>
  <c r="AF78" i="1" s="1"/>
  <c r="S78" i="1"/>
  <c r="Y78" i="1" s="1"/>
  <c r="AE78" i="1" s="1"/>
  <c r="R78" i="1"/>
  <c r="X78" i="1" s="1"/>
  <c r="AD78" i="1" s="1"/>
  <c r="V77" i="1"/>
  <c r="AB77" i="1" s="1"/>
  <c r="AH77" i="1" s="1"/>
  <c r="U77" i="1"/>
  <c r="AA77" i="1" s="1"/>
  <c r="AG77" i="1" s="1"/>
  <c r="T77" i="1"/>
  <c r="Z77" i="1" s="1"/>
  <c r="AF77" i="1" s="1"/>
  <c r="S77" i="1"/>
  <c r="Y77" i="1" s="1"/>
  <c r="AE77" i="1" s="1"/>
  <c r="R77" i="1"/>
  <c r="X77" i="1" s="1"/>
  <c r="AD77" i="1" s="1"/>
  <c r="V76" i="1"/>
  <c r="AB76" i="1" s="1"/>
  <c r="AH76" i="1" s="1"/>
  <c r="U76" i="1"/>
  <c r="AA76" i="1" s="1"/>
  <c r="AG76" i="1" s="1"/>
  <c r="T76" i="1"/>
  <c r="Z76" i="1" s="1"/>
  <c r="AF76" i="1" s="1"/>
  <c r="S76" i="1"/>
  <c r="Y76" i="1" s="1"/>
  <c r="AE76" i="1" s="1"/>
  <c r="R76" i="1"/>
  <c r="X76" i="1" s="1"/>
  <c r="AD76" i="1" s="1"/>
  <c r="V75" i="1"/>
  <c r="AB75" i="1" s="1"/>
  <c r="AH75" i="1" s="1"/>
  <c r="U75" i="1"/>
  <c r="AA75" i="1" s="1"/>
  <c r="AG75" i="1" s="1"/>
  <c r="T75" i="1"/>
  <c r="Z75" i="1" s="1"/>
  <c r="AF75" i="1" s="1"/>
  <c r="S75" i="1"/>
  <c r="Y75" i="1" s="1"/>
  <c r="AE75" i="1" s="1"/>
  <c r="R75" i="1"/>
  <c r="X75" i="1" s="1"/>
  <c r="AD75" i="1" s="1"/>
  <c r="V74" i="1"/>
  <c r="AB74" i="1" s="1"/>
  <c r="AH74" i="1" s="1"/>
  <c r="U74" i="1"/>
  <c r="AA74" i="1" s="1"/>
  <c r="AG74" i="1" s="1"/>
  <c r="T74" i="1"/>
  <c r="Z74" i="1" s="1"/>
  <c r="AF74" i="1" s="1"/>
  <c r="S74" i="1"/>
  <c r="Y74" i="1" s="1"/>
  <c r="AE74" i="1" s="1"/>
  <c r="R74" i="1"/>
  <c r="X74" i="1" s="1"/>
  <c r="AD74" i="1" s="1"/>
  <c r="V73" i="1"/>
  <c r="AB73" i="1" s="1"/>
  <c r="AH73" i="1" s="1"/>
  <c r="U73" i="1"/>
  <c r="AA73" i="1" s="1"/>
  <c r="AG73" i="1" s="1"/>
  <c r="T73" i="1"/>
  <c r="Z73" i="1" s="1"/>
  <c r="AF73" i="1" s="1"/>
  <c r="S73" i="1"/>
  <c r="Y73" i="1" s="1"/>
  <c r="AE73" i="1" s="1"/>
  <c r="R73" i="1"/>
  <c r="X73" i="1" s="1"/>
  <c r="AD73" i="1" s="1"/>
  <c r="BC72" i="1"/>
  <c r="V72" i="1"/>
  <c r="AB72" i="1" s="1"/>
  <c r="AH72" i="1" s="1"/>
  <c r="U72" i="1"/>
  <c r="AA72" i="1" s="1"/>
  <c r="AG72" i="1" s="1"/>
  <c r="T72" i="1"/>
  <c r="Z72" i="1" s="1"/>
  <c r="AF72" i="1" s="1"/>
  <c r="S72" i="1"/>
  <c r="Y72" i="1" s="1"/>
  <c r="AE72" i="1" s="1"/>
  <c r="R72" i="1"/>
  <c r="X72" i="1" s="1"/>
  <c r="AD72" i="1" s="1"/>
  <c r="BC71" i="1"/>
  <c r="V71" i="1"/>
  <c r="AB71" i="1" s="1"/>
  <c r="AH71" i="1" s="1"/>
  <c r="U71" i="1"/>
  <c r="AA71" i="1" s="1"/>
  <c r="AG71" i="1" s="1"/>
  <c r="T71" i="1"/>
  <c r="Z71" i="1" s="1"/>
  <c r="AF71" i="1" s="1"/>
  <c r="S71" i="1"/>
  <c r="Y71" i="1" s="1"/>
  <c r="AE71" i="1" s="1"/>
  <c r="R71" i="1"/>
  <c r="X71" i="1" s="1"/>
  <c r="AD71" i="1" s="1"/>
  <c r="V70" i="1"/>
  <c r="AB70" i="1" s="1"/>
  <c r="AH70" i="1" s="1"/>
  <c r="U70" i="1"/>
  <c r="AA70" i="1" s="1"/>
  <c r="AG70" i="1" s="1"/>
  <c r="T70" i="1"/>
  <c r="Z70" i="1" s="1"/>
  <c r="AF70" i="1" s="1"/>
  <c r="S70" i="1"/>
  <c r="Y70" i="1" s="1"/>
  <c r="AE70" i="1" s="1"/>
  <c r="R70" i="1"/>
  <c r="X70" i="1" s="1"/>
  <c r="AD70" i="1" s="1"/>
  <c r="V69" i="1"/>
  <c r="AB69" i="1" s="1"/>
  <c r="AH69" i="1" s="1"/>
  <c r="U69" i="1"/>
  <c r="AA69" i="1" s="1"/>
  <c r="AG69" i="1" s="1"/>
  <c r="T69" i="1"/>
  <c r="Z69" i="1" s="1"/>
  <c r="AF69" i="1" s="1"/>
  <c r="S69" i="1"/>
  <c r="Y69" i="1" s="1"/>
  <c r="AE69" i="1" s="1"/>
  <c r="R69" i="1"/>
  <c r="X69" i="1" s="1"/>
  <c r="AD69" i="1" s="1"/>
  <c r="V68" i="1"/>
  <c r="AB68" i="1" s="1"/>
  <c r="AH68" i="1" s="1"/>
  <c r="U68" i="1"/>
  <c r="AA68" i="1" s="1"/>
  <c r="AG68" i="1" s="1"/>
  <c r="T68" i="1"/>
  <c r="Z68" i="1" s="1"/>
  <c r="AF68" i="1" s="1"/>
  <c r="S68" i="1"/>
  <c r="Y68" i="1" s="1"/>
  <c r="AE68" i="1" s="1"/>
  <c r="R68" i="1"/>
  <c r="X68" i="1" s="1"/>
  <c r="AD68" i="1" s="1"/>
  <c r="V67" i="1"/>
  <c r="AB67" i="1" s="1"/>
  <c r="AH67" i="1" s="1"/>
  <c r="U67" i="1"/>
  <c r="AA67" i="1" s="1"/>
  <c r="AG67" i="1" s="1"/>
  <c r="T67" i="1"/>
  <c r="Z67" i="1" s="1"/>
  <c r="AF67" i="1" s="1"/>
  <c r="S67" i="1"/>
  <c r="Y67" i="1" s="1"/>
  <c r="AE67" i="1" s="1"/>
  <c r="R67" i="1"/>
  <c r="X67" i="1" s="1"/>
  <c r="AD67" i="1" s="1"/>
  <c r="V66" i="1"/>
  <c r="AB66" i="1" s="1"/>
  <c r="AH66" i="1" s="1"/>
  <c r="U66" i="1"/>
  <c r="AA66" i="1" s="1"/>
  <c r="AG66" i="1" s="1"/>
  <c r="T66" i="1"/>
  <c r="Z66" i="1" s="1"/>
  <c r="AF66" i="1" s="1"/>
  <c r="S66" i="1"/>
  <c r="Y66" i="1" s="1"/>
  <c r="AE66" i="1" s="1"/>
  <c r="R66" i="1"/>
  <c r="X66" i="1" s="1"/>
  <c r="AD66" i="1" s="1"/>
  <c r="V65" i="1"/>
  <c r="AB65" i="1" s="1"/>
  <c r="AH65" i="1" s="1"/>
  <c r="U65" i="1"/>
  <c r="AA65" i="1" s="1"/>
  <c r="AG65" i="1" s="1"/>
  <c r="T65" i="1"/>
  <c r="Z65" i="1" s="1"/>
  <c r="AF65" i="1" s="1"/>
  <c r="S65" i="1"/>
  <c r="Y65" i="1" s="1"/>
  <c r="AE65" i="1" s="1"/>
  <c r="R65" i="1"/>
  <c r="X65" i="1" s="1"/>
  <c r="AD65" i="1" s="1"/>
  <c r="V64" i="1"/>
  <c r="AB64" i="1" s="1"/>
  <c r="AH64" i="1" s="1"/>
  <c r="U64" i="1"/>
  <c r="AA64" i="1" s="1"/>
  <c r="AG64" i="1" s="1"/>
  <c r="T64" i="1"/>
  <c r="Z64" i="1" s="1"/>
  <c r="AF64" i="1" s="1"/>
  <c r="S64" i="1"/>
  <c r="Y64" i="1" s="1"/>
  <c r="AE64" i="1" s="1"/>
  <c r="R64" i="1"/>
  <c r="X64" i="1" s="1"/>
  <c r="AD64" i="1" s="1"/>
  <c r="BC63" i="1"/>
  <c r="V63" i="1"/>
  <c r="AB63" i="1" s="1"/>
  <c r="AH63" i="1" s="1"/>
  <c r="U63" i="1"/>
  <c r="AA63" i="1" s="1"/>
  <c r="AG63" i="1" s="1"/>
  <c r="T63" i="1"/>
  <c r="Z63" i="1" s="1"/>
  <c r="AF63" i="1" s="1"/>
  <c r="S63" i="1"/>
  <c r="Y63" i="1" s="1"/>
  <c r="AE63" i="1" s="1"/>
  <c r="R63" i="1"/>
  <c r="X63" i="1" s="1"/>
  <c r="AD63" i="1" s="1"/>
  <c r="BC62" i="1"/>
  <c r="V62" i="1"/>
  <c r="AB62" i="1" s="1"/>
  <c r="AH62" i="1" s="1"/>
  <c r="U62" i="1"/>
  <c r="AA62" i="1" s="1"/>
  <c r="AG62" i="1" s="1"/>
  <c r="T62" i="1"/>
  <c r="Z62" i="1" s="1"/>
  <c r="AF62" i="1" s="1"/>
  <c r="S62" i="1"/>
  <c r="Y62" i="1" s="1"/>
  <c r="AE62" i="1" s="1"/>
  <c r="R62" i="1"/>
  <c r="X62" i="1" s="1"/>
  <c r="AD62" i="1" s="1"/>
  <c r="BC61" i="1"/>
  <c r="V61" i="1"/>
  <c r="AB61" i="1" s="1"/>
  <c r="AH61" i="1" s="1"/>
  <c r="U61" i="1"/>
  <c r="AA61" i="1" s="1"/>
  <c r="AG61" i="1" s="1"/>
  <c r="T61" i="1"/>
  <c r="Z61" i="1" s="1"/>
  <c r="AF61" i="1" s="1"/>
  <c r="S61" i="1"/>
  <c r="Y61" i="1" s="1"/>
  <c r="AE61" i="1" s="1"/>
  <c r="R61" i="1"/>
  <c r="X61" i="1" s="1"/>
  <c r="AD61" i="1" s="1"/>
  <c r="V60" i="1"/>
  <c r="AB60" i="1" s="1"/>
  <c r="AH60" i="1" s="1"/>
  <c r="U60" i="1"/>
  <c r="AA60" i="1" s="1"/>
  <c r="AG60" i="1" s="1"/>
  <c r="T60" i="1"/>
  <c r="Z60" i="1" s="1"/>
  <c r="AF60" i="1" s="1"/>
  <c r="S60" i="1"/>
  <c r="Y60" i="1" s="1"/>
  <c r="AE60" i="1" s="1"/>
  <c r="R60" i="1"/>
  <c r="X60" i="1" s="1"/>
  <c r="AD60" i="1" s="1"/>
  <c r="V59" i="1"/>
  <c r="AB59" i="1" s="1"/>
  <c r="AH59" i="1" s="1"/>
  <c r="U59" i="1"/>
  <c r="AA59" i="1" s="1"/>
  <c r="AG59" i="1" s="1"/>
  <c r="T59" i="1"/>
  <c r="Z59" i="1" s="1"/>
  <c r="AF59" i="1" s="1"/>
  <c r="S59" i="1"/>
  <c r="Y59" i="1" s="1"/>
  <c r="AE59" i="1" s="1"/>
  <c r="R59" i="1"/>
  <c r="X59" i="1" s="1"/>
  <c r="AD59" i="1" s="1"/>
  <c r="V58" i="1"/>
  <c r="AB58" i="1" s="1"/>
  <c r="AH58" i="1" s="1"/>
  <c r="U58" i="1"/>
  <c r="AA58" i="1" s="1"/>
  <c r="AG58" i="1" s="1"/>
  <c r="T58" i="1"/>
  <c r="Z58" i="1" s="1"/>
  <c r="AF58" i="1" s="1"/>
  <c r="S58" i="1"/>
  <c r="Y58" i="1" s="1"/>
  <c r="AE58" i="1" s="1"/>
  <c r="R58" i="1"/>
  <c r="X58" i="1" s="1"/>
  <c r="AD58" i="1" s="1"/>
  <c r="V57" i="1"/>
  <c r="AB57" i="1" s="1"/>
  <c r="AH57" i="1" s="1"/>
  <c r="U57" i="1"/>
  <c r="AA57" i="1" s="1"/>
  <c r="AG57" i="1" s="1"/>
  <c r="T57" i="1"/>
  <c r="Z57" i="1" s="1"/>
  <c r="AF57" i="1" s="1"/>
  <c r="S57" i="1"/>
  <c r="Y57" i="1" s="1"/>
  <c r="AE57" i="1" s="1"/>
  <c r="R57" i="1"/>
  <c r="X57" i="1" s="1"/>
  <c r="AD57" i="1" s="1"/>
  <c r="V56" i="1"/>
  <c r="AB56" i="1" s="1"/>
  <c r="AH56" i="1" s="1"/>
  <c r="U56" i="1"/>
  <c r="AA56" i="1" s="1"/>
  <c r="AG56" i="1" s="1"/>
  <c r="T56" i="1"/>
  <c r="Z56" i="1" s="1"/>
  <c r="AF56" i="1" s="1"/>
  <c r="S56" i="1"/>
  <c r="Y56" i="1" s="1"/>
  <c r="AE56" i="1" s="1"/>
  <c r="R56" i="1"/>
  <c r="X56" i="1" s="1"/>
  <c r="AD56" i="1" s="1"/>
  <c r="V55" i="1"/>
  <c r="AB55" i="1" s="1"/>
  <c r="AH55" i="1" s="1"/>
  <c r="U55" i="1"/>
  <c r="AA55" i="1" s="1"/>
  <c r="AG55" i="1" s="1"/>
  <c r="T55" i="1"/>
  <c r="Z55" i="1" s="1"/>
  <c r="AF55" i="1" s="1"/>
  <c r="S55" i="1"/>
  <c r="Y55" i="1" s="1"/>
  <c r="AE55" i="1" s="1"/>
  <c r="R55" i="1"/>
  <c r="X55" i="1" s="1"/>
  <c r="AD55" i="1" s="1"/>
  <c r="V54" i="1"/>
  <c r="AB54" i="1" s="1"/>
  <c r="AH54" i="1" s="1"/>
  <c r="U54" i="1"/>
  <c r="AA54" i="1" s="1"/>
  <c r="AG54" i="1" s="1"/>
  <c r="T54" i="1"/>
  <c r="Z54" i="1" s="1"/>
  <c r="AF54" i="1" s="1"/>
  <c r="S54" i="1"/>
  <c r="Y54" i="1" s="1"/>
  <c r="AE54" i="1" s="1"/>
  <c r="R54" i="1"/>
  <c r="X54" i="1" s="1"/>
  <c r="AD54" i="1" s="1"/>
  <c r="V53" i="1"/>
  <c r="AB53" i="1" s="1"/>
  <c r="AH53" i="1" s="1"/>
  <c r="U53" i="1"/>
  <c r="AA53" i="1" s="1"/>
  <c r="AG53" i="1" s="1"/>
  <c r="T53" i="1"/>
  <c r="Z53" i="1" s="1"/>
  <c r="AF53" i="1" s="1"/>
  <c r="S53" i="1"/>
  <c r="Y53" i="1" s="1"/>
  <c r="AE53" i="1" s="1"/>
  <c r="R53" i="1"/>
  <c r="X53" i="1" s="1"/>
  <c r="AD53" i="1" s="1"/>
  <c r="V52" i="1"/>
  <c r="AB52" i="1" s="1"/>
  <c r="AH52" i="1" s="1"/>
  <c r="U52" i="1"/>
  <c r="AA52" i="1" s="1"/>
  <c r="AG52" i="1" s="1"/>
  <c r="T52" i="1"/>
  <c r="Z52" i="1" s="1"/>
  <c r="AF52" i="1" s="1"/>
  <c r="S52" i="1"/>
  <c r="Y52" i="1" s="1"/>
  <c r="AE52" i="1" s="1"/>
  <c r="R52" i="1"/>
  <c r="X52" i="1" s="1"/>
  <c r="AD52" i="1" s="1"/>
  <c r="V51" i="1"/>
  <c r="AB51" i="1" s="1"/>
  <c r="AH51" i="1" s="1"/>
  <c r="U51" i="1"/>
  <c r="AA51" i="1" s="1"/>
  <c r="AG51" i="1" s="1"/>
  <c r="T51" i="1"/>
  <c r="Z51" i="1" s="1"/>
  <c r="AF51" i="1" s="1"/>
  <c r="S51" i="1"/>
  <c r="Y51" i="1" s="1"/>
  <c r="AE51" i="1" s="1"/>
  <c r="R51" i="1"/>
  <c r="X51" i="1" s="1"/>
  <c r="AD51" i="1" s="1"/>
  <c r="V50" i="1"/>
  <c r="AB50" i="1" s="1"/>
  <c r="AH50" i="1" s="1"/>
  <c r="U50" i="1"/>
  <c r="AA50" i="1" s="1"/>
  <c r="AG50" i="1" s="1"/>
  <c r="T50" i="1"/>
  <c r="Z50" i="1" s="1"/>
  <c r="AF50" i="1" s="1"/>
  <c r="S50" i="1"/>
  <c r="Y50" i="1" s="1"/>
  <c r="AE50" i="1" s="1"/>
  <c r="R50" i="1"/>
  <c r="X50" i="1" s="1"/>
  <c r="AD50" i="1" s="1"/>
  <c r="V49" i="1"/>
  <c r="AB49" i="1" s="1"/>
  <c r="AH49" i="1" s="1"/>
  <c r="U49" i="1"/>
  <c r="AA49" i="1" s="1"/>
  <c r="AG49" i="1" s="1"/>
  <c r="T49" i="1"/>
  <c r="Z49" i="1" s="1"/>
  <c r="AF49" i="1" s="1"/>
  <c r="S49" i="1"/>
  <c r="Y49" i="1" s="1"/>
  <c r="AE49" i="1" s="1"/>
  <c r="R49" i="1"/>
  <c r="X49" i="1" s="1"/>
  <c r="AD49" i="1" s="1"/>
  <c r="V48" i="1"/>
  <c r="AB48" i="1" s="1"/>
  <c r="AH48" i="1" s="1"/>
  <c r="U48" i="1"/>
  <c r="AA48" i="1" s="1"/>
  <c r="AG48" i="1" s="1"/>
  <c r="T48" i="1"/>
  <c r="Z48" i="1" s="1"/>
  <c r="AF48" i="1" s="1"/>
  <c r="S48" i="1"/>
  <c r="Y48" i="1" s="1"/>
  <c r="AE48" i="1" s="1"/>
  <c r="R48" i="1"/>
  <c r="X48" i="1" s="1"/>
  <c r="AD48" i="1" s="1"/>
  <c r="V47" i="1"/>
  <c r="AB47" i="1" s="1"/>
  <c r="AH47" i="1" s="1"/>
  <c r="U47" i="1"/>
  <c r="AA47" i="1" s="1"/>
  <c r="AG47" i="1" s="1"/>
  <c r="T47" i="1"/>
  <c r="Z47" i="1" s="1"/>
  <c r="AF47" i="1" s="1"/>
  <c r="S47" i="1"/>
  <c r="Y47" i="1" s="1"/>
  <c r="AE47" i="1" s="1"/>
  <c r="R47" i="1"/>
  <c r="X47" i="1" s="1"/>
  <c r="AD47" i="1" s="1"/>
  <c r="V46" i="1"/>
  <c r="AB46" i="1" s="1"/>
  <c r="AH46" i="1" s="1"/>
  <c r="U46" i="1"/>
  <c r="AA46" i="1" s="1"/>
  <c r="AG46" i="1" s="1"/>
  <c r="T46" i="1"/>
  <c r="Z46" i="1" s="1"/>
  <c r="AF46" i="1" s="1"/>
  <c r="S46" i="1"/>
  <c r="Y46" i="1" s="1"/>
  <c r="AE46" i="1" s="1"/>
  <c r="R46" i="1"/>
  <c r="X46" i="1" s="1"/>
  <c r="AD46" i="1" s="1"/>
  <c r="AP45" i="1"/>
  <c r="AO45" i="1"/>
  <c r="V45" i="1"/>
  <c r="AB45" i="1" s="1"/>
  <c r="AH45" i="1" s="1"/>
  <c r="U45" i="1"/>
  <c r="AA45" i="1" s="1"/>
  <c r="AG45" i="1" s="1"/>
  <c r="T45" i="1"/>
  <c r="Z45" i="1" s="1"/>
  <c r="AF45" i="1" s="1"/>
  <c r="S45" i="1"/>
  <c r="Y45" i="1" s="1"/>
  <c r="AE45" i="1" s="1"/>
  <c r="R45" i="1"/>
  <c r="X45" i="1" s="1"/>
  <c r="AD45" i="1" s="1"/>
  <c r="V44" i="1"/>
  <c r="AB44" i="1" s="1"/>
  <c r="AH44" i="1" s="1"/>
  <c r="U44" i="1"/>
  <c r="AA44" i="1" s="1"/>
  <c r="AG44" i="1" s="1"/>
  <c r="T44" i="1"/>
  <c r="Z44" i="1" s="1"/>
  <c r="AF44" i="1" s="1"/>
  <c r="S44" i="1"/>
  <c r="Y44" i="1" s="1"/>
  <c r="AE44" i="1" s="1"/>
  <c r="R44" i="1"/>
  <c r="X44" i="1" s="1"/>
  <c r="AD44" i="1" s="1"/>
  <c r="V43" i="1"/>
  <c r="AB43" i="1" s="1"/>
  <c r="AH43" i="1" s="1"/>
  <c r="U43" i="1"/>
  <c r="AA43" i="1" s="1"/>
  <c r="AG43" i="1" s="1"/>
  <c r="T43" i="1"/>
  <c r="Z43" i="1" s="1"/>
  <c r="AF43" i="1" s="1"/>
  <c r="S43" i="1"/>
  <c r="Y43" i="1" s="1"/>
  <c r="AE43" i="1" s="1"/>
  <c r="R43" i="1"/>
  <c r="X43" i="1" s="1"/>
  <c r="AD43" i="1" s="1"/>
  <c r="V42" i="1"/>
  <c r="AB42" i="1" s="1"/>
  <c r="AH42" i="1" s="1"/>
  <c r="U42" i="1"/>
  <c r="AA42" i="1" s="1"/>
  <c r="AG42" i="1" s="1"/>
  <c r="T42" i="1"/>
  <c r="Z42" i="1" s="1"/>
  <c r="AF42" i="1" s="1"/>
  <c r="S42" i="1"/>
  <c r="Y42" i="1" s="1"/>
  <c r="AE42" i="1" s="1"/>
  <c r="R42" i="1"/>
  <c r="X42" i="1" s="1"/>
  <c r="AD42" i="1" s="1"/>
  <c r="V41" i="1"/>
  <c r="AB41" i="1" s="1"/>
  <c r="AH41" i="1" s="1"/>
  <c r="U41" i="1"/>
  <c r="AA41" i="1" s="1"/>
  <c r="AG41" i="1" s="1"/>
  <c r="T41" i="1"/>
  <c r="Z41" i="1" s="1"/>
  <c r="AF41" i="1" s="1"/>
  <c r="S41" i="1"/>
  <c r="Y41" i="1" s="1"/>
  <c r="AE41" i="1" s="1"/>
  <c r="R41" i="1"/>
  <c r="X41" i="1" s="1"/>
  <c r="AD41" i="1" s="1"/>
  <c r="V40" i="1"/>
  <c r="AB40" i="1" s="1"/>
  <c r="AH40" i="1" s="1"/>
  <c r="U40" i="1"/>
  <c r="AA40" i="1" s="1"/>
  <c r="AG40" i="1" s="1"/>
  <c r="T40" i="1"/>
  <c r="Z40" i="1" s="1"/>
  <c r="AF40" i="1" s="1"/>
  <c r="S40" i="1"/>
  <c r="Y40" i="1" s="1"/>
  <c r="AE40" i="1" s="1"/>
  <c r="R40" i="1"/>
  <c r="X40" i="1" s="1"/>
  <c r="AD40" i="1" s="1"/>
  <c r="V39" i="1"/>
  <c r="AB39" i="1" s="1"/>
  <c r="AH39" i="1" s="1"/>
  <c r="U39" i="1"/>
  <c r="AA39" i="1" s="1"/>
  <c r="AG39" i="1" s="1"/>
  <c r="T39" i="1"/>
  <c r="Z39" i="1" s="1"/>
  <c r="AF39" i="1" s="1"/>
  <c r="S39" i="1"/>
  <c r="Y39" i="1" s="1"/>
  <c r="AE39" i="1" s="1"/>
  <c r="R39" i="1"/>
  <c r="X39" i="1" s="1"/>
  <c r="AD39" i="1" s="1"/>
  <c r="V38" i="1"/>
  <c r="AB38" i="1" s="1"/>
  <c r="AH38" i="1" s="1"/>
  <c r="U38" i="1"/>
  <c r="AA38" i="1" s="1"/>
  <c r="AG38" i="1" s="1"/>
  <c r="T38" i="1"/>
  <c r="Z38" i="1" s="1"/>
  <c r="AF38" i="1" s="1"/>
  <c r="S38" i="1"/>
  <c r="Y38" i="1" s="1"/>
  <c r="AE38" i="1" s="1"/>
  <c r="R38" i="1"/>
  <c r="X38" i="1" s="1"/>
  <c r="AD38" i="1" s="1"/>
  <c r="V37" i="1"/>
  <c r="AB37" i="1" s="1"/>
  <c r="AH37" i="1" s="1"/>
  <c r="U37" i="1"/>
  <c r="AA37" i="1" s="1"/>
  <c r="AG37" i="1" s="1"/>
  <c r="T37" i="1"/>
  <c r="Z37" i="1" s="1"/>
  <c r="AF37" i="1" s="1"/>
  <c r="S37" i="1"/>
  <c r="Y37" i="1" s="1"/>
  <c r="AE37" i="1" s="1"/>
  <c r="R37" i="1"/>
  <c r="X37" i="1" s="1"/>
  <c r="AD37" i="1" s="1"/>
  <c r="V36" i="1"/>
  <c r="AB36" i="1" s="1"/>
  <c r="AH36" i="1" s="1"/>
  <c r="U36" i="1"/>
  <c r="AA36" i="1" s="1"/>
  <c r="AG36" i="1" s="1"/>
  <c r="T36" i="1"/>
  <c r="Z36" i="1" s="1"/>
  <c r="AF36" i="1" s="1"/>
  <c r="S36" i="1"/>
  <c r="Y36" i="1" s="1"/>
  <c r="AE36" i="1" s="1"/>
  <c r="R36" i="1"/>
  <c r="X36" i="1" s="1"/>
  <c r="AD36" i="1" s="1"/>
  <c r="V35" i="1"/>
  <c r="AB35" i="1" s="1"/>
  <c r="AH35" i="1" s="1"/>
  <c r="U35" i="1"/>
  <c r="AA35" i="1" s="1"/>
  <c r="AG35" i="1" s="1"/>
  <c r="T35" i="1"/>
  <c r="Z35" i="1" s="1"/>
  <c r="AF35" i="1" s="1"/>
  <c r="S35" i="1"/>
  <c r="Y35" i="1" s="1"/>
  <c r="AE35" i="1" s="1"/>
  <c r="R35" i="1"/>
  <c r="X35" i="1" s="1"/>
  <c r="AD35" i="1" s="1"/>
  <c r="V34" i="1"/>
  <c r="AB34" i="1" s="1"/>
  <c r="AH34" i="1" s="1"/>
  <c r="U34" i="1"/>
  <c r="AA34" i="1" s="1"/>
  <c r="AG34" i="1" s="1"/>
  <c r="T34" i="1"/>
  <c r="Z34" i="1" s="1"/>
  <c r="AF34" i="1" s="1"/>
  <c r="S34" i="1"/>
  <c r="Y34" i="1" s="1"/>
  <c r="AE34" i="1" s="1"/>
  <c r="R34" i="1"/>
  <c r="X34" i="1" s="1"/>
  <c r="AD34" i="1" s="1"/>
  <c r="V33" i="1"/>
  <c r="AB33" i="1" s="1"/>
  <c r="AH33" i="1" s="1"/>
  <c r="U33" i="1"/>
  <c r="AA33" i="1" s="1"/>
  <c r="AG33" i="1" s="1"/>
  <c r="T33" i="1"/>
  <c r="Z33" i="1" s="1"/>
  <c r="AF33" i="1" s="1"/>
  <c r="S33" i="1"/>
  <c r="Y33" i="1" s="1"/>
  <c r="AE33" i="1" s="1"/>
  <c r="R33" i="1"/>
  <c r="X33" i="1" s="1"/>
  <c r="AD33" i="1" s="1"/>
  <c r="V32" i="1"/>
  <c r="AB32" i="1" s="1"/>
  <c r="AH32" i="1" s="1"/>
  <c r="U32" i="1"/>
  <c r="AA32" i="1" s="1"/>
  <c r="AG32" i="1" s="1"/>
  <c r="T32" i="1"/>
  <c r="Z32" i="1" s="1"/>
  <c r="AF32" i="1" s="1"/>
  <c r="S32" i="1"/>
  <c r="Y32" i="1" s="1"/>
  <c r="AE32" i="1" s="1"/>
  <c r="R32" i="1"/>
  <c r="X32" i="1" s="1"/>
  <c r="AD32" i="1" s="1"/>
  <c r="V31" i="1"/>
  <c r="AB31" i="1" s="1"/>
  <c r="AH31" i="1" s="1"/>
  <c r="U31" i="1"/>
  <c r="AA31" i="1" s="1"/>
  <c r="AG31" i="1" s="1"/>
  <c r="T31" i="1"/>
  <c r="Z31" i="1" s="1"/>
  <c r="AF31" i="1" s="1"/>
  <c r="S31" i="1"/>
  <c r="Y31" i="1" s="1"/>
  <c r="AE31" i="1" s="1"/>
  <c r="R31" i="1"/>
  <c r="X31" i="1" s="1"/>
  <c r="AD31" i="1" s="1"/>
  <c r="V30" i="1"/>
  <c r="AB30" i="1" s="1"/>
  <c r="AH30" i="1" s="1"/>
  <c r="U30" i="1"/>
  <c r="AA30" i="1" s="1"/>
  <c r="AG30" i="1" s="1"/>
  <c r="T30" i="1"/>
  <c r="Z30" i="1" s="1"/>
  <c r="AF30" i="1" s="1"/>
  <c r="S30" i="1"/>
  <c r="Y30" i="1" s="1"/>
  <c r="AE30" i="1" s="1"/>
  <c r="R30" i="1"/>
  <c r="X30" i="1" s="1"/>
  <c r="AD30" i="1" s="1"/>
  <c r="V29" i="1"/>
  <c r="AB29" i="1" s="1"/>
  <c r="AH29" i="1" s="1"/>
  <c r="U29" i="1"/>
  <c r="AA29" i="1" s="1"/>
  <c r="AG29" i="1" s="1"/>
  <c r="T29" i="1"/>
  <c r="Z29" i="1" s="1"/>
  <c r="AF29" i="1" s="1"/>
  <c r="S29" i="1"/>
  <c r="Y29" i="1" s="1"/>
  <c r="AE29" i="1" s="1"/>
  <c r="R29" i="1"/>
  <c r="X29" i="1" s="1"/>
  <c r="AD29" i="1" s="1"/>
  <c r="V28" i="1"/>
  <c r="AB28" i="1" s="1"/>
  <c r="AH28" i="1" s="1"/>
  <c r="U28" i="1"/>
  <c r="AA28" i="1" s="1"/>
  <c r="AG28" i="1" s="1"/>
  <c r="T28" i="1"/>
  <c r="Z28" i="1" s="1"/>
  <c r="AF28" i="1" s="1"/>
  <c r="S28" i="1"/>
  <c r="Y28" i="1" s="1"/>
  <c r="AE28" i="1" s="1"/>
  <c r="R28" i="1"/>
  <c r="X28" i="1" s="1"/>
  <c r="AD28" i="1" s="1"/>
  <c r="V27" i="1"/>
  <c r="AB27" i="1" s="1"/>
  <c r="AH27" i="1" s="1"/>
  <c r="U27" i="1"/>
  <c r="AA27" i="1" s="1"/>
  <c r="AG27" i="1" s="1"/>
  <c r="T27" i="1"/>
  <c r="Z27" i="1" s="1"/>
  <c r="AF27" i="1" s="1"/>
  <c r="S27" i="1"/>
  <c r="Y27" i="1" s="1"/>
  <c r="AE27" i="1" s="1"/>
  <c r="R27" i="1"/>
  <c r="X27" i="1" s="1"/>
  <c r="AD27" i="1" s="1"/>
  <c r="V26" i="1"/>
  <c r="AB26" i="1" s="1"/>
  <c r="AH26" i="1" s="1"/>
  <c r="U26" i="1"/>
  <c r="AA26" i="1" s="1"/>
  <c r="AG26" i="1" s="1"/>
  <c r="T26" i="1"/>
  <c r="Z26" i="1" s="1"/>
  <c r="AF26" i="1" s="1"/>
  <c r="S26" i="1"/>
  <c r="Y26" i="1" s="1"/>
  <c r="AE26" i="1" s="1"/>
  <c r="R26" i="1"/>
  <c r="X26" i="1" s="1"/>
  <c r="AD26" i="1" s="1"/>
  <c r="V25" i="1"/>
  <c r="AB25" i="1" s="1"/>
  <c r="AH25" i="1" s="1"/>
  <c r="U25" i="1"/>
  <c r="AA25" i="1" s="1"/>
  <c r="AG25" i="1" s="1"/>
  <c r="T25" i="1"/>
  <c r="Z25" i="1" s="1"/>
  <c r="AF25" i="1" s="1"/>
  <c r="S25" i="1"/>
  <c r="Y25" i="1" s="1"/>
  <c r="AE25" i="1" s="1"/>
  <c r="R25" i="1"/>
  <c r="X25" i="1" s="1"/>
  <c r="AD25" i="1" s="1"/>
  <c r="V24" i="1"/>
  <c r="AB24" i="1" s="1"/>
  <c r="AH24" i="1" s="1"/>
  <c r="U24" i="1"/>
  <c r="AA24" i="1" s="1"/>
  <c r="AG24" i="1" s="1"/>
  <c r="T24" i="1"/>
  <c r="Z24" i="1" s="1"/>
  <c r="AF24" i="1" s="1"/>
  <c r="S24" i="1"/>
  <c r="Y24" i="1" s="1"/>
  <c r="AE24" i="1" s="1"/>
  <c r="R24" i="1"/>
  <c r="X24" i="1" s="1"/>
  <c r="AD24" i="1" s="1"/>
  <c r="V23" i="1"/>
  <c r="AB23" i="1" s="1"/>
  <c r="AH23" i="1" s="1"/>
  <c r="U23" i="1"/>
  <c r="AA23" i="1" s="1"/>
  <c r="AG23" i="1" s="1"/>
  <c r="T23" i="1"/>
  <c r="Z23" i="1" s="1"/>
  <c r="AF23" i="1" s="1"/>
  <c r="S23" i="1"/>
  <c r="Y23" i="1" s="1"/>
  <c r="AE23" i="1" s="1"/>
  <c r="R23" i="1"/>
  <c r="X23" i="1" s="1"/>
  <c r="AD23" i="1" s="1"/>
  <c r="V22" i="1"/>
  <c r="AB22" i="1" s="1"/>
  <c r="AH22" i="1" s="1"/>
  <c r="U22" i="1"/>
  <c r="AA22" i="1" s="1"/>
  <c r="AG22" i="1" s="1"/>
  <c r="T22" i="1"/>
  <c r="Z22" i="1" s="1"/>
  <c r="AF22" i="1" s="1"/>
  <c r="S22" i="1"/>
  <c r="Y22" i="1" s="1"/>
  <c r="AE22" i="1" s="1"/>
  <c r="R22" i="1"/>
  <c r="X22" i="1" s="1"/>
  <c r="AD22" i="1" s="1"/>
  <c r="V21" i="1"/>
  <c r="AB21" i="1" s="1"/>
  <c r="AH21" i="1" s="1"/>
  <c r="U21" i="1"/>
  <c r="AA21" i="1" s="1"/>
  <c r="AG21" i="1" s="1"/>
  <c r="T21" i="1"/>
  <c r="Z21" i="1" s="1"/>
  <c r="AF21" i="1" s="1"/>
  <c r="S21" i="1"/>
  <c r="Y21" i="1" s="1"/>
  <c r="AE21" i="1" s="1"/>
  <c r="R21" i="1"/>
  <c r="X21" i="1" s="1"/>
  <c r="AD21" i="1" s="1"/>
  <c r="V20" i="1"/>
  <c r="AB20" i="1" s="1"/>
  <c r="AH20" i="1" s="1"/>
  <c r="U20" i="1"/>
  <c r="AA20" i="1" s="1"/>
  <c r="AG20" i="1" s="1"/>
  <c r="T20" i="1"/>
  <c r="Z20" i="1" s="1"/>
  <c r="AF20" i="1" s="1"/>
  <c r="S20" i="1"/>
  <c r="Y20" i="1" s="1"/>
  <c r="AE20" i="1" s="1"/>
  <c r="R20" i="1"/>
  <c r="X20" i="1" s="1"/>
  <c r="AD20" i="1" s="1"/>
  <c r="V19" i="1"/>
  <c r="AB19" i="1" s="1"/>
  <c r="AH19" i="1" s="1"/>
  <c r="U19" i="1"/>
  <c r="AA19" i="1" s="1"/>
  <c r="AG19" i="1" s="1"/>
  <c r="T19" i="1"/>
  <c r="Z19" i="1" s="1"/>
  <c r="AF19" i="1" s="1"/>
  <c r="S19" i="1"/>
  <c r="Y19" i="1" s="1"/>
  <c r="AE19" i="1" s="1"/>
  <c r="R19" i="1"/>
  <c r="X19" i="1" s="1"/>
  <c r="AD19" i="1" s="1"/>
  <c r="C19" i="1"/>
  <c r="C18" i="1" s="1"/>
  <c r="C17" i="1" s="1"/>
  <c r="C16" i="1" s="1"/>
  <c r="C11" i="1" s="1"/>
  <c r="V18" i="1"/>
  <c r="AB18" i="1" s="1"/>
  <c r="U18" i="1"/>
  <c r="AA18" i="1" s="1"/>
  <c r="T18" i="1"/>
  <c r="Z18" i="1" s="1"/>
  <c r="S18" i="1"/>
  <c r="Y18" i="1" s="1"/>
  <c r="R18" i="1"/>
  <c r="X18" i="1" s="1"/>
  <c r="V17" i="1"/>
  <c r="AB17" i="1" s="1"/>
  <c r="U17" i="1"/>
  <c r="AA17" i="1" s="1"/>
  <c r="T17" i="1"/>
  <c r="Z17" i="1" s="1"/>
  <c r="S17" i="1"/>
  <c r="Y17" i="1" s="1"/>
  <c r="R17" i="1"/>
  <c r="X17" i="1" s="1"/>
  <c r="AF8" i="1" l="1"/>
  <c r="AG15" i="1"/>
  <c r="AH15" i="1"/>
  <c r="AI40" i="1"/>
  <c r="AI3" i="1"/>
  <c r="AE15" i="1"/>
  <c r="AD16" i="1"/>
  <c r="AG8" i="1"/>
  <c r="AD10" i="1"/>
  <c r="AE16" i="1"/>
  <c r="AE10" i="1"/>
  <c r="AF16" i="1"/>
  <c r="AF10" i="1"/>
  <c r="AG10" i="1"/>
  <c r="AI244" i="1"/>
  <c r="AH10" i="1"/>
  <c r="AF15" i="1"/>
  <c r="AH8" i="1"/>
  <c r="AD7" i="1"/>
  <c r="AE7" i="1"/>
  <c r="AH7" i="1"/>
  <c r="AG16" i="1"/>
  <c r="AD8" i="1"/>
  <c r="AH16" i="1"/>
  <c r="AE8" i="1"/>
  <c r="AI13" i="1"/>
  <c r="AI4" i="1"/>
  <c r="AF7" i="1"/>
  <c r="AD15" i="1"/>
  <c r="AI5" i="1"/>
  <c r="AG7" i="1"/>
  <c r="AI6" i="1"/>
  <c r="AI12" i="1"/>
  <c r="AI27" i="1"/>
  <c r="AI43" i="1"/>
  <c r="AI387" i="1"/>
  <c r="AI423" i="1"/>
  <c r="AI130" i="1"/>
  <c r="AI226" i="1"/>
  <c r="AI143" i="1"/>
  <c r="C12" i="1"/>
  <c r="AE11" i="1" s="1"/>
  <c r="AI121" i="1"/>
  <c r="AI134" i="1"/>
  <c r="AI209" i="1"/>
  <c r="AI190" i="1"/>
  <c r="AI309" i="1"/>
  <c r="AI409" i="1"/>
  <c r="AI343" i="1"/>
  <c r="AI365" i="1"/>
  <c r="AI307" i="1"/>
  <c r="AG18" i="1"/>
  <c r="AI50" i="1"/>
  <c r="AI248" i="1"/>
  <c r="AI270" i="1"/>
  <c r="AI358" i="1"/>
  <c r="AI19" i="1"/>
  <c r="AI230" i="1"/>
  <c r="AI26" i="1"/>
  <c r="AI332" i="1"/>
  <c r="AI81" i="1"/>
  <c r="AI162" i="1"/>
  <c r="AI262" i="1"/>
  <c r="AI203" i="1"/>
  <c r="AI166" i="1"/>
  <c r="AI222" i="1"/>
  <c r="AI168" i="1"/>
  <c r="AI224" i="1"/>
  <c r="AI253" i="1"/>
  <c r="AI342" i="1"/>
  <c r="AI303" i="1"/>
  <c r="AI340" i="1"/>
  <c r="AI63" i="1"/>
  <c r="AI71" i="1"/>
  <c r="AI178" i="1"/>
  <c r="AI369" i="1"/>
  <c r="AI379" i="1"/>
  <c r="AI211" i="1"/>
  <c r="AI338" i="1"/>
  <c r="AI198" i="1"/>
  <c r="AD17" i="1"/>
  <c r="AI238" i="1"/>
  <c r="AI302" i="1"/>
  <c r="AI386" i="1"/>
  <c r="AI118" i="1"/>
  <c r="AI288" i="1"/>
  <c r="BC66" i="1"/>
  <c r="BC67" i="1" s="1"/>
  <c r="AI114" i="1"/>
  <c r="AI131" i="1"/>
  <c r="AI263" i="1"/>
  <c r="AI89" i="1"/>
  <c r="AI73" i="1"/>
  <c r="AD18" i="1"/>
  <c r="AI60" i="1"/>
  <c r="AI72" i="1"/>
  <c r="AI150" i="1"/>
  <c r="AI173" i="1"/>
  <c r="AI212" i="1"/>
  <c r="AI293" i="1"/>
  <c r="AI296" i="1"/>
  <c r="AI204" i="1"/>
  <c r="AI97" i="1"/>
  <c r="AI312" i="1"/>
  <c r="AI376" i="1"/>
  <c r="AI388" i="1"/>
  <c r="AI69" i="1"/>
  <c r="AE18" i="1"/>
  <c r="AF18" i="1"/>
  <c r="AI352" i="1"/>
  <c r="C15" i="1"/>
  <c r="AD14" i="1" s="1"/>
  <c r="AI53" i="1"/>
  <c r="AI107" i="1"/>
  <c r="AI141" i="1"/>
  <c r="AI140" i="1"/>
  <c r="AI20" i="1"/>
  <c r="AI136" i="1"/>
  <c r="AI271" i="1"/>
  <c r="AI333" i="1"/>
  <c r="AI375" i="1"/>
  <c r="AI377" i="1"/>
  <c r="AH18" i="1"/>
  <c r="AI34" i="1"/>
  <c r="AI85" i="1"/>
  <c r="AI241" i="1"/>
  <c r="AI347" i="1"/>
  <c r="AI401" i="1"/>
  <c r="AI52" i="1"/>
  <c r="AI83" i="1"/>
  <c r="AI93" i="1"/>
  <c r="AI125" i="1"/>
  <c r="AI267" i="1"/>
  <c r="AI68" i="1"/>
  <c r="AI22" i="1"/>
  <c r="AI42" i="1"/>
  <c r="AI167" i="1"/>
  <c r="AI251" i="1"/>
  <c r="AI403" i="1"/>
  <c r="AI30" i="1"/>
  <c r="AI31" i="1"/>
  <c r="AE17" i="1"/>
  <c r="AI33" i="1"/>
  <c r="AI291" i="1"/>
  <c r="AI41" i="1"/>
  <c r="AI172" i="1"/>
  <c r="AI202" i="1"/>
  <c r="AI25" i="1"/>
  <c r="AG17" i="1"/>
  <c r="AI106" i="1"/>
  <c r="AI133" i="1"/>
  <c r="AI223" i="1"/>
  <c r="AI242" i="1"/>
  <c r="AI297" i="1"/>
  <c r="AI24" i="1"/>
  <c r="AI29" i="1"/>
  <c r="AI67" i="1"/>
  <c r="AI163" i="1"/>
  <c r="AF17" i="1"/>
  <c r="AH17" i="1"/>
  <c r="AI32" i="1"/>
  <c r="AI55" i="1"/>
  <c r="AI75" i="1"/>
  <c r="AI127" i="1"/>
  <c r="AI216" i="1"/>
  <c r="AI339" i="1"/>
  <c r="AI416" i="1"/>
  <c r="AI210" i="1"/>
  <c r="AI249" i="1"/>
  <c r="AI304" i="1"/>
  <c r="AI367" i="1"/>
  <c r="AI394" i="1"/>
  <c r="AI65" i="1"/>
  <c r="AI99" i="1"/>
  <c r="AI195" i="1"/>
  <c r="AI232" i="1"/>
  <c r="AI252" i="1"/>
  <c r="AI119" i="1"/>
  <c r="AI128" i="1"/>
  <c r="AI341" i="1"/>
  <c r="AI95" i="1"/>
  <c r="AI147" i="1"/>
  <c r="AI237" i="1"/>
  <c r="AI279" i="1"/>
  <c r="AI300" i="1"/>
  <c r="AI402" i="1"/>
  <c r="AI48" i="1"/>
  <c r="AI58" i="1"/>
  <c r="AI112" i="1"/>
  <c r="AI132" i="1"/>
  <c r="AI228" i="1"/>
  <c r="AI35" i="1"/>
  <c r="AI47" i="1"/>
  <c r="AI54" i="1"/>
  <c r="AI102" i="1"/>
  <c r="AI108" i="1"/>
  <c r="AI124" i="1"/>
  <c r="AI139" i="1"/>
  <c r="AI246" i="1"/>
  <c r="AI305" i="1"/>
  <c r="AI419" i="1"/>
  <c r="AI21" i="1"/>
  <c r="AI207" i="1"/>
  <c r="AI154" i="1"/>
  <c r="AI373" i="1"/>
  <c r="AI407" i="1"/>
  <c r="AI149" i="1"/>
  <c r="AI231" i="1"/>
  <c r="AI330" i="1"/>
  <c r="AI344" i="1"/>
  <c r="AI393" i="1"/>
  <c r="AI395" i="1"/>
  <c r="AI169" i="1"/>
  <c r="AI272" i="1"/>
  <c r="AI278" i="1"/>
  <c r="AI328" i="1"/>
  <c r="AI86" i="1"/>
  <c r="AI96" i="1"/>
  <c r="AI213" i="1"/>
  <c r="AI269" i="1"/>
  <c r="AI314" i="1"/>
  <c r="AI355" i="1"/>
  <c r="AI424" i="1"/>
  <c r="AI37" i="1"/>
  <c r="AI109" i="1"/>
  <c r="AI160" i="1"/>
  <c r="AI200" i="1"/>
  <c r="AI287" i="1"/>
  <c r="AI396" i="1"/>
  <c r="AI398" i="1"/>
  <c r="AI404" i="1"/>
  <c r="AI138" i="1"/>
  <c r="AI254" i="1"/>
  <c r="AI308" i="1"/>
  <c r="AI323" i="1"/>
  <c r="AI329" i="1"/>
  <c r="AI351" i="1"/>
  <c r="AI360" i="1"/>
  <c r="AI414" i="1"/>
  <c r="AI285" i="1"/>
  <c r="AI120" i="1"/>
  <c r="AI36" i="1"/>
  <c r="AI62" i="1"/>
  <c r="AI94" i="1"/>
  <c r="AI175" i="1"/>
  <c r="AI157" i="1"/>
  <c r="AI277" i="1"/>
  <c r="AI66" i="1"/>
  <c r="AI57" i="1"/>
  <c r="AI229" i="1"/>
  <c r="AI122" i="1"/>
  <c r="AI116" i="1"/>
  <c r="AI77" i="1"/>
  <c r="AI90" i="1"/>
  <c r="AI101" i="1"/>
  <c r="AI148" i="1"/>
  <c r="AI257" i="1"/>
  <c r="AI181" i="1"/>
  <c r="AI100" i="1"/>
  <c r="AI38" i="1"/>
  <c r="AI44" i="1"/>
  <c r="AI88" i="1"/>
  <c r="AI129" i="1"/>
  <c r="AI316" i="1"/>
  <c r="AI159" i="1"/>
  <c r="AI45" i="1"/>
  <c r="AI165" i="1"/>
  <c r="AI221" i="1"/>
  <c r="AI23" i="1"/>
  <c r="AI201" i="1"/>
  <c r="AI183" i="1"/>
  <c r="AI64" i="1"/>
  <c r="AI49" i="1"/>
  <c r="AI59" i="1"/>
  <c r="AI103" i="1"/>
  <c r="AI113" i="1"/>
  <c r="AI117" i="1"/>
  <c r="AI155" i="1"/>
  <c r="AI46" i="1"/>
  <c r="AI91" i="1"/>
  <c r="AI247" i="1"/>
  <c r="AI111" i="1"/>
  <c r="AI220" i="1"/>
  <c r="AI51" i="1"/>
  <c r="BC73" i="1"/>
  <c r="AI28" i="1"/>
  <c r="AI61" i="1"/>
  <c r="AI115" i="1"/>
  <c r="AI151" i="1"/>
  <c r="AI153" i="1"/>
  <c r="AI156" i="1"/>
  <c r="AI171" i="1"/>
  <c r="AI174" i="1"/>
  <c r="AI255" i="1"/>
  <c r="AI135" i="1"/>
  <c r="AI142" i="1"/>
  <c r="AI177" i="1"/>
  <c r="AI192" i="1"/>
  <c r="AI79" i="1"/>
  <c r="AI82" i="1"/>
  <c r="AI84" i="1"/>
  <c r="AI98" i="1"/>
  <c r="AI104" i="1"/>
  <c r="AI126" i="1"/>
  <c r="AI145" i="1"/>
  <c r="AI194" i="1"/>
  <c r="AI235" i="1"/>
  <c r="AI274" i="1"/>
  <c r="AI87" i="1"/>
  <c r="AI92" i="1"/>
  <c r="AI152" i="1"/>
  <c r="AI240" i="1"/>
  <c r="AI78" i="1"/>
  <c r="AI123" i="1"/>
  <c r="AI170" i="1"/>
  <c r="AI187" i="1"/>
  <c r="AI313" i="1"/>
  <c r="AI105" i="1"/>
  <c r="AI185" i="1"/>
  <c r="AI311" i="1"/>
  <c r="AI39" i="1"/>
  <c r="AI70" i="1"/>
  <c r="AI76" i="1"/>
  <c r="AI80" i="1"/>
  <c r="AI164" i="1"/>
  <c r="AI144" i="1"/>
  <c r="AI189" i="1"/>
  <c r="AI217" i="1"/>
  <c r="AI264" i="1"/>
  <c r="AI292" i="1"/>
  <c r="AI56" i="1"/>
  <c r="AI110" i="1"/>
  <c r="AI208" i="1"/>
  <c r="AI214" i="1"/>
  <c r="AI219" i="1"/>
  <c r="AI233" i="1"/>
  <c r="AI289" i="1"/>
  <c r="AI74" i="1"/>
  <c r="AI245" i="1"/>
  <c r="AI261" i="1"/>
  <c r="AI182" i="1"/>
  <c r="AI188" i="1"/>
  <c r="AI206" i="1"/>
  <c r="AI225" i="1"/>
  <c r="AI243" i="1"/>
  <c r="AI268" i="1"/>
  <c r="AI363" i="1"/>
  <c r="AI158" i="1"/>
  <c r="AI180" i="1"/>
  <c r="AI193" i="1"/>
  <c r="AI196" i="1"/>
  <c r="AI299" i="1"/>
  <c r="AI374" i="1"/>
  <c r="AI176" i="1"/>
  <c r="AI191" i="1"/>
  <c r="AI205" i="1"/>
  <c r="AI137" i="1"/>
  <c r="AI146" i="1"/>
  <c r="AI197" i="1"/>
  <c r="AI199" i="1"/>
  <c r="AI218" i="1"/>
  <c r="AI184" i="1"/>
  <c r="AI215" i="1"/>
  <c r="AI239" i="1"/>
  <c r="AI250" i="1"/>
  <c r="AI260" i="1"/>
  <c r="AI161" i="1"/>
  <c r="AI179" i="1"/>
  <c r="AI186" i="1"/>
  <c r="AI236" i="1"/>
  <c r="AI280" i="1"/>
  <c r="AI301" i="1"/>
  <c r="AI227" i="1"/>
  <c r="AI310" i="1"/>
  <c r="AI405" i="1"/>
  <c r="AI256" i="1"/>
  <c r="AI283" i="1"/>
  <c r="AI326" i="1"/>
  <c r="AI425" i="1"/>
  <c r="AJ425" i="1" s="1"/>
  <c r="AL425" i="1" s="1"/>
  <c r="AM425" i="1" s="1"/>
  <c r="AI266" i="1"/>
  <c r="AI273" i="1"/>
  <c r="AI346" i="1"/>
  <c r="AI276" i="1"/>
  <c r="AI290" i="1"/>
  <c r="AI265" i="1"/>
  <c r="AI282" i="1"/>
  <c r="AI357" i="1"/>
  <c r="AI259" i="1"/>
  <c r="AI281" i="1"/>
  <c r="AI321" i="1"/>
  <c r="AI318" i="1"/>
  <c r="AI258" i="1"/>
  <c r="AI286" i="1"/>
  <c r="AI234" i="1"/>
  <c r="AI275" i="1"/>
  <c r="AI325" i="1"/>
  <c r="AI331" i="1"/>
  <c r="AI295" i="1"/>
  <c r="AI294" i="1"/>
  <c r="AI315" i="1"/>
  <c r="AI319" i="1"/>
  <c r="AI320" i="1"/>
  <c r="AI408" i="1"/>
  <c r="AI406" i="1"/>
  <c r="AI284" i="1"/>
  <c r="AI364" i="1"/>
  <c r="AI317" i="1"/>
  <c r="AI324" i="1"/>
  <c r="AI327" i="1"/>
  <c r="AI298" i="1"/>
  <c r="AI345" i="1"/>
  <c r="AI334" i="1"/>
  <c r="AI368" i="1"/>
  <c r="AI400" i="1"/>
  <c r="AI371" i="1"/>
  <c r="AI411" i="1"/>
  <c r="AI420" i="1"/>
  <c r="AI354" i="1"/>
  <c r="AI356" i="1"/>
  <c r="AI391" i="1"/>
  <c r="AI349" i="1"/>
  <c r="AI378" i="1"/>
  <c r="AI390" i="1"/>
  <c r="AI418" i="1"/>
  <c r="AI422" i="1"/>
  <c r="AI372" i="1"/>
  <c r="AI380" i="1"/>
  <c r="AI382" i="1"/>
  <c r="AI385" i="1"/>
  <c r="AI306" i="1"/>
  <c r="AI362" i="1"/>
  <c r="AI350" i="1"/>
  <c r="AI389" i="1"/>
  <c r="AI392" i="1"/>
  <c r="AI415" i="1"/>
  <c r="AI322" i="1"/>
  <c r="AI421" i="1"/>
  <c r="AI335" i="1"/>
  <c r="AI336" i="1"/>
  <c r="AI348" i="1"/>
  <c r="AI353" i="1"/>
  <c r="AI361" i="1"/>
  <c r="AI366" i="1"/>
  <c r="AI384" i="1"/>
  <c r="AI410" i="1"/>
  <c r="AI337" i="1"/>
  <c r="AI412" i="1"/>
  <c r="AI413" i="1"/>
  <c r="AI417" i="1"/>
  <c r="AI383" i="1"/>
  <c r="AI399" i="1"/>
  <c r="AI359" i="1"/>
  <c r="AI370" i="1"/>
  <c r="AI381" i="1"/>
  <c r="AI397" i="1"/>
  <c r="AI10" i="1" l="1"/>
  <c r="AI16" i="1"/>
  <c r="AI7" i="1"/>
  <c r="AI15" i="1"/>
  <c r="AF11" i="1"/>
  <c r="AG11" i="1"/>
  <c r="AD11" i="1"/>
  <c r="AI8" i="1"/>
  <c r="AF14" i="1"/>
  <c r="AH11" i="1"/>
  <c r="AG14" i="1"/>
  <c r="AH14" i="1"/>
  <c r="AE14" i="1"/>
  <c r="AI14" i="1" s="1"/>
  <c r="AI11" i="1"/>
  <c r="C10" i="1"/>
  <c r="AJ424" i="1"/>
  <c r="AL424" i="1" s="1"/>
  <c r="AM424" i="1" s="1"/>
  <c r="AI18" i="1"/>
  <c r="AI17" i="1"/>
  <c r="BC76" i="1"/>
  <c r="BC77" i="1" s="1"/>
  <c r="BC78" i="1" s="1"/>
  <c r="BC68" i="1"/>
  <c r="BC69" i="1" s="1"/>
  <c r="AE9" i="1" l="1"/>
  <c r="AF9" i="1"/>
  <c r="AH9" i="1"/>
  <c r="AG9" i="1"/>
  <c r="AD9" i="1"/>
  <c r="AJ423" i="1"/>
  <c r="AL423" i="1" s="1"/>
  <c r="AM423" i="1" s="1"/>
  <c r="AJ422" i="1" l="1"/>
  <c r="AL422" i="1" s="1"/>
  <c r="AM422" i="1" s="1"/>
  <c r="AI9" i="1"/>
  <c r="AJ421" i="1" l="1"/>
  <c r="AL421" i="1" l="1"/>
  <c r="AM421" i="1" s="1"/>
  <c r="AJ420" i="1"/>
  <c r="AJ419" i="1" l="1"/>
  <c r="AL420" i="1"/>
  <c r="AM420" i="1" s="1"/>
  <c r="AL419" i="1" l="1"/>
  <c r="AM419" i="1" s="1"/>
  <c r="AJ418" i="1"/>
  <c r="AL418" i="1" l="1"/>
  <c r="AM418" i="1" s="1"/>
  <c r="AJ417" i="1"/>
  <c r="AJ416" i="1" l="1"/>
  <c r="AL417" i="1"/>
  <c r="AM417" i="1" s="1"/>
  <c r="AJ415" i="1" l="1"/>
  <c r="AL416" i="1"/>
  <c r="AM416" i="1" s="1"/>
  <c r="AJ414" i="1" l="1"/>
  <c r="AL415" i="1"/>
  <c r="AM415" i="1" s="1"/>
  <c r="AL414" i="1" l="1"/>
  <c r="AM414" i="1" s="1"/>
  <c r="AJ413" i="1"/>
  <c r="AL413" i="1" l="1"/>
  <c r="AM413" i="1" s="1"/>
  <c r="AJ412" i="1"/>
  <c r="AJ411" i="1" l="1"/>
  <c r="AL412" i="1"/>
  <c r="AM412" i="1" s="1"/>
  <c r="AL411" i="1" l="1"/>
  <c r="AM411" i="1" s="1"/>
  <c r="AJ410" i="1"/>
  <c r="AL410" i="1" l="1"/>
  <c r="AM410" i="1" s="1"/>
  <c r="AJ409" i="1"/>
  <c r="AL409" i="1" l="1"/>
  <c r="AM409" i="1" s="1"/>
  <c r="AJ408" i="1"/>
  <c r="AL408" i="1" l="1"/>
  <c r="AM408" i="1" s="1"/>
  <c r="AJ407" i="1"/>
  <c r="AL407" i="1" l="1"/>
  <c r="AM407" i="1" s="1"/>
  <c r="AJ406" i="1"/>
  <c r="AL406" i="1" l="1"/>
  <c r="AM406" i="1" s="1"/>
  <c r="AJ405" i="1"/>
  <c r="AL405" i="1" l="1"/>
  <c r="AM405" i="1" s="1"/>
  <c r="AJ404" i="1"/>
  <c r="AL404" i="1" l="1"/>
  <c r="AM404" i="1" s="1"/>
  <c r="AJ403" i="1"/>
  <c r="AL403" i="1" l="1"/>
  <c r="AM403" i="1" s="1"/>
  <c r="AJ402" i="1"/>
  <c r="AL402" i="1" l="1"/>
  <c r="AM402" i="1" s="1"/>
  <c r="AJ401" i="1"/>
  <c r="AL401" i="1" l="1"/>
  <c r="AM401" i="1" s="1"/>
  <c r="AJ400" i="1"/>
  <c r="AJ399" i="1" l="1"/>
  <c r="AL400" i="1"/>
  <c r="AM400" i="1" s="1"/>
  <c r="AL399" i="1" l="1"/>
  <c r="AM399" i="1" s="1"/>
  <c r="AJ398" i="1"/>
  <c r="AL398" i="1" l="1"/>
  <c r="AM398" i="1" s="1"/>
  <c r="AJ397" i="1"/>
  <c r="AL397" i="1" l="1"/>
  <c r="AM397" i="1" s="1"/>
  <c r="AJ396" i="1"/>
  <c r="AJ395" i="1" l="1"/>
  <c r="AL396" i="1"/>
  <c r="AM396" i="1" s="1"/>
  <c r="AL395" i="1" l="1"/>
  <c r="AM395" i="1" s="1"/>
  <c r="AJ394" i="1"/>
  <c r="AL394" i="1" l="1"/>
  <c r="AM394" i="1" s="1"/>
  <c r="AJ393" i="1"/>
  <c r="AL393" i="1" l="1"/>
  <c r="AM393" i="1" s="1"/>
  <c r="AJ392" i="1"/>
  <c r="AL392" i="1" l="1"/>
  <c r="AM392" i="1" s="1"/>
  <c r="AJ391" i="1"/>
  <c r="AL391" i="1" l="1"/>
  <c r="AM391" i="1" s="1"/>
  <c r="AJ390" i="1"/>
  <c r="AL390" i="1" l="1"/>
  <c r="AM390" i="1" s="1"/>
  <c r="AJ389" i="1"/>
  <c r="AL389" i="1" l="1"/>
  <c r="AM389" i="1" s="1"/>
  <c r="AJ388" i="1"/>
  <c r="AL388" i="1" l="1"/>
  <c r="AM388" i="1" s="1"/>
  <c r="AJ387" i="1"/>
  <c r="AJ386" i="1" l="1"/>
  <c r="AL387" i="1"/>
  <c r="AM387" i="1" s="1"/>
  <c r="AL386" i="1" l="1"/>
  <c r="AM386" i="1" s="1"/>
  <c r="AJ385" i="1"/>
  <c r="AL385" i="1" l="1"/>
  <c r="AM385" i="1" s="1"/>
  <c r="AJ384" i="1"/>
  <c r="AL384" i="1" l="1"/>
  <c r="AM384" i="1" s="1"/>
  <c r="AJ383" i="1"/>
  <c r="AJ382" i="1" l="1"/>
  <c r="AL383" i="1"/>
  <c r="AM383" i="1" s="1"/>
  <c r="AL382" i="1" l="1"/>
  <c r="AM382" i="1" s="1"/>
  <c r="AJ381" i="1"/>
  <c r="AL381" i="1" l="1"/>
  <c r="AM381" i="1" s="1"/>
  <c r="AJ380" i="1"/>
  <c r="AL380" i="1" l="1"/>
  <c r="AM380" i="1" s="1"/>
  <c r="AJ379" i="1"/>
  <c r="AL379" i="1" l="1"/>
  <c r="AM379" i="1" s="1"/>
  <c r="AJ378" i="1"/>
  <c r="AL378" i="1" l="1"/>
  <c r="AM378" i="1" s="1"/>
  <c r="AJ377" i="1"/>
  <c r="AL377" i="1" l="1"/>
  <c r="AM377" i="1" s="1"/>
  <c r="AJ376" i="1"/>
  <c r="AL376" i="1" l="1"/>
  <c r="AM376" i="1" s="1"/>
  <c r="AJ375" i="1"/>
  <c r="AL375" i="1" l="1"/>
  <c r="AM375" i="1" s="1"/>
  <c r="AJ374" i="1"/>
  <c r="AL374" i="1" l="1"/>
  <c r="AM374" i="1" s="1"/>
  <c r="AJ373" i="1"/>
  <c r="AL373" i="1" l="1"/>
  <c r="AM373" i="1" s="1"/>
  <c r="AJ372" i="1"/>
  <c r="AL372" i="1" l="1"/>
  <c r="AM372" i="1" s="1"/>
  <c r="AJ371" i="1"/>
  <c r="AL371" i="1" l="1"/>
  <c r="AM371" i="1" s="1"/>
  <c r="AJ370" i="1"/>
  <c r="AL370" i="1" l="1"/>
  <c r="AM370" i="1" s="1"/>
  <c r="AJ369" i="1"/>
  <c r="AL369" i="1" l="1"/>
  <c r="AM369" i="1" s="1"/>
  <c r="AJ368" i="1"/>
  <c r="AL368" i="1" l="1"/>
  <c r="AM368" i="1" s="1"/>
  <c r="AJ367" i="1"/>
  <c r="AL367" i="1" l="1"/>
  <c r="AM367" i="1" s="1"/>
  <c r="AJ366" i="1"/>
  <c r="AL366" i="1" l="1"/>
  <c r="AM366" i="1" s="1"/>
  <c r="AJ365" i="1"/>
  <c r="AJ364" i="1" l="1"/>
  <c r="AL365" i="1"/>
  <c r="AM365" i="1" s="1"/>
  <c r="AL364" i="1" l="1"/>
  <c r="AM364" i="1" s="1"/>
  <c r="AJ363" i="1"/>
  <c r="AL363" i="1" l="1"/>
  <c r="AM363" i="1" s="1"/>
  <c r="AJ362" i="1"/>
  <c r="AL362" i="1" l="1"/>
  <c r="AM362" i="1" s="1"/>
  <c r="AJ361" i="1"/>
  <c r="AL361" i="1" l="1"/>
  <c r="AM361" i="1" s="1"/>
  <c r="AJ360" i="1"/>
  <c r="AL360" i="1" l="1"/>
  <c r="AM360" i="1" s="1"/>
  <c r="AJ359" i="1"/>
  <c r="AJ358" i="1" l="1"/>
  <c r="AL359" i="1"/>
  <c r="AM359" i="1" s="1"/>
  <c r="AJ357" i="1" l="1"/>
  <c r="AL358" i="1"/>
  <c r="AM358" i="1" s="1"/>
  <c r="AL357" i="1" l="1"/>
  <c r="AM357" i="1" s="1"/>
  <c r="AJ356" i="1"/>
  <c r="AL356" i="1" l="1"/>
  <c r="AM356" i="1" s="1"/>
  <c r="AJ355" i="1"/>
  <c r="AL355" i="1" l="1"/>
  <c r="AM355" i="1" s="1"/>
  <c r="AJ354" i="1"/>
  <c r="AL354" i="1" l="1"/>
  <c r="AM354" i="1" s="1"/>
  <c r="AJ353" i="1"/>
  <c r="AL353" i="1" l="1"/>
  <c r="AM353" i="1" s="1"/>
  <c r="AJ352" i="1"/>
  <c r="AL352" i="1" l="1"/>
  <c r="AM352" i="1" s="1"/>
  <c r="AJ351" i="1"/>
  <c r="AL351" i="1" l="1"/>
  <c r="AM351" i="1" s="1"/>
  <c r="AJ350" i="1"/>
  <c r="AL350" i="1" l="1"/>
  <c r="AM350" i="1" s="1"/>
  <c r="AJ349" i="1"/>
  <c r="AL349" i="1" l="1"/>
  <c r="AM349" i="1" s="1"/>
  <c r="AJ348" i="1"/>
  <c r="AL348" i="1" l="1"/>
  <c r="AM348" i="1" s="1"/>
  <c r="AJ347" i="1"/>
  <c r="AL347" i="1" l="1"/>
  <c r="AM347" i="1" s="1"/>
  <c r="AJ346" i="1"/>
  <c r="AL346" i="1" l="1"/>
  <c r="AM346" i="1" s="1"/>
  <c r="AJ345" i="1"/>
  <c r="AL345" i="1" l="1"/>
  <c r="AM345" i="1" s="1"/>
  <c r="AJ344" i="1"/>
  <c r="AJ343" i="1" l="1"/>
  <c r="AL344" i="1"/>
  <c r="AM344" i="1" s="1"/>
  <c r="AJ342" i="1" l="1"/>
  <c r="AL343" i="1"/>
  <c r="AM343" i="1" s="1"/>
  <c r="AL342" i="1" l="1"/>
  <c r="AM342" i="1" s="1"/>
  <c r="AJ341" i="1"/>
  <c r="AL341" i="1" l="1"/>
  <c r="AM341" i="1" s="1"/>
  <c r="AJ340" i="1"/>
  <c r="AL340" i="1" l="1"/>
  <c r="AM340" i="1" s="1"/>
  <c r="AJ339" i="1"/>
  <c r="AJ338" i="1" l="1"/>
  <c r="AL339" i="1"/>
  <c r="AM339" i="1" s="1"/>
  <c r="AL338" i="1" l="1"/>
  <c r="AM338" i="1" s="1"/>
  <c r="AJ337" i="1"/>
  <c r="AL337" i="1" l="1"/>
  <c r="AM337" i="1" s="1"/>
  <c r="AJ336" i="1"/>
  <c r="AL336" i="1" l="1"/>
  <c r="AM336" i="1" s="1"/>
  <c r="AJ335" i="1"/>
  <c r="AL335" i="1" l="1"/>
  <c r="AM335" i="1" s="1"/>
  <c r="AJ334" i="1"/>
  <c r="AL334" i="1" l="1"/>
  <c r="AM334" i="1" s="1"/>
  <c r="AJ333" i="1"/>
  <c r="AL333" i="1" l="1"/>
  <c r="AM333" i="1" s="1"/>
  <c r="AJ332" i="1"/>
  <c r="AL332" i="1" l="1"/>
  <c r="AM332" i="1" s="1"/>
  <c r="AJ331" i="1"/>
  <c r="AL331" i="1" l="1"/>
  <c r="AM331" i="1" s="1"/>
  <c r="AJ330" i="1"/>
  <c r="AL330" i="1" l="1"/>
  <c r="AM330" i="1" s="1"/>
  <c r="AJ329" i="1"/>
  <c r="AL329" i="1" l="1"/>
  <c r="AM329" i="1" s="1"/>
  <c r="AJ328" i="1"/>
  <c r="AL328" i="1" l="1"/>
  <c r="AM328" i="1" s="1"/>
  <c r="AJ327" i="1"/>
  <c r="AL327" i="1" l="1"/>
  <c r="AM327" i="1" s="1"/>
  <c r="AJ326" i="1"/>
  <c r="AL326" i="1" l="1"/>
  <c r="AM326" i="1" s="1"/>
  <c r="AJ325" i="1"/>
  <c r="AL325" i="1" l="1"/>
  <c r="AM325" i="1" s="1"/>
  <c r="AJ324" i="1"/>
  <c r="AL324" i="1" l="1"/>
  <c r="AM324" i="1" s="1"/>
  <c r="AJ323" i="1"/>
  <c r="AL323" i="1" l="1"/>
  <c r="AM323" i="1" s="1"/>
  <c r="AJ322" i="1"/>
  <c r="AL322" i="1" l="1"/>
  <c r="AM322" i="1" s="1"/>
  <c r="AJ321" i="1"/>
  <c r="AJ320" i="1" l="1"/>
  <c r="AL321" i="1"/>
  <c r="AM321" i="1" s="1"/>
  <c r="AJ319" i="1" l="1"/>
  <c r="AL320" i="1"/>
  <c r="AM320" i="1" s="1"/>
  <c r="AL319" i="1" l="1"/>
  <c r="AM319" i="1" s="1"/>
  <c r="AJ318" i="1"/>
  <c r="AJ317" i="1" l="1"/>
  <c r="AL318" i="1"/>
  <c r="AM318" i="1" s="1"/>
  <c r="AL317" i="1" l="1"/>
  <c r="AM317" i="1" s="1"/>
  <c r="AJ316" i="1"/>
  <c r="AL316" i="1" l="1"/>
  <c r="AM316" i="1" s="1"/>
  <c r="AJ315" i="1"/>
  <c r="AL315" i="1" l="1"/>
  <c r="AM315" i="1" s="1"/>
  <c r="AJ314" i="1"/>
  <c r="AL314" i="1" l="1"/>
  <c r="AM314" i="1" s="1"/>
  <c r="AJ313" i="1"/>
  <c r="AL313" i="1" l="1"/>
  <c r="AM313" i="1" s="1"/>
  <c r="AJ312" i="1"/>
  <c r="AL312" i="1" l="1"/>
  <c r="AM312" i="1" s="1"/>
  <c r="AJ311" i="1"/>
  <c r="AL311" i="1" l="1"/>
  <c r="AM311" i="1" s="1"/>
  <c r="AJ310" i="1"/>
  <c r="AL310" i="1" l="1"/>
  <c r="AM310" i="1" s="1"/>
  <c r="AJ309" i="1"/>
  <c r="AL309" i="1" l="1"/>
  <c r="AM309" i="1" s="1"/>
  <c r="AJ308" i="1"/>
  <c r="AJ307" i="1" l="1"/>
  <c r="AL308" i="1"/>
  <c r="AM308" i="1" s="1"/>
  <c r="AJ306" i="1" l="1"/>
  <c r="AL307" i="1"/>
  <c r="AM307" i="1" s="1"/>
  <c r="AL306" i="1" l="1"/>
  <c r="AM306" i="1" s="1"/>
  <c r="AJ305" i="1"/>
  <c r="AL305" i="1" l="1"/>
  <c r="AM305" i="1" s="1"/>
  <c r="AJ304" i="1"/>
  <c r="AL304" i="1" l="1"/>
  <c r="AM304" i="1" s="1"/>
  <c r="AJ303" i="1"/>
  <c r="AJ302" i="1" l="1"/>
  <c r="AL303" i="1"/>
  <c r="AM303" i="1" s="1"/>
  <c r="AL302" i="1" l="1"/>
  <c r="AM302" i="1" s="1"/>
  <c r="AJ301" i="1"/>
  <c r="AL301" i="1" l="1"/>
  <c r="AM301" i="1" s="1"/>
  <c r="AJ300" i="1"/>
  <c r="AJ299" i="1" l="1"/>
  <c r="AL300" i="1"/>
  <c r="AM300" i="1" s="1"/>
  <c r="AJ298" i="1" l="1"/>
  <c r="AL299" i="1"/>
  <c r="AM299" i="1" s="1"/>
  <c r="AL298" i="1" l="1"/>
  <c r="AM298" i="1" s="1"/>
  <c r="AJ297" i="1"/>
  <c r="AL297" i="1" l="1"/>
  <c r="AM297" i="1" s="1"/>
  <c r="AJ296" i="1"/>
  <c r="AL296" i="1" l="1"/>
  <c r="AM296" i="1" s="1"/>
  <c r="AJ295" i="1"/>
  <c r="AL295" i="1" l="1"/>
  <c r="AM295" i="1" s="1"/>
  <c r="AJ294" i="1"/>
  <c r="AJ293" i="1" l="1"/>
  <c r="AL294" i="1"/>
  <c r="AM294" i="1" s="1"/>
  <c r="AJ292" i="1" l="1"/>
  <c r="AL293" i="1"/>
  <c r="AM293" i="1" s="1"/>
  <c r="AL292" i="1" l="1"/>
  <c r="AM292" i="1" s="1"/>
  <c r="AJ291" i="1"/>
  <c r="AL291" i="1" l="1"/>
  <c r="AM291" i="1" s="1"/>
  <c r="AJ290" i="1"/>
  <c r="AL290" i="1" l="1"/>
  <c r="AM290" i="1" s="1"/>
  <c r="AJ289" i="1"/>
  <c r="AL289" i="1" l="1"/>
  <c r="AM289" i="1" s="1"/>
  <c r="AJ288" i="1"/>
  <c r="AJ287" i="1" l="1"/>
  <c r="AL288" i="1"/>
  <c r="AM288" i="1" s="1"/>
  <c r="AJ286" i="1" l="1"/>
  <c r="AL287" i="1"/>
  <c r="AM287" i="1" s="1"/>
  <c r="AL286" i="1" l="1"/>
  <c r="AM286" i="1" s="1"/>
  <c r="AJ285" i="1"/>
  <c r="AL285" i="1" l="1"/>
  <c r="AM285" i="1" s="1"/>
  <c r="AJ284" i="1"/>
  <c r="AJ283" i="1" l="1"/>
  <c r="AL284" i="1"/>
  <c r="AM284" i="1" s="1"/>
  <c r="AL283" i="1" l="1"/>
  <c r="AM283" i="1" s="1"/>
  <c r="AJ282" i="1"/>
  <c r="AJ281" i="1" l="1"/>
  <c r="AL282" i="1"/>
  <c r="AM282" i="1" s="1"/>
  <c r="AJ280" i="1" l="1"/>
  <c r="AL281" i="1"/>
  <c r="AM281" i="1" s="1"/>
  <c r="AL280" i="1" l="1"/>
  <c r="AM280" i="1" s="1"/>
  <c r="AJ279" i="1"/>
  <c r="AL279" i="1" l="1"/>
  <c r="AM279" i="1" s="1"/>
  <c r="AJ278" i="1"/>
  <c r="AL278" i="1" l="1"/>
  <c r="AM278" i="1" s="1"/>
  <c r="AJ277" i="1"/>
  <c r="AJ276" i="1" l="1"/>
  <c r="AL277" i="1"/>
  <c r="AM277" i="1" s="1"/>
  <c r="AJ275" i="1" l="1"/>
  <c r="AL276" i="1"/>
  <c r="AM276" i="1" s="1"/>
  <c r="AL275" i="1" l="1"/>
  <c r="AM275" i="1" s="1"/>
  <c r="AJ274" i="1"/>
  <c r="AL274" i="1" l="1"/>
  <c r="AM274" i="1" s="1"/>
  <c r="AJ273" i="1"/>
  <c r="AL273" i="1" l="1"/>
  <c r="AM273" i="1" s="1"/>
  <c r="AJ272" i="1"/>
  <c r="AL272" i="1" l="1"/>
  <c r="AM272" i="1" s="1"/>
  <c r="AJ271" i="1"/>
  <c r="AJ270" i="1" l="1"/>
  <c r="AL271" i="1"/>
  <c r="AM271" i="1" s="1"/>
  <c r="AL270" i="1" l="1"/>
  <c r="AM270" i="1" s="1"/>
  <c r="AJ269" i="1"/>
  <c r="AL269" i="1" l="1"/>
  <c r="AM269" i="1" s="1"/>
  <c r="AJ268" i="1"/>
  <c r="AL268" i="1" l="1"/>
  <c r="AM268" i="1" s="1"/>
  <c r="AJ267" i="1"/>
  <c r="AL267" i="1" l="1"/>
  <c r="AM267" i="1" s="1"/>
  <c r="AJ266" i="1"/>
  <c r="AL266" i="1" l="1"/>
  <c r="AM266" i="1" s="1"/>
  <c r="AJ265" i="1"/>
  <c r="AL265" i="1" l="1"/>
  <c r="AM265" i="1" s="1"/>
  <c r="AJ264" i="1"/>
  <c r="AL264" i="1" l="1"/>
  <c r="AM264" i="1" s="1"/>
  <c r="AJ263" i="1"/>
  <c r="AL263" i="1" l="1"/>
  <c r="AM263" i="1" s="1"/>
  <c r="AJ262" i="1"/>
  <c r="AJ261" i="1" l="1"/>
  <c r="AL262" i="1"/>
  <c r="AM262" i="1" s="1"/>
  <c r="AL261" i="1" l="1"/>
  <c r="AM261" i="1" s="1"/>
  <c r="AJ260" i="1"/>
  <c r="AL260" i="1" l="1"/>
  <c r="AM260" i="1" s="1"/>
  <c r="AJ259" i="1"/>
  <c r="AL259" i="1" l="1"/>
  <c r="AM259" i="1" s="1"/>
  <c r="AJ258" i="1"/>
  <c r="AL258" i="1" l="1"/>
  <c r="AM258" i="1" s="1"/>
  <c r="AJ257" i="1"/>
  <c r="AL257" i="1" l="1"/>
  <c r="AM257" i="1" s="1"/>
  <c r="AJ256" i="1"/>
  <c r="AJ255" i="1" l="1"/>
  <c r="AL256" i="1"/>
  <c r="AM256" i="1" s="1"/>
  <c r="AL255" i="1" l="1"/>
  <c r="AM255" i="1" s="1"/>
  <c r="AJ254" i="1"/>
  <c r="AL254" i="1" l="1"/>
  <c r="AM254" i="1" s="1"/>
  <c r="AJ253" i="1"/>
  <c r="AJ252" i="1" l="1"/>
  <c r="AL253" i="1"/>
  <c r="AM253" i="1" s="1"/>
  <c r="AL252" i="1" l="1"/>
  <c r="AM252" i="1" s="1"/>
  <c r="AJ251" i="1"/>
  <c r="AJ250" i="1" l="1"/>
  <c r="AL251" i="1"/>
  <c r="AM251" i="1" s="1"/>
  <c r="AJ249" i="1" l="1"/>
  <c r="AL250" i="1"/>
  <c r="AM250" i="1" s="1"/>
  <c r="AL249" i="1" l="1"/>
  <c r="AM249" i="1" s="1"/>
  <c r="AJ248" i="1"/>
  <c r="AL248" i="1" l="1"/>
  <c r="AM248" i="1" s="1"/>
  <c r="AJ247" i="1"/>
  <c r="AJ246" i="1" l="1"/>
  <c r="AL247" i="1"/>
  <c r="AM247" i="1" s="1"/>
  <c r="AL246" i="1" l="1"/>
  <c r="AM246" i="1" s="1"/>
  <c r="AJ245" i="1"/>
  <c r="AL245" i="1" l="1"/>
  <c r="AM245" i="1" s="1"/>
  <c r="AJ244" i="1"/>
  <c r="AL244" i="1" l="1"/>
  <c r="AM244" i="1" s="1"/>
  <c r="AJ243" i="1"/>
  <c r="AL243" i="1" l="1"/>
  <c r="AM243" i="1" s="1"/>
  <c r="AJ242" i="1"/>
  <c r="AL242" i="1" l="1"/>
  <c r="AM242" i="1" s="1"/>
  <c r="AJ241" i="1"/>
  <c r="AJ240" i="1" l="1"/>
  <c r="AL241" i="1"/>
  <c r="AM241" i="1" s="1"/>
  <c r="AL240" i="1" l="1"/>
  <c r="AM240" i="1" s="1"/>
  <c r="AJ239" i="1"/>
  <c r="AL239" i="1" l="1"/>
  <c r="AM239" i="1" s="1"/>
  <c r="AJ238" i="1"/>
  <c r="AL238" i="1" l="1"/>
  <c r="AM238" i="1" s="1"/>
  <c r="AJ237" i="1"/>
  <c r="AL237" i="1" l="1"/>
  <c r="AM237" i="1" s="1"/>
  <c r="AJ236" i="1"/>
  <c r="AL236" i="1" l="1"/>
  <c r="AM236" i="1" s="1"/>
  <c r="AJ235" i="1"/>
  <c r="AL235" i="1" l="1"/>
  <c r="AM235" i="1" s="1"/>
  <c r="AJ234" i="1"/>
  <c r="AL234" i="1" l="1"/>
  <c r="AM234" i="1" s="1"/>
  <c r="AJ233" i="1"/>
  <c r="AL233" i="1" l="1"/>
  <c r="AM233" i="1" s="1"/>
  <c r="AJ232" i="1"/>
  <c r="AJ231" i="1" l="1"/>
  <c r="AL232" i="1"/>
  <c r="AM232" i="1" s="1"/>
  <c r="AJ230" i="1" l="1"/>
  <c r="AL231" i="1"/>
  <c r="AM231" i="1" s="1"/>
  <c r="AL230" i="1" l="1"/>
  <c r="AM230" i="1" s="1"/>
  <c r="AJ229" i="1"/>
  <c r="AL229" i="1" l="1"/>
  <c r="AM229" i="1" s="1"/>
  <c r="AJ228" i="1"/>
  <c r="AL228" i="1" l="1"/>
  <c r="AM228" i="1" s="1"/>
  <c r="AJ227" i="1"/>
  <c r="AJ226" i="1" l="1"/>
  <c r="AL227" i="1"/>
  <c r="AM227" i="1" s="1"/>
  <c r="AL226" i="1" l="1"/>
  <c r="AM226" i="1" s="1"/>
  <c r="AJ225" i="1"/>
  <c r="AL225" i="1" l="1"/>
  <c r="AM225" i="1" s="1"/>
  <c r="AJ224" i="1"/>
  <c r="AJ223" i="1" l="1"/>
  <c r="AL224" i="1"/>
  <c r="AM224" i="1" s="1"/>
  <c r="AL223" i="1" l="1"/>
  <c r="AM223" i="1" s="1"/>
  <c r="AJ222" i="1"/>
  <c r="AL222" i="1" l="1"/>
  <c r="AM222" i="1" s="1"/>
  <c r="AJ221" i="1"/>
  <c r="AL221" i="1" l="1"/>
  <c r="AM221" i="1" s="1"/>
  <c r="AJ220" i="1"/>
  <c r="AJ219" i="1" l="1"/>
  <c r="AL220" i="1"/>
  <c r="AM220" i="1" s="1"/>
  <c r="AJ218" i="1" l="1"/>
  <c r="AL219" i="1"/>
  <c r="AM219" i="1" s="1"/>
  <c r="AL218" i="1" l="1"/>
  <c r="AM218" i="1" s="1"/>
  <c r="AJ217" i="1"/>
  <c r="AL217" i="1" l="1"/>
  <c r="AM217" i="1" s="1"/>
  <c r="AJ216" i="1"/>
  <c r="AJ215" i="1" l="1"/>
  <c r="AL216" i="1"/>
  <c r="AM216" i="1" s="1"/>
  <c r="AL215" i="1" l="1"/>
  <c r="AM215" i="1" s="1"/>
  <c r="AJ214" i="1"/>
  <c r="AL214" i="1" l="1"/>
  <c r="AM214" i="1" s="1"/>
  <c r="AJ213" i="1"/>
  <c r="AJ212" i="1" l="1"/>
  <c r="AL213" i="1"/>
  <c r="AM213" i="1" s="1"/>
  <c r="AL212" i="1" l="1"/>
  <c r="AM212" i="1" s="1"/>
  <c r="AJ211" i="1"/>
  <c r="AL211" i="1" l="1"/>
  <c r="AM211" i="1" s="1"/>
  <c r="AJ210" i="1"/>
  <c r="AJ209" i="1" l="1"/>
  <c r="AL210" i="1"/>
  <c r="AM210" i="1" s="1"/>
  <c r="AL209" i="1" l="1"/>
  <c r="AM209" i="1" s="1"/>
  <c r="AJ208" i="1"/>
  <c r="AL208" i="1" l="1"/>
  <c r="AM208" i="1" s="1"/>
  <c r="AJ207" i="1"/>
  <c r="AJ206" i="1" l="1"/>
  <c r="AL207" i="1"/>
  <c r="AM207" i="1" s="1"/>
  <c r="AJ205" i="1" l="1"/>
  <c r="AL206" i="1"/>
  <c r="AM206" i="1" s="1"/>
  <c r="AL205" i="1" l="1"/>
  <c r="AM205" i="1" s="1"/>
  <c r="AJ204" i="1"/>
  <c r="AL204" i="1" l="1"/>
  <c r="AM204" i="1" s="1"/>
  <c r="AJ203" i="1"/>
  <c r="AL203" i="1" l="1"/>
  <c r="AM203" i="1" s="1"/>
  <c r="AJ202" i="1"/>
  <c r="AJ201" i="1" l="1"/>
  <c r="AL202" i="1"/>
  <c r="AM202" i="1" s="1"/>
  <c r="AL201" i="1" l="1"/>
  <c r="AM201" i="1" s="1"/>
  <c r="AJ200" i="1"/>
  <c r="AJ199" i="1" l="1"/>
  <c r="AL200" i="1"/>
  <c r="AM200" i="1" s="1"/>
  <c r="AL199" i="1" l="1"/>
  <c r="AM199" i="1" s="1"/>
  <c r="AJ198" i="1"/>
  <c r="AL198" i="1" l="1"/>
  <c r="AM198" i="1" s="1"/>
  <c r="AJ197" i="1"/>
  <c r="AJ196" i="1" l="1"/>
  <c r="AL197" i="1"/>
  <c r="AM197" i="1" s="1"/>
  <c r="AL196" i="1" l="1"/>
  <c r="AM196" i="1" s="1"/>
  <c r="AJ195" i="1"/>
  <c r="AL195" i="1" l="1"/>
  <c r="AM195" i="1" s="1"/>
  <c r="AJ194" i="1"/>
  <c r="AL194" i="1" l="1"/>
  <c r="AM194" i="1" s="1"/>
  <c r="AJ193" i="1"/>
  <c r="AL193" i="1" l="1"/>
  <c r="AM193" i="1" s="1"/>
  <c r="AJ192" i="1"/>
  <c r="AL192" i="1" l="1"/>
  <c r="AM192" i="1" s="1"/>
  <c r="AJ191" i="1"/>
  <c r="AL191" i="1" l="1"/>
  <c r="AM191" i="1" s="1"/>
  <c r="AJ190" i="1"/>
  <c r="AL190" i="1" l="1"/>
  <c r="AM190" i="1" s="1"/>
  <c r="AJ189" i="1"/>
  <c r="AJ188" i="1" l="1"/>
  <c r="AL189" i="1"/>
  <c r="AM189" i="1" s="1"/>
  <c r="AJ187" i="1" l="1"/>
  <c r="AL188" i="1"/>
  <c r="AM188" i="1" s="1"/>
  <c r="AL187" i="1" l="1"/>
  <c r="AM187" i="1" s="1"/>
  <c r="AJ186" i="1"/>
  <c r="AL186" i="1" l="1"/>
  <c r="AM186" i="1" s="1"/>
  <c r="AJ185" i="1"/>
  <c r="AL185" i="1" l="1"/>
  <c r="AM185" i="1" s="1"/>
  <c r="AJ184" i="1"/>
  <c r="AJ183" i="1" l="1"/>
  <c r="AL184" i="1"/>
  <c r="AM184" i="1" s="1"/>
  <c r="AL183" i="1" l="1"/>
  <c r="AM183" i="1" s="1"/>
  <c r="AJ182" i="1"/>
  <c r="AL182" i="1" l="1"/>
  <c r="AM182" i="1" s="1"/>
  <c r="AJ181" i="1"/>
  <c r="AJ180" i="1" l="1"/>
  <c r="AL181" i="1"/>
  <c r="AM181" i="1" s="1"/>
  <c r="AL180" i="1" l="1"/>
  <c r="AM180" i="1" s="1"/>
  <c r="AJ179" i="1"/>
  <c r="AL179" i="1" l="1"/>
  <c r="AM179" i="1" s="1"/>
  <c r="AJ178" i="1"/>
  <c r="AL178" i="1" l="1"/>
  <c r="AM178" i="1" s="1"/>
  <c r="AJ177" i="1"/>
  <c r="AJ176" i="1" l="1"/>
  <c r="AL177" i="1"/>
  <c r="AM177" i="1" s="1"/>
  <c r="AJ175" i="1" l="1"/>
  <c r="AL176" i="1"/>
  <c r="AM176" i="1" s="1"/>
  <c r="AL175" i="1" l="1"/>
  <c r="AM175" i="1" s="1"/>
  <c r="AJ174" i="1"/>
  <c r="AJ173" i="1" l="1"/>
  <c r="AL174" i="1"/>
  <c r="AM174" i="1" s="1"/>
  <c r="AL173" i="1" l="1"/>
  <c r="AM173" i="1" s="1"/>
  <c r="AJ172" i="1"/>
  <c r="AL172" i="1" l="1"/>
  <c r="AM172" i="1" s="1"/>
  <c r="AJ171" i="1"/>
  <c r="AL171" i="1" l="1"/>
  <c r="AM171" i="1" s="1"/>
  <c r="AJ170" i="1"/>
  <c r="AL170" i="1" l="1"/>
  <c r="AM170" i="1" s="1"/>
  <c r="AJ169" i="1"/>
  <c r="AL169" i="1" l="1"/>
  <c r="AM169" i="1" s="1"/>
  <c r="AJ168" i="1"/>
  <c r="AL168" i="1" l="1"/>
  <c r="AM168" i="1" s="1"/>
  <c r="AJ167" i="1"/>
  <c r="AL167" i="1" l="1"/>
  <c r="AM167" i="1" s="1"/>
  <c r="AJ166" i="1"/>
  <c r="AL166" i="1" l="1"/>
  <c r="AM166" i="1" s="1"/>
  <c r="AJ165" i="1"/>
  <c r="AL165" i="1" l="1"/>
  <c r="AM165" i="1" s="1"/>
  <c r="AJ164" i="1"/>
  <c r="AL164" i="1" l="1"/>
  <c r="AM164" i="1" s="1"/>
  <c r="AJ163" i="1"/>
  <c r="AL163" i="1" l="1"/>
  <c r="AM163" i="1" s="1"/>
  <c r="AJ162" i="1"/>
  <c r="AL162" i="1" l="1"/>
  <c r="AM162" i="1" s="1"/>
  <c r="AJ161" i="1"/>
  <c r="AL161" i="1" l="1"/>
  <c r="AM161" i="1" s="1"/>
  <c r="AJ160" i="1"/>
  <c r="AL160" i="1" l="1"/>
  <c r="AM160" i="1" s="1"/>
  <c r="AJ159" i="1"/>
  <c r="AJ158" i="1" l="1"/>
  <c r="AL159" i="1"/>
  <c r="AM159" i="1" s="1"/>
  <c r="AL158" i="1" l="1"/>
  <c r="AM158" i="1" s="1"/>
  <c r="AJ157" i="1"/>
  <c r="AL157" i="1" l="1"/>
  <c r="AM157" i="1" s="1"/>
  <c r="AJ156" i="1"/>
  <c r="AL156" i="1" l="1"/>
  <c r="AM156" i="1" s="1"/>
  <c r="AJ155" i="1"/>
  <c r="AL155" i="1" l="1"/>
  <c r="AM155" i="1" s="1"/>
  <c r="AJ154" i="1"/>
  <c r="AL154" i="1" l="1"/>
  <c r="AM154" i="1" s="1"/>
  <c r="AJ153" i="1"/>
  <c r="AL153" i="1" l="1"/>
  <c r="AM153" i="1" s="1"/>
  <c r="AJ152" i="1"/>
  <c r="AL152" i="1" l="1"/>
  <c r="AM152" i="1" s="1"/>
  <c r="AJ151" i="1"/>
  <c r="AL151" i="1" l="1"/>
  <c r="AM151" i="1" s="1"/>
  <c r="AJ150" i="1"/>
  <c r="AJ149" i="1" l="1"/>
  <c r="AL150" i="1"/>
  <c r="AM150" i="1" s="1"/>
  <c r="AL149" i="1" l="1"/>
  <c r="AM149" i="1" s="1"/>
  <c r="AJ148" i="1"/>
  <c r="AL148" i="1" l="1"/>
  <c r="AM148" i="1" s="1"/>
  <c r="AJ147" i="1"/>
  <c r="AL147" i="1" l="1"/>
  <c r="AM147" i="1" s="1"/>
  <c r="AJ146" i="1"/>
  <c r="AL146" i="1" l="1"/>
  <c r="AM146" i="1" s="1"/>
  <c r="AJ145" i="1"/>
  <c r="AL145" i="1" l="1"/>
  <c r="AM145" i="1" s="1"/>
  <c r="AJ144" i="1"/>
  <c r="AL144" i="1" l="1"/>
  <c r="AM144" i="1" s="1"/>
  <c r="AJ143" i="1"/>
  <c r="AL143" i="1" l="1"/>
  <c r="AM143" i="1" s="1"/>
  <c r="AJ142" i="1"/>
  <c r="AL142" i="1" l="1"/>
  <c r="AM142" i="1" s="1"/>
  <c r="AJ141" i="1"/>
  <c r="AL141" i="1" l="1"/>
  <c r="AM141" i="1" s="1"/>
  <c r="AJ140" i="1"/>
  <c r="AL140" i="1" l="1"/>
  <c r="AM140" i="1" s="1"/>
  <c r="AJ139" i="1"/>
  <c r="AL139" i="1" l="1"/>
  <c r="AM139" i="1" s="1"/>
  <c r="AJ138" i="1"/>
  <c r="AJ137" i="1" l="1"/>
  <c r="AL138" i="1"/>
  <c r="AM138" i="1" s="1"/>
  <c r="AL137" i="1" l="1"/>
  <c r="AM137" i="1" s="1"/>
  <c r="AJ136" i="1"/>
  <c r="AL136" i="1" l="1"/>
  <c r="AM136" i="1" s="1"/>
  <c r="AJ135" i="1"/>
  <c r="AL135" i="1" l="1"/>
  <c r="AM135" i="1" s="1"/>
  <c r="AJ134" i="1"/>
  <c r="AL134" i="1" l="1"/>
  <c r="AM134" i="1" s="1"/>
  <c r="AJ133" i="1"/>
  <c r="AL133" i="1" l="1"/>
  <c r="AM133" i="1" s="1"/>
  <c r="AJ132" i="1"/>
  <c r="AL132" i="1" l="1"/>
  <c r="AM132" i="1" s="1"/>
  <c r="AJ131" i="1"/>
  <c r="AL131" i="1" l="1"/>
  <c r="AM131" i="1" s="1"/>
  <c r="AJ130" i="1"/>
  <c r="AL130" i="1" l="1"/>
  <c r="AM130" i="1" s="1"/>
  <c r="AJ129" i="1"/>
  <c r="AJ128" i="1" l="1"/>
  <c r="AL129" i="1"/>
  <c r="AM129" i="1" s="1"/>
  <c r="AL128" i="1" l="1"/>
  <c r="AM128" i="1" s="1"/>
  <c r="AJ127" i="1"/>
  <c r="AL127" i="1" l="1"/>
  <c r="AM127" i="1" s="1"/>
  <c r="AJ126" i="1"/>
  <c r="AL126" i="1" l="1"/>
  <c r="AM126" i="1" s="1"/>
  <c r="AJ125" i="1"/>
  <c r="AL125" i="1" l="1"/>
  <c r="AM125" i="1" s="1"/>
  <c r="AJ124" i="1"/>
  <c r="AL124" i="1" l="1"/>
  <c r="AM124" i="1" s="1"/>
  <c r="AJ123" i="1"/>
  <c r="AL123" i="1" l="1"/>
  <c r="AM123" i="1" s="1"/>
  <c r="AJ122" i="1"/>
  <c r="AL122" i="1" l="1"/>
  <c r="AM122" i="1" s="1"/>
  <c r="AJ121" i="1"/>
  <c r="AL121" i="1" l="1"/>
  <c r="AM121" i="1" s="1"/>
  <c r="AJ120" i="1"/>
  <c r="AL120" i="1" l="1"/>
  <c r="AM120" i="1" s="1"/>
  <c r="AJ119" i="1"/>
  <c r="AL119" i="1" l="1"/>
  <c r="AM119" i="1" s="1"/>
  <c r="AJ118" i="1"/>
  <c r="AL118" i="1" l="1"/>
  <c r="AM118" i="1" s="1"/>
  <c r="AJ117" i="1"/>
  <c r="AL117" i="1" l="1"/>
  <c r="AM117" i="1" s="1"/>
  <c r="AJ116" i="1"/>
  <c r="AL116" i="1" l="1"/>
  <c r="AM116" i="1" s="1"/>
  <c r="AJ115" i="1"/>
  <c r="AL115" i="1" l="1"/>
  <c r="AM115" i="1" s="1"/>
  <c r="AJ114" i="1"/>
  <c r="AL114" i="1" l="1"/>
  <c r="AM114" i="1" s="1"/>
  <c r="AJ113" i="1"/>
  <c r="AL113" i="1" l="1"/>
  <c r="AM113" i="1" s="1"/>
  <c r="AJ112" i="1"/>
  <c r="AJ111" i="1" l="1"/>
  <c r="AL112" i="1"/>
  <c r="AM112" i="1" s="1"/>
  <c r="AL111" i="1" l="1"/>
  <c r="AM111" i="1" s="1"/>
  <c r="AJ110" i="1"/>
  <c r="AL110" i="1" l="1"/>
  <c r="AM110" i="1" s="1"/>
  <c r="AJ109" i="1"/>
  <c r="AL109" i="1" l="1"/>
  <c r="AM109" i="1" s="1"/>
  <c r="AJ108" i="1"/>
  <c r="AL108" i="1" l="1"/>
  <c r="AM108" i="1" s="1"/>
  <c r="AJ107" i="1"/>
  <c r="AL107" i="1" l="1"/>
  <c r="AM107" i="1" s="1"/>
  <c r="AJ106" i="1"/>
  <c r="AL106" i="1" l="1"/>
  <c r="AM106" i="1" s="1"/>
  <c r="AJ105" i="1"/>
  <c r="AL105" i="1" l="1"/>
  <c r="AM105" i="1" s="1"/>
  <c r="AJ104" i="1"/>
  <c r="AL104" i="1" l="1"/>
  <c r="AM104" i="1" s="1"/>
  <c r="AJ103" i="1"/>
  <c r="AL103" i="1" l="1"/>
  <c r="AM103" i="1" s="1"/>
  <c r="AJ102" i="1"/>
  <c r="AL102" i="1" l="1"/>
  <c r="AM102" i="1" s="1"/>
  <c r="AJ101" i="1"/>
  <c r="AJ100" i="1" l="1"/>
  <c r="AL101" i="1"/>
  <c r="AM101" i="1" s="1"/>
  <c r="AL100" i="1" l="1"/>
  <c r="AM100" i="1" s="1"/>
  <c r="AJ99" i="1"/>
  <c r="AL99" i="1" l="1"/>
  <c r="AM99" i="1" s="1"/>
  <c r="AJ98" i="1"/>
  <c r="AL98" i="1" l="1"/>
  <c r="AM98" i="1" s="1"/>
  <c r="AJ97" i="1"/>
  <c r="AL97" i="1" l="1"/>
  <c r="AM97" i="1" s="1"/>
  <c r="AJ96" i="1"/>
  <c r="AL96" i="1" l="1"/>
  <c r="AM96" i="1" s="1"/>
  <c r="AJ95" i="1"/>
  <c r="AL95" i="1" l="1"/>
  <c r="AM95" i="1" s="1"/>
  <c r="AJ94" i="1"/>
  <c r="AL94" i="1" l="1"/>
  <c r="AM94" i="1" s="1"/>
  <c r="AJ93" i="1"/>
  <c r="AL93" i="1" l="1"/>
  <c r="AM93" i="1" s="1"/>
  <c r="AJ92" i="1"/>
  <c r="AL92" i="1" l="1"/>
  <c r="AM92" i="1" s="1"/>
  <c r="AJ91" i="1"/>
  <c r="AL91" i="1" l="1"/>
  <c r="AM91" i="1" s="1"/>
  <c r="AJ90" i="1"/>
  <c r="AL90" i="1" l="1"/>
  <c r="AM90" i="1" s="1"/>
  <c r="AJ89" i="1"/>
  <c r="AL89" i="1" l="1"/>
  <c r="AM89" i="1" s="1"/>
  <c r="AJ88" i="1"/>
  <c r="AL88" i="1" l="1"/>
  <c r="AM88" i="1" s="1"/>
  <c r="AJ87" i="1"/>
  <c r="AL87" i="1" l="1"/>
  <c r="AM87" i="1" s="1"/>
  <c r="AJ86" i="1"/>
  <c r="AL86" i="1" l="1"/>
  <c r="AM86" i="1" s="1"/>
  <c r="AJ85" i="1"/>
  <c r="AL85" i="1" l="1"/>
  <c r="AM85" i="1" s="1"/>
  <c r="AJ84" i="1"/>
  <c r="AL84" i="1" l="1"/>
  <c r="AM84" i="1" s="1"/>
  <c r="AJ83" i="1"/>
  <c r="AL83" i="1" l="1"/>
  <c r="AM83" i="1" s="1"/>
  <c r="AJ82" i="1"/>
  <c r="AJ81" i="1" l="1"/>
  <c r="AL82" i="1"/>
  <c r="AM82" i="1" s="1"/>
  <c r="AL81" i="1" l="1"/>
  <c r="AM81" i="1" s="1"/>
  <c r="AJ80" i="1"/>
  <c r="AL80" i="1" l="1"/>
  <c r="AM80" i="1" s="1"/>
  <c r="AJ79" i="1"/>
  <c r="AL79" i="1" l="1"/>
  <c r="AM79" i="1" s="1"/>
  <c r="AJ78" i="1"/>
  <c r="AJ77" i="1" l="1"/>
  <c r="AL78" i="1"/>
  <c r="AM78" i="1" s="1"/>
  <c r="AL77" i="1" l="1"/>
  <c r="AM77" i="1" s="1"/>
  <c r="AJ76" i="1"/>
  <c r="AL76" i="1" l="1"/>
  <c r="AM76" i="1" s="1"/>
  <c r="AJ75" i="1"/>
  <c r="AL75" i="1" l="1"/>
  <c r="AM75" i="1" s="1"/>
  <c r="AJ74" i="1"/>
  <c r="AL74" i="1" l="1"/>
  <c r="AM74" i="1" s="1"/>
  <c r="AJ73" i="1"/>
  <c r="AL73" i="1" l="1"/>
  <c r="AM73" i="1" s="1"/>
  <c r="AJ72" i="1"/>
  <c r="AL72" i="1" l="1"/>
  <c r="AM72" i="1" s="1"/>
  <c r="AJ71" i="1"/>
  <c r="AL71" i="1" l="1"/>
  <c r="AM71" i="1" s="1"/>
  <c r="AJ70" i="1"/>
  <c r="AL70" i="1" l="1"/>
  <c r="AM70" i="1" s="1"/>
  <c r="AJ69" i="1"/>
  <c r="AL69" i="1" l="1"/>
  <c r="AM69" i="1" s="1"/>
  <c r="AJ68" i="1"/>
  <c r="AL68" i="1" l="1"/>
  <c r="AM68" i="1" s="1"/>
  <c r="AJ67" i="1"/>
  <c r="AL67" i="1" l="1"/>
  <c r="AM67" i="1" s="1"/>
  <c r="AJ66" i="1"/>
  <c r="AL66" i="1" l="1"/>
  <c r="AM66" i="1" s="1"/>
  <c r="AJ65" i="1"/>
  <c r="AL65" i="1" l="1"/>
  <c r="AM65" i="1" s="1"/>
  <c r="AJ64" i="1"/>
  <c r="AL64" i="1" l="1"/>
  <c r="AM64" i="1" s="1"/>
  <c r="AJ63" i="1"/>
  <c r="AL63" i="1" l="1"/>
  <c r="AM63" i="1" s="1"/>
  <c r="AJ62" i="1"/>
  <c r="AL62" i="1" l="1"/>
  <c r="AM62" i="1" s="1"/>
  <c r="AJ61" i="1"/>
  <c r="AL61" i="1" l="1"/>
  <c r="AM61" i="1" s="1"/>
  <c r="AJ60" i="1"/>
  <c r="AL60" i="1" l="1"/>
  <c r="AM60" i="1" s="1"/>
  <c r="AJ59" i="1"/>
  <c r="AJ58" i="1" l="1"/>
  <c r="AL59" i="1"/>
  <c r="AM59" i="1" s="1"/>
  <c r="AL58" i="1" l="1"/>
  <c r="AM58" i="1" s="1"/>
  <c r="AJ57" i="1"/>
  <c r="AL57" i="1" l="1"/>
  <c r="AM57" i="1" s="1"/>
  <c r="AJ56" i="1"/>
  <c r="AL56" i="1" l="1"/>
  <c r="AM56" i="1" s="1"/>
  <c r="AJ55" i="1"/>
  <c r="AL55" i="1" l="1"/>
  <c r="AM55" i="1" s="1"/>
  <c r="AJ54" i="1"/>
  <c r="AL54" i="1" l="1"/>
  <c r="AM54" i="1" s="1"/>
  <c r="AJ53" i="1"/>
  <c r="AL53" i="1" l="1"/>
  <c r="AM53" i="1" s="1"/>
  <c r="AJ52" i="1"/>
  <c r="AL52" i="1" l="1"/>
  <c r="AM52" i="1" s="1"/>
  <c r="AJ51" i="1"/>
  <c r="AL51" i="1" l="1"/>
  <c r="AM51" i="1" s="1"/>
  <c r="AJ50" i="1"/>
  <c r="AL50" i="1" l="1"/>
  <c r="AM50" i="1" s="1"/>
  <c r="AJ49" i="1"/>
  <c r="AL49" i="1" l="1"/>
  <c r="AM49" i="1" s="1"/>
  <c r="AJ48" i="1"/>
  <c r="AL48" i="1" l="1"/>
  <c r="AM48" i="1" s="1"/>
  <c r="AJ47" i="1"/>
  <c r="AL47" i="1" l="1"/>
  <c r="AM47" i="1" s="1"/>
  <c r="AJ46" i="1"/>
  <c r="AJ45" i="1" l="1"/>
  <c r="AL46" i="1"/>
  <c r="AM46" i="1" s="1"/>
  <c r="AL45" i="1" l="1"/>
  <c r="AM45" i="1" s="1"/>
  <c r="AJ44" i="1"/>
  <c r="AL44" i="1" l="1"/>
  <c r="AM44" i="1" s="1"/>
  <c r="AJ43" i="1"/>
  <c r="AL43" i="1" l="1"/>
  <c r="AM43" i="1" s="1"/>
  <c r="AJ42" i="1"/>
  <c r="AJ41" i="1" l="1"/>
  <c r="AL42" i="1"/>
  <c r="AM42" i="1" s="1"/>
  <c r="AL41" i="1" l="1"/>
  <c r="AM41" i="1" s="1"/>
  <c r="AJ40" i="1"/>
  <c r="AL40" i="1" l="1"/>
  <c r="AM40" i="1" s="1"/>
  <c r="AJ39" i="1"/>
  <c r="AL39" i="1" l="1"/>
  <c r="AM39" i="1" s="1"/>
  <c r="AJ38" i="1"/>
  <c r="AL38" i="1" l="1"/>
  <c r="AM38" i="1" s="1"/>
  <c r="AJ37" i="1"/>
  <c r="AL37" i="1" l="1"/>
  <c r="AM37" i="1" s="1"/>
  <c r="AJ36" i="1"/>
  <c r="AL36" i="1" l="1"/>
  <c r="AM36" i="1" s="1"/>
  <c r="AJ35" i="1"/>
  <c r="AL35" i="1" l="1"/>
  <c r="AM35" i="1" s="1"/>
  <c r="AJ34" i="1"/>
  <c r="AL34" i="1" l="1"/>
  <c r="AM34" i="1" s="1"/>
  <c r="AJ33" i="1"/>
  <c r="AL33" i="1" l="1"/>
  <c r="AM33" i="1" s="1"/>
  <c r="AJ32" i="1"/>
  <c r="AL32" i="1" l="1"/>
  <c r="AM32" i="1" s="1"/>
  <c r="AJ31" i="1"/>
  <c r="AJ30" i="1" l="1"/>
  <c r="AL31" i="1"/>
  <c r="AM31" i="1" s="1"/>
  <c r="AJ29" i="1" l="1"/>
  <c r="AL30" i="1"/>
  <c r="AM30" i="1" s="1"/>
  <c r="AL29" i="1" l="1"/>
  <c r="AM29" i="1" s="1"/>
  <c r="AJ28" i="1"/>
  <c r="AL28" i="1" l="1"/>
  <c r="AM28" i="1" s="1"/>
  <c r="AJ27" i="1"/>
  <c r="AJ26" i="1" l="1"/>
  <c r="AL27" i="1"/>
  <c r="AM27" i="1" s="1"/>
  <c r="AL26" i="1" l="1"/>
  <c r="AM26" i="1" s="1"/>
  <c r="AJ25" i="1"/>
  <c r="AL25" i="1" l="1"/>
  <c r="AM25" i="1" s="1"/>
  <c r="AJ24" i="1"/>
  <c r="AL24" i="1" l="1"/>
  <c r="AM24" i="1" s="1"/>
  <c r="AJ23" i="1"/>
  <c r="AL23" i="1" l="1"/>
  <c r="AM23" i="1" s="1"/>
  <c r="AJ22" i="1"/>
  <c r="AL22" i="1" l="1"/>
  <c r="AM22" i="1" s="1"/>
  <c r="AJ21" i="1"/>
  <c r="AL21" i="1" l="1"/>
  <c r="AM21" i="1" s="1"/>
  <c r="AJ20" i="1"/>
  <c r="AJ19" i="1" l="1"/>
  <c r="AL20" i="1"/>
  <c r="AM20" i="1" s="1"/>
  <c r="AL19" i="1" l="1"/>
  <c r="AM19" i="1" s="1"/>
  <c r="AJ18" i="1"/>
  <c r="AL18" i="1" l="1"/>
  <c r="AM18" i="1" s="1"/>
  <c r="AJ17" i="1"/>
  <c r="AJ16" i="1" l="1"/>
  <c r="AL17" i="1"/>
  <c r="AM17" i="1" s="1"/>
  <c r="AL16" i="1" l="1"/>
  <c r="AM16" i="1" s="1"/>
  <c r="AJ15" i="1"/>
  <c r="AL15" i="1" l="1"/>
  <c r="AM15" i="1" s="1"/>
  <c r="AJ14" i="1"/>
  <c r="AL14" i="1" l="1"/>
  <c r="AM14" i="1" s="1"/>
  <c r="AJ13" i="1"/>
  <c r="AL13" i="1" l="1"/>
  <c r="AJ12" i="1"/>
  <c r="AM13" i="1" l="1"/>
  <c r="AQ45" i="1"/>
  <c r="AL12" i="1"/>
  <c r="AM12" i="1" s="1"/>
  <c r="AJ11" i="1"/>
  <c r="AL11" i="1" l="1"/>
  <c r="AM11" i="1" s="1"/>
  <c r="AJ10" i="1"/>
  <c r="AL10" i="1" l="1"/>
  <c r="AM10" i="1" s="1"/>
  <c r="AJ9" i="1"/>
  <c r="AL9" i="1" l="1"/>
  <c r="AM9" i="1" s="1"/>
  <c r="AJ8" i="1"/>
  <c r="AL8" i="1" l="1"/>
  <c r="AM8" i="1" s="1"/>
  <c r="AJ7" i="1"/>
  <c r="AL7" i="1" l="1"/>
  <c r="AM7" i="1" s="1"/>
  <c r="AJ6" i="1"/>
  <c r="AJ5" i="1" l="1"/>
  <c r="AL6" i="1"/>
  <c r="AM6" i="1" s="1"/>
  <c r="AL5" i="1" l="1"/>
  <c r="AM5" i="1" s="1"/>
  <c r="AJ4" i="1"/>
  <c r="AJ3" i="1" l="1"/>
  <c r="AL3" i="1" s="1"/>
  <c r="AL4" i="1"/>
  <c r="AM4" i="1" s="1"/>
  <c r="AM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3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Author: 
Cổ tức = cổ phiếu tỉ lệ 1:1</t>
        </r>
      </text>
    </comment>
    <comment ref="R50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Author:
Chuyển đổi 56.155.405 cổ phiếu ưu đãi sang cổ phiếu thường</t>
        </r>
      </text>
    </comment>
    <comment ref="R269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Author:
Chuyển đổi 29.353.951 cổ phiếu ưu đãi thành cổ phiếu thường</t>
        </r>
      </text>
    </comment>
  </commentList>
</comments>
</file>

<file path=xl/sharedStrings.xml><?xml version="1.0" encoding="utf-8"?>
<sst xmlns="http://schemas.openxmlformats.org/spreadsheetml/2006/main" count="41" uniqueCount="18">
  <si>
    <t>Ngày giao dịch</t>
  </si>
  <si>
    <t>Giá trị Index</t>
  </si>
  <si>
    <t>Số liệu Market cap (Tỷ VNĐ)</t>
  </si>
  <si>
    <t>VIC</t>
  </si>
  <si>
    <t>VHM</t>
  </si>
  <si>
    <t>VRE</t>
  </si>
  <si>
    <t>VPL</t>
  </si>
  <si>
    <t>VJC</t>
  </si>
  <si>
    <t>Tổng VINGroup</t>
  </si>
  <si>
    <t>Lũy kế</t>
  </si>
  <si>
    <t>VNINDEX loại trừ Vingroup</t>
  </si>
  <si>
    <t>Rolling std (20)</t>
  </si>
  <si>
    <t>VNINDEX</t>
  </si>
  <si>
    <t>Giá đóng cửa (D)
Đơn vị: VND</t>
  </si>
  <si>
    <t>Số CP lưu hành hiện thời
Đơn vị: Cổ phiếu</t>
  </si>
  <si>
    <t>Vốn hóa thay đổi</t>
  </si>
  <si>
    <t>Vốn hóa thay đổi (tỷ)</t>
  </si>
  <si>
    <t>Điểm số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</si>
</sst>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;\-#,##0;\-"/>
    <numFmt numFmtId="165" formatCode="#,##0.0_ ;\-#,##0.0\ "/>
    <numFmt numFmtId="166" formatCode="mm/dd/yyyy"/>
    <numFmt numFmtId="167" formatCode="_(* #,##0_);_(* \(#,##0\);_(* &quot;-&quot;??_);_(@_)"/>
    <numFmt numFmtId="168" formatCode="0.0%"/>
    <numFmt numFmtId="169" formatCode="#,##0.0_);\(#,##0.0\)"/>
    <numFmt numFmtId="170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Mono"/>
      <family val="3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3" fillId="0" borderId="0"/>
    <xf numFmtId="9" fontId="3" fillId="0" borderId="0"/>
    <xf numFmtId="43" fontId="3" fillId="0" borderId="0"/>
  </cellStyleXfs>
  <cellXfs count="46">
    <xf numFmtId="0" fontId="0" fillId="0" borderId="0" xfId="0"/>
    <xf numFmtId="14" fontId="0" fillId="0" borderId="0" xfId="0" applyNumberFormat="1"/>
    <xf numFmtId="1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14" fontId="0" fillId="0" borderId="1" xfId="0" applyNumberFormat="1" applyBorder="1"/>
    <xf numFmtId="0" fontId="2" fillId="2" borderId="1" xfId="0" applyFont="1" applyFill="1" applyBorder="1" applyAlignment="1">
      <alignment vertical="center" wrapText="1"/>
    </xf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1" xfId="0" applyNumberFormat="1" applyBorder="1"/>
    <xf numFmtId="164" fontId="0" fillId="3" borderId="0" xfId="0" applyNumberFormat="1" applyFill="1"/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horizontal="center" vertical="center"/>
    </xf>
    <xf numFmtId="14" fontId="0" fillId="4" borderId="0" xfId="0" applyNumberFormat="1" applyFill="1"/>
    <xf numFmtId="4" fontId="0" fillId="4" borderId="0" xfId="0" applyNumberFormat="1" applyFill="1"/>
    <xf numFmtId="0" fontId="0" fillId="4" borderId="0" xfId="0" applyFill="1"/>
    <xf numFmtId="0" fontId="2" fillId="4" borderId="0" xfId="0" applyFont="1" applyFill="1" applyAlignment="1">
      <alignment vertical="center" wrapText="1"/>
    </xf>
    <xf numFmtId="167" fontId="0" fillId="4" borderId="0" xfId="1" applyNumberFormat="1" applyFont="1" applyFill="1"/>
    <xf numFmtId="167" fontId="0" fillId="0" borderId="0" xfId="1" applyNumberFormat="1" applyFont="1"/>
    <xf numFmtId="4" fontId="0" fillId="0" borderId="1" xfId="0" applyNumberFormat="1" applyBorder="1"/>
    <xf numFmtId="3" fontId="4" fillId="0" borderId="2" xfId="0" applyNumberFormat="1" applyFont="1" applyBorder="1"/>
    <xf numFmtId="3" fontId="0" fillId="0" borderId="2" xfId="0" applyNumberFormat="1" applyBorder="1"/>
    <xf numFmtId="3" fontId="0" fillId="0" borderId="3" xfId="0" applyNumberFormat="1" applyBorder="1"/>
    <xf numFmtId="0" fontId="2" fillId="2" borderId="4" xfId="0" applyFont="1" applyFill="1" applyBorder="1" applyAlignment="1">
      <alignment vertical="center" wrapText="1"/>
    </xf>
    <xf numFmtId="3" fontId="0" fillId="0" borderId="5" xfId="0" applyNumberFormat="1" applyBorder="1"/>
    <xf numFmtId="168" fontId="0" fillId="0" borderId="0" xfId="2" applyNumberFormat="1" applyFont="1"/>
    <xf numFmtId="169" fontId="0" fillId="0" borderId="0" xfId="0" applyNumberFormat="1"/>
    <xf numFmtId="166" fontId="3" fillId="0" borderId="1" xfId="0" applyNumberFormat="1" applyFont="1" applyBorder="1"/>
    <xf numFmtId="4" fontId="3" fillId="0" borderId="1" xfId="0" applyNumberFormat="1" applyFont="1" applyBorder="1"/>
    <xf numFmtId="3" fontId="3" fillId="0" borderId="1" xfId="0" applyNumberFormat="1" applyFont="1" applyBorder="1"/>
    <xf numFmtId="0" fontId="3" fillId="0" borderId="0" xfId="0" applyFont="1"/>
    <xf numFmtId="3" fontId="3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164" fontId="3" fillId="3" borderId="0" xfId="0" applyNumberFormat="1" applyFont="1" applyFill="1"/>
    <xf numFmtId="169" fontId="3" fillId="0" borderId="0" xfId="0" applyNumberFormat="1" applyFont="1"/>
    <xf numFmtId="4" fontId="3" fillId="0" borderId="0" xfId="0" applyNumberFormat="1" applyFont="1"/>
    <xf numFmtId="168" fontId="3" fillId="0" borderId="0" xfId="0" applyNumberFormat="1" applyFont="1"/>
    <xf numFmtId="164" fontId="0" fillId="0" borderId="0" xfId="0" applyNumberFormat="1" applyAlignment="1">
      <alignment wrapText="1"/>
    </xf>
    <xf numFmtId="164" fontId="5" fillId="0" borderId="0" xfId="0" applyNumberFormat="1" applyFont="1" applyAlignment="1">
      <alignment wrapText="1"/>
    </xf>
    <xf numFmtId="0" fontId="5" fillId="0" borderId="0" xfId="0" applyFont="1"/>
    <xf numFmtId="170" fontId="5" fillId="0" borderId="0" xfId="0" applyNumberFormat="1" applyFont="1"/>
    <xf numFmtId="165" fontId="3" fillId="0" borderId="0" xfId="0" applyNumberFormat="1" applyFont="1"/>
    <xf numFmtId="3" fontId="1" fillId="2" borderId="1" xfId="0" applyNumberFormat="1" applyFont="1" applyFill="1" applyBorder="1" applyAlignment="1">
      <alignment horizontal="center" vertical="center"/>
    </xf>
    <xf numFmtId="0" fontId="0" fillId="0" borderId="6" xfId="0" applyBorder="1"/>
  </cellXfs>
  <cellStyles count="4">
    <cellStyle name="Comma" xfId="1" builtinId="3"/>
    <cellStyle name="Comma 2" xfId="3" xr:uid="{00000000-0005-0000-0000-000003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2"/>
          <c:order val="0"/>
          <c:tx>
            <c:v>VNINDEX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Sheet1!$A$2:$A$393</c:f>
              <c:numCache>
                <c:formatCode>mm/dd/yyyy</c:formatCode>
                <c:ptCount val="392"/>
                <c:pt idx="1">
                  <c:v>46283</c:v>
                </c:pt>
                <c:pt idx="2">
                  <c:v>46282</c:v>
                </c:pt>
                <c:pt idx="3">
                  <c:v>46281</c:v>
                </c:pt>
                <c:pt idx="4">
                  <c:v>46280</c:v>
                </c:pt>
                <c:pt idx="5">
                  <c:v>46279</c:v>
                </c:pt>
                <c:pt idx="6">
                  <c:v>46276</c:v>
                </c:pt>
                <c:pt idx="7">
                  <c:v>46275</c:v>
                </c:pt>
                <c:pt idx="8">
                  <c:v>46274</c:v>
                </c:pt>
                <c:pt idx="9">
                  <c:v>46273</c:v>
                </c:pt>
                <c:pt idx="10">
                  <c:v>46272</c:v>
                </c:pt>
                <c:pt idx="11">
                  <c:v>46269</c:v>
                </c:pt>
                <c:pt idx="12">
                  <c:v>46268</c:v>
                </c:pt>
                <c:pt idx="13">
                  <c:v>46262</c:v>
                </c:pt>
                <c:pt idx="14">
                  <c:v>46261</c:v>
                </c:pt>
                <c:pt idx="15">
                  <c:v>46260</c:v>
                </c:pt>
                <c:pt idx="16">
                  <c:v>46259</c:v>
                </c:pt>
                <c:pt idx="17">
                  <c:v>46258</c:v>
                </c:pt>
                <c:pt idx="18">
                  <c:v>46255</c:v>
                </c:pt>
                <c:pt idx="19">
                  <c:v>46254</c:v>
                </c:pt>
                <c:pt idx="20">
                  <c:v>46253</c:v>
                </c:pt>
                <c:pt idx="21">
                  <c:v>46252</c:v>
                </c:pt>
                <c:pt idx="22">
                  <c:v>46251</c:v>
                </c:pt>
                <c:pt idx="23">
                  <c:v>46248</c:v>
                </c:pt>
                <c:pt idx="24">
                  <c:v>46247</c:v>
                </c:pt>
                <c:pt idx="25">
                  <c:v>46246</c:v>
                </c:pt>
                <c:pt idx="26">
                  <c:v>46245</c:v>
                </c:pt>
                <c:pt idx="27">
                  <c:v>46244</c:v>
                </c:pt>
                <c:pt idx="28">
                  <c:v>46241</c:v>
                </c:pt>
                <c:pt idx="29">
                  <c:v>46240</c:v>
                </c:pt>
                <c:pt idx="30">
                  <c:v>46239</c:v>
                </c:pt>
                <c:pt idx="31">
                  <c:v>46238</c:v>
                </c:pt>
                <c:pt idx="32">
                  <c:v>46237</c:v>
                </c:pt>
                <c:pt idx="33">
                  <c:v>46234</c:v>
                </c:pt>
                <c:pt idx="34">
                  <c:v>46233</c:v>
                </c:pt>
                <c:pt idx="35">
                  <c:v>46232</c:v>
                </c:pt>
                <c:pt idx="36">
                  <c:v>46231</c:v>
                </c:pt>
                <c:pt idx="37">
                  <c:v>46230</c:v>
                </c:pt>
                <c:pt idx="38">
                  <c:v>46227</c:v>
                </c:pt>
                <c:pt idx="39">
                  <c:v>46226</c:v>
                </c:pt>
                <c:pt idx="40">
                  <c:v>46225</c:v>
                </c:pt>
                <c:pt idx="41">
                  <c:v>46224</c:v>
                </c:pt>
                <c:pt idx="42">
                  <c:v>46223</c:v>
                </c:pt>
                <c:pt idx="43">
                  <c:v>46220</c:v>
                </c:pt>
                <c:pt idx="44">
                  <c:v>46219</c:v>
                </c:pt>
                <c:pt idx="45">
                  <c:v>46218</c:v>
                </c:pt>
                <c:pt idx="46">
                  <c:v>46217</c:v>
                </c:pt>
                <c:pt idx="47">
                  <c:v>46216</c:v>
                </c:pt>
                <c:pt idx="48">
                  <c:v>46213</c:v>
                </c:pt>
                <c:pt idx="49">
                  <c:v>46212</c:v>
                </c:pt>
                <c:pt idx="50">
                  <c:v>46211</c:v>
                </c:pt>
                <c:pt idx="51">
                  <c:v>46210</c:v>
                </c:pt>
                <c:pt idx="52">
                  <c:v>46209</c:v>
                </c:pt>
                <c:pt idx="53">
                  <c:v>46206</c:v>
                </c:pt>
                <c:pt idx="54">
                  <c:v>46205</c:v>
                </c:pt>
                <c:pt idx="55">
                  <c:v>46204</c:v>
                </c:pt>
                <c:pt idx="56">
                  <c:v>46203</c:v>
                </c:pt>
                <c:pt idx="57">
                  <c:v>46202</c:v>
                </c:pt>
                <c:pt idx="58">
                  <c:v>46199</c:v>
                </c:pt>
                <c:pt idx="59">
                  <c:v>46198</c:v>
                </c:pt>
                <c:pt idx="60">
                  <c:v>46197</c:v>
                </c:pt>
                <c:pt idx="61">
                  <c:v>46196</c:v>
                </c:pt>
                <c:pt idx="62">
                  <c:v>46195</c:v>
                </c:pt>
                <c:pt idx="63">
                  <c:v>46192</c:v>
                </c:pt>
                <c:pt idx="64">
                  <c:v>46191</c:v>
                </c:pt>
                <c:pt idx="65">
                  <c:v>46190</c:v>
                </c:pt>
                <c:pt idx="66">
                  <c:v>46189</c:v>
                </c:pt>
                <c:pt idx="67">
                  <c:v>46188</c:v>
                </c:pt>
                <c:pt idx="68">
                  <c:v>46185</c:v>
                </c:pt>
                <c:pt idx="69">
                  <c:v>46184</c:v>
                </c:pt>
                <c:pt idx="70">
                  <c:v>46183</c:v>
                </c:pt>
                <c:pt idx="71">
                  <c:v>46182</c:v>
                </c:pt>
                <c:pt idx="72">
                  <c:v>46181</c:v>
                </c:pt>
                <c:pt idx="73">
                  <c:v>46178</c:v>
                </c:pt>
                <c:pt idx="74">
                  <c:v>46177</c:v>
                </c:pt>
                <c:pt idx="75">
                  <c:v>46176</c:v>
                </c:pt>
                <c:pt idx="76">
                  <c:v>46175</c:v>
                </c:pt>
                <c:pt idx="77">
                  <c:v>46174</c:v>
                </c:pt>
                <c:pt idx="78">
                  <c:v>46171</c:v>
                </c:pt>
                <c:pt idx="79">
                  <c:v>46170</c:v>
                </c:pt>
                <c:pt idx="80">
                  <c:v>46169</c:v>
                </c:pt>
                <c:pt idx="81">
                  <c:v>46168</c:v>
                </c:pt>
                <c:pt idx="82">
                  <c:v>46167</c:v>
                </c:pt>
                <c:pt idx="83">
                  <c:v>46164</c:v>
                </c:pt>
                <c:pt idx="84">
                  <c:v>46163</c:v>
                </c:pt>
                <c:pt idx="85">
                  <c:v>46162</c:v>
                </c:pt>
                <c:pt idx="86">
                  <c:v>46161</c:v>
                </c:pt>
                <c:pt idx="87">
                  <c:v>46160</c:v>
                </c:pt>
                <c:pt idx="88">
                  <c:v>46157</c:v>
                </c:pt>
                <c:pt idx="89">
                  <c:v>46156</c:v>
                </c:pt>
                <c:pt idx="90">
                  <c:v>46155</c:v>
                </c:pt>
                <c:pt idx="91">
                  <c:v>46154</c:v>
                </c:pt>
                <c:pt idx="92">
                  <c:v>46153</c:v>
                </c:pt>
                <c:pt idx="93">
                  <c:v>46150</c:v>
                </c:pt>
                <c:pt idx="94">
                  <c:v>46149</c:v>
                </c:pt>
                <c:pt idx="95">
                  <c:v>46148</c:v>
                </c:pt>
                <c:pt idx="96">
                  <c:v>46147</c:v>
                </c:pt>
                <c:pt idx="97">
                  <c:v>46146</c:v>
                </c:pt>
                <c:pt idx="98">
                  <c:v>46141</c:v>
                </c:pt>
                <c:pt idx="99">
                  <c:v>46140</c:v>
                </c:pt>
                <c:pt idx="100">
                  <c:v>46136</c:v>
                </c:pt>
                <c:pt idx="101">
                  <c:v>46135</c:v>
                </c:pt>
                <c:pt idx="102">
                  <c:v>46134</c:v>
                </c:pt>
                <c:pt idx="103">
                  <c:v>46133</c:v>
                </c:pt>
                <c:pt idx="104">
                  <c:v>46132</c:v>
                </c:pt>
                <c:pt idx="105">
                  <c:v>46129</c:v>
                </c:pt>
                <c:pt idx="106">
                  <c:v>46128</c:v>
                </c:pt>
                <c:pt idx="107">
                  <c:v>46127</c:v>
                </c:pt>
                <c:pt idx="108">
                  <c:v>46126</c:v>
                </c:pt>
                <c:pt idx="109">
                  <c:v>46125</c:v>
                </c:pt>
                <c:pt idx="110">
                  <c:v>46122</c:v>
                </c:pt>
                <c:pt idx="111">
                  <c:v>46121</c:v>
                </c:pt>
                <c:pt idx="112">
                  <c:v>46120</c:v>
                </c:pt>
                <c:pt idx="113">
                  <c:v>46119</c:v>
                </c:pt>
                <c:pt idx="114">
                  <c:v>46118</c:v>
                </c:pt>
                <c:pt idx="115">
                  <c:v>46115</c:v>
                </c:pt>
                <c:pt idx="116">
                  <c:v>46114</c:v>
                </c:pt>
                <c:pt idx="117">
                  <c:v>46113</c:v>
                </c:pt>
                <c:pt idx="118">
                  <c:v>46112</c:v>
                </c:pt>
                <c:pt idx="119">
                  <c:v>46111</c:v>
                </c:pt>
                <c:pt idx="120">
                  <c:v>46108</c:v>
                </c:pt>
                <c:pt idx="121">
                  <c:v>46107</c:v>
                </c:pt>
                <c:pt idx="122">
                  <c:v>46106</c:v>
                </c:pt>
                <c:pt idx="123">
                  <c:v>46105</c:v>
                </c:pt>
                <c:pt idx="124">
                  <c:v>46104</c:v>
                </c:pt>
                <c:pt idx="125">
                  <c:v>46101</c:v>
                </c:pt>
                <c:pt idx="126">
                  <c:v>46100</c:v>
                </c:pt>
                <c:pt idx="127">
                  <c:v>46099</c:v>
                </c:pt>
                <c:pt idx="128">
                  <c:v>46098</c:v>
                </c:pt>
                <c:pt idx="129">
                  <c:v>46097</c:v>
                </c:pt>
                <c:pt idx="130">
                  <c:v>46094</c:v>
                </c:pt>
                <c:pt idx="131">
                  <c:v>46093</c:v>
                </c:pt>
                <c:pt idx="132">
                  <c:v>46092</c:v>
                </c:pt>
                <c:pt idx="133">
                  <c:v>46091</c:v>
                </c:pt>
                <c:pt idx="134">
                  <c:v>46090</c:v>
                </c:pt>
                <c:pt idx="135">
                  <c:v>46087</c:v>
                </c:pt>
                <c:pt idx="136">
                  <c:v>46086</c:v>
                </c:pt>
                <c:pt idx="137">
                  <c:v>46085</c:v>
                </c:pt>
                <c:pt idx="138">
                  <c:v>46084</c:v>
                </c:pt>
                <c:pt idx="139">
                  <c:v>46083</c:v>
                </c:pt>
                <c:pt idx="140">
                  <c:v>46080</c:v>
                </c:pt>
                <c:pt idx="141">
                  <c:v>46079</c:v>
                </c:pt>
                <c:pt idx="142">
                  <c:v>46078</c:v>
                </c:pt>
                <c:pt idx="143">
                  <c:v>46077</c:v>
                </c:pt>
                <c:pt idx="144">
                  <c:v>46076</c:v>
                </c:pt>
                <c:pt idx="145">
                  <c:v>46066</c:v>
                </c:pt>
                <c:pt idx="146">
                  <c:v>46065</c:v>
                </c:pt>
                <c:pt idx="147">
                  <c:v>46064</c:v>
                </c:pt>
                <c:pt idx="148">
                  <c:v>46063</c:v>
                </c:pt>
                <c:pt idx="149">
                  <c:v>46062</c:v>
                </c:pt>
                <c:pt idx="150">
                  <c:v>46059</c:v>
                </c:pt>
                <c:pt idx="151">
                  <c:v>46058</c:v>
                </c:pt>
                <c:pt idx="152">
                  <c:v>46057</c:v>
                </c:pt>
                <c:pt idx="153">
                  <c:v>46056</c:v>
                </c:pt>
                <c:pt idx="154">
                  <c:v>46055</c:v>
                </c:pt>
                <c:pt idx="155">
                  <c:v>46052</c:v>
                </c:pt>
                <c:pt idx="156">
                  <c:v>46051</c:v>
                </c:pt>
                <c:pt idx="157">
                  <c:v>46050</c:v>
                </c:pt>
                <c:pt idx="158">
                  <c:v>46049</c:v>
                </c:pt>
                <c:pt idx="159">
                  <c:v>46048</c:v>
                </c:pt>
                <c:pt idx="160">
                  <c:v>46045</c:v>
                </c:pt>
                <c:pt idx="161">
                  <c:v>46044</c:v>
                </c:pt>
                <c:pt idx="162">
                  <c:v>46043</c:v>
                </c:pt>
                <c:pt idx="163">
                  <c:v>46042</c:v>
                </c:pt>
                <c:pt idx="164">
                  <c:v>46041</c:v>
                </c:pt>
                <c:pt idx="165">
                  <c:v>46038</c:v>
                </c:pt>
                <c:pt idx="166">
                  <c:v>46037</c:v>
                </c:pt>
                <c:pt idx="167">
                  <c:v>46036</c:v>
                </c:pt>
                <c:pt idx="168">
                  <c:v>46035</c:v>
                </c:pt>
                <c:pt idx="169">
                  <c:v>46034</c:v>
                </c:pt>
                <c:pt idx="170">
                  <c:v>46031</c:v>
                </c:pt>
                <c:pt idx="171">
                  <c:v>46030</c:v>
                </c:pt>
                <c:pt idx="172">
                  <c:v>46029</c:v>
                </c:pt>
                <c:pt idx="173">
                  <c:v>46028</c:v>
                </c:pt>
                <c:pt idx="174">
                  <c:v>46027</c:v>
                </c:pt>
                <c:pt idx="175" formatCode="m/d/yyyy">
                  <c:v>46022</c:v>
                </c:pt>
                <c:pt idx="176" formatCode="m/d/yyyy">
                  <c:v>46021</c:v>
                </c:pt>
                <c:pt idx="177" formatCode="m/d/yyyy">
                  <c:v>46020</c:v>
                </c:pt>
                <c:pt idx="178" formatCode="m/d/yyyy">
                  <c:v>46017</c:v>
                </c:pt>
                <c:pt idx="179" formatCode="m/d/yyyy">
                  <c:v>46016</c:v>
                </c:pt>
                <c:pt idx="180" formatCode="m/d/yyyy">
                  <c:v>46015</c:v>
                </c:pt>
                <c:pt idx="181" formatCode="m/d/yyyy">
                  <c:v>46014</c:v>
                </c:pt>
                <c:pt idx="182" formatCode="m/d/yyyy">
                  <c:v>46013</c:v>
                </c:pt>
                <c:pt idx="183" formatCode="m/d/yyyy">
                  <c:v>46010</c:v>
                </c:pt>
                <c:pt idx="184" formatCode="m/d/yyyy">
                  <c:v>46009</c:v>
                </c:pt>
                <c:pt idx="185" formatCode="m/d/yyyy">
                  <c:v>46008</c:v>
                </c:pt>
                <c:pt idx="186" formatCode="m/d/yyyy">
                  <c:v>46007</c:v>
                </c:pt>
                <c:pt idx="187" formatCode="m/d/yyyy">
                  <c:v>46006</c:v>
                </c:pt>
                <c:pt idx="188" formatCode="m/d/yyyy">
                  <c:v>46003</c:v>
                </c:pt>
                <c:pt idx="189" formatCode="m/d/yyyy">
                  <c:v>46002</c:v>
                </c:pt>
                <c:pt idx="190" formatCode="m/d/yyyy">
                  <c:v>46001</c:v>
                </c:pt>
                <c:pt idx="191" formatCode="m/d/yyyy">
                  <c:v>46000</c:v>
                </c:pt>
                <c:pt idx="192" formatCode="m/d/yyyy">
                  <c:v>45999</c:v>
                </c:pt>
                <c:pt idx="193" formatCode="m/d/yyyy">
                  <c:v>45996</c:v>
                </c:pt>
                <c:pt idx="194" formatCode="m/d/yyyy">
                  <c:v>45995</c:v>
                </c:pt>
                <c:pt idx="195" formatCode="m/d/yyyy">
                  <c:v>45994</c:v>
                </c:pt>
                <c:pt idx="196" formatCode="m/d/yyyy">
                  <c:v>45993</c:v>
                </c:pt>
                <c:pt idx="197" formatCode="m/d/yyyy">
                  <c:v>45992</c:v>
                </c:pt>
                <c:pt idx="198" formatCode="m/d/yyyy">
                  <c:v>45989</c:v>
                </c:pt>
                <c:pt idx="199" formatCode="m/d/yyyy">
                  <c:v>45988</c:v>
                </c:pt>
                <c:pt idx="200" formatCode="m/d/yyyy">
                  <c:v>45987</c:v>
                </c:pt>
                <c:pt idx="201" formatCode="m/d/yyyy">
                  <c:v>45986</c:v>
                </c:pt>
                <c:pt idx="202" formatCode="m/d/yyyy">
                  <c:v>45985</c:v>
                </c:pt>
                <c:pt idx="203" formatCode="m/d/yyyy">
                  <c:v>45982</c:v>
                </c:pt>
                <c:pt idx="204" formatCode="m/d/yyyy">
                  <c:v>45981</c:v>
                </c:pt>
                <c:pt idx="205" formatCode="m/d/yyyy">
                  <c:v>45980</c:v>
                </c:pt>
                <c:pt idx="206" formatCode="m/d/yyyy">
                  <c:v>45979</c:v>
                </c:pt>
                <c:pt idx="207" formatCode="m/d/yyyy">
                  <c:v>45978</c:v>
                </c:pt>
                <c:pt idx="208" formatCode="m/d/yyyy">
                  <c:v>45975</c:v>
                </c:pt>
                <c:pt idx="209" formatCode="m/d/yyyy">
                  <c:v>45974</c:v>
                </c:pt>
                <c:pt idx="210" formatCode="m/d/yyyy">
                  <c:v>45973</c:v>
                </c:pt>
                <c:pt idx="211" formatCode="m/d/yyyy">
                  <c:v>45972</c:v>
                </c:pt>
                <c:pt idx="212" formatCode="m/d/yyyy">
                  <c:v>45971</c:v>
                </c:pt>
                <c:pt idx="213" formatCode="m/d/yyyy">
                  <c:v>45968</c:v>
                </c:pt>
                <c:pt idx="214" formatCode="m/d/yyyy">
                  <c:v>45967</c:v>
                </c:pt>
                <c:pt idx="215" formatCode="m/d/yyyy">
                  <c:v>45966</c:v>
                </c:pt>
                <c:pt idx="216" formatCode="m/d/yyyy">
                  <c:v>45965</c:v>
                </c:pt>
                <c:pt idx="217" formatCode="m/d/yyyy">
                  <c:v>45964</c:v>
                </c:pt>
                <c:pt idx="218" formatCode="m/d/yyyy">
                  <c:v>45961</c:v>
                </c:pt>
                <c:pt idx="219" formatCode="m/d/yyyy">
                  <c:v>45960</c:v>
                </c:pt>
                <c:pt idx="220" formatCode="m/d/yyyy">
                  <c:v>45959</c:v>
                </c:pt>
                <c:pt idx="221" formatCode="m/d/yyyy">
                  <c:v>45958</c:v>
                </c:pt>
                <c:pt idx="222" formatCode="m/d/yyyy">
                  <c:v>45957</c:v>
                </c:pt>
                <c:pt idx="223" formatCode="m/d/yyyy">
                  <c:v>45954</c:v>
                </c:pt>
                <c:pt idx="224" formatCode="m/d/yyyy">
                  <c:v>45953</c:v>
                </c:pt>
                <c:pt idx="225" formatCode="m/d/yyyy">
                  <c:v>45952</c:v>
                </c:pt>
                <c:pt idx="226" formatCode="m/d/yyyy">
                  <c:v>45951</c:v>
                </c:pt>
                <c:pt idx="227" formatCode="m/d/yyyy">
                  <c:v>45950</c:v>
                </c:pt>
                <c:pt idx="228" formatCode="m/d/yyyy">
                  <c:v>45947</c:v>
                </c:pt>
                <c:pt idx="229" formatCode="m/d/yyyy">
                  <c:v>45946</c:v>
                </c:pt>
                <c:pt idx="230" formatCode="m/d/yyyy">
                  <c:v>45945</c:v>
                </c:pt>
                <c:pt idx="231" formatCode="m/d/yyyy">
                  <c:v>45944</c:v>
                </c:pt>
                <c:pt idx="232" formatCode="m/d/yyyy">
                  <c:v>45943</c:v>
                </c:pt>
                <c:pt idx="233" formatCode="m/d/yyyy">
                  <c:v>45940</c:v>
                </c:pt>
                <c:pt idx="234" formatCode="m/d/yyyy">
                  <c:v>45939</c:v>
                </c:pt>
                <c:pt idx="235" formatCode="m/d/yyyy">
                  <c:v>45938</c:v>
                </c:pt>
                <c:pt idx="236" formatCode="m/d/yyyy">
                  <c:v>45937</c:v>
                </c:pt>
                <c:pt idx="237" formatCode="m/d/yyyy">
                  <c:v>45936</c:v>
                </c:pt>
                <c:pt idx="238" formatCode="m/d/yyyy">
                  <c:v>45933</c:v>
                </c:pt>
                <c:pt idx="239" formatCode="m/d/yyyy">
                  <c:v>45932</c:v>
                </c:pt>
                <c:pt idx="240" formatCode="m/d/yyyy">
                  <c:v>45931</c:v>
                </c:pt>
                <c:pt idx="241" formatCode="m/d/yyyy">
                  <c:v>45930</c:v>
                </c:pt>
                <c:pt idx="242" formatCode="m/d/yyyy">
                  <c:v>45929</c:v>
                </c:pt>
                <c:pt idx="243" formatCode="m/d/yyyy">
                  <c:v>45926</c:v>
                </c:pt>
                <c:pt idx="244" formatCode="m/d/yyyy">
                  <c:v>45925</c:v>
                </c:pt>
                <c:pt idx="245" formatCode="m/d/yyyy">
                  <c:v>45924</c:v>
                </c:pt>
                <c:pt idx="246" formatCode="m/d/yyyy">
                  <c:v>45923</c:v>
                </c:pt>
                <c:pt idx="247" formatCode="m/d/yyyy">
                  <c:v>45922</c:v>
                </c:pt>
                <c:pt idx="248" formatCode="m/d/yyyy">
                  <c:v>45919</c:v>
                </c:pt>
                <c:pt idx="249" formatCode="m/d/yyyy">
                  <c:v>45918</c:v>
                </c:pt>
                <c:pt idx="250" formatCode="m/d/yyyy">
                  <c:v>45917</c:v>
                </c:pt>
                <c:pt idx="251" formatCode="m/d/yyyy">
                  <c:v>45916</c:v>
                </c:pt>
                <c:pt idx="252" formatCode="m/d/yyyy">
                  <c:v>45915</c:v>
                </c:pt>
                <c:pt idx="253" formatCode="m/d/yyyy">
                  <c:v>45912</c:v>
                </c:pt>
                <c:pt idx="254" formatCode="m/d/yyyy">
                  <c:v>45911</c:v>
                </c:pt>
                <c:pt idx="255" formatCode="m/d/yyyy">
                  <c:v>45910</c:v>
                </c:pt>
                <c:pt idx="256" formatCode="m/d/yyyy">
                  <c:v>45909</c:v>
                </c:pt>
                <c:pt idx="257" formatCode="m/d/yyyy">
                  <c:v>45908</c:v>
                </c:pt>
                <c:pt idx="258" formatCode="m/d/yyyy">
                  <c:v>45905</c:v>
                </c:pt>
                <c:pt idx="259" formatCode="m/d/yyyy">
                  <c:v>45904</c:v>
                </c:pt>
                <c:pt idx="260" formatCode="m/d/yyyy">
                  <c:v>45903</c:v>
                </c:pt>
                <c:pt idx="261" formatCode="m/d/yyyy">
                  <c:v>45898</c:v>
                </c:pt>
                <c:pt idx="262" formatCode="m/d/yyyy">
                  <c:v>45897</c:v>
                </c:pt>
                <c:pt idx="263" formatCode="m/d/yyyy">
                  <c:v>45896</c:v>
                </c:pt>
                <c:pt idx="264" formatCode="m/d/yyyy">
                  <c:v>45895</c:v>
                </c:pt>
                <c:pt idx="265" formatCode="m/d/yyyy">
                  <c:v>45894</c:v>
                </c:pt>
                <c:pt idx="266" formatCode="m/d/yyyy">
                  <c:v>45891</c:v>
                </c:pt>
                <c:pt idx="267" formatCode="m/d/yyyy">
                  <c:v>45890</c:v>
                </c:pt>
                <c:pt idx="268" formatCode="m/d/yyyy">
                  <c:v>45889</c:v>
                </c:pt>
                <c:pt idx="269" formatCode="m/d/yyyy">
                  <c:v>45888</c:v>
                </c:pt>
                <c:pt idx="270" formatCode="m/d/yyyy">
                  <c:v>45887</c:v>
                </c:pt>
                <c:pt idx="271" formatCode="m/d/yyyy">
                  <c:v>45884</c:v>
                </c:pt>
                <c:pt idx="272" formatCode="m/d/yyyy">
                  <c:v>45883</c:v>
                </c:pt>
                <c:pt idx="273" formatCode="m/d/yyyy">
                  <c:v>45882</c:v>
                </c:pt>
                <c:pt idx="274" formatCode="m/d/yyyy">
                  <c:v>45881</c:v>
                </c:pt>
                <c:pt idx="275" formatCode="m/d/yyyy">
                  <c:v>45880</c:v>
                </c:pt>
                <c:pt idx="276" formatCode="m/d/yyyy">
                  <c:v>45877</c:v>
                </c:pt>
                <c:pt idx="277" formatCode="m/d/yyyy">
                  <c:v>45876</c:v>
                </c:pt>
                <c:pt idx="278" formatCode="m/d/yyyy">
                  <c:v>45875</c:v>
                </c:pt>
                <c:pt idx="279" formatCode="m/d/yyyy">
                  <c:v>45874</c:v>
                </c:pt>
                <c:pt idx="280" formatCode="m/d/yyyy">
                  <c:v>45873</c:v>
                </c:pt>
                <c:pt idx="281" formatCode="m/d/yyyy">
                  <c:v>45870</c:v>
                </c:pt>
                <c:pt idx="282" formatCode="m/d/yyyy">
                  <c:v>45869</c:v>
                </c:pt>
                <c:pt idx="283" formatCode="m/d/yyyy">
                  <c:v>45868</c:v>
                </c:pt>
                <c:pt idx="284" formatCode="m/d/yyyy">
                  <c:v>45867</c:v>
                </c:pt>
                <c:pt idx="285" formatCode="m/d/yyyy">
                  <c:v>45866</c:v>
                </c:pt>
                <c:pt idx="286" formatCode="m/d/yyyy">
                  <c:v>45863</c:v>
                </c:pt>
                <c:pt idx="287" formatCode="m/d/yyyy">
                  <c:v>45862</c:v>
                </c:pt>
                <c:pt idx="288" formatCode="m/d/yyyy">
                  <c:v>45861</c:v>
                </c:pt>
                <c:pt idx="289" formatCode="m/d/yyyy">
                  <c:v>45860</c:v>
                </c:pt>
                <c:pt idx="290" formatCode="m/d/yyyy">
                  <c:v>45859</c:v>
                </c:pt>
                <c:pt idx="291" formatCode="m/d/yyyy">
                  <c:v>45856</c:v>
                </c:pt>
                <c:pt idx="292" formatCode="m/d/yyyy">
                  <c:v>45855</c:v>
                </c:pt>
                <c:pt idx="293" formatCode="m/d/yyyy">
                  <c:v>45854</c:v>
                </c:pt>
                <c:pt idx="294" formatCode="m/d/yyyy">
                  <c:v>45853</c:v>
                </c:pt>
                <c:pt idx="295" formatCode="m/d/yyyy">
                  <c:v>45852</c:v>
                </c:pt>
                <c:pt idx="296" formatCode="m/d/yyyy">
                  <c:v>45849</c:v>
                </c:pt>
                <c:pt idx="297" formatCode="m/d/yyyy">
                  <c:v>45848</c:v>
                </c:pt>
                <c:pt idx="298" formatCode="m/d/yyyy">
                  <c:v>45847</c:v>
                </c:pt>
                <c:pt idx="299" formatCode="m/d/yyyy">
                  <c:v>45846</c:v>
                </c:pt>
                <c:pt idx="300" formatCode="m/d/yyyy">
                  <c:v>45845</c:v>
                </c:pt>
                <c:pt idx="301" formatCode="m/d/yyyy">
                  <c:v>45842</c:v>
                </c:pt>
                <c:pt idx="302" formatCode="m/d/yyyy">
                  <c:v>45841</c:v>
                </c:pt>
                <c:pt idx="303" formatCode="m/d/yyyy">
                  <c:v>45840</c:v>
                </c:pt>
                <c:pt idx="304" formatCode="m/d/yyyy">
                  <c:v>45839</c:v>
                </c:pt>
                <c:pt idx="305" formatCode="m/d/yyyy">
                  <c:v>45838</c:v>
                </c:pt>
                <c:pt idx="306" formatCode="m/d/yyyy">
                  <c:v>45835</c:v>
                </c:pt>
                <c:pt idx="307" formatCode="m/d/yyyy">
                  <c:v>45834</c:v>
                </c:pt>
                <c:pt idx="308" formatCode="m/d/yyyy">
                  <c:v>45833</c:v>
                </c:pt>
                <c:pt idx="309" formatCode="m/d/yyyy">
                  <c:v>45832</c:v>
                </c:pt>
                <c:pt idx="310" formatCode="m/d/yyyy">
                  <c:v>45831</c:v>
                </c:pt>
                <c:pt idx="311" formatCode="m/d/yyyy">
                  <c:v>45828</c:v>
                </c:pt>
                <c:pt idx="312" formatCode="m/d/yyyy">
                  <c:v>45827</c:v>
                </c:pt>
                <c:pt idx="313" formatCode="m/d/yyyy">
                  <c:v>45826</c:v>
                </c:pt>
                <c:pt idx="314" formatCode="m/d/yyyy">
                  <c:v>45825</c:v>
                </c:pt>
                <c:pt idx="315" formatCode="m/d/yyyy">
                  <c:v>45824</c:v>
                </c:pt>
                <c:pt idx="316" formatCode="m/d/yyyy">
                  <c:v>45821</c:v>
                </c:pt>
                <c:pt idx="317" formatCode="m/d/yyyy">
                  <c:v>45820</c:v>
                </c:pt>
                <c:pt idx="318" formatCode="m/d/yyyy">
                  <c:v>45819</c:v>
                </c:pt>
                <c:pt idx="319" formatCode="m/d/yyyy">
                  <c:v>45818</c:v>
                </c:pt>
                <c:pt idx="320" formatCode="m/d/yyyy">
                  <c:v>45817</c:v>
                </c:pt>
                <c:pt idx="321" formatCode="m/d/yyyy">
                  <c:v>45814</c:v>
                </c:pt>
                <c:pt idx="322" formatCode="m/d/yyyy">
                  <c:v>45813</c:v>
                </c:pt>
                <c:pt idx="323" formatCode="m/d/yyyy">
                  <c:v>45812</c:v>
                </c:pt>
                <c:pt idx="324" formatCode="m/d/yyyy">
                  <c:v>45811</c:v>
                </c:pt>
                <c:pt idx="325" formatCode="m/d/yyyy">
                  <c:v>45810</c:v>
                </c:pt>
                <c:pt idx="326" formatCode="m/d/yyyy">
                  <c:v>45807</c:v>
                </c:pt>
                <c:pt idx="327" formatCode="m/d/yyyy">
                  <c:v>45806</c:v>
                </c:pt>
                <c:pt idx="328" formatCode="m/d/yyyy">
                  <c:v>45805</c:v>
                </c:pt>
                <c:pt idx="329" formatCode="m/d/yyyy">
                  <c:v>45804</c:v>
                </c:pt>
                <c:pt idx="330" formatCode="m/d/yyyy">
                  <c:v>45803</c:v>
                </c:pt>
                <c:pt idx="331" formatCode="m/d/yyyy">
                  <c:v>45800</c:v>
                </c:pt>
                <c:pt idx="332" formatCode="m/d/yyyy">
                  <c:v>45799</c:v>
                </c:pt>
                <c:pt idx="333" formatCode="m/d/yyyy">
                  <c:v>45798</c:v>
                </c:pt>
                <c:pt idx="334" formatCode="m/d/yyyy">
                  <c:v>45797</c:v>
                </c:pt>
                <c:pt idx="335" formatCode="m/d/yyyy">
                  <c:v>45796</c:v>
                </c:pt>
                <c:pt idx="336" formatCode="m/d/yyyy">
                  <c:v>45793</c:v>
                </c:pt>
                <c:pt idx="337" formatCode="m/d/yyyy">
                  <c:v>45792</c:v>
                </c:pt>
                <c:pt idx="338" formatCode="m/d/yyyy">
                  <c:v>45791</c:v>
                </c:pt>
                <c:pt idx="339" formatCode="m/d/yyyy">
                  <c:v>45790</c:v>
                </c:pt>
                <c:pt idx="340" formatCode="m/d/yyyy">
                  <c:v>45789</c:v>
                </c:pt>
                <c:pt idx="341" formatCode="m/d/yyyy">
                  <c:v>45786</c:v>
                </c:pt>
                <c:pt idx="342" formatCode="m/d/yyyy">
                  <c:v>45785</c:v>
                </c:pt>
                <c:pt idx="343" formatCode="m/d/yyyy">
                  <c:v>45784</c:v>
                </c:pt>
                <c:pt idx="344" formatCode="m/d/yyyy">
                  <c:v>45783</c:v>
                </c:pt>
                <c:pt idx="345" formatCode="m/d/yyyy">
                  <c:v>45782</c:v>
                </c:pt>
                <c:pt idx="346" formatCode="m/d/yyyy">
                  <c:v>45776</c:v>
                </c:pt>
                <c:pt idx="347" formatCode="m/d/yyyy">
                  <c:v>45775</c:v>
                </c:pt>
                <c:pt idx="348" formatCode="m/d/yyyy">
                  <c:v>45772</c:v>
                </c:pt>
                <c:pt idx="349" formatCode="m/d/yyyy">
                  <c:v>45771</c:v>
                </c:pt>
                <c:pt idx="350" formatCode="m/d/yyyy">
                  <c:v>45770</c:v>
                </c:pt>
                <c:pt idx="351" formatCode="m/d/yyyy">
                  <c:v>45769</c:v>
                </c:pt>
                <c:pt idx="352" formatCode="m/d/yyyy">
                  <c:v>45768</c:v>
                </c:pt>
                <c:pt idx="353" formatCode="m/d/yyyy">
                  <c:v>45765</c:v>
                </c:pt>
                <c:pt idx="354" formatCode="m/d/yyyy">
                  <c:v>45764</c:v>
                </c:pt>
                <c:pt idx="355" formatCode="m/d/yyyy">
                  <c:v>45763</c:v>
                </c:pt>
                <c:pt idx="356" formatCode="m/d/yyyy">
                  <c:v>45762</c:v>
                </c:pt>
                <c:pt idx="357" formatCode="m/d/yyyy">
                  <c:v>45761</c:v>
                </c:pt>
                <c:pt idx="358" formatCode="m/d/yyyy">
                  <c:v>45758</c:v>
                </c:pt>
                <c:pt idx="359" formatCode="m/d/yyyy">
                  <c:v>45757</c:v>
                </c:pt>
                <c:pt idx="360" formatCode="m/d/yyyy">
                  <c:v>45756</c:v>
                </c:pt>
                <c:pt idx="361" formatCode="m/d/yyyy">
                  <c:v>45755</c:v>
                </c:pt>
                <c:pt idx="362" formatCode="m/d/yyyy">
                  <c:v>45751</c:v>
                </c:pt>
                <c:pt idx="363" formatCode="m/d/yyyy">
                  <c:v>45750</c:v>
                </c:pt>
                <c:pt idx="364" formatCode="m/d/yyyy">
                  <c:v>45749</c:v>
                </c:pt>
                <c:pt idx="365" formatCode="m/d/yyyy">
                  <c:v>45748</c:v>
                </c:pt>
                <c:pt idx="366" formatCode="m/d/yyyy">
                  <c:v>45747</c:v>
                </c:pt>
                <c:pt idx="367" formatCode="m/d/yyyy">
                  <c:v>45744</c:v>
                </c:pt>
                <c:pt idx="368" formatCode="m/d/yyyy">
                  <c:v>45743</c:v>
                </c:pt>
                <c:pt idx="369" formatCode="m/d/yyyy">
                  <c:v>45742</c:v>
                </c:pt>
                <c:pt idx="370" formatCode="m/d/yyyy">
                  <c:v>45741</c:v>
                </c:pt>
                <c:pt idx="371" formatCode="m/d/yyyy">
                  <c:v>45740</c:v>
                </c:pt>
                <c:pt idx="372" formatCode="m/d/yyyy">
                  <c:v>45737</c:v>
                </c:pt>
                <c:pt idx="373" formatCode="m/d/yyyy">
                  <c:v>45736</c:v>
                </c:pt>
                <c:pt idx="374" formatCode="m/d/yyyy">
                  <c:v>45735</c:v>
                </c:pt>
                <c:pt idx="375" formatCode="m/d/yyyy">
                  <c:v>45734</c:v>
                </c:pt>
                <c:pt idx="376" formatCode="m/d/yyyy">
                  <c:v>45733</c:v>
                </c:pt>
                <c:pt idx="377" formatCode="m/d/yyyy">
                  <c:v>45730</c:v>
                </c:pt>
                <c:pt idx="378" formatCode="m/d/yyyy">
                  <c:v>45729</c:v>
                </c:pt>
                <c:pt idx="379" formatCode="m/d/yyyy">
                  <c:v>45728</c:v>
                </c:pt>
                <c:pt idx="380" formatCode="m/d/yyyy">
                  <c:v>45727</c:v>
                </c:pt>
                <c:pt idx="381" formatCode="m/d/yyyy">
                  <c:v>45726</c:v>
                </c:pt>
                <c:pt idx="382" formatCode="m/d/yyyy">
                  <c:v>45723</c:v>
                </c:pt>
                <c:pt idx="383" formatCode="m/d/yyyy">
                  <c:v>45722</c:v>
                </c:pt>
                <c:pt idx="384" formatCode="m/d/yyyy">
                  <c:v>45721</c:v>
                </c:pt>
                <c:pt idx="385" formatCode="m/d/yyyy">
                  <c:v>45720</c:v>
                </c:pt>
                <c:pt idx="386" formatCode="m/d/yyyy">
                  <c:v>45719</c:v>
                </c:pt>
                <c:pt idx="387" formatCode="m/d/yyyy">
                  <c:v>45716</c:v>
                </c:pt>
                <c:pt idx="388" formatCode="m/d/yyyy">
                  <c:v>45715</c:v>
                </c:pt>
                <c:pt idx="389" formatCode="m/d/yyyy">
                  <c:v>45714</c:v>
                </c:pt>
                <c:pt idx="390" formatCode="m/d/yyyy">
                  <c:v>45713</c:v>
                </c:pt>
                <c:pt idx="391" formatCode="m/d/yyyy">
                  <c:v>45712</c:v>
                </c:pt>
              </c:numCache>
            </c:numRef>
          </c:cat>
          <c:val>
            <c:numRef>
              <c:f>Sheet1!$B$2:$B$393</c:f>
              <c:numCache>
                <c:formatCode>#,##0.00</c:formatCode>
                <c:ptCount val="392"/>
                <c:pt idx="0">
                  <c:v>0</c:v>
                </c:pt>
                <c:pt idx="1">
                  <c:v>1815.66</c:v>
                </c:pt>
                <c:pt idx="2">
                  <c:v>1822.77</c:v>
                </c:pt>
                <c:pt idx="3">
                  <c:v>1810.11</c:v>
                </c:pt>
                <c:pt idx="4">
                  <c:v>1811.15</c:v>
                </c:pt>
                <c:pt idx="5">
                  <c:v>1788.23</c:v>
                </c:pt>
                <c:pt idx="6">
                  <c:v>1795.21</c:v>
                </c:pt>
                <c:pt idx="7">
                  <c:v>1829.23</c:v>
                </c:pt>
                <c:pt idx="8">
                  <c:v>1827.12</c:v>
                </c:pt>
                <c:pt idx="9">
                  <c:v>1830.44</c:v>
                </c:pt>
                <c:pt idx="10">
                  <c:v>1821.64</c:v>
                </c:pt>
                <c:pt idx="11">
                  <c:v>1853.08</c:v>
                </c:pt>
                <c:pt idx="12">
                  <c:v>1827.72</c:v>
                </c:pt>
                <c:pt idx="13">
                  <c:v>1832.12</c:v>
                </c:pt>
                <c:pt idx="14">
                  <c:v>1831.56</c:v>
                </c:pt>
                <c:pt idx="15">
                  <c:v>1821.32</c:v>
                </c:pt>
                <c:pt idx="16">
                  <c:v>1791.41</c:v>
                </c:pt>
                <c:pt idx="17">
                  <c:v>1788.78</c:v>
                </c:pt>
                <c:pt idx="18">
                  <c:v>1768.12</c:v>
                </c:pt>
                <c:pt idx="19">
                  <c:v>1734.24</c:v>
                </c:pt>
                <c:pt idx="20">
                  <c:v>1726.69</c:v>
                </c:pt>
                <c:pt idx="21">
                  <c:v>1732.02</c:v>
                </c:pt>
                <c:pt idx="22">
                  <c:v>1727.46</c:v>
                </c:pt>
                <c:pt idx="23">
                  <c:v>1729.08</c:v>
                </c:pt>
                <c:pt idx="24">
                  <c:v>1765.63</c:v>
                </c:pt>
                <c:pt idx="25">
                  <c:v>1793.18</c:v>
                </c:pt>
                <c:pt idx="26">
                  <c:v>1773.41</c:v>
                </c:pt>
                <c:pt idx="27">
                  <c:v>1776.77</c:v>
                </c:pt>
                <c:pt idx="28">
                  <c:v>1768.06</c:v>
                </c:pt>
                <c:pt idx="29">
                  <c:v>1764.78</c:v>
                </c:pt>
                <c:pt idx="30">
                  <c:v>1776.46</c:v>
                </c:pt>
                <c:pt idx="31">
                  <c:v>1777.23</c:v>
                </c:pt>
                <c:pt idx="32">
                  <c:v>1762.84</c:v>
                </c:pt>
                <c:pt idx="33">
                  <c:v>1735.78</c:v>
                </c:pt>
                <c:pt idx="34">
                  <c:v>1744.66</c:v>
                </c:pt>
                <c:pt idx="35">
                  <c:v>1704.68</c:v>
                </c:pt>
                <c:pt idx="36">
                  <c:v>1680.62</c:v>
                </c:pt>
                <c:pt idx="37">
                  <c:v>1669.01</c:v>
                </c:pt>
                <c:pt idx="38">
                  <c:v>1686.11</c:v>
                </c:pt>
                <c:pt idx="39">
                  <c:v>1699.38</c:v>
                </c:pt>
                <c:pt idx="40">
                  <c:v>1668.53</c:v>
                </c:pt>
                <c:pt idx="41">
                  <c:v>1730.56</c:v>
                </c:pt>
                <c:pt idx="42">
                  <c:v>1743.51</c:v>
                </c:pt>
                <c:pt idx="43">
                  <c:v>1787.45</c:v>
                </c:pt>
                <c:pt idx="44">
                  <c:v>1804.24</c:v>
                </c:pt>
                <c:pt idx="45">
                  <c:v>1782.12</c:v>
                </c:pt>
                <c:pt idx="46">
                  <c:v>1806.63</c:v>
                </c:pt>
                <c:pt idx="47">
                  <c:v>1800.54</c:v>
                </c:pt>
                <c:pt idx="48">
                  <c:v>1828.34</c:v>
                </c:pt>
                <c:pt idx="49">
                  <c:v>1840.7</c:v>
                </c:pt>
                <c:pt idx="50">
                  <c:v>1853.7</c:v>
                </c:pt>
                <c:pt idx="51">
                  <c:v>1848.25</c:v>
                </c:pt>
                <c:pt idx="52">
                  <c:v>1843.5</c:v>
                </c:pt>
                <c:pt idx="53">
                  <c:v>1862.08</c:v>
                </c:pt>
                <c:pt idx="54">
                  <c:v>1866.35</c:v>
                </c:pt>
                <c:pt idx="55">
                  <c:v>1867.21</c:v>
                </c:pt>
                <c:pt idx="56">
                  <c:v>1860.01</c:v>
                </c:pt>
                <c:pt idx="57">
                  <c:v>1854.97</c:v>
                </c:pt>
                <c:pt idx="58">
                  <c:v>1871.91</c:v>
                </c:pt>
                <c:pt idx="59">
                  <c:v>1863.07</c:v>
                </c:pt>
                <c:pt idx="60">
                  <c:v>1878.02</c:v>
                </c:pt>
                <c:pt idx="61">
                  <c:v>1869.04</c:v>
                </c:pt>
                <c:pt idx="62">
                  <c:v>1857.91</c:v>
                </c:pt>
                <c:pt idx="63">
                  <c:v>1824.53</c:v>
                </c:pt>
                <c:pt idx="64">
                  <c:v>1830.47</c:v>
                </c:pt>
                <c:pt idx="65">
                  <c:v>1806.2</c:v>
                </c:pt>
                <c:pt idx="66">
                  <c:v>1807.94</c:v>
                </c:pt>
                <c:pt idx="67">
                  <c:v>1799.31</c:v>
                </c:pt>
                <c:pt idx="68">
                  <c:v>1791.65</c:v>
                </c:pt>
                <c:pt idx="69">
                  <c:v>1798.61</c:v>
                </c:pt>
                <c:pt idx="70">
                  <c:v>1803.71</c:v>
                </c:pt>
                <c:pt idx="71">
                  <c:v>1793.05</c:v>
                </c:pt>
                <c:pt idx="72">
                  <c:v>1790.53</c:v>
                </c:pt>
                <c:pt idx="73">
                  <c:v>1838.9</c:v>
                </c:pt>
                <c:pt idx="74">
                  <c:v>1831.55</c:v>
                </c:pt>
                <c:pt idx="75">
                  <c:v>1819.01</c:v>
                </c:pt>
                <c:pt idx="76">
                  <c:v>1826.47</c:v>
                </c:pt>
                <c:pt idx="77">
                  <c:v>1844.54</c:v>
                </c:pt>
                <c:pt idx="78">
                  <c:v>1863.49</c:v>
                </c:pt>
                <c:pt idx="79">
                  <c:v>1863.67</c:v>
                </c:pt>
                <c:pt idx="80">
                  <c:v>1874.43</c:v>
                </c:pt>
                <c:pt idx="81">
                  <c:v>1884.18</c:v>
                </c:pt>
                <c:pt idx="82">
                  <c:v>1886.03</c:v>
                </c:pt>
                <c:pt idx="83">
                  <c:v>1877.13</c:v>
                </c:pt>
                <c:pt idx="84">
                  <c:v>1896.89</c:v>
                </c:pt>
                <c:pt idx="85">
                  <c:v>1913.23</c:v>
                </c:pt>
                <c:pt idx="86">
                  <c:v>1912.93</c:v>
                </c:pt>
                <c:pt idx="87">
                  <c:v>1927.94</c:v>
                </c:pt>
                <c:pt idx="88">
                  <c:v>1921.6</c:v>
                </c:pt>
                <c:pt idx="89">
                  <c:v>1925.46</c:v>
                </c:pt>
                <c:pt idx="90">
                  <c:v>1898.37</c:v>
                </c:pt>
                <c:pt idx="91">
                  <c:v>1901.1</c:v>
                </c:pt>
                <c:pt idx="92">
                  <c:v>1895.5</c:v>
                </c:pt>
                <c:pt idx="93">
                  <c:v>1915.37</c:v>
                </c:pt>
                <c:pt idx="94">
                  <c:v>1909.01</c:v>
                </c:pt>
                <c:pt idx="95">
                  <c:v>1891.2</c:v>
                </c:pt>
                <c:pt idx="96">
                  <c:v>1874.85</c:v>
                </c:pt>
                <c:pt idx="97">
                  <c:v>1854.06</c:v>
                </c:pt>
                <c:pt idx="98">
                  <c:v>1854.1</c:v>
                </c:pt>
                <c:pt idx="99">
                  <c:v>1875.84</c:v>
                </c:pt>
                <c:pt idx="100">
                  <c:v>1853.29</c:v>
                </c:pt>
                <c:pt idx="101">
                  <c:v>1870.36</c:v>
                </c:pt>
                <c:pt idx="102">
                  <c:v>1857.3</c:v>
                </c:pt>
                <c:pt idx="103">
                  <c:v>1833.48</c:v>
                </c:pt>
                <c:pt idx="104">
                  <c:v>1837.11</c:v>
                </c:pt>
                <c:pt idx="105">
                  <c:v>1817.17</c:v>
                </c:pt>
                <c:pt idx="106">
                  <c:v>1819.83</c:v>
                </c:pt>
                <c:pt idx="107">
                  <c:v>1800.65</c:v>
                </c:pt>
                <c:pt idx="108">
                  <c:v>1775.65</c:v>
                </c:pt>
                <c:pt idx="109">
                  <c:v>1758.96</c:v>
                </c:pt>
                <c:pt idx="110">
                  <c:v>1750</c:v>
                </c:pt>
                <c:pt idx="111">
                  <c:v>1736.68</c:v>
                </c:pt>
                <c:pt idx="112">
                  <c:v>1756.55</c:v>
                </c:pt>
                <c:pt idx="113">
                  <c:v>1677.54</c:v>
                </c:pt>
                <c:pt idx="114">
                  <c:v>1674.99</c:v>
                </c:pt>
                <c:pt idx="115">
                  <c:v>1684.04</c:v>
                </c:pt>
                <c:pt idx="116">
                  <c:v>1694.82</c:v>
                </c:pt>
                <c:pt idx="117">
                  <c:v>1702.93</c:v>
                </c:pt>
                <c:pt idx="118">
                  <c:v>1674.49</c:v>
                </c:pt>
                <c:pt idx="119">
                  <c:v>1662.54</c:v>
                </c:pt>
                <c:pt idx="120">
                  <c:v>1672.8</c:v>
                </c:pt>
                <c:pt idx="121">
                  <c:v>1644.63</c:v>
                </c:pt>
                <c:pt idx="122">
                  <c:v>1658.19</c:v>
                </c:pt>
                <c:pt idx="123">
                  <c:v>1614.77</c:v>
                </c:pt>
                <c:pt idx="124">
                  <c:v>1591.17</c:v>
                </c:pt>
                <c:pt idx="125">
                  <c:v>1647.81</c:v>
                </c:pt>
                <c:pt idx="126">
                  <c:v>1699.13</c:v>
                </c:pt>
                <c:pt idx="127">
                  <c:v>1713.83</c:v>
                </c:pt>
                <c:pt idx="128">
                  <c:v>1710.29</c:v>
                </c:pt>
                <c:pt idx="129">
                  <c:v>1693.21</c:v>
                </c:pt>
                <c:pt idx="130">
                  <c:v>1696.24</c:v>
                </c:pt>
                <c:pt idx="131">
                  <c:v>1709.61</c:v>
                </c:pt>
                <c:pt idx="132">
                  <c:v>1728.34</c:v>
                </c:pt>
                <c:pt idx="133">
                  <c:v>1676.73</c:v>
                </c:pt>
                <c:pt idx="134">
                  <c:v>1652.79</c:v>
                </c:pt>
                <c:pt idx="135">
                  <c:v>1767.84</c:v>
                </c:pt>
                <c:pt idx="136">
                  <c:v>1808.51</c:v>
                </c:pt>
                <c:pt idx="137">
                  <c:v>1818.27</c:v>
                </c:pt>
                <c:pt idx="138">
                  <c:v>1813.14</c:v>
                </c:pt>
                <c:pt idx="139">
                  <c:v>1846.1</c:v>
                </c:pt>
                <c:pt idx="140">
                  <c:v>1880.33</c:v>
                </c:pt>
                <c:pt idx="141">
                  <c:v>1879.64</c:v>
                </c:pt>
                <c:pt idx="142">
                  <c:v>1860.91</c:v>
                </c:pt>
                <c:pt idx="143">
                  <c:v>1867.62</c:v>
                </c:pt>
                <c:pt idx="144">
                  <c:v>1860.14</c:v>
                </c:pt>
                <c:pt idx="145">
                  <c:v>1824.09</c:v>
                </c:pt>
                <c:pt idx="146">
                  <c:v>1814.09</c:v>
                </c:pt>
                <c:pt idx="147">
                  <c:v>1796.85</c:v>
                </c:pt>
                <c:pt idx="148">
                  <c:v>1754.03</c:v>
                </c:pt>
                <c:pt idx="149">
                  <c:v>1754.82</c:v>
                </c:pt>
                <c:pt idx="150">
                  <c:v>1755.49</c:v>
                </c:pt>
                <c:pt idx="151">
                  <c:v>1782.56</c:v>
                </c:pt>
                <c:pt idx="152">
                  <c:v>1791.43</c:v>
                </c:pt>
                <c:pt idx="153">
                  <c:v>1813.4</c:v>
                </c:pt>
                <c:pt idx="154">
                  <c:v>1806.5</c:v>
                </c:pt>
                <c:pt idx="155">
                  <c:v>1829.04</c:v>
                </c:pt>
                <c:pt idx="156">
                  <c:v>1814.98</c:v>
                </c:pt>
                <c:pt idx="157">
                  <c:v>1802.91</c:v>
                </c:pt>
                <c:pt idx="158">
                  <c:v>1830.5</c:v>
                </c:pt>
                <c:pt idx="159">
                  <c:v>1843.72</c:v>
                </c:pt>
                <c:pt idx="160">
                  <c:v>1870.79</c:v>
                </c:pt>
                <c:pt idx="161">
                  <c:v>1882.73</c:v>
                </c:pt>
                <c:pt idx="162">
                  <c:v>1885.44</c:v>
                </c:pt>
                <c:pt idx="163">
                  <c:v>1893.78</c:v>
                </c:pt>
                <c:pt idx="164">
                  <c:v>1896.59</c:v>
                </c:pt>
                <c:pt idx="165">
                  <c:v>1879.13</c:v>
                </c:pt>
                <c:pt idx="166">
                  <c:v>1864.8</c:v>
                </c:pt>
                <c:pt idx="167">
                  <c:v>1894.44</c:v>
                </c:pt>
                <c:pt idx="168">
                  <c:v>1902.93</c:v>
                </c:pt>
                <c:pt idx="169">
                  <c:v>1877.33</c:v>
                </c:pt>
                <c:pt idx="170">
                  <c:v>1867.9</c:v>
                </c:pt>
                <c:pt idx="171">
                  <c:v>1855.56</c:v>
                </c:pt>
                <c:pt idx="172">
                  <c:v>1861.58</c:v>
                </c:pt>
                <c:pt idx="173">
                  <c:v>1816.27</c:v>
                </c:pt>
                <c:pt idx="174">
                  <c:v>1788.4</c:v>
                </c:pt>
                <c:pt idx="175">
                  <c:v>1784.49</c:v>
                </c:pt>
                <c:pt idx="176">
                  <c:v>1766.9</c:v>
                </c:pt>
                <c:pt idx="177">
                  <c:v>1754.84</c:v>
                </c:pt>
                <c:pt idx="178">
                  <c:v>1729.8</c:v>
                </c:pt>
                <c:pt idx="179">
                  <c:v>1742.85</c:v>
                </c:pt>
                <c:pt idx="180">
                  <c:v>1782.82</c:v>
                </c:pt>
                <c:pt idx="181">
                  <c:v>1772.15</c:v>
                </c:pt>
                <c:pt idx="182">
                  <c:v>1751.03</c:v>
                </c:pt>
                <c:pt idx="183">
                  <c:v>1704.31</c:v>
                </c:pt>
                <c:pt idx="184">
                  <c:v>1676.98</c:v>
                </c:pt>
                <c:pt idx="185">
                  <c:v>1673.66</c:v>
                </c:pt>
                <c:pt idx="186">
                  <c:v>1679.18</c:v>
                </c:pt>
                <c:pt idx="187">
                  <c:v>1646.01</c:v>
                </c:pt>
                <c:pt idx="188">
                  <c:v>1646.89</c:v>
                </c:pt>
                <c:pt idx="189">
                  <c:v>1698.9</c:v>
                </c:pt>
                <c:pt idx="190">
                  <c:v>1718.98</c:v>
                </c:pt>
                <c:pt idx="191">
                  <c:v>1747.17</c:v>
                </c:pt>
                <c:pt idx="192">
                  <c:v>1753.74</c:v>
                </c:pt>
                <c:pt idx="193">
                  <c:v>1741.32</c:v>
                </c:pt>
                <c:pt idx="194">
                  <c:v>1737.24</c:v>
                </c:pt>
                <c:pt idx="195">
                  <c:v>1731.77</c:v>
                </c:pt>
                <c:pt idx="196">
                  <c:v>1717.06</c:v>
                </c:pt>
                <c:pt idx="197">
                  <c:v>1701.67</c:v>
                </c:pt>
                <c:pt idx="198">
                  <c:v>1690.99</c:v>
                </c:pt>
                <c:pt idx="199">
                  <c:v>1684.32</c:v>
                </c:pt>
                <c:pt idx="200">
                  <c:v>1680.36</c:v>
                </c:pt>
                <c:pt idx="201">
                  <c:v>1660.36</c:v>
                </c:pt>
                <c:pt idx="202">
                  <c:v>1667.98</c:v>
                </c:pt>
                <c:pt idx="203">
                  <c:v>1654.93</c:v>
                </c:pt>
                <c:pt idx="204">
                  <c:v>1655.99</c:v>
                </c:pt>
                <c:pt idx="205">
                  <c:v>1649</c:v>
                </c:pt>
                <c:pt idx="206">
                  <c:v>1659.92</c:v>
                </c:pt>
                <c:pt idx="207">
                  <c:v>1654.42</c:v>
                </c:pt>
                <c:pt idx="208">
                  <c:v>1635.46</c:v>
                </c:pt>
                <c:pt idx="209">
                  <c:v>1631.44</c:v>
                </c:pt>
                <c:pt idx="210">
                  <c:v>1631.86</c:v>
                </c:pt>
                <c:pt idx="211">
                  <c:v>1593.61</c:v>
                </c:pt>
                <c:pt idx="212">
                  <c:v>1580.54</c:v>
                </c:pt>
                <c:pt idx="213">
                  <c:v>1599.1</c:v>
                </c:pt>
                <c:pt idx="214">
                  <c:v>1642.64</c:v>
                </c:pt>
                <c:pt idx="215">
                  <c:v>1654.89</c:v>
                </c:pt>
                <c:pt idx="216">
                  <c:v>1651.98</c:v>
                </c:pt>
                <c:pt idx="217">
                  <c:v>1617</c:v>
                </c:pt>
                <c:pt idx="218">
                  <c:v>1639.65</c:v>
                </c:pt>
                <c:pt idx="219">
                  <c:v>1669.57</c:v>
                </c:pt>
                <c:pt idx="220">
                  <c:v>1685.83</c:v>
                </c:pt>
                <c:pt idx="221">
                  <c:v>1680.5</c:v>
                </c:pt>
                <c:pt idx="222">
                  <c:v>1652.54</c:v>
                </c:pt>
                <c:pt idx="223">
                  <c:v>1683.18</c:v>
                </c:pt>
                <c:pt idx="224">
                  <c:v>1687.06</c:v>
                </c:pt>
                <c:pt idx="225">
                  <c:v>1678.5</c:v>
                </c:pt>
                <c:pt idx="226">
                  <c:v>1663.43</c:v>
                </c:pt>
                <c:pt idx="227">
                  <c:v>1636.43</c:v>
                </c:pt>
                <c:pt idx="228">
                  <c:v>1731.19</c:v>
                </c:pt>
                <c:pt idx="229">
                  <c:v>1766.85</c:v>
                </c:pt>
                <c:pt idx="230">
                  <c:v>1757.95</c:v>
                </c:pt>
                <c:pt idx="231">
                  <c:v>1761.06</c:v>
                </c:pt>
                <c:pt idx="232">
                  <c:v>1765.12</c:v>
                </c:pt>
                <c:pt idx="233">
                  <c:v>1747.55</c:v>
                </c:pt>
                <c:pt idx="234">
                  <c:v>1716.47</c:v>
                </c:pt>
                <c:pt idx="235">
                  <c:v>1697.83</c:v>
                </c:pt>
                <c:pt idx="236">
                  <c:v>1685.3</c:v>
                </c:pt>
                <c:pt idx="237">
                  <c:v>1695.5</c:v>
                </c:pt>
                <c:pt idx="238">
                  <c:v>1645.82</c:v>
                </c:pt>
                <c:pt idx="239">
                  <c:v>1652.71</c:v>
                </c:pt>
                <c:pt idx="240">
                  <c:v>1665.05</c:v>
                </c:pt>
                <c:pt idx="241">
                  <c:v>1661.7</c:v>
                </c:pt>
                <c:pt idx="242">
                  <c:v>1666.48</c:v>
                </c:pt>
                <c:pt idx="243">
                  <c:v>1660.7</c:v>
                </c:pt>
                <c:pt idx="244">
                  <c:v>1666.09</c:v>
                </c:pt>
                <c:pt idx="245">
                  <c:v>1657.46</c:v>
                </c:pt>
                <c:pt idx="246">
                  <c:v>1635.26</c:v>
                </c:pt>
                <c:pt idx="247">
                  <c:v>1634.45</c:v>
                </c:pt>
                <c:pt idx="248">
                  <c:v>1658.62</c:v>
                </c:pt>
                <c:pt idx="249">
                  <c:v>1665.18</c:v>
                </c:pt>
                <c:pt idx="250">
                  <c:v>1670.97</c:v>
                </c:pt>
                <c:pt idx="251">
                  <c:v>1680.9</c:v>
                </c:pt>
                <c:pt idx="252">
                  <c:v>1684.9</c:v>
                </c:pt>
                <c:pt idx="253">
                  <c:v>1667.26</c:v>
                </c:pt>
                <c:pt idx="254">
                  <c:v>1657.75</c:v>
                </c:pt>
                <c:pt idx="255">
                  <c:v>1643.26</c:v>
                </c:pt>
                <c:pt idx="256">
                  <c:v>1637.32</c:v>
                </c:pt>
                <c:pt idx="257">
                  <c:v>1624.53</c:v>
                </c:pt>
                <c:pt idx="258">
                  <c:v>1666.97</c:v>
                </c:pt>
                <c:pt idx="259">
                  <c:v>1696.29</c:v>
                </c:pt>
                <c:pt idx="260">
                  <c:v>1681.3</c:v>
                </c:pt>
                <c:pt idx="261">
                  <c:v>1682.21</c:v>
                </c:pt>
                <c:pt idx="262">
                  <c:v>1680.86</c:v>
                </c:pt>
                <c:pt idx="263">
                  <c:v>1672.78</c:v>
                </c:pt>
                <c:pt idx="264">
                  <c:v>1667.63</c:v>
                </c:pt>
                <c:pt idx="265">
                  <c:v>1614.03</c:v>
                </c:pt>
                <c:pt idx="266">
                  <c:v>1645.47</c:v>
                </c:pt>
                <c:pt idx="267">
                  <c:v>1688</c:v>
                </c:pt>
                <c:pt idx="268">
                  <c:v>1664.36</c:v>
                </c:pt>
                <c:pt idx="269">
                  <c:v>1654.2</c:v>
                </c:pt>
                <c:pt idx="270">
                  <c:v>1636.37</c:v>
                </c:pt>
                <c:pt idx="271">
                  <c:v>1630</c:v>
                </c:pt>
                <c:pt idx="272">
                  <c:v>1640.69</c:v>
                </c:pt>
                <c:pt idx="273">
                  <c:v>1611.6</c:v>
                </c:pt>
                <c:pt idx="274">
                  <c:v>1608.22</c:v>
                </c:pt>
                <c:pt idx="275">
                  <c:v>1596.86</c:v>
                </c:pt>
                <c:pt idx="276">
                  <c:v>1584.95</c:v>
                </c:pt>
                <c:pt idx="277">
                  <c:v>1581.81</c:v>
                </c:pt>
                <c:pt idx="278">
                  <c:v>1573.71</c:v>
                </c:pt>
                <c:pt idx="279">
                  <c:v>1547.15</c:v>
                </c:pt>
                <c:pt idx="280">
                  <c:v>1528.19</c:v>
                </c:pt>
                <c:pt idx="281">
                  <c:v>1495.21</c:v>
                </c:pt>
                <c:pt idx="282">
                  <c:v>1502.52</c:v>
                </c:pt>
                <c:pt idx="283">
                  <c:v>1507.63</c:v>
                </c:pt>
                <c:pt idx="284">
                  <c:v>1493.41</c:v>
                </c:pt>
                <c:pt idx="285">
                  <c:v>1557.42</c:v>
                </c:pt>
                <c:pt idx="286">
                  <c:v>1531.13</c:v>
                </c:pt>
                <c:pt idx="287">
                  <c:v>1521.02</c:v>
                </c:pt>
                <c:pt idx="288">
                  <c:v>1512.31</c:v>
                </c:pt>
                <c:pt idx="289">
                  <c:v>1509.54</c:v>
                </c:pt>
                <c:pt idx="290">
                  <c:v>1485.05</c:v>
                </c:pt>
                <c:pt idx="291">
                  <c:v>1497.28</c:v>
                </c:pt>
                <c:pt idx="292">
                  <c:v>1490.01</c:v>
                </c:pt>
                <c:pt idx="293">
                  <c:v>1475.47</c:v>
                </c:pt>
                <c:pt idx="294">
                  <c:v>1460.65</c:v>
                </c:pt>
                <c:pt idx="295">
                  <c:v>1470.42</c:v>
                </c:pt>
                <c:pt idx="296">
                  <c:v>1457.76</c:v>
                </c:pt>
                <c:pt idx="297">
                  <c:v>1445.64</c:v>
                </c:pt>
                <c:pt idx="298">
                  <c:v>1431.32</c:v>
                </c:pt>
                <c:pt idx="299">
                  <c:v>1415.46</c:v>
                </c:pt>
                <c:pt idx="300">
                  <c:v>1402.06</c:v>
                </c:pt>
                <c:pt idx="301">
                  <c:v>1386.97</c:v>
                </c:pt>
                <c:pt idx="302">
                  <c:v>1381.96</c:v>
                </c:pt>
                <c:pt idx="303">
                  <c:v>1384.59</c:v>
                </c:pt>
                <c:pt idx="304">
                  <c:v>1377.84</c:v>
                </c:pt>
                <c:pt idx="305">
                  <c:v>1376.07</c:v>
                </c:pt>
                <c:pt idx="306">
                  <c:v>1371.44</c:v>
                </c:pt>
                <c:pt idx="307">
                  <c:v>1365.67</c:v>
                </c:pt>
                <c:pt idx="308">
                  <c:v>1366.75</c:v>
                </c:pt>
                <c:pt idx="309">
                  <c:v>1366.77</c:v>
                </c:pt>
                <c:pt idx="310">
                  <c:v>1358.18</c:v>
                </c:pt>
                <c:pt idx="311">
                  <c:v>1349.35</c:v>
                </c:pt>
                <c:pt idx="312">
                  <c:v>1352.04</c:v>
                </c:pt>
                <c:pt idx="313">
                  <c:v>1346.83</c:v>
                </c:pt>
                <c:pt idx="314">
                  <c:v>1347.69</c:v>
                </c:pt>
                <c:pt idx="315">
                  <c:v>1338.11</c:v>
                </c:pt>
                <c:pt idx="316">
                  <c:v>1315.49</c:v>
                </c:pt>
                <c:pt idx="317">
                  <c:v>1322.99</c:v>
                </c:pt>
                <c:pt idx="318">
                  <c:v>1315.2</c:v>
                </c:pt>
                <c:pt idx="319">
                  <c:v>1316.23</c:v>
                </c:pt>
                <c:pt idx="320">
                  <c:v>1310.57</c:v>
                </c:pt>
                <c:pt idx="321">
                  <c:v>1329.89</c:v>
                </c:pt>
                <c:pt idx="322">
                  <c:v>1342.09</c:v>
                </c:pt>
                <c:pt idx="323">
                  <c:v>1345.74</c:v>
                </c:pt>
                <c:pt idx="324">
                  <c:v>1347.25</c:v>
                </c:pt>
                <c:pt idx="325">
                  <c:v>1336.3</c:v>
                </c:pt>
                <c:pt idx="326">
                  <c:v>1332.6</c:v>
                </c:pt>
                <c:pt idx="327">
                  <c:v>1341.86</c:v>
                </c:pt>
                <c:pt idx="328">
                  <c:v>1341.87</c:v>
                </c:pt>
                <c:pt idx="329">
                  <c:v>1339.81</c:v>
                </c:pt>
                <c:pt idx="330">
                  <c:v>1332.51</c:v>
                </c:pt>
                <c:pt idx="331">
                  <c:v>1314.46</c:v>
                </c:pt>
                <c:pt idx="332">
                  <c:v>1313.84</c:v>
                </c:pt>
                <c:pt idx="333">
                  <c:v>1323.05</c:v>
                </c:pt>
                <c:pt idx="334">
                  <c:v>1315.15</c:v>
                </c:pt>
                <c:pt idx="335">
                  <c:v>1296.29</c:v>
                </c:pt>
                <c:pt idx="336">
                  <c:v>1301.3900000000001</c:v>
                </c:pt>
                <c:pt idx="337">
                  <c:v>1313.2</c:v>
                </c:pt>
                <c:pt idx="338">
                  <c:v>1309.73</c:v>
                </c:pt>
                <c:pt idx="339">
                  <c:v>1293.43</c:v>
                </c:pt>
                <c:pt idx="340">
                  <c:v>1283.26</c:v>
                </c:pt>
                <c:pt idx="341">
                  <c:v>1267.3</c:v>
                </c:pt>
                <c:pt idx="342">
                  <c:v>1269.8</c:v>
                </c:pt>
                <c:pt idx="343">
                  <c:v>1250.3699999999999</c:v>
                </c:pt>
                <c:pt idx="344">
                  <c:v>1241.95</c:v>
                </c:pt>
                <c:pt idx="345">
                  <c:v>1240.05</c:v>
                </c:pt>
                <c:pt idx="346">
                  <c:v>1226.3</c:v>
                </c:pt>
                <c:pt idx="347">
                  <c:v>1226.8</c:v>
                </c:pt>
                <c:pt idx="348">
                  <c:v>1229.23</c:v>
                </c:pt>
                <c:pt idx="349">
                  <c:v>1223.3499999999999</c:v>
                </c:pt>
                <c:pt idx="350">
                  <c:v>1211</c:v>
                </c:pt>
                <c:pt idx="351">
                  <c:v>1197.1300000000001</c:v>
                </c:pt>
                <c:pt idx="352">
                  <c:v>1207.07</c:v>
                </c:pt>
                <c:pt idx="353">
                  <c:v>1219.1199999999999</c:v>
                </c:pt>
                <c:pt idx="354">
                  <c:v>1217.25</c:v>
                </c:pt>
                <c:pt idx="355">
                  <c:v>1210.3</c:v>
                </c:pt>
                <c:pt idx="356">
                  <c:v>1227.79</c:v>
                </c:pt>
                <c:pt idx="357">
                  <c:v>1241.44</c:v>
                </c:pt>
                <c:pt idx="358">
                  <c:v>1222.46</c:v>
                </c:pt>
                <c:pt idx="359">
                  <c:v>1168.3399999999999</c:v>
                </c:pt>
                <c:pt idx="360">
                  <c:v>1094.3</c:v>
                </c:pt>
                <c:pt idx="361">
                  <c:v>1132.79</c:v>
                </c:pt>
                <c:pt idx="362">
                  <c:v>1210.67</c:v>
                </c:pt>
                <c:pt idx="363">
                  <c:v>1229.8399999999999</c:v>
                </c:pt>
                <c:pt idx="364">
                  <c:v>1317.83</c:v>
                </c:pt>
                <c:pt idx="365">
                  <c:v>1317.33</c:v>
                </c:pt>
                <c:pt idx="366">
                  <c:v>1306.8599999999999</c:v>
                </c:pt>
                <c:pt idx="367">
                  <c:v>1317.46</c:v>
                </c:pt>
                <c:pt idx="368">
                  <c:v>1323.81</c:v>
                </c:pt>
                <c:pt idx="369">
                  <c:v>1326.09</c:v>
                </c:pt>
                <c:pt idx="370">
                  <c:v>1331.92</c:v>
                </c:pt>
                <c:pt idx="371">
                  <c:v>1330.32</c:v>
                </c:pt>
                <c:pt idx="372">
                  <c:v>1324.88</c:v>
                </c:pt>
                <c:pt idx="373">
                  <c:v>1323.93</c:v>
                </c:pt>
                <c:pt idx="374">
                  <c:v>1324.63</c:v>
                </c:pt>
                <c:pt idx="375">
                  <c:v>1330.97</c:v>
                </c:pt>
                <c:pt idx="376">
                  <c:v>1336.26</c:v>
                </c:pt>
                <c:pt idx="377">
                  <c:v>1326.15</c:v>
                </c:pt>
                <c:pt idx="378">
                  <c:v>1326.27</c:v>
                </c:pt>
                <c:pt idx="379">
                  <c:v>1334.41</c:v>
                </c:pt>
                <c:pt idx="380">
                  <c:v>1332.54</c:v>
                </c:pt>
                <c:pt idx="381">
                  <c:v>1330.28</c:v>
                </c:pt>
                <c:pt idx="382">
                  <c:v>1326.05</c:v>
                </c:pt>
                <c:pt idx="383">
                  <c:v>1318.22</c:v>
                </c:pt>
                <c:pt idx="384">
                  <c:v>1304.71</c:v>
                </c:pt>
                <c:pt idx="385">
                  <c:v>1311.91</c:v>
                </c:pt>
                <c:pt idx="386">
                  <c:v>1309.3699999999999</c:v>
                </c:pt>
                <c:pt idx="387">
                  <c:v>1305.3599999999999</c:v>
                </c:pt>
                <c:pt idx="388">
                  <c:v>1307.8</c:v>
                </c:pt>
                <c:pt idx="389">
                  <c:v>1302.96</c:v>
                </c:pt>
                <c:pt idx="390">
                  <c:v>1303.1600000000001</c:v>
                </c:pt>
                <c:pt idx="391">
                  <c:v>1304.56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A-4F60-9C2F-EEAC080E0252}"/>
            </c:ext>
          </c:extLst>
        </c:ser>
        <c:ser>
          <c:idx val="3"/>
          <c:order val="1"/>
          <c:tx>
            <c:strRef>
              <c:f>Sheet1!$AL$1</c:f>
              <c:strCache>
                <c:ptCount val="1"/>
                <c:pt idx="0">
                  <c:v>VNINDEX loại trừ Vingroup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Sheet1!$A$2:$A$393</c:f>
              <c:numCache>
                <c:formatCode>mm/dd/yyyy</c:formatCode>
                <c:ptCount val="392"/>
                <c:pt idx="1">
                  <c:v>46283</c:v>
                </c:pt>
                <c:pt idx="2">
                  <c:v>46282</c:v>
                </c:pt>
                <c:pt idx="3">
                  <c:v>46281</c:v>
                </c:pt>
                <c:pt idx="4">
                  <c:v>46280</c:v>
                </c:pt>
                <c:pt idx="5">
                  <c:v>46279</c:v>
                </c:pt>
                <c:pt idx="6">
                  <c:v>46276</c:v>
                </c:pt>
                <c:pt idx="7">
                  <c:v>46275</c:v>
                </c:pt>
                <c:pt idx="8">
                  <c:v>46274</c:v>
                </c:pt>
                <c:pt idx="9">
                  <c:v>46273</c:v>
                </c:pt>
                <c:pt idx="10">
                  <c:v>46272</c:v>
                </c:pt>
                <c:pt idx="11">
                  <c:v>46269</c:v>
                </c:pt>
                <c:pt idx="12">
                  <c:v>46268</c:v>
                </c:pt>
                <c:pt idx="13">
                  <c:v>46262</c:v>
                </c:pt>
                <c:pt idx="14">
                  <c:v>46261</c:v>
                </c:pt>
                <c:pt idx="15">
                  <c:v>46260</c:v>
                </c:pt>
                <c:pt idx="16">
                  <c:v>46259</c:v>
                </c:pt>
                <c:pt idx="17">
                  <c:v>46258</c:v>
                </c:pt>
                <c:pt idx="18">
                  <c:v>46255</c:v>
                </c:pt>
                <c:pt idx="19">
                  <c:v>46254</c:v>
                </c:pt>
                <c:pt idx="20">
                  <c:v>46253</c:v>
                </c:pt>
                <c:pt idx="21">
                  <c:v>46252</c:v>
                </c:pt>
                <c:pt idx="22">
                  <c:v>46251</c:v>
                </c:pt>
                <c:pt idx="23">
                  <c:v>46248</c:v>
                </c:pt>
                <c:pt idx="24">
                  <c:v>46247</c:v>
                </c:pt>
                <c:pt idx="25">
                  <c:v>46246</c:v>
                </c:pt>
                <c:pt idx="26">
                  <c:v>46245</c:v>
                </c:pt>
                <c:pt idx="27">
                  <c:v>46244</c:v>
                </c:pt>
                <c:pt idx="28">
                  <c:v>46241</c:v>
                </c:pt>
                <c:pt idx="29">
                  <c:v>46240</c:v>
                </c:pt>
                <c:pt idx="30">
                  <c:v>46239</c:v>
                </c:pt>
                <c:pt idx="31">
                  <c:v>46238</c:v>
                </c:pt>
                <c:pt idx="32">
                  <c:v>46237</c:v>
                </c:pt>
                <c:pt idx="33">
                  <c:v>46234</c:v>
                </c:pt>
                <c:pt idx="34">
                  <c:v>46233</c:v>
                </c:pt>
                <c:pt idx="35">
                  <c:v>46232</c:v>
                </c:pt>
                <c:pt idx="36">
                  <c:v>46231</c:v>
                </c:pt>
                <c:pt idx="37">
                  <c:v>46230</c:v>
                </c:pt>
                <c:pt idx="38">
                  <c:v>46227</c:v>
                </c:pt>
                <c:pt idx="39">
                  <c:v>46226</c:v>
                </c:pt>
                <c:pt idx="40">
                  <c:v>46225</c:v>
                </c:pt>
                <c:pt idx="41">
                  <c:v>46224</c:v>
                </c:pt>
                <c:pt idx="42">
                  <c:v>46223</c:v>
                </c:pt>
                <c:pt idx="43">
                  <c:v>46220</c:v>
                </c:pt>
                <c:pt idx="44">
                  <c:v>46219</c:v>
                </c:pt>
                <c:pt idx="45">
                  <c:v>46218</c:v>
                </c:pt>
                <c:pt idx="46">
                  <c:v>46217</c:v>
                </c:pt>
                <c:pt idx="47">
                  <c:v>46216</c:v>
                </c:pt>
                <c:pt idx="48">
                  <c:v>46213</c:v>
                </c:pt>
                <c:pt idx="49">
                  <c:v>46212</c:v>
                </c:pt>
                <c:pt idx="50">
                  <c:v>46211</c:v>
                </c:pt>
                <c:pt idx="51">
                  <c:v>46210</c:v>
                </c:pt>
                <c:pt idx="52">
                  <c:v>46209</c:v>
                </c:pt>
                <c:pt idx="53">
                  <c:v>46206</c:v>
                </c:pt>
                <c:pt idx="54">
                  <c:v>46205</c:v>
                </c:pt>
                <c:pt idx="55">
                  <c:v>46204</c:v>
                </c:pt>
                <c:pt idx="56">
                  <c:v>46203</c:v>
                </c:pt>
                <c:pt idx="57">
                  <c:v>46202</c:v>
                </c:pt>
                <c:pt idx="58">
                  <c:v>46199</c:v>
                </c:pt>
                <c:pt idx="59">
                  <c:v>46198</c:v>
                </c:pt>
                <c:pt idx="60">
                  <c:v>46197</c:v>
                </c:pt>
                <c:pt idx="61">
                  <c:v>46196</c:v>
                </c:pt>
                <c:pt idx="62">
                  <c:v>46195</c:v>
                </c:pt>
                <c:pt idx="63">
                  <c:v>46192</c:v>
                </c:pt>
                <c:pt idx="64">
                  <c:v>46191</c:v>
                </c:pt>
                <c:pt idx="65">
                  <c:v>46190</c:v>
                </c:pt>
                <c:pt idx="66">
                  <c:v>46189</c:v>
                </c:pt>
                <c:pt idx="67">
                  <c:v>46188</c:v>
                </c:pt>
                <c:pt idx="68">
                  <c:v>46185</c:v>
                </c:pt>
                <c:pt idx="69">
                  <c:v>46184</c:v>
                </c:pt>
                <c:pt idx="70">
                  <c:v>46183</c:v>
                </c:pt>
                <c:pt idx="71">
                  <c:v>46182</c:v>
                </c:pt>
                <c:pt idx="72">
                  <c:v>46181</c:v>
                </c:pt>
                <c:pt idx="73">
                  <c:v>46178</c:v>
                </c:pt>
                <c:pt idx="74">
                  <c:v>46177</c:v>
                </c:pt>
                <c:pt idx="75">
                  <c:v>46176</c:v>
                </c:pt>
                <c:pt idx="76">
                  <c:v>46175</c:v>
                </c:pt>
                <c:pt idx="77">
                  <c:v>46174</c:v>
                </c:pt>
                <c:pt idx="78">
                  <c:v>46171</c:v>
                </c:pt>
                <c:pt idx="79">
                  <c:v>46170</c:v>
                </c:pt>
                <c:pt idx="80">
                  <c:v>46169</c:v>
                </c:pt>
                <c:pt idx="81">
                  <c:v>46168</c:v>
                </c:pt>
                <c:pt idx="82">
                  <c:v>46167</c:v>
                </c:pt>
                <c:pt idx="83">
                  <c:v>46164</c:v>
                </c:pt>
                <c:pt idx="84">
                  <c:v>46163</c:v>
                </c:pt>
                <c:pt idx="85">
                  <c:v>46162</c:v>
                </c:pt>
                <c:pt idx="86">
                  <c:v>46161</c:v>
                </c:pt>
                <c:pt idx="87">
                  <c:v>46160</c:v>
                </c:pt>
                <c:pt idx="88">
                  <c:v>46157</c:v>
                </c:pt>
                <c:pt idx="89">
                  <c:v>46156</c:v>
                </c:pt>
                <c:pt idx="90">
                  <c:v>46155</c:v>
                </c:pt>
                <c:pt idx="91">
                  <c:v>46154</c:v>
                </c:pt>
                <c:pt idx="92">
                  <c:v>46153</c:v>
                </c:pt>
                <c:pt idx="93">
                  <c:v>46150</c:v>
                </c:pt>
                <c:pt idx="94">
                  <c:v>46149</c:v>
                </c:pt>
                <c:pt idx="95">
                  <c:v>46148</c:v>
                </c:pt>
                <c:pt idx="96">
                  <c:v>46147</c:v>
                </c:pt>
                <c:pt idx="97">
                  <c:v>46146</c:v>
                </c:pt>
                <c:pt idx="98">
                  <c:v>46141</c:v>
                </c:pt>
                <c:pt idx="99">
                  <c:v>46140</c:v>
                </c:pt>
                <c:pt idx="100">
                  <c:v>46136</c:v>
                </c:pt>
                <c:pt idx="101">
                  <c:v>46135</c:v>
                </c:pt>
                <c:pt idx="102">
                  <c:v>46134</c:v>
                </c:pt>
                <c:pt idx="103">
                  <c:v>46133</c:v>
                </c:pt>
                <c:pt idx="104">
                  <c:v>46132</c:v>
                </c:pt>
                <c:pt idx="105">
                  <c:v>46129</c:v>
                </c:pt>
                <c:pt idx="106">
                  <c:v>46128</c:v>
                </c:pt>
                <c:pt idx="107">
                  <c:v>46127</c:v>
                </c:pt>
                <c:pt idx="108">
                  <c:v>46126</c:v>
                </c:pt>
                <c:pt idx="109">
                  <c:v>46125</c:v>
                </c:pt>
                <c:pt idx="110">
                  <c:v>46122</c:v>
                </c:pt>
                <c:pt idx="111">
                  <c:v>46121</c:v>
                </c:pt>
                <c:pt idx="112">
                  <c:v>46120</c:v>
                </c:pt>
                <c:pt idx="113">
                  <c:v>46119</c:v>
                </c:pt>
                <c:pt idx="114">
                  <c:v>46118</c:v>
                </c:pt>
                <c:pt idx="115">
                  <c:v>46115</c:v>
                </c:pt>
                <c:pt idx="116">
                  <c:v>46114</c:v>
                </c:pt>
                <c:pt idx="117">
                  <c:v>46113</c:v>
                </c:pt>
                <c:pt idx="118">
                  <c:v>46112</c:v>
                </c:pt>
                <c:pt idx="119">
                  <c:v>46111</c:v>
                </c:pt>
                <c:pt idx="120">
                  <c:v>46108</c:v>
                </c:pt>
                <c:pt idx="121">
                  <c:v>46107</c:v>
                </c:pt>
                <c:pt idx="122">
                  <c:v>46106</c:v>
                </c:pt>
                <c:pt idx="123">
                  <c:v>46105</c:v>
                </c:pt>
                <c:pt idx="124">
                  <c:v>46104</c:v>
                </c:pt>
                <c:pt idx="125">
                  <c:v>46101</c:v>
                </c:pt>
                <c:pt idx="126">
                  <c:v>46100</c:v>
                </c:pt>
                <c:pt idx="127">
                  <c:v>46099</c:v>
                </c:pt>
                <c:pt idx="128">
                  <c:v>46098</c:v>
                </c:pt>
                <c:pt idx="129">
                  <c:v>46097</c:v>
                </c:pt>
                <c:pt idx="130">
                  <c:v>46094</c:v>
                </c:pt>
                <c:pt idx="131">
                  <c:v>46093</c:v>
                </c:pt>
                <c:pt idx="132">
                  <c:v>46092</c:v>
                </c:pt>
                <c:pt idx="133">
                  <c:v>46091</c:v>
                </c:pt>
                <c:pt idx="134">
                  <c:v>46090</c:v>
                </c:pt>
                <c:pt idx="135">
                  <c:v>46087</c:v>
                </c:pt>
                <c:pt idx="136">
                  <c:v>46086</c:v>
                </c:pt>
                <c:pt idx="137">
                  <c:v>46085</c:v>
                </c:pt>
                <c:pt idx="138">
                  <c:v>46084</c:v>
                </c:pt>
                <c:pt idx="139">
                  <c:v>46083</c:v>
                </c:pt>
                <c:pt idx="140">
                  <c:v>46080</c:v>
                </c:pt>
                <c:pt idx="141">
                  <c:v>46079</c:v>
                </c:pt>
                <c:pt idx="142">
                  <c:v>46078</c:v>
                </c:pt>
                <c:pt idx="143">
                  <c:v>46077</c:v>
                </c:pt>
                <c:pt idx="144">
                  <c:v>46076</c:v>
                </c:pt>
                <c:pt idx="145">
                  <c:v>46066</c:v>
                </c:pt>
                <c:pt idx="146">
                  <c:v>46065</c:v>
                </c:pt>
                <c:pt idx="147">
                  <c:v>46064</c:v>
                </c:pt>
                <c:pt idx="148">
                  <c:v>46063</c:v>
                </c:pt>
                <c:pt idx="149">
                  <c:v>46062</c:v>
                </c:pt>
                <c:pt idx="150">
                  <c:v>46059</c:v>
                </c:pt>
                <c:pt idx="151">
                  <c:v>46058</c:v>
                </c:pt>
                <c:pt idx="152">
                  <c:v>46057</c:v>
                </c:pt>
                <c:pt idx="153">
                  <c:v>46056</c:v>
                </c:pt>
                <c:pt idx="154">
                  <c:v>46055</c:v>
                </c:pt>
                <c:pt idx="155">
                  <c:v>46052</c:v>
                </c:pt>
                <c:pt idx="156">
                  <c:v>46051</c:v>
                </c:pt>
                <c:pt idx="157">
                  <c:v>46050</c:v>
                </c:pt>
                <c:pt idx="158">
                  <c:v>46049</c:v>
                </c:pt>
                <c:pt idx="159">
                  <c:v>46048</c:v>
                </c:pt>
                <c:pt idx="160">
                  <c:v>46045</c:v>
                </c:pt>
                <c:pt idx="161">
                  <c:v>46044</c:v>
                </c:pt>
                <c:pt idx="162">
                  <c:v>46043</c:v>
                </c:pt>
                <c:pt idx="163">
                  <c:v>46042</c:v>
                </c:pt>
                <c:pt idx="164">
                  <c:v>46041</c:v>
                </c:pt>
                <c:pt idx="165">
                  <c:v>46038</c:v>
                </c:pt>
                <c:pt idx="166">
                  <c:v>46037</c:v>
                </c:pt>
                <c:pt idx="167">
                  <c:v>46036</c:v>
                </c:pt>
                <c:pt idx="168">
                  <c:v>46035</c:v>
                </c:pt>
                <c:pt idx="169">
                  <c:v>46034</c:v>
                </c:pt>
                <c:pt idx="170">
                  <c:v>46031</c:v>
                </c:pt>
                <c:pt idx="171">
                  <c:v>46030</c:v>
                </c:pt>
                <c:pt idx="172">
                  <c:v>46029</c:v>
                </c:pt>
                <c:pt idx="173">
                  <c:v>46028</c:v>
                </c:pt>
                <c:pt idx="174">
                  <c:v>46027</c:v>
                </c:pt>
                <c:pt idx="175" formatCode="m/d/yyyy">
                  <c:v>46022</c:v>
                </c:pt>
                <c:pt idx="176" formatCode="m/d/yyyy">
                  <c:v>46021</c:v>
                </c:pt>
                <c:pt idx="177" formatCode="m/d/yyyy">
                  <c:v>46020</c:v>
                </c:pt>
                <c:pt idx="178" formatCode="m/d/yyyy">
                  <c:v>46017</c:v>
                </c:pt>
                <c:pt idx="179" formatCode="m/d/yyyy">
                  <c:v>46016</c:v>
                </c:pt>
                <c:pt idx="180" formatCode="m/d/yyyy">
                  <c:v>46015</c:v>
                </c:pt>
                <c:pt idx="181" formatCode="m/d/yyyy">
                  <c:v>46014</c:v>
                </c:pt>
                <c:pt idx="182" formatCode="m/d/yyyy">
                  <c:v>46013</c:v>
                </c:pt>
                <c:pt idx="183" formatCode="m/d/yyyy">
                  <c:v>46010</c:v>
                </c:pt>
                <c:pt idx="184" formatCode="m/d/yyyy">
                  <c:v>46009</c:v>
                </c:pt>
                <c:pt idx="185" formatCode="m/d/yyyy">
                  <c:v>46008</c:v>
                </c:pt>
                <c:pt idx="186" formatCode="m/d/yyyy">
                  <c:v>46007</c:v>
                </c:pt>
                <c:pt idx="187" formatCode="m/d/yyyy">
                  <c:v>46006</c:v>
                </c:pt>
                <c:pt idx="188" formatCode="m/d/yyyy">
                  <c:v>46003</c:v>
                </c:pt>
                <c:pt idx="189" formatCode="m/d/yyyy">
                  <c:v>46002</c:v>
                </c:pt>
                <c:pt idx="190" formatCode="m/d/yyyy">
                  <c:v>46001</c:v>
                </c:pt>
                <c:pt idx="191" formatCode="m/d/yyyy">
                  <c:v>46000</c:v>
                </c:pt>
                <c:pt idx="192" formatCode="m/d/yyyy">
                  <c:v>45999</c:v>
                </c:pt>
                <c:pt idx="193" formatCode="m/d/yyyy">
                  <c:v>45996</c:v>
                </c:pt>
                <c:pt idx="194" formatCode="m/d/yyyy">
                  <c:v>45995</c:v>
                </c:pt>
                <c:pt idx="195" formatCode="m/d/yyyy">
                  <c:v>45994</c:v>
                </c:pt>
                <c:pt idx="196" formatCode="m/d/yyyy">
                  <c:v>45993</c:v>
                </c:pt>
                <c:pt idx="197" formatCode="m/d/yyyy">
                  <c:v>45992</c:v>
                </c:pt>
                <c:pt idx="198" formatCode="m/d/yyyy">
                  <c:v>45989</c:v>
                </c:pt>
                <c:pt idx="199" formatCode="m/d/yyyy">
                  <c:v>45988</c:v>
                </c:pt>
                <c:pt idx="200" formatCode="m/d/yyyy">
                  <c:v>45987</c:v>
                </c:pt>
                <c:pt idx="201" formatCode="m/d/yyyy">
                  <c:v>45986</c:v>
                </c:pt>
                <c:pt idx="202" formatCode="m/d/yyyy">
                  <c:v>45985</c:v>
                </c:pt>
                <c:pt idx="203" formatCode="m/d/yyyy">
                  <c:v>45982</c:v>
                </c:pt>
                <c:pt idx="204" formatCode="m/d/yyyy">
                  <c:v>45981</c:v>
                </c:pt>
                <c:pt idx="205" formatCode="m/d/yyyy">
                  <c:v>45980</c:v>
                </c:pt>
                <c:pt idx="206" formatCode="m/d/yyyy">
                  <c:v>45979</c:v>
                </c:pt>
                <c:pt idx="207" formatCode="m/d/yyyy">
                  <c:v>45978</c:v>
                </c:pt>
                <c:pt idx="208" formatCode="m/d/yyyy">
                  <c:v>45975</c:v>
                </c:pt>
                <c:pt idx="209" formatCode="m/d/yyyy">
                  <c:v>45974</c:v>
                </c:pt>
                <c:pt idx="210" formatCode="m/d/yyyy">
                  <c:v>45973</c:v>
                </c:pt>
                <c:pt idx="211" formatCode="m/d/yyyy">
                  <c:v>45972</c:v>
                </c:pt>
                <c:pt idx="212" formatCode="m/d/yyyy">
                  <c:v>45971</c:v>
                </c:pt>
                <c:pt idx="213" formatCode="m/d/yyyy">
                  <c:v>45968</c:v>
                </c:pt>
                <c:pt idx="214" formatCode="m/d/yyyy">
                  <c:v>45967</c:v>
                </c:pt>
                <c:pt idx="215" formatCode="m/d/yyyy">
                  <c:v>45966</c:v>
                </c:pt>
                <c:pt idx="216" formatCode="m/d/yyyy">
                  <c:v>45965</c:v>
                </c:pt>
                <c:pt idx="217" formatCode="m/d/yyyy">
                  <c:v>45964</c:v>
                </c:pt>
                <c:pt idx="218" formatCode="m/d/yyyy">
                  <c:v>45961</c:v>
                </c:pt>
                <c:pt idx="219" formatCode="m/d/yyyy">
                  <c:v>45960</c:v>
                </c:pt>
                <c:pt idx="220" formatCode="m/d/yyyy">
                  <c:v>45959</c:v>
                </c:pt>
                <c:pt idx="221" formatCode="m/d/yyyy">
                  <c:v>45958</c:v>
                </c:pt>
                <c:pt idx="222" formatCode="m/d/yyyy">
                  <c:v>45957</c:v>
                </c:pt>
                <c:pt idx="223" formatCode="m/d/yyyy">
                  <c:v>45954</c:v>
                </c:pt>
                <c:pt idx="224" formatCode="m/d/yyyy">
                  <c:v>45953</c:v>
                </c:pt>
                <c:pt idx="225" formatCode="m/d/yyyy">
                  <c:v>45952</c:v>
                </c:pt>
                <c:pt idx="226" formatCode="m/d/yyyy">
                  <c:v>45951</c:v>
                </c:pt>
                <c:pt idx="227" formatCode="m/d/yyyy">
                  <c:v>45950</c:v>
                </c:pt>
                <c:pt idx="228" formatCode="m/d/yyyy">
                  <c:v>45947</c:v>
                </c:pt>
                <c:pt idx="229" formatCode="m/d/yyyy">
                  <c:v>45946</c:v>
                </c:pt>
                <c:pt idx="230" formatCode="m/d/yyyy">
                  <c:v>45945</c:v>
                </c:pt>
                <c:pt idx="231" formatCode="m/d/yyyy">
                  <c:v>45944</c:v>
                </c:pt>
                <c:pt idx="232" formatCode="m/d/yyyy">
                  <c:v>45943</c:v>
                </c:pt>
                <c:pt idx="233" formatCode="m/d/yyyy">
                  <c:v>45940</c:v>
                </c:pt>
                <c:pt idx="234" formatCode="m/d/yyyy">
                  <c:v>45939</c:v>
                </c:pt>
                <c:pt idx="235" formatCode="m/d/yyyy">
                  <c:v>45938</c:v>
                </c:pt>
                <c:pt idx="236" formatCode="m/d/yyyy">
                  <c:v>45937</c:v>
                </c:pt>
                <c:pt idx="237" formatCode="m/d/yyyy">
                  <c:v>45936</c:v>
                </c:pt>
                <c:pt idx="238" formatCode="m/d/yyyy">
                  <c:v>45933</c:v>
                </c:pt>
                <c:pt idx="239" formatCode="m/d/yyyy">
                  <c:v>45932</c:v>
                </c:pt>
                <c:pt idx="240" formatCode="m/d/yyyy">
                  <c:v>45931</c:v>
                </c:pt>
                <c:pt idx="241" formatCode="m/d/yyyy">
                  <c:v>45930</c:v>
                </c:pt>
                <c:pt idx="242" formatCode="m/d/yyyy">
                  <c:v>45929</c:v>
                </c:pt>
                <c:pt idx="243" formatCode="m/d/yyyy">
                  <c:v>45926</c:v>
                </c:pt>
                <c:pt idx="244" formatCode="m/d/yyyy">
                  <c:v>45925</c:v>
                </c:pt>
                <c:pt idx="245" formatCode="m/d/yyyy">
                  <c:v>45924</c:v>
                </c:pt>
                <c:pt idx="246" formatCode="m/d/yyyy">
                  <c:v>45923</c:v>
                </c:pt>
                <c:pt idx="247" formatCode="m/d/yyyy">
                  <c:v>45922</c:v>
                </c:pt>
                <c:pt idx="248" formatCode="m/d/yyyy">
                  <c:v>45919</c:v>
                </c:pt>
                <c:pt idx="249" formatCode="m/d/yyyy">
                  <c:v>45918</c:v>
                </c:pt>
                <c:pt idx="250" formatCode="m/d/yyyy">
                  <c:v>45917</c:v>
                </c:pt>
                <c:pt idx="251" formatCode="m/d/yyyy">
                  <c:v>45916</c:v>
                </c:pt>
                <c:pt idx="252" formatCode="m/d/yyyy">
                  <c:v>45915</c:v>
                </c:pt>
                <c:pt idx="253" formatCode="m/d/yyyy">
                  <c:v>45912</c:v>
                </c:pt>
                <c:pt idx="254" formatCode="m/d/yyyy">
                  <c:v>45911</c:v>
                </c:pt>
                <c:pt idx="255" formatCode="m/d/yyyy">
                  <c:v>45910</c:v>
                </c:pt>
                <c:pt idx="256" formatCode="m/d/yyyy">
                  <c:v>45909</c:v>
                </c:pt>
                <c:pt idx="257" formatCode="m/d/yyyy">
                  <c:v>45908</c:v>
                </c:pt>
                <c:pt idx="258" formatCode="m/d/yyyy">
                  <c:v>45905</c:v>
                </c:pt>
                <c:pt idx="259" formatCode="m/d/yyyy">
                  <c:v>45904</c:v>
                </c:pt>
                <c:pt idx="260" formatCode="m/d/yyyy">
                  <c:v>45903</c:v>
                </c:pt>
                <c:pt idx="261" formatCode="m/d/yyyy">
                  <c:v>45898</c:v>
                </c:pt>
                <c:pt idx="262" formatCode="m/d/yyyy">
                  <c:v>45897</c:v>
                </c:pt>
                <c:pt idx="263" formatCode="m/d/yyyy">
                  <c:v>45896</c:v>
                </c:pt>
                <c:pt idx="264" formatCode="m/d/yyyy">
                  <c:v>45895</c:v>
                </c:pt>
                <c:pt idx="265" formatCode="m/d/yyyy">
                  <c:v>45894</c:v>
                </c:pt>
                <c:pt idx="266" formatCode="m/d/yyyy">
                  <c:v>45891</c:v>
                </c:pt>
                <c:pt idx="267" formatCode="m/d/yyyy">
                  <c:v>45890</c:v>
                </c:pt>
                <c:pt idx="268" formatCode="m/d/yyyy">
                  <c:v>45889</c:v>
                </c:pt>
                <c:pt idx="269" formatCode="m/d/yyyy">
                  <c:v>45888</c:v>
                </c:pt>
                <c:pt idx="270" formatCode="m/d/yyyy">
                  <c:v>45887</c:v>
                </c:pt>
                <c:pt idx="271" formatCode="m/d/yyyy">
                  <c:v>45884</c:v>
                </c:pt>
                <c:pt idx="272" formatCode="m/d/yyyy">
                  <c:v>45883</c:v>
                </c:pt>
                <c:pt idx="273" formatCode="m/d/yyyy">
                  <c:v>45882</c:v>
                </c:pt>
                <c:pt idx="274" formatCode="m/d/yyyy">
                  <c:v>45881</c:v>
                </c:pt>
                <c:pt idx="275" formatCode="m/d/yyyy">
                  <c:v>45880</c:v>
                </c:pt>
                <c:pt idx="276" formatCode="m/d/yyyy">
                  <c:v>45877</c:v>
                </c:pt>
                <c:pt idx="277" formatCode="m/d/yyyy">
                  <c:v>45876</c:v>
                </c:pt>
                <c:pt idx="278" formatCode="m/d/yyyy">
                  <c:v>45875</c:v>
                </c:pt>
                <c:pt idx="279" formatCode="m/d/yyyy">
                  <c:v>45874</c:v>
                </c:pt>
                <c:pt idx="280" formatCode="m/d/yyyy">
                  <c:v>45873</c:v>
                </c:pt>
                <c:pt idx="281" formatCode="m/d/yyyy">
                  <c:v>45870</c:v>
                </c:pt>
                <c:pt idx="282" formatCode="m/d/yyyy">
                  <c:v>45869</c:v>
                </c:pt>
                <c:pt idx="283" formatCode="m/d/yyyy">
                  <c:v>45868</c:v>
                </c:pt>
                <c:pt idx="284" formatCode="m/d/yyyy">
                  <c:v>45867</c:v>
                </c:pt>
                <c:pt idx="285" formatCode="m/d/yyyy">
                  <c:v>45866</c:v>
                </c:pt>
                <c:pt idx="286" formatCode="m/d/yyyy">
                  <c:v>45863</c:v>
                </c:pt>
                <c:pt idx="287" formatCode="m/d/yyyy">
                  <c:v>45862</c:v>
                </c:pt>
                <c:pt idx="288" formatCode="m/d/yyyy">
                  <c:v>45861</c:v>
                </c:pt>
                <c:pt idx="289" formatCode="m/d/yyyy">
                  <c:v>45860</c:v>
                </c:pt>
                <c:pt idx="290" formatCode="m/d/yyyy">
                  <c:v>45859</c:v>
                </c:pt>
                <c:pt idx="291" formatCode="m/d/yyyy">
                  <c:v>45856</c:v>
                </c:pt>
                <c:pt idx="292" formatCode="m/d/yyyy">
                  <c:v>45855</c:v>
                </c:pt>
                <c:pt idx="293" formatCode="m/d/yyyy">
                  <c:v>45854</c:v>
                </c:pt>
                <c:pt idx="294" formatCode="m/d/yyyy">
                  <c:v>45853</c:v>
                </c:pt>
                <c:pt idx="295" formatCode="m/d/yyyy">
                  <c:v>45852</c:v>
                </c:pt>
                <c:pt idx="296" formatCode="m/d/yyyy">
                  <c:v>45849</c:v>
                </c:pt>
                <c:pt idx="297" formatCode="m/d/yyyy">
                  <c:v>45848</c:v>
                </c:pt>
                <c:pt idx="298" formatCode="m/d/yyyy">
                  <c:v>45847</c:v>
                </c:pt>
                <c:pt idx="299" formatCode="m/d/yyyy">
                  <c:v>45846</c:v>
                </c:pt>
                <c:pt idx="300" formatCode="m/d/yyyy">
                  <c:v>45845</c:v>
                </c:pt>
                <c:pt idx="301" formatCode="m/d/yyyy">
                  <c:v>45842</c:v>
                </c:pt>
                <c:pt idx="302" formatCode="m/d/yyyy">
                  <c:v>45841</c:v>
                </c:pt>
                <c:pt idx="303" formatCode="m/d/yyyy">
                  <c:v>45840</c:v>
                </c:pt>
                <c:pt idx="304" formatCode="m/d/yyyy">
                  <c:v>45839</c:v>
                </c:pt>
                <c:pt idx="305" formatCode="m/d/yyyy">
                  <c:v>45838</c:v>
                </c:pt>
                <c:pt idx="306" formatCode="m/d/yyyy">
                  <c:v>45835</c:v>
                </c:pt>
                <c:pt idx="307" formatCode="m/d/yyyy">
                  <c:v>45834</c:v>
                </c:pt>
                <c:pt idx="308" formatCode="m/d/yyyy">
                  <c:v>45833</c:v>
                </c:pt>
                <c:pt idx="309" formatCode="m/d/yyyy">
                  <c:v>45832</c:v>
                </c:pt>
                <c:pt idx="310" formatCode="m/d/yyyy">
                  <c:v>45831</c:v>
                </c:pt>
                <c:pt idx="311" formatCode="m/d/yyyy">
                  <c:v>45828</c:v>
                </c:pt>
                <c:pt idx="312" formatCode="m/d/yyyy">
                  <c:v>45827</c:v>
                </c:pt>
                <c:pt idx="313" formatCode="m/d/yyyy">
                  <c:v>45826</c:v>
                </c:pt>
                <c:pt idx="314" formatCode="m/d/yyyy">
                  <c:v>45825</c:v>
                </c:pt>
                <c:pt idx="315" formatCode="m/d/yyyy">
                  <c:v>45824</c:v>
                </c:pt>
                <c:pt idx="316" formatCode="m/d/yyyy">
                  <c:v>45821</c:v>
                </c:pt>
                <c:pt idx="317" formatCode="m/d/yyyy">
                  <c:v>45820</c:v>
                </c:pt>
                <c:pt idx="318" formatCode="m/d/yyyy">
                  <c:v>45819</c:v>
                </c:pt>
                <c:pt idx="319" formatCode="m/d/yyyy">
                  <c:v>45818</c:v>
                </c:pt>
                <c:pt idx="320" formatCode="m/d/yyyy">
                  <c:v>45817</c:v>
                </c:pt>
                <c:pt idx="321" formatCode="m/d/yyyy">
                  <c:v>45814</c:v>
                </c:pt>
                <c:pt idx="322" formatCode="m/d/yyyy">
                  <c:v>45813</c:v>
                </c:pt>
                <c:pt idx="323" formatCode="m/d/yyyy">
                  <c:v>45812</c:v>
                </c:pt>
                <c:pt idx="324" formatCode="m/d/yyyy">
                  <c:v>45811</c:v>
                </c:pt>
                <c:pt idx="325" formatCode="m/d/yyyy">
                  <c:v>45810</c:v>
                </c:pt>
                <c:pt idx="326" formatCode="m/d/yyyy">
                  <c:v>45807</c:v>
                </c:pt>
                <c:pt idx="327" formatCode="m/d/yyyy">
                  <c:v>45806</c:v>
                </c:pt>
                <c:pt idx="328" formatCode="m/d/yyyy">
                  <c:v>45805</c:v>
                </c:pt>
                <c:pt idx="329" formatCode="m/d/yyyy">
                  <c:v>45804</c:v>
                </c:pt>
                <c:pt idx="330" formatCode="m/d/yyyy">
                  <c:v>45803</c:v>
                </c:pt>
                <c:pt idx="331" formatCode="m/d/yyyy">
                  <c:v>45800</c:v>
                </c:pt>
                <c:pt idx="332" formatCode="m/d/yyyy">
                  <c:v>45799</c:v>
                </c:pt>
                <c:pt idx="333" formatCode="m/d/yyyy">
                  <c:v>45798</c:v>
                </c:pt>
                <c:pt idx="334" formatCode="m/d/yyyy">
                  <c:v>45797</c:v>
                </c:pt>
                <c:pt idx="335" formatCode="m/d/yyyy">
                  <c:v>45796</c:v>
                </c:pt>
                <c:pt idx="336" formatCode="m/d/yyyy">
                  <c:v>45793</c:v>
                </c:pt>
                <c:pt idx="337" formatCode="m/d/yyyy">
                  <c:v>45792</c:v>
                </c:pt>
                <c:pt idx="338" formatCode="m/d/yyyy">
                  <c:v>45791</c:v>
                </c:pt>
                <c:pt idx="339" formatCode="m/d/yyyy">
                  <c:v>45790</c:v>
                </c:pt>
                <c:pt idx="340" formatCode="m/d/yyyy">
                  <c:v>45789</c:v>
                </c:pt>
                <c:pt idx="341" formatCode="m/d/yyyy">
                  <c:v>45786</c:v>
                </c:pt>
                <c:pt idx="342" formatCode="m/d/yyyy">
                  <c:v>45785</c:v>
                </c:pt>
                <c:pt idx="343" formatCode="m/d/yyyy">
                  <c:v>45784</c:v>
                </c:pt>
                <c:pt idx="344" formatCode="m/d/yyyy">
                  <c:v>45783</c:v>
                </c:pt>
                <c:pt idx="345" formatCode="m/d/yyyy">
                  <c:v>45782</c:v>
                </c:pt>
                <c:pt idx="346" formatCode="m/d/yyyy">
                  <c:v>45776</c:v>
                </c:pt>
                <c:pt idx="347" formatCode="m/d/yyyy">
                  <c:v>45775</c:v>
                </c:pt>
                <c:pt idx="348" formatCode="m/d/yyyy">
                  <c:v>45772</c:v>
                </c:pt>
                <c:pt idx="349" formatCode="m/d/yyyy">
                  <c:v>45771</c:v>
                </c:pt>
                <c:pt idx="350" formatCode="m/d/yyyy">
                  <c:v>45770</c:v>
                </c:pt>
                <c:pt idx="351" formatCode="m/d/yyyy">
                  <c:v>45769</c:v>
                </c:pt>
                <c:pt idx="352" formatCode="m/d/yyyy">
                  <c:v>45768</c:v>
                </c:pt>
                <c:pt idx="353" formatCode="m/d/yyyy">
                  <c:v>45765</c:v>
                </c:pt>
                <c:pt idx="354" formatCode="m/d/yyyy">
                  <c:v>45764</c:v>
                </c:pt>
                <c:pt idx="355" formatCode="m/d/yyyy">
                  <c:v>45763</c:v>
                </c:pt>
                <c:pt idx="356" formatCode="m/d/yyyy">
                  <c:v>45762</c:v>
                </c:pt>
                <c:pt idx="357" formatCode="m/d/yyyy">
                  <c:v>45761</c:v>
                </c:pt>
                <c:pt idx="358" formatCode="m/d/yyyy">
                  <c:v>45758</c:v>
                </c:pt>
                <c:pt idx="359" formatCode="m/d/yyyy">
                  <c:v>45757</c:v>
                </c:pt>
                <c:pt idx="360" formatCode="m/d/yyyy">
                  <c:v>45756</c:v>
                </c:pt>
                <c:pt idx="361" formatCode="m/d/yyyy">
                  <c:v>45755</c:v>
                </c:pt>
                <c:pt idx="362" formatCode="m/d/yyyy">
                  <c:v>45751</c:v>
                </c:pt>
                <c:pt idx="363" formatCode="m/d/yyyy">
                  <c:v>45750</c:v>
                </c:pt>
                <c:pt idx="364" formatCode="m/d/yyyy">
                  <c:v>45749</c:v>
                </c:pt>
                <c:pt idx="365" formatCode="m/d/yyyy">
                  <c:v>45748</c:v>
                </c:pt>
                <c:pt idx="366" formatCode="m/d/yyyy">
                  <c:v>45747</c:v>
                </c:pt>
                <c:pt idx="367" formatCode="m/d/yyyy">
                  <c:v>45744</c:v>
                </c:pt>
                <c:pt idx="368" formatCode="m/d/yyyy">
                  <c:v>45743</c:v>
                </c:pt>
                <c:pt idx="369" formatCode="m/d/yyyy">
                  <c:v>45742</c:v>
                </c:pt>
                <c:pt idx="370" formatCode="m/d/yyyy">
                  <c:v>45741</c:v>
                </c:pt>
                <c:pt idx="371" formatCode="m/d/yyyy">
                  <c:v>45740</c:v>
                </c:pt>
                <c:pt idx="372" formatCode="m/d/yyyy">
                  <c:v>45737</c:v>
                </c:pt>
                <c:pt idx="373" formatCode="m/d/yyyy">
                  <c:v>45736</c:v>
                </c:pt>
                <c:pt idx="374" formatCode="m/d/yyyy">
                  <c:v>45735</c:v>
                </c:pt>
                <c:pt idx="375" formatCode="m/d/yyyy">
                  <c:v>45734</c:v>
                </c:pt>
                <c:pt idx="376" formatCode="m/d/yyyy">
                  <c:v>45733</c:v>
                </c:pt>
                <c:pt idx="377" formatCode="m/d/yyyy">
                  <c:v>45730</c:v>
                </c:pt>
                <c:pt idx="378" formatCode="m/d/yyyy">
                  <c:v>45729</c:v>
                </c:pt>
                <c:pt idx="379" formatCode="m/d/yyyy">
                  <c:v>45728</c:v>
                </c:pt>
                <c:pt idx="380" formatCode="m/d/yyyy">
                  <c:v>45727</c:v>
                </c:pt>
                <c:pt idx="381" formatCode="m/d/yyyy">
                  <c:v>45726</c:v>
                </c:pt>
                <c:pt idx="382" formatCode="m/d/yyyy">
                  <c:v>45723</c:v>
                </c:pt>
                <c:pt idx="383" formatCode="m/d/yyyy">
                  <c:v>45722</c:v>
                </c:pt>
                <c:pt idx="384" formatCode="m/d/yyyy">
                  <c:v>45721</c:v>
                </c:pt>
                <c:pt idx="385" formatCode="m/d/yyyy">
                  <c:v>45720</c:v>
                </c:pt>
                <c:pt idx="386" formatCode="m/d/yyyy">
                  <c:v>45719</c:v>
                </c:pt>
                <c:pt idx="387" formatCode="m/d/yyyy">
                  <c:v>45716</c:v>
                </c:pt>
                <c:pt idx="388" formatCode="m/d/yyyy">
                  <c:v>45715</c:v>
                </c:pt>
                <c:pt idx="389" formatCode="m/d/yyyy">
                  <c:v>45714</c:v>
                </c:pt>
                <c:pt idx="390" formatCode="m/d/yyyy">
                  <c:v>45713</c:v>
                </c:pt>
                <c:pt idx="391" formatCode="m/d/yyyy">
                  <c:v>45712</c:v>
                </c:pt>
              </c:numCache>
            </c:numRef>
          </c:cat>
          <c:val>
            <c:numRef>
              <c:f>Sheet1!$AL$2:$AL$393</c:f>
              <c:numCache>
                <c:formatCode>#,##0.00</c:formatCode>
                <c:ptCount val="392"/>
                <c:pt idx="1">
                  <c:v>1339.4362057200874</c:v>
                </c:pt>
                <c:pt idx="2">
                  <c:v>1344.3042351701852</c:v>
                </c:pt>
                <c:pt idx="3">
                  <c:v>1332.7753076914196</c:v>
                </c:pt>
                <c:pt idx="4">
                  <c:v>1332.3641881304502</c:v>
                </c:pt>
                <c:pt idx="5">
                  <c:v>1309.269976240216</c:v>
                </c:pt>
                <c:pt idx="6">
                  <c:v>1313.3961413114114</c:v>
                </c:pt>
                <c:pt idx="7">
                  <c:v>1337.5444865787013</c:v>
                </c:pt>
                <c:pt idx="8">
                  <c:v>1336.4974980871359</c:v>
                </c:pt>
                <c:pt idx="9">
                  <c:v>1335.5339720564423</c:v>
                </c:pt>
                <c:pt idx="10">
                  <c:v>1332.7228277370359</c:v>
                </c:pt>
                <c:pt idx="11">
                  <c:v>1346.7551364605195</c:v>
                </c:pt>
                <c:pt idx="12">
                  <c:v>1343.463730041228</c:v>
                </c:pt>
                <c:pt idx="13">
                  <c:v>1361.8870814025722</c:v>
                </c:pt>
                <c:pt idx="14">
                  <c:v>1360.054247125669</c:v>
                </c:pt>
                <c:pt idx="15">
                  <c:v>1360.8077020320411</c:v>
                </c:pt>
                <c:pt idx="16">
                  <c:v>1345.8279387418745</c:v>
                </c:pt>
                <c:pt idx="17">
                  <c:v>1352.9572126696171</c:v>
                </c:pt>
                <c:pt idx="18">
                  <c:v>1350.4042335277984</c:v>
                </c:pt>
                <c:pt idx="19">
                  <c:v>1326.3059105703414</c:v>
                </c:pt>
                <c:pt idx="20">
                  <c:v>1322.6998992971701</c:v>
                </c:pt>
                <c:pt idx="21">
                  <c:v>1327.6825308124385</c:v>
                </c:pt>
                <c:pt idx="22">
                  <c:v>1328.0498313322137</c:v>
                </c:pt>
                <c:pt idx="23">
                  <c:v>1326.2014996768125</c:v>
                </c:pt>
                <c:pt idx="24">
                  <c:v>1343.2925631357386</c:v>
                </c:pt>
                <c:pt idx="25">
                  <c:v>1354.2650899815599</c:v>
                </c:pt>
                <c:pt idx="26">
                  <c:v>1348.6716668110339</c:v>
                </c:pt>
                <c:pt idx="27">
                  <c:v>1352.8005635418613</c:v>
                </c:pt>
                <c:pt idx="28">
                  <c:v>1331.3155586230312</c:v>
                </c:pt>
                <c:pt idx="29">
                  <c:v>1314.0365668048387</c:v>
                </c:pt>
                <c:pt idx="30">
                  <c:v>1324.2067073572121</c:v>
                </c:pt>
                <c:pt idx="31">
                  <c:v>1328.2771047602234</c:v>
                </c:pt>
                <c:pt idx="32">
                  <c:v>1326.933244617228</c:v>
                </c:pt>
                <c:pt idx="33">
                  <c:v>1298.7100733086327</c:v>
                </c:pt>
                <c:pt idx="34">
                  <c:v>1298.4058848391583</c:v>
                </c:pt>
                <c:pt idx="35">
                  <c:v>1267.9530924200694</c:v>
                </c:pt>
                <c:pt idx="36">
                  <c:v>1261.6338297209145</c:v>
                </c:pt>
                <c:pt idx="37">
                  <c:v>1251.4559584571134</c:v>
                </c:pt>
                <c:pt idx="38">
                  <c:v>1269.6215808096088</c:v>
                </c:pt>
                <c:pt idx="39">
                  <c:v>1279.4953127304589</c:v>
                </c:pt>
                <c:pt idx="40">
                  <c:v>1273.1338610503396</c:v>
                </c:pt>
                <c:pt idx="41">
                  <c:v>1299.9636307055598</c:v>
                </c:pt>
                <c:pt idx="42">
                  <c:v>1307.9712554819143</c:v>
                </c:pt>
                <c:pt idx="43">
                  <c:v>1347.3437294341711</c:v>
                </c:pt>
                <c:pt idx="44">
                  <c:v>1356.2066389381644</c:v>
                </c:pt>
                <c:pt idx="45">
                  <c:v>1349.9413955239042</c:v>
                </c:pt>
                <c:pt idx="46">
                  <c:v>1366.6455030355487</c:v>
                </c:pt>
                <c:pt idx="47">
                  <c:v>1353.9941340548917</c:v>
                </c:pt>
                <c:pt idx="48">
                  <c:v>1375.8721456420913</c:v>
                </c:pt>
                <c:pt idx="49">
                  <c:v>1389.4084750264954</c:v>
                </c:pt>
                <c:pt idx="50">
                  <c:v>1401.3932917116226</c:v>
                </c:pt>
                <c:pt idx="51">
                  <c:v>1396.9702976181004</c:v>
                </c:pt>
                <c:pt idx="52">
                  <c:v>1388.3527663691007</c:v>
                </c:pt>
                <c:pt idx="53">
                  <c:v>1407.8255700244963</c:v>
                </c:pt>
                <c:pt idx="54">
                  <c:v>1412.6824121304098</c:v>
                </c:pt>
                <c:pt idx="55">
                  <c:v>1419.703430227657</c:v>
                </c:pt>
                <c:pt idx="56">
                  <c:v>1404.3859446210467</c:v>
                </c:pt>
                <c:pt idx="57">
                  <c:v>1405.3659446009178</c:v>
                </c:pt>
                <c:pt idx="58">
                  <c:v>1394.0562651842806</c:v>
                </c:pt>
                <c:pt idx="59">
                  <c:v>1395.4117951216369</c:v>
                </c:pt>
                <c:pt idx="60">
                  <c:v>1397.384771043251</c:v>
                </c:pt>
                <c:pt idx="61">
                  <c:v>1394.2159250664752</c:v>
                </c:pt>
                <c:pt idx="62">
                  <c:v>1397.6347965196833</c:v>
                </c:pt>
                <c:pt idx="63">
                  <c:v>1397.3157412472681</c:v>
                </c:pt>
                <c:pt idx="64">
                  <c:v>1403.8399819821489</c:v>
                </c:pt>
                <c:pt idx="65">
                  <c:v>1411.1491742738767</c:v>
                </c:pt>
                <c:pt idx="66">
                  <c:v>1408.0865846217009</c:v>
                </c:pt>
                <c:pt idx="67">
                  <c:v>1402.3991581788341</c:v>
                </c:pt>
                <c:pt idx="68">
                  <c:v>1388.3372540060759</c:v>
                </c:pt>
                <c:pt idx="69">
                  <c:v>1388.0798751013278</c:v>
                </c:pt>
                <c:pt idx="70">
                  <c:v>1390.903725955555</c:v>
                </c:pt>
                <c:pt idx="71">
                  <c:v>1385.7662562203122</c:v>
                </c:pt>
                <c:pt idx="72">
                  <c:v>1379.843684770723</c:v>
                </c:pt>
                <c:pt idx="73">
                  <c:v>1402.334744996012</c:v>
                </c:pt>
                <c:pt idx="74">
                  <c:v>1408.156299293697</c:v>
                </c:pt>
                <c:pt idx="75">
                  <c:v>1401.2560308080654</c:v>
                </c:pt>
                <c:pt idx="76">
                  <c:v>1394.2749360906378</c:v>
                </c:pt>
                <c:pt idx="77">
                  <c:v>1411.1303139732831</c:v>
                </c:pt>
                <c:pt idx="78">
                  <c:v>1415.1741664513297</c:v>
                </c:pt>
                <c:pt idx="79">
                  <c:v>1415.3370373568371</c:v>
                </c:pt>
                <c:pt idx="80">
                  <c:v>1435.564892842229</c:v>
                </c:pt>
                <c:pt idx="81">
                  <c:v>1433.9534318062081</c:v>
                </c:pt>
                <c:pt idx="82">
                  <c:v>1422.0428262570065</c:v>
                </c:pt>
                <c:pt idx="83">
                  <c:v>1422.5509973248618</c:v>
                </c:pt>
                <c:pt idx="84">
                  <c:v>1432.9432568635566</c:v>
                </c:pt>
                <c:pt idx="85">
                  <c:v>1436.5373126088264</c:v>
                </c:pt>
                <c:pt idx="86">
                  <c:v>1441.4039201178562</c:v>
                </c:pt>
                <c:pt idx="87">
                  <c:v>1459.7933218945946</c:v>
                </c:pt>
                <c:pt idx="88">
                  <c:v>1445.4133616196773</c:v>
                </c:pt>
                <c:pt idx="89">
                  <c:v>1446.6048375182104</c:v>
                </c:pt>
                <c:pt idx="90">
                  <c:v>1438.2460481297965</c:v>
                </c:pt>
                <c:pt idx="91">
                  <c:v>1431.6679300315152</c:v>
                </c:pt>
                <c:pt idx="92">
                  <c:v>1424.821703222362</c:v>
                </c:pt>
                <c:pt idx="93">
                  <c:v>1435.1411271529073</c:v>
                </c:pt>
                <c:pt idx="94">
                  <c:v>1433.9248420477991</c:v>
                </c:pt>
                <c:pt idx="95">
                  <c:v>1433.0934578437705</c:v>
                </c:pt>
                <c:pt idx="96">
                  <c:v>1418.0012432409167</c:v>
                </c:pt>
                <c:pt idx="97">
                  <c:v>1419.210761201716</c:v>
                </c:pt>
                <c:pt idx="98">
                  <c:v>1412.9990588726541</c:v>
                </c:pt>
                <c:pt idx="99">
                  <c:v>1412.8947980546689</c:v>
                </c:pt>
                <c:pt idx="100">
                  <c:v>1422.7295555623705</c:v>
                </c:pt>
                <c:pt idx="101">
                  <c:v>1428.2297074899766</c:v>
                </c:pt>
                <c:pt idx="102">
                  <c:v>1425.3573677561728</c:v>
                </c:pt>
                <c:pt idx="103">
                  <c:v>1427.8453371019141</c:v>
                </c:pt>
                <c:pt idx="104">
                  <c:v>1435.8063464850445</c:v>
                </c:pt>
                <c:pt idx="105">
                  <c:v>1430.4455670916207</c:v>
                </c:pt>
                <c:pt idx="106">
                  <c:v>1422.6591357598957</c:v>
                </c:pt>
                <c:pt idx="107">
                  <c:v>1429.7734394310487</c:v>
                </c:pt>
                <c:pt idx="108">
                  <c:v>1432.7506714921947</c:v>
                </c:pt>
                <c:pt idx="109">
                  <c:v>1430.3328742636149</c:v>
                </c:pt>
                <c:pt idx="110">
                  <c:v>1436.1875646726983</c:v>
                </c:pt>
                <c:pt idx="111">
                  <c:v>1426.4921840445845</c:v>
                </c:pt>
                <c:pt idx="112">
                  <c:v>1436.7499783664211</c:v>
                </c:pt>
                <c:pt idx="113">
                  <c:v>1383.0339531240143</c:v>
                </c:pt>
                <c:pt idx="114">
                  <c:v>1381.4389922579371</c:v>
                </c:pt>
                <c:pt idx="115">
                  <c:v>1388.967320047185</c:v>
                </c:pt>
                <c:pt idx="116">
                  <c:v>1402.0696723842771</c:v>
                </c:pt>
                <c:pt idx="117">
                  <c:v>1414.9119120035264</c:v>
                </c:pt>
                <c:pt idx="118">
                  <c:v>1403.575379830226</c:v>
                </c:pt>
                <c:pt idx="119">
                  <c:v>1400.6833017878698</c:v>
                </c:pt>
                <c:pt idx="120">
                  <c:v>1405.9527423793995</c:v>
                </c:pt>
                <c:pt idx="121">
                  <c:v>1384.2271070537658</c:v>
                </c:pt>
                <c:pt idx="122">
                  <c:v>1396.5603463315465</c:v>
                </c:pt>
                <c:pt idx="123">
                  <c:v>1367.065216372059</c:v>
                </c:pt>
                <c:pt idx="124">
                  <c:v>1342.078647401577</c:v>
                </c:pt>
                <c:pt idx="125">
                  <c:v>1380.9745423878701</c:v>
                </c:pt>
                <c:pt idx="126">
                  <c:v>1413.2476328466371</c:v>
                </c:pt>
                <c:pt idx="127">
                  <c:v>1427.7677188626853</c:v>
                </c:pt>
                <c:pt idx="128">
                  <c:v>1424.0745784469946</c:v>
                </c:pt>
                <c:pt idx="129">
                  <c:v>1411.565004649389</c:v>
                </c:pt>
                <c:pt idx="130">
                  <c:v>1415.7864160826659</c:v>
                </c:pt>
                <c:pt idx="131">
                  <c:v>1429.6382141457761</c:v>
                </c:pt>
                <c:pt idx="132">
                  <c:v>1447.7155290094906</c:v>
                </c:pt>
                <c:pt idx="133">
                  <c:v>1410.961717822805</c:v>
                </c:pt>
                <c:pt idx="134">
                  <c:v>1382.4487697286086</c:v>
                </c:pt>
                <c:pt idx="135">
                  <c:v>1471.0644960097986</c:v>
                </c:pt>
                <c:pt idx="136">
                  <c:v>1498.2532869037636</c:v>
                </c:pt>
                <c:pt idx="137">
                  <c:v>1524.3439215774836</c:v>
                </c:pt>
                <c:pt idx="138">
                  <c:v>1519.5642689183237</c:v>
                </c:pt>
                <c:pt idx="139">
                  <c:v>1524.9873784681777</c:v>
                </c:pt>
                <c:pt idx="140">
                  <c:v>1542.9310637836124</c:v>
                </c:pt>
                <c:pt idx="141">
                  <c:v>1548.0076035944744</c:v>
                </c:pt>
                <c:pt idx="142">
                  <c:v>1548.4737107751625</c:v>
                </c:pt>
                <c:pt idx="143">
                  <c:v>1542.2722847350055</c:v>
                </c:pt>
                <c:pt idx="144">
                  <c:v>1535.3372876580916</c:v>
                </c:pt>
                <c:pt idx="145">
                  <c:v>1504.2846220803979</c:v>
                </c:pt>
                <c:pt idx="146">
                  <c:v>1495.9240110473702</c:v>
                </c:pt>
                <c:pt idx="147">
                  <c:v>1497.3623472320876</c:v>
                </c:pt>
                <c:pt idx="148">
                  <c:v>1472.0215955280642</c:v>
                </c:pt>
                <c:pt idx="149">
                  <c:v>1494.2824034501459</c:v>
                </c:pt>
                <c:pt idx="150">
                  <c:v>1494.971537550412</c:v>
                </c:pt>
                <c:pt idx="151">
                  <c:v>1521.922186835983</c:v>
                </c:pt>
                <c:pt idx="152">
                  <c:v>1550.7438639712377</c:v>
                </c:pt>
                <c:pt idx="153">
                  <c:v>1551.9621446978431</c:v>
                </c:pt>
                <c:pt idx="154">
                  <c:v>1544.0300803385278</c:v>
                </c:pt>
                <c:pt idx="155">
                  <c:v>1540.7728073946168</c:v>
                </c:pt>
                <c:pt idx="156">
                  <c:v>1526.1246149650958</c:v>
                </c:pt>
                <c:pt idx="157">
                  <c:v>1517.2403679274162</c:v>
                </c:pt>
                <c:pt idx="158">
                  <c:v>1520.8210245550208</c:v>
                </c:pt>
                <c:pt idx="159">
                  <c:v>1511.4654138935891</c:v>
                </c:pt>
                <c:pt idx="160">
                  <c:v>1525.5396021998654</c:v>
                </c:pt>
                <c:pt idx="161">
                  <c:v>1547.2608965520508</c:v>
                </c:pt>
                <c:pt idx="162">
                  <c:v>1549.2595496913736</c:v>
                </c:pt>
                <c:pt idx="163">
                  <c:v>1556.738013288151</c:v>
                </c:pt>
                <c:pt idx="164">
                  <c:v>1555.04837471683</c:v>
                </c:pt>
                <c:pt idx="165">
                  <c:v>1542.0230074057392</c:v>
                </c:pt>
                <c:pt idx="166">
                  <c:v>1543.1687702775976</c:v>
                </c:pt>
                <c:pt idx="167">
                  <c:v>1555.1788381175058</c:v>
                </c:pt>
                <c:pt idx="168">
                  <c:v>1542.4647866351702</c:v>
                </c:pt>
                <c:pt idx="169">
                  <c:v>1528.2650227900797</c:v>
                </c:pt>
                <c:pt idx="170">
                  <c:v>1488.8179673720094</c:v>
                </c:pt>
                <c:pt idx="171">
                  <c:v>1475.459512294419</c:v>
                </c:pt>
                <c:pt idx="172">
                  <c:v>1464.6570678005291</c:v>
                </c:pt>
                <c:pt idx="173">
                  <c:v>1435.1470706000403</c:v>
                </c:pt>
                <c:pt idx="174">
                  <c:v>1417.6575224839862</c:v>
                </c:pt>
                <c:pt idx="175">
                  <c:v>1430.2467303271922</c:v>
                </c:pt>
                <c:pt idx="176">
                  <c:v>1430.8886073763715</c:v>
                </c:pt>
                <c:pt idx="177">
                  <c:v>1422.7474973880908</c:v>
                </c:pt>
                <c:pt idx="178">
                  <c:v>1413.5321592908485</c:v>
                </c:pt>
                <c:pt idx="179">
                  <c:v>1415.0902991544292</c:v>
                </c:pt>
                <c:pt idx="180">
                  <c:v>1424.9456067208707</c:v>
                </c:pt>
                <c:pt idx="181">
                  <c:v>1421.0608962758033</c:v>
                </c:pt>
                <c:pt idx="182">
                  <c:v>1428.1769646860321</c:v>
                </c:pt>
                <c:pt idx="183">
                  <c:v>1406.5948035721835</c:v>
                </c:pt>
                <c:pt idx="184">
                  <c:v>1397.7360640540412</c:v>
                </c:pt>
                <c:pt idx="185">
                  <c:v>1394.7577067430923</c:v>
                </c:pt>
                <c:pt idx="186">
                  <c:v>1401.6604164820919</c:v>
                </c:pt>
                <c:pt idx="187">
                  <c:v>1373.326830658948</c:v>
                </c:pt>
                <c:pt idx="188">
                  <c:v>1369.2349414935939</c:v>
                </c:pt>
                <c:pt idx="189">
                  <c:v>1407.8606926462426</c:v>
                </c:pt>
                <c:pt idx="190">
                  <c:v>1418.6667164259743</c:v>
                </c:pt>
                <c:pt idx="191">
                  <c:v>1419.7775306603007</c:v>
                </c:pt>
                <c:pt idx="192">
                  <c:v>1434.888809329771</c:v>
                </c:pt>
                <c:pt idx="193">
                  <c:v>1442.9447370337261</c:v>
                </c:pt>
                <c:pt idx="194">
                  <c:v>1457.1945283174723</c:v>
                </c:pt>
                <c:pt idx="195">
                  <c:v>1448.9147749058991</c:v>
                </c:pt>
                <c:pt idx="196">
                  <c:v>1427.5973632991017</c:v>
                </c:pt>
                <c:pt idx="197">
                  <c:v>1418.5473454961523</c:v>
                </c:pt>
                <c:pt idx="198">
                  <c:v>1421.7176138499517</c:v>
                </c:pt>
                <c:pt idx="199">
                  <c:v>1428.724133933626</c:v>
                </c:pt>
                <c:pt idx="200">
                  <c:v>1428.5690619945026</c:v>
                </c:pt>
                <c:pt idx="201">
                  <c:v>1412.3800734014781</c:v>
                </c:pt>
                <c:pt idx="202">
                  <c:v>1423.8670377349872</c:v>
                </c:pt>
                <c:pt idx="203">
                  <c:v>1425.0118733599629</c:v>
                </c:pt>
                <c:pt idx="204">
                  <c:v>1430.0525475723193</c:v>
                </c:pt>
                <c:pt idx="205">
                  <c:v>1430.6200880532206</c:v>
                </c:pt>
                <c:pt idx="206">
                  <c:v>1441.4975730171122</c:v>
                </c:pt>
                <c:pt idx="207">
                  <c:v>1440.5754316240002</c:v>
                </c:pt>
                <c:pt idx="208">
                  <c:v>1427.8602996374088</c:v>
                </c:pt>
                <c:pt idx="209">
                  <c:v>1423.9352044871466</c:v>
                </c:pt>
                <c:pt idx="210">
                  <c:v>1423.02630216127</c:v>
                </c:pt>
                <c:pt idx="211">
                  <c:v>1398.8719252439373</c:v>
                </c:pt>
                <c:pt idx="212">
                  <c:v>1391.6684606939764</c:v>
                </c:pt>
                <c:pt idx="213">
                  <c:v>1403.6862359662177</c:v>
                </c:pt>
                <c:pt idx="214">
                  <c:v>1432.5055531766684</c:v>
                </c:pt>
                <c:pt idx="215">
                  <c:v>1444.6568003040202</c:v>
                </c:pt>
                <c:pt idx="216">
                  <c:v>1445.5053777458866</c:v>
                </c:pt>
                <c:pt idx="217">
                  <c:v>1417.6779360689061</c:v>
                </c:pt>
                <c:pt idx="218">
                  <c:v>1441.8597277192473</c:v>
                </c:pt>
                <c:pt idx="219">
                  <c:v>1455.0869084048234</c:v>
                </c:pt>
                <c:pt idx="220">
                  <c:v>1463.2710331769265</c:v>
                </c:pt>
                <c:pt idx="221">
                  <c:v>1447.1506481137699</c:v>
                </c:pt>
                <c:pt idx="222">
                  <c:v>1424.9238573862694</c:v>
                </c:pt>
                <c:pt idx="223">
                  <c:v>1441.9034549731118</c:v>
                </c:pt>
                <c:pt idx="224">
                  <c:v>1449.144602713654</c:v>
                </c:pt>
                <c:pt idx="225">
                  <c:v>1453.752321826752</c:v>
                </c:pt>
                <c:pt idx="226">
                  <c:v>1442.4318819559842</c:v>
                </c:pt>
                <c:pt idx="227">
                  <c:v>1426.2757126944523</c:v>
                </c:pt>
                <c:pt idx="228">
                  <c:v>1501.6831055007522</c:v>
                </c:pt>
                <c:pt idx="229">
                  <c:v>1521.0902083125602</c:v>
                </c:pt>
                <c:pt idx="230">
                  <c:v>1513.6140065959023</c:v>
                </c:pt>
                <c:pt idx="231">
                  <c:v>1510.169004932357</c:v>
                </c:pt>
                <c:pt idx="232">
                  <c:v>1521.3879439731716</c:v>
                </c:pt>
                <c:pt idx="233">
                  <c:v>1518.3296753886855</c:v>
                </c:pt>
                <c:pt idx="234">
                  <c:v>1507.905999329033</c:v>
                </c:pt>
                <c:pt idx="235">
                  <c:v>1498.7534745634953</c:v>
                </c:pt>
                <c:pt idx="236">
                  <c:v>1489.3843571101856</c:v>
                </c:pt>
                <c:pt idx="237">
                  <c:v>1502.5458585385061</c:v>
                </c:pt>
                <c:pt idx="238">
                  <c:v>1459.8596305438805</c:v>
                </c:pt>
                <c:pt idx="239">
                  <c:v>1473.3634978955652</c:v>
                </c:pt>
                <c:pt idx="240">
                  <c:v>1483.4367342189169</c:v>
                </c:pt>
                <c:pt idx="241">
                  <c:v>1474.5774038845734</c:v>
                </c:pt>
                <c:pt idx="242">
                  <c:v>1483.4482150278427</c:v>
                </c:pt>
                <c:pt idx="243">
                  <c:v>1488.4727651781184</c:v>
                </c:pt>
                <c:pt idx="244">
                  <c:v>1498.7648216127022</c:v>
                </c:pt>
                <c:pt idx="245">
                  <c:v>1499.7680916812699</c:v>
                </c:pt>
                <c:pt idx="246">
                  <c:v>1477.0524743872677</c:v>
                </c:pt>
                <c:pt idx="247">
                  <c:v>1475.5776738445638</c:v>
                </c:pt>
                <c:pt idx="248">
                  <c:v>1493.4921853604526</c:v>
                </c:pt>
                <c:pt idx="249">
                  <c:v>1505.2488045553671</c:v>
                </c:pt>
                <c:pt idx="250">
                  <c:v>1513.1748196207932</c:v>
                </c:pt>
                <c:pt idx="251">
                  <c:v>1530.3394678724537</c:v>
                </c:pt>
                <c:pt idx="252">
                  <c:v>1530.0679224562289</c:v>
                </c:pt>
                <c:pt idx="253">
                  <c:v>1511.4257132895088</c:v>
                </c:pt>
                <c:pt idx="254">
                  <c:v>1502.9555007953575</c:v>
                </c:pt>
                <c:pt idx="255">
                  <c:v>1497.1651815644186</c:v>
                </c:pt>
                <c:pt idx="256">
                  <c:v>1493.2771821678286</c:v>
                </c:pt>
                <c:pt idx="257">
                  <c:v>1485.5584714306215</c:v>
                </c:pt>
                <c:pt idx="258">
                  <c:v>1527.9570067857214</c:v>
                </c:pt>
                <c:pt idx="259">
                  <c:v>1555.2170537816662</c:v>
                </c:pt>
                <c:pt idx="260">
                  <c:v>1539.8845131433054</c:v>
                </c:pt>
                <c:pt idx="261">
                  <c:v>1536.013710316241</c:v>
                </c:pt>
                <c:pt idx="262">
                  <c:v>1532.8075124072404</c:v>
                </c:pt>
                <c:pt idx="263">
                  <c:v>1523.0873461825981</c:v>
                </c:pt>
                <c:pt idx="264">
                  <c:v>1513.8817178986633</c:v>
                </c:pt>
                <c:pt idx="265">
                  <c:v>1471.1827230701733</c:v>
                </c:pt>
                <c:pt idx="266">
                  <c:v>1509.0548348700981</c:v>
                </c:pt>
                <c:pt idx="267">
                  <c:v>1548.9168775240414</c:v>
                </c:pt>
                <c:pt idx="268">
                  <c:v>1526.7053769574868</c:v>
                </c:pt>
                <c:pt idx="269">
                  <c:v>1526.723230570854</c:v>
                </c:pt>
                <c:pt idx="270">
                  <c:v>1508.8517520944692</c:v>
                </c:pt>
                <c:pt idx="271">
                  <c:v>1501.6635746289751</c:v>
                </c:pt>
                <c:pt idx="272">
                  <c:v>1512.5689134556837</c:v>
                </c:pt>
                <c:pt idx="273">
                  <c:v>1486.4406005035357</c:v>
                </c:pt>
                <c:pt idx="274">
                  <c:v>1483.2124837399142</c:v>
                </c:pt>
                <c:pt idx="275">
                  <c:v>1471.4299381506232</c:v>
                </c:pt>
                <c:pt idx="276">
                  <c:v>1456.6160565969296</c:v>
                </c:pt>
                <c:pt idx="277">
                  <c:v>1454.4189538443939</c:v>
                </c:pt>
                <c:pt idx="278">
                  <c:v>1441.057591455477</c:v>
                </c:pt>
                <c:pt idx="279">
                  <c:v>1416.7340849089499</c:v>
                </c:pt>
                <c:pt idx="280">
                  <c:v>1407.5156642348875</c:v>
                </c:pt>
                <c:pt idx="281">
                  <c:v>1384.733117330233</c:v>
                </c:pt>
                <c:pt idx="282">
                  <c:v>1390.4709395061484</c:v>
                </c:pt>
                <c:pt idx="283">
                  <c:v>1389.5294497121888</c:v>
                </c:pt>
                <c:pt idx="284">
                  <c:v>1371.2223173310435</c:v>
                </c:pt>
                <c:pt idx="285">
                  <c:v>1428.2750784783293</c:v>
                </c:pt>
                <c:pt idx="286">
                  <c:v>1405.170268954404</c:v>
                </c:pt>
                <c:pt idx="287">
                  <c:v>1394.6704010456647</c:v>
                </c:pt>
                <c:pt idx="288">
                  <c:v>1386.8631594496062</c:v>
                </c:pt>
                <c:pt idx="289">
                  <c:v>1378.2479505582774</c:v>
                </c:pt>
                <c:pt idx="290">
                  <c:v>1362.2975227831635</c:v>
                </c:pt>
                <c:pt idx="291">
                  <c:v>1363.7467522459933</c:v>
                </c:pt>
                <c:pt idx="292">
                  <c:v>1355.3823362620385</c:v>
                </c:pt>
                <c:pt idx="293">
                  <c:v>1350.8418829609673</c:v>
                </c:pt>
                <c:pt idx="294">
                  <c:v>1341.8025480738645</c:v>
                </c:pt>
                <c:pt idx="295">
                  <c:v>1348.5600919725603</c:v>
                </c:pt>
                <c:pt idx="296">
                  <c:v>1341.2726039091306</c:v>
                </c:pt>
                <c:pt idx="297">
                  <c:v>1336.1520814985399</c:v>
                </c:pt>
                <c:pt idx="298">
                  <c:v>1332.4151591085467</c:v>
                </c:pt>
                <c:pt idx="299">
                  <c:v>1321.0778349215964</c:v>
                </c:pt>
                <c:pt idx="300">
                  <c:v>1310.2999993569804</c:v>
                </c:pt>
                <c:pt idx="301">
                  <c:v>1297.2326943060004</c:v>
                </c:pt>
                <c:pt idx="302">
                  <c:v>1289.677110606465</c:v>
                </c:pt>
                <c:pt idx="303">
                  <c:v>1291.5056239919386</c:v>
                </c:pt>
                <c:pt idx="304">
                  <c:v>1284.5026053641857</c:v>
                </c:pt>
                <c:pt idx="305">
                  <c:v>1282.4298025104947</c:v>
                </c:pt>
                <c:pt idx="306">
                  <c:v>1277.5229085672038</c:v>
                </c:pt>
                <c:pt idx="307">
                  <c:v>1273.3111881919219</c:v>
                </c:pt>
                <c:pt idx="308">
                  <c:v>1271.7857297032783</c:v>
                </c:pt>
                <c:pt idx="309">
                  <c:v>1272.2467160113968</c:v>
                </c:pt>
                <c:pt idx="310">
                  <c:v>1269.6008092741899</c:v>
                </c:pt>
                <c:pt idx="311">
                  <c:v>1270.2374834779305</c:v>
                </c:pt>
                <c:pt idx="312">
                  <c:v>1268.8356511504526</c:v>
                </c:pt>
                <c:pt idx="313">
                  <c:v>1265.1429968932146</c:v>
                </c:pt>
                <c:pt idx="314">
                  <c:v>1267.5844357129604</c:v>
                </c:pt>
                <c:pt idx="315">
                  <c:v>1262.7649961087156</c:v>
                </c:pt>
                <c:pt idx="316">
                  <c:v>1241.4943249614616</c:v>
                </c:pt>
                <c:pt idx="317">
                  <c:v>1245.9642179917082</c:v>
                </c:pt>
                <c:pt idx="318">
                  <c:v>1232.6651501079784</c:v>
                </c:pt>
                <c:pt idx="319">
                  <c:v>1232.6496899043966</c:v>
                </c:pt>
                <c:pt idx="320">
                  <c:v>1229.5756815770562</c:v>
                </c:pt>
                <c:pt idx="321">
                  <c:v>1237.3630135719302</c:v>
                </c:pt>
                <c:pt idx="322">
                  <c:v>1247.6436939242101</c:v>
                </c:pt>
                <c:pt idx="323">
                  <c:v>1251.027804599333</c:v>
                </c:pt>
                <c:pt idx="324">
                  <c:v>1252.5064948712263</c:v>
                </c:pt>
                <c:pt idx="325">
                  <c:v>1242.1133657048008</c:v>
                </c:pt>
                <c:pt idx="326">
                  <c:v>1236.434418273941</c:v>
                </c:pt>
                <c:pt idx="327">
                  <c:v>1247.7391015847656</c:v>
                </c:pt>
                <c:pt idx="328">
                  <c:v>1249.6076053322624</c:v>
                </c:pt>
                <c:pt idx="329">
                  <c:v>1252.1856833065581</c:v>
                </c:pt>
                <c:pt idx="330">
                  <c:v>1244.375965727301</c:v>
                </c:pt>
                <c:pt idx="331">
                  <c:v>1231.9501236166682</c:v>
                </c:pt>
                <c:pt idx="332">
                  <c:v>1231.8935075985269</c:v>
                </c:pt>
                <c:pt idx="333">
                  <c:v>1238.2620606762619</c:v>
                </c:pt>
                <c:pt idx="334">
                  <c:v>1235.696931839582</c:v>
                </c:pt>
                <c:pt idx="335">
                  <c:v>1227.1073016447681</c:v>
                </c:pt>
                <c:pt idx="336">
                  <c:v>1236.9203216874762</c:v>
                </c:pt>
                <c:pt idx="337">
                  <c:v>1250.4711537645335</c:v>
                </c:pt>
                <c:pt idx="338">
                  <c:v>1247.0454426822412</c:v>
                </c:pt>
                <c:pt idx="339">
                  <c:v>1231.5077521531821</c:v>
                </c:pt>
                <c:pt idx="340">
                  <c:v>1221.1713559363841</c:v>
                </c:pt>
                <c:pt idx="341">
                  <c:v>1208.2377469720154</c:v>
                </c:pt>
                <c:pt idx="342">
                  <c:v>1208.90532520542</c:v>
                </c:pt>
                <c:pt idx="343">
                  <c:v>1194.3992914181163</c:v>
                </c:pt>
                <c:pt idx="344">
                  <c:v>1189.7220280263102</c:v>
                </c:pt>
                <c:pt idx="345">
                  <c:v>1188.2805143182904</c:v>
                </c:pt>
                <c:pt idx="346">
                  <c:v>1179.4993254252568</c:v>
                </c:pt>
                <c:pt idx="347">
                  <c:v>1180.2001751301195</c:v>
                </c:pt>
                <c:pt idx="348">
                  <c:v>1179.9724240395817</c:v>
                </c:pt>
                <c:pt idx="349">
                  <c:v>1179.1096353221023</c:v>
                </c:pt>
                <c:pt idx="350">
                  <c:v>1173.6291120393162</c:v>
                </c:pt>
                <c:pt idx="351">
                  <c:v>1161.1105100035804</c:v>
                </c:pt>
                <c:pt idx="352">
                  <c:v>1171.3291879390185</c:v>
                </c:pt>
                <c:pt idx="353">
                  <c:v>1179.1668731681307</c:v>
                </c:pt>
                <c:pt idx="354">
                  <c:v>1171.0390964048922</c:v>
                </c:pt>
                <c:pt idx="355">
                  <c:v>1167.222975315168</c:v>
                </c:pt>
                <c:pt idx="356">
                  <c:v>1181.4027621729974</c:v>
                </c:pt>
                <c:pt idx="357">
                  <c:v>1196.172041159457</c:v>
                </c:pt>
                <c:pt idx="358">
                  <c:v>1185.4422458606034</c:v>
                </c:pt>
                <c:pt idx="359">
                  <c:v>1136.9222449946044</c:v>
                </c:pt>
                <c:pt idx="360">
                  <c:v>1070.3800768664607</c:v>
                </c:pt>
                <c:pt idx="361">
                  <c:v>1112.3576988502227</c:v>
                </c:pt>
                <c:pt idx="362">
                  <c:v>1183.3535652276041</c:v>
                </c:pt>
                <c:pt idx="363">
                  <c:v>1205.4576761735498</c:v>
                </c:pt>
                <c:pt idx="364">
                  <c:v>1285.1996035390998</c:v>
                </c:pt>
                <c:pt idx="365">
                  <c:v>1285.4222830338663</c:v>
                </c:pt>
                <c:pt idx="366">
                  <c:v>1278.6440555379859</c:v>
                </c:pt>
                <c:pt idx="367">
                  <c:v>1289.1519151223824</c:v>
                </c:pt>
                <c:pt idx="368">
                  <c:v>1296.2448013997059</c:v>
                </c:pt>
                <c:pt idx="369">
                  <c:v>1298.1578351202463</c:v>
                </c:pt>
                <c:pt idx="370">
                  <c:v>1304.1611196235656</c:v>
                </c:pt>
                <c:pt idx="371">
                  <c:v>1303.2951542321002</c:v>
                </c:pt>
                <c:pt idx="372">
                  <c:v>1304.6437174900893</c:v>
                </c:pt>
                <c:pt idx="373">
                  <c:v>1305.9810974018008</c:v>
                </c:pt>
                <c:pt idx="374">
                  <c:v>1306.2873794215629</c:v>
                </c:pt>
                <c:pt idx="375">
                  <c:v>1313.2264247957589</c:v>
                </c:pt>
                <c:pt idx="376">
                  <c:v>1317.15498740003</c:v>
                </c:pt>
                <c:pt idx="377">
                  <c:v>1306.8276850811178</c:v>
                </c:pt>
                <c:pt idx="378">
                  <c:v>1307.7519934444829</c:v>
                </c:pt>
                <c:pt idx="379">
                  <c:v>1320.0249923047763</c:v>
                </c:pt>
                <c:pt idx="380">
                  <c:v>1320.3698442983382</c:v>
                </c:pt>
                <c:pt idx="381">
                  <c:v>1318.2794858278264</c:v>
                </c:pt>
                <c:pt idx="382">
                  <c:v>1316.2539385012121</c:v>
                </c:pt>
                <c:pt idx="383">
                  <c:v>1312.6466415727427</c:v>
                </c:pt>
                <c:pt idx="384">
                  <c:v>1300.1687644257756</c:v>
                </c:pt>
                <c:pt idx="385">
                  <c:v>1308.310833656197</c:v>
                </c:pt>
                <c:pt idx="386">
                  <c:v>1305.186392158955</c:v>
                </c:pt>
                <c:pt idx="387">
                  <c:v>1303.4499906606945</c:v>
                </c:pt>
                <c:pt idx="388">
                  <c:v>1306.2844376773037</c:v>
                </c:pt>
                <c:pt idx="389">
                  <c:v>1301.8624971203287</c:v>
                </c:pt>
                <c:pt idx="390">
                  <c:v>1302.2339290400248</c:v>
                </c:pt>
                <c:pt idx="391">
                  <c:v>1304.1639060912512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0A-4F60-9C2F-EEAC080E0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324447"/>
        <c:axId val="390324927"/>
      </c:lineChart>
      <c:dateAx>
        <c:axId val="3903244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24927"/>
        <c:crosses val="autoZero"/>
        <c:auto val="1"/>
        <c:lblOffset val="100"/>
        <c:baseTimeUnit val="days"/>
      </c:dateAx>
      <c:valAx>
        <c:axId val="390324927"/>
        <c:scaling>
          <c:orientation val="minMax"/>
          <c:min val="11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24447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Sheet1!$AM$1</c:f>
              <c:strCache>
                <c:ptCount val="1"/>
                <c:pt idx="0">
                  <c:v>Rolling std (20)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Sheet1!$A$2:$A$393</c:f>
              <c:numCache>
                <c:formatCode>mm/dd/yyyy</c:formatCode>
                <c:ptCount val="392"/>
                <c:pt idx="1">
                  <c:v>46283</c:v>
                </c:pt>
                <c:pt idx="2">
                  <c:v>46282</c:v>
                </c:pt>
                <c:pt idx="3">
                  <c:v>46281</c:v>
                </c:pt>
                <c:pt idx="4">
                  <c:v>46280</c:v>
                </c:pt>
                <c:pt idx="5">
                  <c:v>46279</c:v>
                </c:pt>
                <c:pt idx="6">
                  <c:v>46276</c:v>
                </c:pt>
                <c:pt idx="7">
                  <c:v>46275</c:v>
                </c:pt>
                <c:pt idx="8">
                  <c:v>46274</c:v>
                </c:pt>
                <c:pt idx="9">
                  <c:v>46273</c:v>
                </c:pt>
                <c:pt idx="10">
                  <c:v>46272</c:v>
                </c:pt>
                <c:pt idx="11">
                  <c:v>46269</c:v>
                </c:pt>
                <c:pt idx="12">
                  <c:v>46268</c:v>
                </c:pt>
                <c:pt idx="13">
                  <c:v>46262</c:v>
                </c:pt>
                <c:pt idx="14">
                  <c:v>46261</c:v>
                </c:pt>
                <c:pt idx="15">
                  <c:v>46260</c:v>
                </c:pt>
                <c:pt idx="16">
                  <c:v>46259</c:v>
                </c:pt>
                <c:pt idx="17">
                  <c:v>46258</c:v>
                </c:pt>
                <c:pt idx="18">
                  <c:v>46255</c:v>
                </c:pt>
                <c:pt idx="19">
                  <c:v>46254</c:v>
                </c:pt>
                <c:pt idx="20">
                  <c:v>46253</c:v>
                </c:pt>
                <c:pt idx="21">
                  <c:v>46252</c:v>
                </c:pt>
                <c:pt idx="22">
                  <c:v>46251</c:v>
                </c:pt>
                <c:pt idx="23">
                  <c:v>46248</c:v>
                </c:pt>
                <c:pt idx="24">
                  <c:v>46247</c:v>
                </c:pt>
                <c:pt idx="25">
                  <c:v>46246</c:v>
                </c:pt>
                <c:pt idx="26">
                  <c:v>46245</c:v>
                </c:pt>
                <c:pt idx="27">
                  <c:v>46244</c:v>
                </c:pt>
                <c:pt idx="28">
                  <c:v>46241</c:v>
                </c:pt>
                <c:pt idx="29">
                  <c:v>46240</c:v>
                </c:pt>
                <c:pt idx="30">
                  <c:v>46239</c:v>
                </c:pt>
                <c:pt idx="31">
                  <c:v>46238</c:v>
                </c:pt>
                <c:pt idx="32">
                  <c:v>46237</c:v>
                </c:pt>
                <c:pt idx="33">
                  <c:v>46234</c:v>
                </c:pt>
                <c:pt idx="34">
                  <c:v>46233</c:v>
                </c:pt>
                <c:pt idx="35">
                  <c:v>46232</c:v>
                </c:pt>
                <c:pt idx="36">
                  <c:v>46231</c:v>
                </c:pt>
                <c:pt idx="37">
                  <c:v>46230</c:v>
                </c:pt>
                <c:pt idx="38">
                  <c:v>46227</c:v>
                </c:pt>
                <c:pt idx="39">
                  <c:v>46226</c:v>
                </c:pt>
                <c:pt idx="40">
                  <c:v>46225</c:v>
                </c:pt>
                <c:pt idx="41">
                  <c:v>46224</c:v>
                </c:pt>
                <c:pt idx="42">
                  <c:v>46223</c:v>
                </c:pt>
                <c:pt idx="43">
                  <c:v>46220</c:v>
                </c:pt>
                <c:pt idx="44">
                  <c:v>46219</c:v>
                </c:pt>
                <c:pt idx="45">
                  <c:v>46218</c:v>
                </c:pt>
                <c:pt idx="46">
                  <c:v>46217</c:v>
                </c:pt>
                <c:pt idx="47">
                  <c:v>46216</c:v>
                </c:pt>
                <c:pt idx="48">
                  <c:v>46213</c:v>
                </c:pt>
                <c:pt idx="49">
                  <c:v>46212</c:v>
                </c:pt>
                <c:pt idx="50">
                  <c:v>46211</c:v>
                </c:pt>
                <c:pt idx="51">
                  <c:v>46210</c:v>
                </c:pt>
                <c:pt idx="52">
                  <c:v>46209</c:v>
                </c:pt>
                <c:pt idx="53">
                  <c:v>46206</c:v>
                </c:pt>
                <c:pt idx="54">
                  <c:v>46205</c:v>
                </c:pt>
                <c:pt idx="55">
                  <c:v>46204</c:v>
                </c:pt>
                <c:pt idx="56">
                  <c:v>46203</c:v>
                </c:pt>
                <c:pt idx="57">
                  <c:v>46202</c:v>
                </c:pt>
                <c:pt idx="58">
                  <c:v>46199</c:v>
                </c:pt>
                <c:pt idx="59">
                  <c:v>46198</c:v>
                </c:pt>
                <c:pt idx="60">
                  <c:v>46197</c:v>
                </c:pt>
                <c:pt idx="61">
                  <c:v>46196</c:v>
                </c:pt>
                <c:pt idx="62">
                  <c:v>46195</c:v>
                </c:pt>
                <c:pt idx="63">
                  <c:v>46192</c:v>
                </c:pt>
                <c:pt idx="64">
                  <c:v>46191</c:v>
                </c:pt>
                <c:pt idx="65">
                  <c:v>46190</c:v>
                </c:pt>
                <c:pt idx="66">
                  <c:v>46189</c:v>
                </c:pt>
                <c:pt idx="67">
                  <c:v>46188</c:v>
                </c:pt>
                <c:pt idx="68">
                  <c:v>46185</c:v>
                </c:pt>
                <c:pt idx="69">
                  <c:v>46184</c:v>
                </c:pt>
                <c:pt idx="70">
                  <c:v>46183</c:v>
                </c:pt>
                <c:pt idx="71">
                  <c:v>46182</c:v>
                </c:pt>
                <c:pt idx="72">
                  <c:v>46181</c:v>
                </c:pt>
                <c:pt idx="73">
                  <c:v>46178</c:v>
                </c:pt>
                <c:pt idx="74">
                  <c:v>46177</c:v>
                </c:pt>
                <c:pt idx="75">
                  <c:v>46176</c:v>
                </c:pt>
                <c:pt idx="76">
                  <c:v>46175</c:v>
                </c:pt>
                <c:pt idx="77">
                  <c:v>46174</c:v>
                </c:pt>
                <c:pt idx="78">
                  <c:v>46171</c:v>
                </c:pt>
                <c:pt idx="79">
                  <c:v>46170</c:v>
                </c:pt>
                <c:pt idx="80">
                  <c:v>46169</c:v>
                </c:pt>
                <c:pt idx="81">
                  <c:v>46168</c:v>
                </c:pt>
                <c:pt idx="82">
                  <c:v>46167</c:v>
                </c:pt>
                <c:pt idx="83">
                  <c:v>46164</c:v>
                </c:pt>
                <c:pt idx="84">
                  <c:v>46163</c:v>
                </c:pt>
                <c:pt idx="85">
                  <c:v>46162</c:v>
                </c:pt>
                <c:pt idx="86">
                  <c:v>46161</c:v>
                </c:pt>
                <c:pt idx="87">
                  <c:v>46160</c:v>
                </c:pt>
                <c:pt idx="88">
                  <c:v>46157</c:v>
                </c:pt>
                <c:pt idx="89">
                  <c:v>46156</c:v>
                </c:pt>
                <c:pt idx="90">
                  <c:v>46155</c:v>
                </c:pt>
                <c:pt idx="91">
                  <c:v>46154</c:v>
                </c:pt>
                <c:pt idx="92">
                  <c:v>46153</c:v>
                </c:pt>
                <c:pt idx="93">
                  <c:v>46150</c:v>
                </c:pt>
                <c:pt idx="94">
                  <c:v>46149</c:v>
                </c:pt>
                <c:pt idx="95">
                  <c:v>46148</c:v>
                </c:pt>
                <c:pt idx="96">
                  <c:v>46147</c:v>
                </c:pt>
                <c:pt idx="97">
                  <c:v>46146</c:v>
                </c:pt>
                <c:pt idx="98">
                  <c:v>46141</c:v>
                </c:pt>
                <c:pt idx="99">
                  <c:v>46140</c:v>
                </c:pt>
                <c:pt idx="100">
                  <c:v>46136</c:v>
                </c:pt>
                <c:pt idx="101">
                  <c:v>46135</c:v>
                </c:pt>
                <c:pt idx="102">
                  <c:v>46134</c:v>
                </c:pt>
                <c:pt idx="103">
                  <c:v>46133</c:v>
                </c:pt>
                <c:pt idx="104">
                  <c:v>46132</c:v>
                </c:pt>
                <c:pt idx="105">
                  <c:v>46129</c:v>
                </c:pt>
                <c:pt idx="106">
                  <c:v>46128</c:v>
                </c:pt>
                <c:pt idx="107">
                  <c:v>46127</c:v>
                </c:pt>
                <c:pt idx="108">
                  <c:v>46126</c:v>
                </c:pt>
                <c:pt idx="109">
                  <c:v>46125</c:v>
                </c:pt>
                <c:pt idx="110">
                  <c:v>46122</c:v>
                </c:pt>
                <c:pt idx="111">
                  <c:v>46121</c:v>
                </c:pt>
                <c:pt idx="112">
                  <c:v>46120</c:v>
                </c:pt>
                <c:pt idx="113">
                  <c:v>46119</c:v>
                </c:pt>
                <c:pt idx="114">
                  <c:v>46118</c:v>
                </c:pt>
                <c:pt idx="115">
                  <c:v>46115</c:v>
                </c:pt>
                <c:pt idx="116">
                  <c:v>46114</c:v>
                </c:pt>
                <c:pt idx="117">
                  <c:v>46113</c:v>
                </c:pt>
                <c:pt idx="118">
                  <c:v>46112</c:v>
                </c:pt>
                <c:pt idx="119">
                  <c:v>46111</c:v>
                </c:pt>
                <c:pt idx="120">
                  <c:v>46108</c:v>
                </c:pt>
                <c:pt idx="121">
                  <c:v>46107</c:v>
                </c:pt>
                <c:pt idx="122">
                  <c:v>46106</c:v>
                </c:pt>
                <c:pt idx="123">
                  <c:v>46105</c:v>
                </c:pt>
                <c:pt idx="124">
                  <c:v>46104</c:v>
                </c:pt>
                <c:pt idx="125">
                  <c:v>46101</c:v>
                </c:pt>
                <c:pt idx="126">
                  <c:v>46100</c:v>
                </c:pt>
                <c:pt idx="127">
                  <c:v>46099</c:v>
                </c:pt>
                <c:pt idx="128">
                  <c:v>46098</c:v>
                </c:pt>
                <c:pt idx="129">
                  <c:v>46097</c:v>
                </c:pt>
                <c:pt idx="130">
                  <c:v>46094</c:v>
                </c:pt>
                <c:pt idx="131">
                  <c:v>46093</c:v>
                </c:pt>
                <c:pt idx="132">
                  <c:v>46092</c:v>
                </c:pt>
                <c:pt idx="133">
                  <c:v>46091</c:v>
                </c:pt>
                <c:pt idx="134">
                  <c:v>46090</c:v>
                </c:pt>
                <c:pt idx="135">
                  <c:v>46087</c:v>
                </c:pt>
                <c:pt idx="136">
                  <c:v>46086</c:v>
                </c:pt>
                <c:pt idx="137">
                  <c:v>46085</c:v>
                </c:pt>
                <c:pt idx="138">
                  <c:v>46084</c:v>
                </c:pt>
                <c:pt idx="139">
                  <c:v>46083</c:v>
                </c:pt>
                <c:pt idx="140">
                  <c:v>46080</c:v>
                </c:pt>
                <c:pt idx="141">
                  <c:v>46079</c:v>
                </c:pt>
                <c:pt idx="142">
                  <c:v>46078</c:v>
                </c:pt>
                <c:pt idx="143">
                  <c:v>46077</c:v>
                </c:pt>
                <c:pt idx="144">
                  <c:v>46076</c:v>
                </c:pt>
                <c:pt idx="145">
                  <c:v>46066</c:v>
                </c:pt>
                <c:pt idx="146">
                  <c:v>46065</c:v>
                </c:pt>
                <c:pt idx="147">
                  <c:v>46064</c:v>
                </c:pt>
                <c:pt idx="148">
                  <c:v>46063</c:v>
                </c:pt>
                <c:pt idx="149">
                  <c:v>46062</c:v>
                </c:pt>
                <c:pt idx="150">
                  <c:v>46059</c:v>
                </c:pt>
                <c:pt idx="151">
                  <c:v>46058</c:v>
                </c:pt>
                <c:pt idx="152">
                  <c:v>46057</c:v>
                </c:pt>
                <c:pt idx="153">
                  <c:v>46056</c:v>
                </c:pt>
                <c:pt idx="154">
                  <c:v>46055</c:v>
                </c:pt>
                <c:pt idx="155">
                  <c:v>46052</c:v>
                </c:pt>
                <c:pt idx="156">
                  <c:v>46051</c:v>
                </c:pt>
                <c:pt idx="157">
                  <c:v>46050</c:v>
                </c:pt>
                <c:pt idx="158">
                  <c:v>46049</c:v>
                </c:pt>
                <c:pt idx="159">
                  <c:v>46048</c:v>
                </c:pt>
                <c:pt idx="160">
                  <c:v>46045</c:v>
                </c:pt>
                <c:pt idx="161">
                  <c:v>46044</c:v>
                </c:pt>
                <c:pt idx="162">
                  <c:v>46043</c:v>
                </c:pt>
                <c:pt idx="163">
                  <c:v>46042</c:v>
                </c:pt>
                <c:pt idx="164">
                  <c:v>46041</c:v>
                </c:pt>
                <c:pt idx="165">
                  <c:v>46038</c:v>
                </c:pt>
                <c:pt idx="166">
                  <c:v>46037</c:v>
                </c:pt>
                <c:pt idx="167">
                  <c:v>46036</c:v>
                </c:pt>
                <c:pt idx="168">
                  <c:v>46035</c:v>
                </c:pt>
                <c:pt idx="169">
                  <c:v>46034</c:v>
                </c:pt>
                <c:pt idx="170">
                  <c:v>46031</c:v>
                </c:pt>
                <c:pt idx="171">
                  <c:v>46030</c:v>
                </c:pt>
                <c:pt idx="172">
                  <c:v>46029</c:v>
                </c:pt>
                <c:pt idx="173">
                  <c:v>46028</c:v>
                </c:pt>
                <c:pt idx="174">
                  <c:v>46027</c:v>
                </c:pt>
                <c:pt idx="175" formatCode="m/d/yyyy">
                  <c:v>46022</c:v>
                </c:pt>
                <c:pt idx="176" formatCode="m/d/yyyy">
                  <c:v>46021</c:v>
                </c:pt>
                <c:pt idx="177" formatCode="m/d/yyyy">
                  <c:v>46020</c:v>
                </c:pt>
                <c:pt idx="178" formatCode="m/d/yyyy">
                  <c:v>46017</c:v>
                </c:pt>
                <c:pt idx="179" formatCode="m/d/yyyy">
                  <c:v>46016</c:v>
                </c:pt>
                <c:pt idx="180" formatCode="m/d/yyyy">
                  <c:v>46015</c:v>
                </c:pt>
                <c:pt idx="181" formatCode="m/d/yyyy">
                  <c:v>46014</c:v>
                </c:pt>
                <c:pt idx="182" formatCode="m/d/yyyy">
                  <c:v>46013</c:v>
                </c:pt>
                <c:pt idx="183" formatCode="m/d/yyyy">
                  <c:v>46010</c:v>
                </c:pt>
                <c:pt idx="184" formatCode="m/d/yyyy">
                  <c:v>46009</c:v>
                </c:pt>
                <c:pt idx="185" formatCode="m/d/yyyy">
                  <c:v>46008</c:v>
                </c:pt>
                <c:pt idx="186" formatCode="m/d/yyyy">
                  <c:v>46007</c:v>
                </c:pt>
                <c:pt idx="187" formatCode="m/d/yyyy">
                  <c:v>46006</c:v>
                </c:pt>
                <c:pt idx="188" formatCode="m/d/yyyy">
                  <c:v>46003</c:v>
                </c:pt>
                <c:pt idx="189" formatCode="m/d/yyyy">
                  <c:v>46002</c:v>
                </c:pt>
                <c:pt idx="190" formatCode="m/d/yyyy">
                  <c:v>46001</c:v>
                </c:pt>
                <c:pt idx="191" formatCode="m/d/yyyy">
                  <c:v>46000</c:v>
                </c:pt>
                <c:pt idx="192" formatCode="m/d/yyyy">
                  <c:v>45999</c:v>
                </c:pt>
                <c:pt idx="193" formatCode="m/d/yyyy">
                  <c:v>45996</c:v>
                </c:pt>
                <c:pt idx="194" formatCode="m/d/yyyy">
                  <c:v>45995</c:v>
                </c:pt>
                <c:pt idx="195" formatCode="m/d/yyyy">
                  <c:v>45994</c:v>
                </c:pt>
                <c:pt idx="196" formatCode="m/d/yyyy">
                  <c:v>45993</c:v>
                </c:pt>
                <c:pt idx="197" formatCode="m/d/yyyy">
                  <c:v>45992</c:v>
                </c:pt>
                <c:pt idx="198" formatCode="m/d/yyyy">
                  <c:v>45989</c:v>
                </c:pt>
                <c:pt idx="199" formatCode="m/d/yyyy">
                  <c:v>45988</c:v>
                </c:pt>
                <c:pt idx="200" formatCode="m/d/yyyy">
                  <c:v>45987</c:v>
                </c:pt>
                <c:pt idx="201" formatCode="m/d/yyyy">
                  <c:v>45986</c:v>
                </c:pt>
                <c:pt idx="202" formatCode="m/d/yyyy">
                  <c:v>45985</c:v>
                </c:pt>
                <c:pt idx="203" formatCode="m/d/yyyy">
                  <c:v>45982</c:v>
                </c:pt>
                <c:pt idx="204" formatCode="m/d/yyyy">
                  <c:v>45981</c:v>
                </c:pt>
                <c:pt idx="205" formatCode="m/d/yyyy">
                  <c:v>45980</c:v>
                </c:pt>
                <c:pt idx="206" formatCode="m/d/yyyy">
                  <c:v>45979</c:v>
                </c:pt>
                <c:pt idx="207" formatCode="m/d/yyyy">
                  <c:v>45978</c:v>
                </c:pt>
                <c:pt idx="208" formatCode="m/d/yyyy">
                  <c:v>45975</c:v>
                </c:pt>
                <c:pt idx="209" formatCode="m/d/yyyy">
                  <c:v>45974</c:v>
                </c:pt>
                <c:pt idx="210" formatCode="m/d/yyyy">
                  <c:v>45973</c:v>
                </c:pt>
                <c:pt idx="211" formatCode="m/d/yyyy">
                  <c:v>45972</c:v>
                </c:pt>
                <c:pt idx="212" formatCode="m/d/yyyy">
                  <c:v>45971</c:v>
                </c:pt>
                <c:pt idx="213" formatCode="m/d/yyyy">
                  <c:v>45968</c:v>
                </c:pt>
                <c:pt idx="214" formatCode="m/d/yyyy">
                  <c:v>45967</c:v>
                </c:pt>
                <c:pt idx="215" formatCode="m/d/yyyy">
                  <c:v>45966</c:v>
                </c:pt>
                <c:pt idx="216" formatCode="m/d/yyyy">
                  <c:v>45965</c:v>
                </c:pt>
                <c:pt idx="217" formatCode="m/d/yyyy">
                  <c:v>45964</c:v>
                </c:pt>
                <c:pt idx="218" formatCode="m/d/yyyy">
                  <c:v>45961</c:v>
                </c:pt>
                <c:pt idx="219" formatCode="m/d/yyyy">
                  <c:v>45960</c:v>
                </c:pt>
                <c:pt idx="220" formatCode="m/d/yyyy">
                  <c:v>45959</c:v>
                </c:pt>
                <c:pt idx="221" formatCode="m/d/yyyy">
                  <c:v>45958</c:v>
                </c:pt>
                <c:pt idx="222" formatCode="m/d/yyyy">
                  <c:v>45957</c:v>
                </c:pt>
                <c:pt idx="223" formatCode="m/d/yyyy">
                  <c:v>45954</c:v>
                </c:pt>
                <c:pt idx="224" formatCode="m/d/yyyy">
                  <c:v>45953</c:v>
                </c:pt>
                <c:pt idx="225" formatCode="m/d/yyyy">
                  <c:v>45952</c:v>
                </c:pt>
                <c:pt idx="226" formatCode="m/d/yyyy">
                  <c:v>45951</c:v>
                </c:pt>
                <c:pt idx="227" formatCode="m/d/yyyy">
                  <c:v>45950</c:v>
                </c:pt>
                <c:pt idx="228" formatCode="m/d/yyyy">
                  <c:v>45947</c:v>
                </c:pt>
                <c:pt idx="229" formatCode="m/d/yyyy">
                  <c:v>45946</c:v>
                </c:pt>
                <c:pt idx="230" formatCode="m/d/yyyy">
                  <c:v>45945</c:v>
                </c:pt>
                <c:pt idx="231" formatCode="m/d/yyyy">
                  <c:v>45944</c:v>
                </c:pt>
                <c:pt idx="232" formatCode="m/d/yyyy">
                  <c:v>45943</c:v>
                </c:pt>
                <c:pt idx="233" formatCode="m/d/yyyy">
                  <c:v>45940</c:v>
                </c:pt>
                <c:pt idx="234" formatCode="m/d/yyyy">
                  <c:v>45939</c:v>
                </c:pt>
                <c:pt idx="235" formatCode="m/d/yyyy">
                  <c:v>45938</c:v>
                </c:pt>
                <c:pt idx="236" formatCode="m/d/yyyy">
                  <c:v>45937</c:v>
                </c:pt>
                <c:pt idx="237" formatCode="m/d/yyyy">
                  <c:v>45936</c:v>
                </c:pt>
                <c:pt idx="238" formatCode="m/d/yyyy">
                  <c:v>45933</c:v>
                </c:pt>
                <c:pt idx="239" formatCode="m/d/yyyy">
                  <c:v>45932</c:v>
                </c:pt>
                <c:pt idx="240" formatCode="m/d/yyyy">
                  <c:v>45931</c:v>
                </c:pt>
                <c:pt idx="241" formatCode="m/d/yyyy">
                  <c:v>45930</c:v>
                </c:pt>
                <c:pt idx="242" formatCode="m/d/yyyy">
                  <c:v>45929</c:v>
                </c:pt>
                <c:pt idx="243" formatCode="m/d/yyyy">
                  <c:v>45926</c:v>
                </c:pt>
                <c:pt idx="244" formatCode="m/d/yyyy">
                  <c:v>45925</c:v>
                </c:pt>
                <c:pt idx="245" formatCode="m/d/yyyy">
                  <c:v>45924</c:v>
                </c:pt>
                <c:pt idx="246" formatCode="m/d/yyyy">
                  <c:v>45923</c:v>
                </c:pt>
                <c:pt idx="247" formatCode="m/d/yyyy">
                  <c:v>45922</c:v>
                </c:pt>
                <c:pt idx="248" formatCode="m/d/yyyy">
                  <c:v>45919</c:v>
                </c:pt>
                <c:pt idx="249" formatCode="m/d/yyyy">
                  <c:v>45918</c:v>
                </c:pt>
                <c:pt idx="250" formatCode="m/d/yyyy">
                  <c:v>45917</c:v>
                </c:pt>
                <c:pt idx="251" formatCode="m/d/yyyy">
                  <c:v>45916</c:v>
                </c:pt>
                <c:pt idx="252" formatCode="m/d/yyyy">
                  <c:v>45915</c:v>
                </c:pt>
                <c:pt idx="253" formatCode="m/d/yyyy">
                  <c:v>45912</c:v>
                </c:pt>
                <c:pt idx="254" formatCode="m/d/yyyy">
                  <c:v>45911</c:v>
                </c:pt>
                <c:pt idx="255" formatCode="m/d/yyyy">
                  <c:v>45910</c:v>
                </c:pt>
                <c:pt idx="256" formatCode="m/d/yyyy">
                  <c:v>45909</c:v>
                </c:pt>
                <c:pt idx="257" formatCode="m/d/yyyy">
                  <c:v>45908</c:v>
                </c:pt>
                <c:pt idx="258" formatCode="m/d/yyyy">
                  <c:v>45905</c:v>
                </c:pt>
                <c:pt idx="259" formatCode="m/d/yyyy">
                  <c:v>45904</c:v>
                </c:pt>
                <c:pt idx="260" formatCode="m/d/yyyy">
                  <c:v>45903</c:v>
                </c:pt>
                <c:pt idx="261" formatCode="m/d/yyyy">
                  <c:v>45898</c:v>
                </c:pt>
                <c:pt idx="262" formatCode="m/d/yyyy">
                  <c:v>45897</c:v>
                </c:pt>
                <c:pt idx="263" formatCode="m/d/yyyy">
                  <c:v>45896</c:v>
                </c:pt>
                <c:pt idx="264" formatCode="m/d/yyyy">
                  <c:v>45895</c:v>
                </c:pt>
                <c:pt idx="265" formatCode="m/d/yyyy">
                  <c:v>45894</c:v>
                </c:pt>
                <c:pt idx="266" formatCode="m/d/yyyy">
                  <c:v>45891</c:v>
                </c:pt>
                <c:pt idx="267" formatCode="m/d/yyyy">
                  <c:v>45890</c:v>
                </c:pt>
                <c:pt idx="268" formatCode="m/d/yyyy">
                  <c:v>45889</c:v>
                </c:pt>
                <c:pt idx="269" formatCode="m/d/yyyy">
                  <c:v>45888</c:v>
                </c:pt>
                <c:pt idx="270" formatCode="m/d/yyyy">
                  <c:v>45887</c:v>
                </c:pt>
                <c:pt idx="271" formatCode="m/d/yyyy">
                  <c:v>45884</c:v>
                </c:pt>
                <c:pt idx="272" formatCode="m/d/yyyy">
                  <c:v>45883</c:v>
                </c:pt>
                <c:pt idx="273" formatCode="m/d/yyyy">
                  <c:v>45882</c:v>
                </c:pt>
                <c:pt idx="274" formatCode="m/d/yyyy">
                  <c:v>45881</c:v>
                </c:pt>
                <c:pt idx="275" formatCode="m/d/yyyy">
                  <c:v>45880</c:v>
                </c:pt>
                <c:pt idx="276" formatCode="m/d/yyyy">
                  <c:v>45877</c:v>
                </c:pt>
                <c:pt idx="277" formatCode="m/d/yyyy">
                  <c:v>45876</c:v>
                </c:pt>
                <c:pt idx="278" formatCode="m/d/yyyy">
                  <c:v>45875</c:v>
                </c:pt>
                <c:pt idx="279" formatCode="m/d/yyyy">
                  <c:v>45874</c:v>
                </c:pt>
                <c:pt idx="280" formatCode="m/d/yyyy">
                  <c:v>45873</c:v>
                </c:pt>
                <c:pt idx="281" formatCode="m/d/yyyy">
                  <c:v>45870</c:v>
                </c:pt>
                <c:pt idx="282" formatCode="m/d/yyyy">
                  <c:v>45869</c:v>
                </c:pt>
                <c:pt idx="283" formatCode="m/d/yyyy">
                  <c:v>45868</c:v>
                </c:pt>
                <c:pt idx="284" formatCode="m/d/yyyy">
                  <c:v>45867</c:v>
                </c:pt>
                <c:pt idx="285" formatCode="m/d/yyyy">
                  <c:v>45866</c:v>
                </c:pt>
                <c:pt idx="286" formatCode="m/d/yyyy">
                  <c:v>45863</c:v>
                </c:pt>
                <c:pt idx="287" formatCode="m/d/yyyy">
                  <c:v>45862</c:v>
                </c:pt>
                <c:pt idx="288" formatCode="m/d/yyyy">
                  <c:v>45861</c:v>
                </c:pt>
                <c:pt idx="289" formatCode="m/d/yyyy">
                  <c:v>45860</c:v>
                </c:pt>
                <c:pt idx="290" formatCode="m/d/yyyy">
                  <c:v>45859</c:v>
                </c:pt>
                <c:pt idx="291" formatCode="m/d/yyyy">
                  <c:v>45856</c:v>
                </c:pt>
                <c:pt idx="292" formatCode="m/d/yyyy">
                  <c:v>45855</c:v>
                </c:pt>
                <c:pt idx="293" formatCode="m/d/yyyy">
                  <c:v>45854</c:v>
                </c:pt>
                <c:pt idx="294" formatCode="m/d/yyyy">
                  <c:v>45853</c:v>
                </c:pt>
                <c:pt idx="295" formatCode="m/d/yyyy">
                  <c:v>45852</c:v>
                </c:pt>
                <c:pt idx="296" formatCode="m/d/yyyy">
                  <c:v>45849</c:v>
                </c:pt>
                <c:pt idx="297" formatCode="m/d/yyyy">
                  <c:v>45848</c:v>
                </c:pt>
                <c:pt idx="298" formatCode="m/d/yyyy">
                  <c:v>45847</c:v>
                </c:pt>
                <c:pt idx="299" formatCode="m/d/yyyy">
                  <c:v>45846</c:v>
                </c:pt>
                <c:pt idx="300" formatCode="m/d/yyyy">
                  <c:v>45845</c:v>
                </c:pt>
                <c:pt idx="301" formatCode="m/d/yyyy">
                  <c:v>45842</c:v>
                </c:pt>
                <c:pt idx="302" formatCode="m/d/yyyy">
                  <c:v>45841</c:v>
                </c:pt>
                <c:pt idx="303" formatCode="m/d/yyyy">
                  <c:v>45840</c:v>
                </c:pt>
                <c:pt idx="304" formatCode="m/d/yyyy">
                  <c:v>45839</c:v>
                </c:pt>
                <c:pt idx="305" formatCode="m/d/yyyy">
                  <c:v>45838</c:v>
                </c:pt>
                <c:pt idx="306" formatCode="m/d/yyyy">
                  <c:v>45835</c:v>
                </c:pt>
                <c:pt idx="307" formatCode="m/d/yyyy">
                  <c:v>45834</c:v>
                </c:pt>
                <c:pt idx="308" formatCode="m/d/yyyy">
                  <c:v>45833</c:v>
                </c:pt>
                <c:pt idx="309" formatCode="m/d/yyyy">
                  <c:v>45832</c:v>
                </c:pt>
                <c:pt idx="310" formatCode="m/d/yyyy">
                  <c:v>45831</c:v>
                </c:pt>
                <c:pt idx="311" formatCode="m/d/yyyy">
                  <c:v>45828</c:v>
                </c:pt>
                <c:pt idx="312" formatCode="m/d/yyyy">
                  <c:v>45827</c:v>
                </c:pt>
                <c:pt idx="313" formatCode="m/d/yyyy">
                  <c:v>45826</c:v>
                </c:pt>
                <c:pt idx="314" formatCode="m/d/yyyy">
                  <c:v>45825</c:v>
                </c:pt>
                <c:pt idx="315" formatCode="m/d/yyyy">
                  <c:v>45824</c:v>
                </c:pt>
                <c:pt idx="316" formatCode="m/d/yyyy">
                  <c:v>45821</c:v>
                </c:pt>
                <c:pt idx="317" formatCode="m/d/yyyy">
                  <c:v>45820</c:v>
                </c:pt>
                <c:pt idx="318" formatCode="m/d/yyyy">
                  <c:v>45819</c:v>
                </c:pt>
                <c:pt idx="319" formatCode="m/d/yyyy">
                  <c:v>45818</c:v>
                </c:pt>
                <c:pt idx="320" formatCode="m/d/yyyy">
                  <c:v>45817</c:v>
                </c:pt>
                <c:pt idx="321" formatCode="m/d/yyyy">
                  <c:v>45814</c:v>
                </c:pt>
                <c:pt idx="322" formatCode="m/d/yyyy">
                  <c:v>45813</c:v>
                </c:pt>
                <c:pt idx="323" formatCode="m/d/yyyy">
                  <c:v>45812</c:v>
                </c:pt>
                <c:pt idx="324" formatCode="m/d/yyyy">
                  <c:v>45811</c:v>
                </c:pt>
                <c:pt idx="325" formatCode="m/d/yyyy">
                  <c:v>45810</c:v>
                </c:pt>
                <c:pt idx="326" formatCode="m/d/yyyy">
                  <c:v>45807</c:v>
                </c:pt>
                <c:pt idx="327" formatCode="m/d/yyyy">
                  <c:v>45806</c:v>
                </c:pt>
                <c:pt idx="328" formatCode="m/d/yyyy">
                  <c:v>45805</c:v>
                </c:pt>
                <c:pt idx="329" formatCode="m/d/yyyy">
                  <c:v>45804</c:v>
                </c:pt>
                <c:pt idx="330" formatCode="m/d/yyyy">
                  <c:v>45803</c:v>
                </c:pt>
                <c:pt idx="331" formatCode="m/d/yyyy">
                  <c:v>45800</c:v>
                </c:pt>
                <c:pt idx="332" formatCode="m/d/yyyy">
                  <c:v>45799</c:v>
                </c:pt>
                <c:pt idx="333" formatCode="m/d/yyyy">
                  <c:v>45798</c:v>
                </c:pt>
                <c:pt idx="334" formatCode="m/d/yyyy">
                  <c:v>45797</c:v>
                </c:pt>
                <c:pt idx="335" formatCode="m/d/yyyy">
                  <c:v>45796</c:v>
                </c:pt>
                <c:pt idx="336" formatCode="m/d/yyyy">
                  <c:v>45793</c:v>
                </c:pt>
                <c:pt idx="337" formatCode="m/d/yyyy">
                  <c:v>45792</c:v>
                </c:pt>
                <c:pt idx="338" formatCode="m/d/yyyy">
                  <c:v>45791</c:v>
                </c:pt>
                <c:pt idx="339" formatCode="m/d/yyyy">
                  <c:v>45790</c:v>
                </c:pt>
                <c:pt idx="340" formatCode="m/d/yyyy">
                  <c:v>45789</c:v>
                </c:pt>
                <c:pt idx="341" formatCode="m/d/yyyy">
                  <c:v>45786</c:v>
                </c:pt>
                <c:pt idx="342" formatCode="m/d/yyyy">
                  <c:v>45785</c:v>
                </c:pt>
                <c:pt idx="343" formatCode="m/d/yyyy">
                  <c:v>45784</c:v>
                </c:pt>
                <c:pt idx="344" formatCode="m/d/yyyy">
                  <c:v>45783</c:v>
                </c:pt>
                <c:pt idx="345" formatCode="m/d/yyyy">
                  <c:v>45782</c:v>
                </c:pt>
                <c:pt idx="346" formatCode="m/d/yyyy">
                  <c:v>45776</c:v>
                </c:pt>
                <c:pt idx="347" formatCode="m/d/yyyy">
                  <c:v>45775</c:v>
                </c:pt>
                <c:pt idx="348" formatCode="m/d/yyyy">
                  <c:v>45772</c:v>
                </c:pt>
                <c:pt idx="349" formatCode="m/d/yyyy">
                  <c:v>45771</c:v>
                </c:pt>
                <c:pt idx="350" formatCode="m/d/yyyy">
                  <c:v>45770</c:v>
                </c:pt>
                <c:pt idx="351" formatCode="m/d/yyyy">
                  <c:v>45769</c:v>
                </c:pt>
                <c:pt idx="352" formatCode="m/d/yyyy">
                  <c:v>45768</c:v>
                </c:pt>
                <c:pt idx="353" formatCode="m/d/yyyy">
                  <c:v>45765</c:v>
                </c:pt>
                <c:pt idx="354" formatCode="m/d/yyyy">
                  <c:v>45764</c:v>
                </c:pt>
                <c:pt idx="355" formatCode="m/d/yyyy">
                  <c:v>45763</c:v>
                </c:pt>
                <c:pt idx="356" formatCode="m/d/yyyy">
                  <c:v>45762</c:v>
                </c:pt>
                <c:pt idx="357" formatCode="m/d/yyyy">
                  <c:v>45761</c:v>
                </c:pt>
                <c:pt idx="358" formatCode="m/d/yyyy">
                  <c:v>45758</c:v>
                </c:pt>
                <c:pt idx="359" formatCode="m/d/yyyy">
                  <c:v>45757</c:v>
                </c:pt>
                <c:pt idx="360" formatCode="m/d/yyyy">
                  <c:v>45756</c:v>
                </c:pt>
                <c:pt idx="361" formatCode="m/d/yyyy">
                  <c:v>45755</c:v>
                </c:pt>
                <c:pt idx="362" formatCode="m/d/yyyy">
                  <c:v>45751</c:v>
                </c:pt>
                <c:pt idx="363" formatCode="m/d/yyyy">
                  <c:v>45750</c:v>
                </c:pt>
                <c:pt idx="364" formatCode="m/d/yyyy">
                  <c:v>45749</c:v>
                </c:pt>
                <c:pt idx="365" formatCode="m/d/yyyy">
                  <c:v>45748</c:v>
                </c:pt>
                <c:pt idx="366" formatCode="m/d/yyyy">
                  <c:v>45747</c:v>
                </c:pt>
                <c:pt idx="367" formatCode="m/d/yyyy">
                  <c:v>45744</c:v>
                </c:pt>
                <c:pt idx="368" formatCode="m/d/yyyy">
                  <c:v>45743</c:v>
                </c:pt>
                <c:pt idx="369" formatCode="m/d/yyyy">
                  <c:v>45742</c:v>
                </c:pt>
                <c:pt idx="370" formatCode="m/d/yyyy">
                  <c:v>45741</c:v>
                </c:pt>
                <c:pt idx="371" formatCode="m/d/yyyy">
                  <c:v>45740</c:v>
                </c:pt>
                <c:pt idx="372" formatCode="m/d/yyyy">
                  <c:v>45737</c:v>
                </c:pt>
                <c:pt idx="373" formatCode="m/d/yyyy">
                  <c:v>45736</c:v>
                </c:pt>
                <c:pt idx="374" formatCode="m/d/yyyy">
                  <c:v>45735</c:v>
                </c:pt>
                <c:pt idx="375" formatCode="m/d/yyyy">
                  <c:v>45734</c:v>
                </c:pt>
                <c:pt idx="376" formatCode="m/d/yyyy">
                  <c:v>45733</c:v>
                </c:pt>
                <c:pt idx="377" formatCode="m/d/yyyy">
                  <c:v>45730</c:v>
                </c:pt>
                <c:pt idx="378" formatCode="m/d/yyyy">
                  <c:v>45729</c:v>
                </c:pt>
                <c:pt idx="379" formatCode="m/d/yyyy">
                  <c:v>45728</c:v>
                </c:pt>
                <c:pt idx="380" formatCode="m/d/yyyy">
                  <c:v>45727</c:v>
                </c:pt>
                <c:pt idx="381" formatCode="m/d/yyyy">
                  <c:v>45726</c:v>
                </c:pt>
                <c:pt idx="382" formatCode="m/d/yyyy">
                  <c:v>45723</c:v>
                </c:pt>
                <c:pt idx="383" formatCode="m/d/yyyy">
                  <c:v>45722</c:v>
                </c:pt>
                <c:pt idx="384" formatCode="m/d/yyyy">
                  <c:v>45721</c:v>
                </c:pt>
                <c:pt idx="385" formatCode="m/d/yyyy">
                  <c:v>45720</c:v>
                </c:pt>
                <c:pt idx="386" formatCode="m/d/yyyy">
                  <c:v>45719</c:v>
                </c:pt>
                <c:pt idx="387" formatCode="m/d/yyyy">
                  <c:v>45716</c:v>
                </c:pt>
                <c:pt idx="388" formatCode="m/d/yyyy">
                  <c:v>45715</c:v>
                </c:pt>
                <c:pt idx="389" formatCode="m/d/yyyy">
                  <c:v>45714</c:v>
                </c:pt>
                <c:pt idx="390" formatCode="m/d/yyyy">
                  <c:v>45713</c:v>
                </c:pt>
                <c:pt idx="391" formatCode="m/d/yyyy">
                  <c:v>45712</c:v>
                </c:pt>
              </c:numCache>
            </c:numRef>
          </c:cat>
          <c:val>
            <c:numRef>
              <c:f>Sheet1!$AM$2:$AM$393</c:f>
              <c:numCache>
                <c:formatCode>0.0</c:formatCode>
                <c:ptCount val="392"/>
                <c:pt idx="1">
                  <c:v>14.564083719850153</c:v>
                </c:pt>
                <c:pt idx="2">
                  <c:v>14.791554677693012</c:v>
                </c:pt>
                <c:pt idx="3">
                  <c:v>14.911330735131102</c:v>
                </c:pt>
                <c:pt idx="4">
                  <c:v>15.100334806893541</c:v>
                </c:pt>
                <c:pt idx="5">
                  <c:v>15.101624647278484</c:v>
                </c:pt>
                <c:pt idx="6">
                  <c:v>13.888539242723672</c:v>
                </c:pt>
                <c:pt idx="7">
                  <c:v>12.455721549372562</c:v>
                </c:pt>
                <c:pt idx="8">
                  <c:v>12.62920376004721</c:v>
                </c:pt>
                <c:pt idx="9">
                  <c:v>12.818005021794411</c:v>
                </c:pt>
                <c:pt idx="10">
                  <c:v>14.260566154601658</c:v>
                </c:pt>
                <c:pt idx="11">
                  <c:v>14.658347798035132</c:v>
                </c:pt>
                <c:pt idx="12">
                  <c:v>14.86300496338651</c:v>
                </c:pt>
                <c:pt idx="13">
                  <c:v>15.126922007561864</c:v>
                </c:pt>
                <c:pt idx="14">
                  <c:v>16.685526114917764</c:v>
                </c:pt>
                <c:pt idx="15">
                  <c:v>17.705175177472064</c:v>
                </c:pt>
                <c:pt idx="16">
                  <c:v>21.764189508041657</c:v>
                </c:pt>
                <c:pt idx="17">
                  <c:v>25.963406036125082</c:v>
                </c:pt>
                <c:pt idx="18">
                  <c:v>29.705231574005591</c:v>
                </c:pt>
                <c:pt idx="19">
                  <c:v>30.709160571822345</c:v>
                </c:pt>
                <c:pt idx="20">
                  <c:v>31.583630205516783</c:v>
                </c:pt>
                <c:pt idx="21">
                  <c:v>32.690010264309734</c:v>
                </c:pt>
                <c:pt idx="22">
                  <c:v>32.501631525102532</c:v>
                </c:pt>
                <c:pt idx="23">
                  <c:v>32.1882657762755</c:v>
                </c:pt>
                <c:pt idx="24">
                  <c:v>33.153064735353823</c:v>
                </c:pt>
                <c:pt idx="25">
                  <c:v>33.972278690281478</c:v>
                </c:pt>
                <c:pt idx="26">
                  <c:v>33.685773518697779</c:v>
                </c:pt>
                <c:pt idx="27">
                  <c:v>35.002546298538533</c:v>
                </c:pt>
                <c:pt idx="28">
                  <c:v>35.079750324079633</c:v>
                </c:pt>
                <c:pt idx="29">
                  <c:v>37.790578961312335</c:v>
                </c:pt>
                <c:pt idx="30">
                  <c:v>41.516867970028933</c:v>
                </c:pt>
                <c:pt idx="31">
                  <c:v>45.665120707256087</c:v>
                </c:pt>
                <c:pt idx="32">
                  <c:v>48.780274831740599</c:v>
                </c:pt>
                <c:pt idx="33">
                  <c:v>50.885584690577161</c:v>
                </c:pt>
                <c:pt idx="34">
                  <c:v>53.50600792132434</c:v>
                </c:pt>
                <c:pt idx="35">
                  <c:v>55.763640837856293</c:v>
                </c:pt>
                <c:pt idx="36">
                  <c:v>56.06948820943439</c:v>
                </c:pt>
                <c:pt idx="37">
                  <c:v>53.877330028520689</c:v>
                </c:pt>
                <c:pt idx="38">
                  <c:v>49.479728478855002</c:v>
                </c:pt>
                <c:pt idx="39">
                  <c:v>45.105657514006872</c:v>
                </c:pt>
                <c:pt idx="40">
                  <c:v>40.550084625930864</c:v>
                </c:pt>
                <c:pt idx="41">
                  <c:v>33.448685829471501</c:v>
                </c:pt>
                <c:pt idx="42">
                  <c:v>27.98875979844831</c:v>
                </c:pt>
                <c:pt idx="43">
                  <c:v>21.789564745686338</c:v>
                </c:pt>
                <c:pt idx="44">
                  <c:v>19.676217782258501</c:v>
                </c:pt>
                <c:pt idx="45">
                  <c:v>18.164911930666587</c:v>
                </c:pt>
                <c:pt idx="46">
                  <c:v>15.566259569008601</c:v>
                </c:pt>
                <c:pt idx="47">
                  <c:v>14.19577179587294</c:v>
                </c:pt>
                <c:pt idx="48">
                  <c:v>9.7832456166772204</c:v>
                </c:pt>
                <c:pt idx="49">
                  <c:v>8.4614211423185566</c:v>
                </c:pt>
                <c:pt idx="50">
                  <c:v>8.5601681607823394</c:v>
                </c:pt>
                <c:pt idx="51">
                  <c:v>8.8343164455294918</c:v>
                </c:pt>
                <c:pt idx="52">
                  <c:v>9.3881136312771272</c:v>
                </c:pt>
                <c:pt idx="53">
                  <c:v>10.093124180427562</c:v>
                </c:pt>
                <c:pt idx="54">
                  <c:v>9.9198999157060967</c:v>
                </c:pt>
                <c:pt idx="55">
                  <c:v>9.6376181355459831</c:v>
                </c:pt>
                <c:pt idx="56">
                  <c:v>8.3156444756839978</c:v>
                </c:pt>
                <c:pt idx="57">
                  <c:v>8.2004871859289601</c:v>
                </c:pt>
                <c:pt idx="58">
                  <c:v>8.5912328678115042</c:v>
                </c:pt>
                <c:pt idx="59">
                  <c:v>9.395586777759986</c:v>
                </c:pt>
                <c:pt idx="60">
                  <c:v>10.068166974063072</c:v>
                </c:pt>
                <c:pt idx="61">
                  <c:v>12.854045062466218</c:v>
                </c:pt>
                <c:pt idx="62">
                  <c:v>14.613144275677483</c:v>
                </c:pt>
                <c:pt idx="63">
                  <c:v>15.106064591908925</c:v>
                </c:pt>
                <c:pt idx="64">
                  <c:v>15.501397108174659</c:v>
                </c:pt>
                <c:pt idx="65">
                  <c:v>16.613197770568966</c:v>
                </c:pt>
                <c:pt idx="66">
                  <c:v>17.834628916177035</c:v>
                </c:pt>
                <c:pt idx="67">
                  <c:v>19.269326745518271</c:v>
                </c:pt>
                <c:pt idx="68">
                  <c:v>22.083419700083272</c:v>
                </c:pt>
                <c:pt idx="69">
                  <c:v>22.377891526592844</c:v>
                </c:pt>
                <c:pt idx="70">
                  <c:v>22.344309603177361</c:v>
                </c:pt>
                <c:pt idx="71">
                  <c:v>21.704202046349391</c:v>
                </c:pt>
                <c:pt idx="72">
                  <c:v>20.103927031055303</c:v>
                </c:pt>
                <c:pt idx="73">
                  <c:v>17.251832718078617</c:v>
                </c:pt>
                <c:pt idx="74">
                  <c:v>16.427179373319884</c:v>
                </c:pt>
                <c:pt idx="75">
                  <c:v>15.82120832738431</c:v>
                </c:pt>
                <c:pt idx="76">
                  <c:v>14.435537496303128</c:v>
                </c:pt>
                <c:pt idx="77">
                  <c:v>12.087464488260515</c:v>
                </c:pt>
                <c:pt idx="78">
                  <c:v>11.484914629462308</c:v>
                </c:pt>
                <c:pt idx="79">
                  <c:v>11.662271208602807</c:v>
                </c:pt>
                <c:pt idx="80">
                  <c:v>11.856679622941332</c:v>
                </c:pt>
                <c:pt idx="81">
                  <c:v>11.991084354378621</c:v>
                </c:pt>
                <c:pt idx="82">
                  <c:v>11.990180576023448</c:v>
                </c:pt>
                <c:pt idx="83">
                  <c:v>11.883565000084541</c:v>
                </c:pt>
                <c:pt idx="84">
                  <c:v>11.741737561490385</c:v>
                </c:pt>
                <c:pt idx="85">
                  <c:v>11.779667351001404</c:v>
                </c:pt>
                <c:pt idx="86">
                  <c:v>11.720793959917883</c:v>
                </c:pt>
                <c:pt idx="87">
                  <c:v>11.609270864891513</c:v>
                </c:pt>
                <c:pt idx="88">
                  <c:v>9.2983985636479538</c:v>
                </c:pt>
                <c:pt idx="89">
                  <c:v>8.500447396450431</c:v>
                </c:pt>
                <c:pt idx="90">
                  <c:v>7.3360774160396991</c:v>
                </c:pt>
                <c:pt idx="91">
                  <c:v>7.1873037343307988</c:v>
                </c:pt>
                <c:pt idx="92">
                  <c:v>7.1104909712190585</c:v>
                </c:pt>
                <c:pt idx="93">
                  <c:v>7.417546871203319</c:v>
                </c:pt>
                <c:pt idx="94">
                  <c:v>12.208110857142643</c:v>
                </c:pt>
                <c:pt idx="95">
                  <c:v>15.396706055100806</c:v>
                </c:pt>
                <c:pt idx="96">
                  <c:v>16.860834071319321</c:v>
                </c:pt>
                <c:pt idx="97">
                  <c:v>17.334653438542336</c:v>
                </c:pt>
                <c:pt idx="98">
                  <c:v>17.362431129855086</c:v>
                </c:pt>
                <c:pt idx="99">
                  <c:v>17.661543837913396</c:v>
                </c:pt>
                <c:pt idx="100">
                  <c:v>18.075838236078258</c:v>
                </c:pt>
                <c:pt idx="101">
                  <c:v>18.233492639961796</c:v>
                </c:pt>
                <c:pt idx="102">
                  <c:v>19.442559910374914</c:v>
                </c:pt>
                <c:pt idx="103">
                  <c:v>19.696918514558028</c:v>
                </c:pt>
                <c:pt idx="104">
                  <c:v>21.932806238116346</c:v>
                </c:pt>
                <c:pt idx="105">
                  <c:v>25.893276389743999</c:v>
                </c:pt>
                <c:pt idx="106">
                  <c:v>25.777474962583856</c:v>
                </c:pt>
                <c:pt idx="107">
                  <c:v>25.490238561365658</c:v>
                </c:pt>
                <c:pt idx="108">
                  <c:v>25.382471874663342</c:v>
                </c:pt>
                <c:pt idx="109">
                  <c:v>24.912605248114943</c:v>
                </c:pt>
                <c:pt idx="110">
                  <c:v>24.143476618586117</c:v>
                </c:pt>
                <c:pt idx="111">
                  <c:v>22.999380162322595</c:v>
                </c:pt>
                <c:pt idx="112">
                  <c:v>23.197412571026707</c:v>
                </c:pt>
                <c:pt idx="113">
                  <c:v>24.206467011592089</c:v>
                </c:pt>
                <c:pt idx="114">
                  <c:v>23.915245786074024</c:v>
                </c:pt>
                <c:pt idx="115">
                  <c:v>23.869546737137128</c:v>
                </c:pt>
                <c:pt idx="116">
                  <c:v>28.101393660096893</c:v>
                </c:pt>
                <c:pt idx="117">
                  <c:v>34.730364602084286</c:v>
                </c:pt>
                <c:pt idx="118">
                  <c:v>42.954656120484337</c:v>
                </c:pt>
                <c:pt idx="119">
                  <c:v>48.529351743132807</c:v>
                </c:pt>
                <c:pt idx="120">
                  <c:v>53.287990732718413</c:v>
                </c:pt>
                <c:pt idx="121">
                  <c:v>58.708531338052005</c:v>
                </c:pt>
                <c:pt idx="122">
                  <c:v>62.445306369904849</c:v>
                </c:pt>
                <c:pt idx="123">
                  <c:v>65.539823383506629</c:v>
                </c:pt>
                <c:pt idx="124">
                  <c:v>65.36245500295496</c:v>
                </c:pt>
                <c:pt idx="125">
                  <c:v>61.111025431122954</c:v>
                </c:pt>
                <c:pt idx="126">
                  <c:v>57.789743197450221</c:v>
                </c:pt>
                <c:pt idx="127">
                  <c:v>55.983191987773196</c:v>
                </c:pt>
                <c:pt idx="128">
                  <c:v>54.696152562818924</c:v>
                </c:pt>
                <c:pt idx="129">
                  <c:v>52.966316719917437</c:v>
                </c:pt>
                <c:pt idx="130">
                  <c:v>49.981447394344571</c:v>
                </c:pt>
                <c:pt idx="131">
                  <c:v>46.805013469774899</c:v>
                </c:pt>
                <c:pt idx="132">
                  <c:v>44.597703278150554</c:v>
                </c:pt>
                <c:pt idx="133">
                  <c:v>44.329095303343692</c:v>
                </c:pt>
                <c:pt idx="134">
                  <c:v>39.725546349467997</c:v>
                </c:pt>
                <c:pt idx="135">
                  <c:v>26.38348689686589</c:v>
                </c:pt>
                <c:pt idx="136">
                  <c:v>24.213804958189417</c:v>
                </c:pt>
                <c:pt idx="137">
                  <c:v>23.529856529410104</c:v>
                </c:pt>
                <c:pt idx="138">
                  <c:v>23.57820945700557</c:v>
                </c:pt>
                <c:pt idx="139">
                  <c:v>23.568389876414763</c:v>
                </c:pt>
                <c:pt idx="140">
                  <c:v>23.723668069455165</c:v>
                </c:pt>
                <c:pt idx="141">
                  <c:v>23.270909234080406</c:v>
                </c:pt>
                <c:pt idx="142">
                  <c:v>23.227846805869273</c:v>
                </c:pt>
                <c:pt idx="143">
                  <c:v>23.275352048323455</c:v>
                </c:pt>
                <c:pt idx="144">
                  <c:v>24.141244159630766</c:v>
                </c:pt>
                <c:pt idx="145">
                  <c:v>25.060424204581231</c:v>
                </c:pt>
                <c:pt idx="146">
                  <c:v>24.927041763680958</c:v>
                </c:pt>
                <c:pt idx="147">
                  <c:v>24.176525965991008</c:v>
                </c:pt>
                <c:pt idx="148">
                  <c:v>23.755908539062663</c:v>
                </c:pt>
                <c:pt idx="149">
                  <c:v>19.36266953451161</c:v>
                </c:pt>
                <c:pt idx="150">
                  <c:v>16.988486827260477</c:v>
                </c:pt>
                <c:pt idx="151">
                  <c:v>17.811230196004139</c:v>
                </c:pt>
                <c:pt idx="152">
                  <c:v>22.220462033209049</c:v>
                </c:pt>
                <c:pt idx="153">
                  <c:v>26.629238123658105</c:v>
                </c:pt>
                <c:pt idx="154">
                  <c:v>33.360552549047668</c:v>
                </c:pt>
                <c:pt idx="155">
                  <c:v>40.472025042797767</c:v>
                </c:pt>
                <c:pt idx="156">
                  <c:v>44.42987989063456</c:v>
                </c:pt>
                <c:pt idx="157">
                  <c:v>47.772323613696017</c:v>
                </c:pt>
                <c:pt idx="158">
                  <c:v>51.239283331780669</c:v>
                </c:pt>
                <c:pt idx="159">
                  <c:v>54.681487170503921</c:v>
                </c:pt>
                <c:pt idx="160">
                  <c:v>57.493271794536028</c:v>
                </c:pt>
                <c:pt idx="161">
                  <c:v>58.786564790779444</c:v>
                </c:pt>
                <c:pt idx="162">
                  <c:v>58.742932148585524</c:v>
                </c:pt>
                <c:pt idx="163">
                  <c:v>57.52331853493903</c:v>
                </c:pt>
                <c:pt idx="164">
                  <c:v>56.012370148931986</c:v>
                </c:pt>
                <c:pt idx="165">
                  <c:v>54.015774588155857</c:v>
                </c:pt>
                <c:pt idx="166">
                  <c:v>52.134999746966223</c:v>
                </c:pt>
                <c:pt idx="167">
                  <c:v>48.566831226880389</c:v>
                </c:pt>
                <c:pt idx="168">
                  <c:v>43.571353202447852</c:v>
                </c:pt>
                <c:pt idx="169">
                  <c:v>38.096809820518295</c:v>
                </c:pt>
                <c:pt idx="170">
                  <c:v>29.879463076295277</c:v>
                </c:pt>
                <c:pt idx="171">
                  <c:v>25.256745858979162</c:v>
                </c:pt>
                <c:pt idx="172">
                  <c:v>21.284966142882237</c:v>
                </c:pt>
                <c:pt idx="173">
                  <c:v>18.460229831291521</c:v>
                </c:pt>
                <c:pt idx="174">
                  <c:v>19.021952110769003</c:v>
                </c:pt>
                <c:pt idx="175">
                  <c:v>21.375745786999495</c:v>
                </c:pt>
                <c:pt idx="176">
                  <c:v>22.43199828515586</c:v>
                </c:pt>
                <c:pt idx="177">
                  <c:v>22.332740211546493</c:v>
                </c:pt>
                <c:pt idx="178">
                  <c:v>22.288976069606608</c:v>
                </c:pt>
                <c:pt idx="179">
                  <c:v>22.313988453828422</c:v>
                </c:pt>
                <c:pt idx="180">
                  <c:v>22.475212769775766</c:v>
                </c:pt>
                <c:pt idx="181">
                  <c:v>22.555258746862251</c:v>
                </c:pt>
                <c:pt idx="182">
                  <c:v>22.564576553505951</c:v>
                </c:pt>
                <c:pt idx="183">
                  <c:v>22.472241278124951</c:v>
                </c:pt>
                <c:pt idx="184">
                  <c:v>22.41154958175478</c:v>
                </c:pt>
                <c:pt idx="185">
                  <c:v>22.061029879637015</c:v>
                </c:pt>
                <c:pt idx="186">
                  <c:v>21.410402310662587</c:v>
                </c:pt>
                <c:pt idx="187">
                  <c:v>21.361893226170388</c:v>
                </c:pt>
                <c:pt idx="188">
                  <c:v>18.174962821385275</c:v>
                </c:pt>
                <c:pt idx="189">
                  <c:v>12.21502365511785</c:v>
                </c:pt>
                <c:pt idx="190">
                  <c:v>11.213498134989738</c:v>
                </c:pt>
                <c:pt idx="191">
                  <c:v>11.018858990667397</c:v>
                </c:pt>
                <c:pt idx="192">
                  <c:v>12.907765806713696</c:v>
                </c:pt>
                <c:pt idx="193">
                  <c:v>15.322050586220664</c:v>
                </c:pt>
                <c:pt idx="194">
                  <c:v>15.705874233942831</c:v>
                </c:pt>
                <c:pt idx="195">
                  <c:v>13.929982835331581</c:v>
                </c:pt>
                <c:pt idx="196">
                  <c:v>13.556386867759853</c:v>
                </c:pt>
                <c:pt idx="197">
                  <c:v>14.388467654889421</c:v>
                </c:pt>
                <c:pt idx="198">
                  <c:v>14.40921811814189</c:v>
                </c:pt>
                <c:pt idx="199">
                  <c:v>14.89147707878764</c:v>
                </c:pt>
                <c:pt idx="200">
                  <c:v>16.281858125500744</c:v>
                </c:pt>
                <c:pt idx="201">
                  <c:v>18.200001316650781</c:v>
                </c:pt>
                <c:pt idx="202">
                  <c:v>18.221634790782531</c:v>
                </c:pt>
                <c:pt idx="203">
                  <c:v>18.203156634816935</c:v>
                </c:pt>
                <c:pt idx="204">
                  <c:v>18.327913468031841</c:v>
                </c:pt>
                <c:pt idx="205">
                  <c:v>18.75092127982612</c:v>
                </c:pt>
                <c:pt idx="206">
                  <c:v>19.347641536593148</c:v>
                </c:pt>
                <c:pt idx="207">
                  <c:v>19.369267158332892</c:v>
                </c:pt>
                <c:pt idx="208">
                  <c:v>19.357281470937821</c:v>
                </c:pt>
                <c:pt idx="209">
                  <c:v>24.680401490578458</c:v>
                </c:pt>
                <c:pt idx="210">
                  <c:v>30.872016372100912</c:v>
                </c:pt>
                <c:pt idx="211">
                  <c:v>34.482694982044421</c:v>
                </c:pt>
                <c:pt idx="212">
                  <c:v>35.470807506817842</c:v>
                </c:pt>
                <c:pt idx="213">
                  <c:v>35.831290729973382</c:v>
                </c:pt>
                <c:pt idx="214">
                  <c:v>35.873878772622703</c:v>
                </c:pt>
                <c:pt idx="215">
                  <c:v>36.390064403527504</c:v>
                </c:pt>
                <c:pt idx="216">
                  <c:v>36.621058296794359</c:v>
                </c:pt>
                <c:pt idx="217">
                  <c:v>36.383934977603339</c:v>
                </c:pt>
                <c:pt idx="218">
                  <c:v>34.583895042229614</c:v>
                </c:pt>
                <c:pt idx="219">
                  <c:v>33.860727860090272</c:v>
                </c:pt>
                <c:pt idx="220">
                  <c:v>33.470280256009502</c:v>
                </c:pt>
                <c:pt idx="221">
                  <c:v>33.295503755350097</c:v>
                </c:pt>
                <c:pt idx="222">
                  <c:v>32.453447016634208</c:v>
                </c:pt>
                <c:pt idx="223">
                  <c:v>29.676767485416313</c:v>
                </c:pt>
                <c:pt idx="224">
                  <c:v>28.008724378422762</c:v>
                </c:pt>
                <c:pt idx="225">
                  <c:v>26.743075887705551</c:v>
                </c:pt>
                <c:pt idx="226">
                  <c:v>25.552642245705865</c:v>
                </c:pt>
                <c:pt idx="227">
                  <c:v>23.167532849745871</c:v>
                </c:pt>
                <c:pt idx="228">
                  <c:v>17.737424957085679</c:v>
                </c:pt>
                <c:pt idx="229">
                  <c:v>17.668431673466468</c:v>
                </c:pt>
                <c:pt idx="230">
                  <c:v>16.747067090905237</c:v>
                </c:pt>
                <c:pt idx="231">
                  <c:v>16.719926316583702</c:v>
                </c:pt>
                <c:pt idx="232">
                  <c:v>18.297258730120369</c:v>
                </c:pt>
                <c:pt idx="233">
                  <c:v>19.04995251981126</c:v>
                </c:pt>
                <c:pt idx="234">
                  <c:v>18.667056095655536</c:v>
                </c:pt>
                <c:pt idx="235">
                  <c:v>18.516801721881244</c:v>
                </c:pt>
                <c:pt idx="236">
                  <c:v>18.501384716454574</c:v>
                </c:pt>
                <c:pt idx="237">
                  <c:v>18.465108090878498</c:v>
                </c:pt>
                <c:pt idx="238">
                  <c:v>18.475943519449782</c:v>
                </c:pt>
                <c:pt idx="239">
                  <c:v>18.153944771357171</c:v>
                </c:pt>
                <c:pt idx="240">
                  <c:v>21.417341933487183</c:v>
                </c:pt>
                <c:pt idx="241">
                  <c:v>22.618321946784601</c:v>
                </c:pt>
                <c:pt idx="242">
                  <c:v>22.559401331843567</c:v>
                </c:pt>
                <c:pt idx="243">
                  <c:v>22.51915313212718</c:v>
                </c:pt>
                <c:pt idx="244">
                  <c:v>22.127721880335965</c:v>
                </c:pt>
                <c:pt idx="245">
                  <c:v>21.929201456431617</c:v>
                </c:pt>
                <c:pt idx="246">
                  <c:v>23.646274815761458</c:v>
                </c:pt>
                <c:pt idx="247">
                  <c:v>22.288477449780718</c:v>
                </c:pt>
                <c:pt idx="248">
                  <c:v>21.947353532108821</c:v>
                </c:pt>
                <c:pt idx="249">
                  <c:v>21.401591776710717</c:v>
                </c:pt>
                <c:pt idx="250">
                  <c:v>21.282599045165746</c:v>
                </c:pt>
                <c:pt idx="251">
                  <c:v>21.364211236918653</c:v>
                </c:pt>
                <c:pt idx="252">
                  <c:v>21.493469004527181</c:v>
                </c:pt>
                <c:pt idx="253">
                  <c:v>21.293887210070082</c:v>
                </c:pt>
                <c:pt idx="254">
                  <c:v>22.300604682286398</c:v>
                </c:pt>
                <c:pt idx="255">
                  <c:v>23.277205589971896</c:v>
                </c:pt>
                <c:pt idx="256">
                  <c:v>24.911273372143608</c:v>
                </c:pt>
                <c:pt idx="257">
                  <c:v>27.619038366954268</c:v>
                </c:pt>
                <c:pt idx="258">
                  <c:v>29.90523774506357</c:v>
                </c:pt>
                <c:pt idx="259">
                  <c:v>33.189265549514872</c:v>
                </c:pt>
                <c:pt idx="260">
                  <c:v>36.444326064642482</c:v>
                </c:pt>
                <c:pt idx="261">
                  <c:v>40.268301458167358</c:v>
                </c:pt>
                <c:pt idx="262">
                  <c:v>45.344118741294658</c:v>
                </c:pt>
                <c:pt idx="263">
                  <c:v>48.332234286804749</c:v>
                </c:pt>
                <c:pt idx="264">
                  <c:v>50.760547971216369</c:v>
                </c:pt>
                <c:pt idx="265">
                  <c:v>54.189839844149617</c:v>
                </c:pt>
                <c:pt idx="266">
                  <c:v>54.693867296870877</c:v>
                </c:pt>
                <c:pt idx="267">
                  <c:v>54.803459399802918</c:v>
                </c:pt>
                <c:pt idx="268">
                  <c:v>51.750257857609654</c:v>
                </c:pt>
                <c:pt idx="269">
                  <c:v>49.958534232120741</c:v>
                </c:pt>
                <c:pt idx="270">
                  <c:v>47.506865295530126</c:v>
                </c:pt>
                <c:pt idx="271">
                  <c:v>46.563274625444606</c:v>
                </c:pt>
                <c:pt idx="272">
                  <c:v>44.977976708406246</c:v>
                </c:pt>
                <c:pt idx="273">
                  <c:v>41.40690567269089</c:v>
                </c:pt>
                <c:pt idx="274">
                  <c:v>39.532410552073863</c:v>
                </c:pt>
                <c:pt idx="275">
                  <c:v>37.320335807051684</c:v>
                </c:pt>
                <c:pt idx="276">
                  <c:v>34.527317434216258</c:v>
                </c:pt>
                <c:pt idx="277">
                  <c:v>32.643847509293465</c:v>
                </c:pt>
                <c:pt idx="278">
                  <c:v>30.145351506429392</c:v>
                </c:pt>
                <c:pt idx="279">
                  <c:v>28.240485628957885</c:v>
                </c:pt>
                <c:pt idx="280">
                  <c:v>28.769952332895645</c:v>
                </c:pt>
                <c:pt idx="281">
                  <c:v>30.188705492710771</c:v>
                </c:pt>
                <c:pt idx="282">
                  <c:v>33.304829535713047</c:v>
                </c:pt>
                <c:pt idx="283">
                  <c:v>36.011425347472574</c:v>
                </c:pt>
                <c:pt idx="284">
                  <c:v>37.728174587107823</c:v>
                </c:pt>
                <c:pt idx="285">
                  <c:v>40.10946409564297</c:v>
                </c:pt>
                <c:pt idx="286">
                  <c:v>37.53942526664936</c:v>
                </c:pt>
                <c:pt idx="287">
                  <c:v>36.481071253687162</c:v>
                </c:pt>
                <c:pt idx="288">
                  <c:v>35.648720093028949</c:v>
                </c:pt>
                <c:pt idx="289">
                  <c:v>34.624061446172036</c:v>
                </c:pt>
                <c:pt idx="290">
                  <c:v>33.411399298261259</c:v>
                </c:pt>
                <c:pt idx="291">
                  <c:v>32.961038992902353</c:v>
                </c:pt>
                <c:pt idx="292">
                  <c:v>31.625775652392697</c:v>
                </c:pt>
                <c:pt idx="293">
                  <c:v>30.394871577184968</c:v>
                </c:pt>
                <c:pt idx="294">
                  <c:v>29.095435078458898</c:v>
                </c:pt>
                <c:pt idx="295">
                  <c:v>27.823297440275351</c:v>
                </c:pt>
                <c:pt idx="296">
                  <c:v>25.407752976747602</c:v>
                </c:pt>
                <c:pt idx="297">
                  <c:v>24.438928487598478</c:v>
                </c:pt>
                <c:pt idx="298">
                  <c:v>22.61885864755239</c:v>
                </c:pt>
                <c:pt idx="299">
                  <c:v>21.365011399551559</c:v>
                </c:pt>
                <c:pt idx="300">
                  <c:v>20.411301489505028</c:v>
                </c:pt>
                <c:pt idx="301">
                  <c:v>20.079042660242774</c:v>
                </c:pt>
                <c:pt idx="302">
                  <c:v>19.6895098832358</c:v>
                </c:pt>
                <c:pt idx="303">
                  <c:v>18.96048825658249</c:v>
                </c:pt>
                <c:pt idx="304">
                  <c:v>17.676878419421229</c:v>
                </c:pt>
                <c:pt idx="305">
                  <c:v>16.688285434040932</c:v>
                </c:pt>
                <c:pt idx="306">
                  <c:v>15.952143659066317</c:v>
                </c:pt>
                <c:pt idx="307">
                  <c:v>15.622838589584857</c:v>
                </c:pt>
                <c:pt idx="308">
                  <c:v>14.952240986021978</c:v>
                </c:pt>
                <c:pt idx="309">
                  <c:v>14.233759264978394</c:v>
                </c:pt>
                <c:pt idx="310">
                  <c:v>13.348908143061776</c:v>
                </c:pt>
                <c:pt idx="311">
                  <c:v>12.584888797758405</c:v>
                </c:pt>
                <c:pt idx="312">
                  <c:v>12.069067281588472</c:v>
                </c:pt>
                <c:pt idx="313">
                  <c:v>11.354044438490146</c:v>
                </c:pt>
                <c:pt idx="314">
                  <c:v>10.412827715363514</c:v>
                </c:pt>
                <c:pt idx="315">
                  <c:v>8.9106643181400038</c:v>
                </c:pt>
                <c:pt idx="316">
                  <c:v>8.1097358493989766</c:v>
                </c:pt>
                <c:pt idx="317">
                  <c:v>8.1420616527817433</c:v>
                </c:pt>
                <c:pt idx="318">
                  <c:v>8.3696450866827981</c:v>
                </c:pt>
                <c:pt idx="319">
                  <c:v>8.2866115744291786</c:v>
                </c:pt>
                <c:pt idx="320">
                  <c:v>8.3517851569801831</c:v>
                </c:pt>
                <c:pt idx="321">
                  <c:v>9.1353048060372153</c:v>
                </c:pt>
                <c:pt idx="322">
                  <c:v>11.659703814772456</c:v>
                </c:pt>
                <c:pt idx="323">
                  <c:v>13.286454674675415</c:v>
                </c:pt>
                <c:pt idx="324">
                  <c:v>15.962104128581203</c:v>
                </c:pt>
                <c:pt idx="325">
                  <c:v>18.231698388671091</c:v>
                </c:pt>
                <c:pt idx="326">
                  <c:v>20.394768961829808</c:v>
                </c:pt>
                <c:pt idx="327">
                  <c:v>23.044478245901974</c:v>
                </c:pt>
                <c:pt idx="328">
                  <c:v>24.551725480013072</c:v>
                </c:pt>
                <c:pt idx="329">
                  <c:v>25.408709114421967</c:v>
                </c:pt>
                <c:pt idx="330">
                  <c:v>25.62210117847312</c:v>
                </c:pt>
                <c:pt idx="331">
                  <c:v>26.26299004245897</c:v>
                </c:pt>
                <c:pt idx="332">
                  <c:v>28.100696636677533</c:v>
                </c:pt>
                <c:pt idx="333">
                  <c:v>28.665777862437437</c:v>
                </c:pt>
                <c:pt idx="334">
                  <c:v>28.111072592839317</c:v>
                </c:pt>
                <c:pt idx="335">
                  <c:v>27.768777143546188</c:v>
                </c:pt>
                <c:pt idx="336">
                  <c:v>27.800424076905895</c:v>
                </c:pt>
                <c:pt idx="337">
                  <c:v>26.220744260999101</c:v>
                </c:pt>
                <c:pt idx="338">
                  <c:v>22.52637600221809</c:v>
                </c:pt>
                <c:pt idx="339">
                  <c:v>18.172219597259708</c:v>
                </c:pt>
                <c:pt idx="340">
                  <c:v>18.389090372695527</c:v>
                </c:pt>
                <c:pt idx="341">
                  <c:v>29.386510013109763</c:v>
                </c:pt>
                <c:pt idx="342">
                  <c:v>31.445848274830063</c:v>
                </c:pt>
                <c:pt idx="343">
                  <c:v>30.293337212747488</c:v>
                </c:pt>
                <c:pt idx="344">
                  <c:v>30.875962329942752</c:v>
                </c:pt>
                <c:pt idx="345">
                  <c:v>40.143128321606838</c:v>
                </c:pt>
                <c:pt idx="346">
                  <c:v>47.176434971971723</c:v>
                </c:pt>
                <c:pt idx="347">
                  <c:v>52.153815631968264</c:v>
                </c:pt>
                <c:pt idx="348">
                  <c:v>57.16589226331763</c:v>
                </c:pt>
                <c:pt idx="349">
                  <c:v>61.852819809615376</c:v>
                </c:pt>
                <c:pt idx="350">
                  <c:v>65.801055787514244</c:v>
                </c:pt>
                <c:pt idx="351">
                  <c:v>69.28393911340406</c:v>
                </c:pt>
                <c:pt idx="352">
                  <c:v>71.488078386432264</c:v>
                </c:pt>
                <c:pt idx="353">
                  <c:v>73.389230736387475</c:v>
                </c:pt>
                <c:pt idx="354">
                  <c:v>74.982737091336389</c:v>
                </c:pt>
                <c:pt idx="355">
                  <c:v>75.667817321582262</c:v>
                </c:pt>
                <c:pt idx="356">
                  <c:v>75.848328181170956</c:v>
                </c:pt>
                <c:pt idx="357">
                  <c:v>76.20449610700841</c:v>
                </c:pt>
                <c:pt idx="358">
                  <c:v>76.193083051770074</c:v>
                </c:pt>
                <c:pt idx="359">
                  <c:v>75.268572128280496</c:v>
                </c:pt>
                <c:pt idx="360">
                  <c:v>70.421982581538387</c:v>
                </c:pt>
                <c:pt idx="361">
                  <c:v>53.285236585650146</c:v>
                </c:pt>
                <c:pt idx="362">
                  <c:v>35.753570389278693</c:v>
                </c:pt>
                <c:pt idx="363">
                  <c:v>25.195092145995837</c:v>
                </c:pt>
                <c:pt idx="364">
                  <c:v>12.344759060774688</c:v>
                </c:pt>
                <c:pt idx="365">
                  <c:v>11.541528397680782</c:v>
                </c:pt>
                <c:pt idx="366">
                  <c:v>10.56724546217206</c:v>
                </c:pt>
                <c:pt idx="367">
                  <c:v>8.3307615310333922</c:v>
                </c:pt>
                <c:pt idx="368">
                  <c:v>7.1901277858924617</c:v>
                </c:pt>
                <c:pt idx="369">
                  <c:v>6.6234157761335846</c:v>
                </c:pt>
                <c:pt idx="370">
                  <c:v>6.3527772147936297</c:v>
                </c:pt>
                <c:pt idx="371">
                  <c:v>6.4457033143209568</c:v>
                </c:pt>
                <c:pt idx="372">
                  <c:v>6.4079665443225391</c:v>
                </c:pt>
                <c:pt idx="373">
                  <c:v>6.9570423191845219</c:v>
                </c:pt>
                <c:pt idx="374">
                  <c:v>7.8829366161702534</c:v>
                </c:pt>
                <c:pt idx="375">
                  <c:v>8.8900522555858288</c:v>
                </c:pt>
                <c:pt idx="376">
                  <c:v>10.657511100372313</c:v>
                </c:pt>
                <c:pt idx="377">
                  <c:v>12.299682081137748</c:v>
                </c:pt>
                <c:pt idx="378">
                  <c:v>13.510597850675667</c:v>
                </c:pt>
                <c:pt idx="379">
                  <c:v>14.961758507619269</c:v>
                </c:pt>
                <c:pt idx="380">
                  <c:v>15.62802190405619</c:v>
                </c:pt>
                <c:pt idx="381">
                  <c:v>15.684960747989891</c:v>
                </c:pt>
                <c:pt idx="382">
                  <c:v>15.956837594451109</c:v>
                </c:pt>
                <c:pt idx="383">
                  <c:v>15.308285730014456</c:v>
                </c:pt>
                <c:pt idx="384">
                  <c:v>14.855113770265493</c:v>
                </c:pt>
                <c:pt idx="385">
                  <c:v>15.064759054204707</c:v>
                </c:pt>
                <c:pt idx="386">
                  <c:v>14.849832121731605</c:v>
                </c:pt>
                <c:pt idx="387">
                  <c:v>15.498519002087592</c:v>
                </c:pt>
                <c:pt idx="388">
                  <c:v>15.094504243717022</c:v>
                </c:pt>
                <c:pt idx="389">
                  <c:v>14.4526449362818</c:v>
                </c:pt>
                <c:pt idx="390">
                  <c:v>15.312555065051981</c:v>
                </c:pt>
                <c:pt idx="391">
                  <c:v>15.257150700288202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4-4B28-97BD-083B05936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985184"/>
        <c:axId val="1817991904"/>
      </c:lineChart>
      <c:dateAx>
        <c:axId val="1817985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91904"/>
        <c:crosses val="autoZero"/>
        <c:auto val="1"/>
        <c:lblOffset val="100"/>
        <c:baseTimeUnit val="days"/>
      </c:dateAx>
      <c:valAx>
        <c:axId val="181799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8518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143602</xdr:colOff>
      <xdr:row>20</xdr:row>
      <xdr:rowOff>15422</xdr:rowOff>
    </xdr:from>
    <xdr:to>
      <xdr:col>55</xdr:col>
      <xdr:colOff>470683</xdr:colOff>
      <xdr:row>41</xdr:row>
      <xdr:rowOff>13461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496602</xdr:colOff>
      <xdr:row>105</xdr:row>
      <xdr:rowOff>48846</xdr:rowOff>
    </xdr:from>
    <xdr:to>
      <xdr:col>47</xdr:col>
      <xdr:colOff>444499</xdr:colOff>
      <xdr:row>118</xdr:row>
      <xdr:rowOff>146213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26"/>
  <sheetViews>
    <sheetView tabSelected="1" zoomScaleNormal="10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AI4" sqref="AI4"/>
    </sheetView>
  </sheetViews>
  <sheetFormatPr defaultColWidth="8.5703125" defaultRowHeight="15" x14ac:dyDescent="0.25"/>
  <cols>
    <col min="1" max="1" width="15.140625" style="1" bestFit="1" customWidth="1"/>
    <col min="2" max="2" width="13.5703125" style="7" customWidth="1"/>
    <col min="3" max="3" width="16.42578125" customWidth="1"/>
    <col min="5" max="5" width="13.140625" style="1" customWidth="1"/>
    <col min="6" max="6" width="13.140625" bestFit="1" customWidth="1"/>
    <col min="7" max="7" width="15" bestFit="1" customWidth="1"/>
    <col min="8" max="8" width="13.5703125" customWidth="1"/>
    <col min="9" max="9" width="15.5703125" customWidth="1"/>
    <col min="10" max="10" width="14.5703125" customWidth="1"/>
    <col min="11" max="11" width="16.140625" customWidth="1"/>
    <col min="12" max="15" width="14.5703125" customWidth="1"/>
    <col min="17" max="17" width="14.5703125" customWidth="1"/>
    <col min="18" max="18" width="24.5703125" style="3" bestFit="1" customWidth="1"/>
    <col min="19" max="19" width="23.140625" style="3" bestFit="1" customWidth="1"/>
    <col min="20" max="20" width="22.42578125" style="3" bestFit="1" customWidth="1"/>
    <col min="21" max="21" width="22.5703125" style="3" bestFit="1" customWidth="1"/>
    <col min="22" max="22" width="22.42578125" style="3" bestFit="1" customWidth="1"/>
    <col min="23" max="23" width="20.5703125" style="3" customWidth="1"/>
    <col min="30" max="34" width="8.5703125" style="8" customWidth="1"/>
    <col min="35" max="35" width="17.42578125" customWidth="1"/>
    <col min="36" max="37" width="11.5703125" customWidth="1"/>
    <col min="38" max="38" width="19" bestFit="1" customWidth="1"/>
    <col min="39" max="39" width="8" style="41" customWidth="1"/>
  </cols>
  <sheetData>
    <row r="1" spans="1:55" ht="63.95" customHeight="1" x14ac:dyDescent="0.25">
      <c r="A1" s="1" t="s">
        <v>0</v>
      </c>
      <c r="B1" s="7" t="s">
        <v>1</v>
      </c>
      <c r="C1" t="s">
        <v>2</v>
      </c>
      <c r="F1" s="44" t="s">
        <v>3</v>
      </c>
      <c r="G1" s="45"/>
      <c r="H1" s="44" t="s">
        <v>4</v>
      </c>
      <c r="I1" s="45"/>
      <c r="J1" s="44" t="s">
        <v>5</v>
      </c>
      <c r="K1" s="45"/>
      <c r="L1" s="44" t="s">
        <v>6</v>
      </c>
      <c r="M1" s="45"/>
      <c r="N1" s="44" t="s">
        <v>7</v>
      </c>
      <c r="O1" s="45"/>
      <c r="Q1" s="13"/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/>
      <c r="AD1" s="8" t="s">
        <v>3</v>
      </c>
      <c r="AE1" s="8" t="s">
        <v>4</v>
      </c>
      <c r="AF1" s="8" t="s">
        <v>5</v>
      </c>
      <c r="AG1" s="8" t="s">
        <v>6</v>
      </c>
      <c r="AH1" s="8" t="s">
        <v>7</v>
      </c>
      <c r="AI1" s="8" t="s">
        <v>8</v>
      </c>
      <c r="AJ1" s="8" t="s">
        <v>9</v>
      </c>
      <c r="AK1" s="8"/>
      <c r="AL1" s="39" t="s">
        <v>10</v>
      </c>
      <c r="AM1" s="40" t="s">
        <v>11</v>
      </c>
    </row>
    <row r="2" spans="1:55" ht="51" customHeight="1" x14ac:dyDescent="0.25">
      <c r="B2" s="7" t="s">
        <v>12</v>
      </c>
      <c r="F2" s="6" t="s">
        <v>13</v>
      </c>
      <c r="G2" s="6" t="s">
        <v>14</v>
      </c>
      <c r="H2" s="6" t="s">
        <v>13</v>
      </c>
      <c r="I2" s="6" t="s">
        <v>14</v>
      </c>
      <c r="J2" s="6" t="s">
        <v>13</v>
      </c>
      <c r="K2" s="6" t="s">
        <v>14</v>
      </c>
      <c r="L2" s="6" t="s">
        <v>13</v>
      </c>
      <c r="M2" s="6" t="s">
        <v>14</v>
      </c>
      <c r="N2" s="24" t="s">
        <v>13</v>
      </c>
      <c r="O2" s="6" t="s">
        <v>14</v>
      </c>
      <c r="Q2" s="12"/>
      <c r="R2" s="3" t="s">
        <v>15</v>
      </c>
      <c r="X2" s="3" t="s">
        <v>16</v>
      </c>
      <c r="AD2" s="8" t="s">
        <v>17</v>
      </c>
    </row>
    <row r="3" spans="1:55" ht="15.95" customHeight="1" x14ac:dyDescent="0.25">
      <c r="A3" s="28">
        <v>46283</v>
      </c>
      <c r="B3" s="29">
        <v>1815.66</v>
      </c>
      <c r="C3" s="30">
        <v>8794440</v>
      </c>
      <c r="D3" s="31"/>
      <c r="E3" s="31"/>
      <c r="F3" s="30">
        <v>241200</v>
      </c>
      <c r="G3" s="30">
        <v>7762186429</v>
      </c>
      <c r="H3" s="30">
        <v>71000</v>
      </c>
      <c r="I3" s="30">
        <v>8214824008</v>
      </c>
      <c r="J3" s="30">
        <v>25500</v>
      </c>
      <c r="K3" s="30">
        <v>2272318410</v>
      </c>
      <c r="L3" s="30">
        <v>81200</v>
      </c>
      <c r="M3" s="30">
        <v>1793300377</v>
      </c>
      <c r="N3" s="30">
        <v>129000</v>
      </c>
      <c r="O3" s="30">
        <v>769092961</v>
      </c>
      <c r="P3" s="31"/>
      <c r="Q3" s="12"/>
      <c r="R3" s="32">
        <f t="shared" ref="R3:R16" si="0">G3*F3-G4*F4</f>
        <v>0</v>
      </c>
      <c r="S3" s="32">
        <f t="shared" ref="S3:S16" si="1">I3*H3-I4*H4</f>
        <v>-2464447202400</v>
      </c>
      <c r="T3" s="32">
        <f t="shared" ref="T3:T16" si="2">K3*J3-K4*J4</f>
        <v>-681695523000</v>
      </c>
      <c r="U3" s="32">
        <f t="shared" ref="U3:U16" si="3">M3*L3-M4*L4</f>
        <v>-7711191621100</v>
      </c>
      <c r="V3" s="32">
        <f t="shared" ref="V3:V16" si="4">O3*N3-O4*N4</f>
        <v>1692004514200</v>
      </c>
      <c r="W3" s="31"/>
      <c r="X3" s="33">
        <f t="shared" ref="X3:X16" si="5">R3/10^9</f>
        <v>0</v>
      </c>
      <c r="Y3" s="33">
        <f t="shared" ref="Y3:Y16" si="6">S3/10^9</f>
        <v>-2464.4472024000002</v>
      </c>
      <c r="Z3" s="33">
        <f t="shared" ref="Z3:Z16" si="7">T3/10^9</f>
        <v>-681.69552299999998</v>
      </c>
      <c r="AA3" s="33">
        <f t="shared" ref="AA3:AA16" si="8">U3/10^9</f>
        <v>-7711.1916210999998</v>
      </c>
      <c r="AB3" s="33">
        <f t="shared" ref="AB3:AB16" si="9">V3/10^9</f>
        <v>1692.0045141999999</v>
      </c>
      <c r="AC3" s="31"/>
      <c r="AD3" s="34">
        <f t="shared" ref="AD3:AD16" si="10">X3/$C4*$B4</f>
        <v>0</v>
      </c>
      <c r="AE3" s="34">
        <f t="shared" ref="AE3:AE16" si="11">Y3/$C4*$B4</f>
        <v>-0.50889268702960533</v>
      </c>
      <c r="AF3" s="34">
        <f t="shared" ref="AF3:AF16" si="12">Z3/$C4*$B4</f>
        <v>-0.1407657936829339</v>
      </c>
      <c r="AG3" s="34">
        <f t="shared" ref="AG3:AG16" si="13">AA3/$C4*$B4</f>
        <v>-1.5923120691894748</v>
      </c>
      <c r="AH3" s="35">
        <f t="shared" ref="AH3:AH16" si="14">AB3/$C4*$B4</f>
        <v>0.34938818038338504</v>
      </c>
      <c r="AI3" s="34">
        <f t="shared" ref="AI3:AI16" si="15">SUM(AD3:AG3)</f>
        <v>-2.2419705499020139</v>
      </c>
      <c r="AJ3" s="43">
        <f t="shared" ref="AJ3:AJ16" si="16">AI3+AJ4</f>
        <v>476.22379427991279</v>
      </c>
      <c r="AK3" s="36"/>
      <c r="AL3" s="37">
        <f t="shared" ref="AL3:AL16" si="17">B3-AJ3</f>
        <v>1339.4362057200874</v>
      </c>
      <c r="AM3" s="42">
        <f t="shared" ref="AM3:AM16" si="18">_xlfn.STDEV.S(AL3:AL22)</f>
        <v>14.564083719850153</v>
      </c>
      <c r="AU3" s="31"/>
      <c r="AV3" s="31"/>
      <c r="AW3" s="31"/>
      <c r="AX3" s="31"/>
      <c r="AY3" s="31"/>
      <c r="AZ3" s="31"/>
      <c r="BA3" s="31"/>
      <c r="BB3" s="31"/>
      <c r="BC3" s="31"/>
    </row>
    <row r="4" spans="1:55" ht="15.95" customHeight="1" x14ac:dyDescent="0.25">
      <c r="A4" s="28">
        <v>46282</v>
      </c>
      <c r="B4" s="29">
        <v>1822.77</v>
      </c>
      <c r="C4" s="30">
        <v>8827245</v>
      </c>
      <c r="D4" s="31"/>
      <c r="E4" s="31"/>
      <c r="F4" s="30">
        <v>241200</v>
      </c>
      <c r="G4" s="30">
        <v>7762186429</v>
      </c>
      <c r="H4" s="30">
        <v>71300</v>
      </c>
      <c r="I4" s="30">
        <v>8214824008</v>
      </c>
      <c r="J4" s="30">
        <v>25800</v>
      </c>
      <c r="K4" s="30">
        <v>2272318410</v>
      </c>
      <c r="L4" s="30">
        <v>85500</v>
      </c>
      <c r="M4" s="30">
        <v>1793300377</v>
      </c>
      <c r="N4" s="30">
        <v>126800</v>
      </c>
      <c r="O4" s="30">
        <v>769092961</v>
      </c>
      <c r="P4" s="31"/>
      <c r="Q4" s="12"/>
      <c r="R4" s="32">
        <f t="shared" si="0"/>
        <v>0</v>
      </c>
      <c r="S4" s="32">
        <f t="shared" si="1"/>
        <v>2464447202400</v>
      </c>
      <c r="T4" s="32">
        <f t="shared" si="2"/>
        <v>681695523000</v>
      </c>
      <c r="U4" s="32">
        <f t="shared" si="3"/>
        <v>2331290490100</v>
      </c>
      <c r="V4" s="32">
        <f t="shared" si="4"/>
        <v>1845823106400</v>
      </c>
      <c r="W4" s="31"/>
      <c r="X4" s="33">
        <f t="shared" si="5"/>
        <v>0</v>
      </c>
      <c r="Y4" s="33">
        <f t="shared" si="6"/>
        <v>2464.4472024000002</v>
      </c>
      <c r="Z4" s="33">
        <f t="shared" si="7"/>
        <v>681.69552299999998</v>
      </c>
      <c r="AA4" s="33">
        <f t="shared" si="8"/>
        <v>2331.2904901000002</v>
      </c>
      <c r="AB4" s="33">
        <f t="shared" si="9"/>
        <v>1845.8231063999999</v>
      </c>
      <c r="AC4" s="31"/>
      <c r="AD4" s="34">
        <f t="shared" si="10"/>
        <v>0</v>
      </c>
      <c r="AE4" s="34">
        <f t="shared" si="11"/>
        <v>0.50890050156697186</v>
      </c>
      <c r="AF4" s="34">
        <f t="shared" si="12"/>
        <v>0.14076795527727928</v>
      </c>
      <c r="AG4" s="34">
        <f t="shared" si="13"/>
        <v>0.48140406439011235</v>
      </c>
      <c r="AH4" s="35">
        <f t="shared" si="14"/>
        <v>0.3811565951731854</v>
      </c>
      <c r="AI4" s="34">
        <f t="shared" si="15"/>
        <v>1.1310725212343635</v>
      </c>
      <c r="AJ4" s="43">
        <f t="shared" si="16"/>
        <v>478.46576482981482</v>
      </c>
      <c r="AK4" s="36"/>
      <c r="AL4" s="37">
        <f t="shared" si="17"/>
        <v>1344.3042351701852</v>
      </c>
      <c r="AM4" s="42">
        <f t="shared" si="18"/>
        <v>14.791554677693012</v>
      </c>
      <c r="AU4" s="31"/>
      <c r="AV4" s="31"/>
      <c r="AW4" s="31"/>
      <c r="AX4" s="31"/>
      <c r="AY4" s="31"/>
      <c r="AZ4" s="31"/>
      <c r="BA4" s="31"/>
      <c r="BB4" s="31"/>
      <c r="BC4" s="31"/>
    </row>
    <row r="5" spans="1:55" ht="15.95" customHeight="1" x14ac:dyDescent="0.25">
      <c r="A5" s="28">
        <v>46281</v>
      </c>
      <c r="B5" s="29">
        <v>1810.11</v>
      </c>
      <c r="C5" s="30">
        <v>8765801</v>
      </c>
      <c r="D5" s="31"/>
      <c r="E5" s="31"/>
      <c r="F5" s="30">
        <v>241200</v>
      </c>
      <c r="G5" s="30">
        <v>7762186429</v>
      </c>
      <c r="H5" s="30">
        <v>71000</v>
      </c>
      <c r="I5" s="30">
        <v>8214824008</v>
      </c>
      <c r="J5" s="30">
        <v>25500</v>
      </c>
      <c r="K5" s="30">
        <v>2272318410</v>
      </c>
      <c r="L5" s="30">
        <v>84200</v>
      </c>
      <c r="M5" s="30">
        <v>1793300377</v>
      </c>
      <c r="N5" s="30">
        <v>124400</v>
      </c>
      <c r="O5" s="30">
        <v>769092961</v>
      </c>
      <c r="P5" s="31"/>
      <c r="Q5" s="12"/>
      <c r="R5" s="32">
        <f t="shared" si="0"/>
        <v>-776218642900</v>
      </c>
      <c r="S5" s="32">
        <f t="shared" si="1"/>
        <v>-3285929603200</v>
      </c>
      <c r="T5" s="32">
        <f t="shared" si="2"/>
        <v>-454463682000</v>
      </c>
      <c r="U5" s="32">
        <f t="shared" si="3"/>
        <v>-2510620527800</v>
      </c>
      <c r="V5" s="32">
        <f t="shared" si="4"/>
        <v>0</v>
      </c>
      <c r="W5" s="31"/>
      <c r="X5" s="33">
        <f t="shared" si="5"/>
        <v>-776.21864289999996</v>
      </c>
      <c r="Y5" s="33">
        <f t="shared" si="6"/>
        <v>-3285.9296032000002</v>
      </c>
      <c r="Z5" s="33">
        <f t="shared" si="7"/>
        <v>-454.46368200000001</v>
      </c>
      <c r="AA5" s="33">
        <f t="shared" si="8"/>
        <v>-2510.6205278000002</v>
      </c>
      <c r="AB5" s="33">
        <f t="shared" si="9"/>
        <v>0</v>
      </c>
      <c r="AC5" s="31"/>
      <c r="AD5" s="34">
        <f t="shared" si="10"/>
        <v>-0.16028871442208262</v>
      </c>
      <c r="AE5" s="34">
        <f t="shared" si="11"/>
        <v>-0.67854262017028932</v>
      </c>
      <c r="AF5" s="34">
        <f t="shared" si="12"/>
        <v>-9.384649545023982E-2</v>
      </c>
      <c r="AG5" s="34">
        <f t="shared" si="13"/>
        <v>-0.5184417309268321</v>
      </c>
      <c r="AH5" s="35">
        <f t="shared" si="14"/>
        <v>0</v>
      </c>
      <c r="AI5" s="34">
        <f t="shared" si="15"/>
        <v>-1.4511195609694438</v>
      </c>
      <c r="AJ5" s="43">
        <f t="shared" si="16"/>
        <v>477.33469230858043</v>
      </c>
      <c r="AK5" s="36"/>
      <c r="AL5" s="37">
        <f t="shared" si="17"/>
        <v>1332.7753076914196</v>
      </c>
      <c r="AM5" s="42">
        <f t="shared" si="18"/>
        <v>14.911330735131102</v>
      </c>
      <c r="AU5" s="31"/>
      <c r="AV5" s="31"/>
      <c r="AW5" s="31"/>
      <c r="AX5" s="31"/>
      <c r="AY5" s="31"/>
      <c r="AZ5" s="31"/>
      <c r="BA5" s="31"/>
      <c r="BB5" s="31"/>
      <c r="BC5" s="31"/>
    </row>
    <row r="6" spans="1:55" ht="15.95" customHeight="1" x14ac:dyDescent="0.25">
      <c r="A6" s="28">
        <v>46280</v>
      </c>
      <c r="B6" s="29">
        <v>1811.15</v>
      </c>
      <c r="C6" s="30">
        <v>8770726</v>
      </c>
      <c r="D6" s="31"/>
      <c r="E6" s="31"/>
      <c r="F6" s="30">
        <v>241300</v>
      </c>
      <c r="G6" s="30">
        <v>7762186429</v>
      </c>
      <c r="H6" s="30">
        <v>71400</v>
      </c>
      <c r="I6" s="30">
        <v>8214824008</v>
      </c>
      <c r="J6" s="30">
        <v>25700</v>
      </c>
      <c r="K6" s="30">
        <v>2272318410</v>
      </c>
      <c r="L6" s="30">
        <v>85600</v>
      </c>
      <c r="M6" s="30">
        <v>1793300377</v>
      </c>
      <c r="N6" s="30">
        <v>124400</v>
      </c>
      <c r="O6" s="30">
        <v>769092961</v>
      </c>
      <c r="P6" s="31"/>
      <c r="Q6" s="12"/>
      <c r="R6" s="32">
        <f t="shared" si="0"/>
        <v>-776218642900</v>
      </c>
      <c r="S6" s="32">
        <f t="shared" si="1"/>
        <v>-2464447202400</v>
      </c>
      <c r="T6" s="32">
        <f t="shared" si="2"/>
        <v>-113615920500</v>
      </c>
      <c r="U6" s="32">
        <f t="shared" si="3"/>
        <v>2510620527800</v>
      </c>
      <c r="V6" s="32">
        <f t="shared" si="4"/>
        <v>1153639441500</v>
      </c>
      <c r="W6" s="31"/>
      <c r="X6" s="33">
        <f t="shared" si="5"/>
        <v>-776.21864289999996</v>
      </c>
      <c r="Y6" s="33">
        <f t="shared" si="6"/>
        <v>-2464.4472024000002</v>
      </c>
      <c r="Z6" s="33">
        <f t="shared" si="7"/>
        <v>-113.6159205</v>
      </c>
      <c r="AA6" s="33">
        <f t="shared" si="8"/>
        <v>2510.6205278000002</v>
      </c>
      <c r="AB6" s="33">
        <f t="shared" si="9"/>
        <v>1153.6394415</v>
      </c>
      <c r="AC6" s="31"/>
      <c r="AD6" s="34">
        <f t="shared" si="10"/>
        <v>-0.16028532653123506</v>
      </c>
      <c r="AE6" s="34">
        <f t="shared" si="11"/>
        <v>-0.5088962087793637</v>
      </c>
      <c r="AF6" s="34">
        <f t="shared" si="12"/>
        <v>-2.346112797349478E-2</v>
      </c>
      <c r="AG6" s="34">
        <f t="shared" si="13"/>
        <v>0.51843077304996887</v>
      </c>
      <c r="AH6" s="35">
        <f t="shared" si="14"/>
        <v>0.2382208624741331</v>
      </c>
      <c r="AI6" s="34">
        <f t="shared" si="15"/>
        <v>-0.17421189023412464</v>
      </c>
      <c r="AJ6" s="43">
        <f t="shared" si="16"/>
        <v>478.78581186954989</v>
      </c>
      <c r="AK6" s="36"/>
      <c r="AL6" s="37">
        <f t="shared" si="17"/>
        <v>1332.3641881304502</v>
      </c>
      <c r="AM6" s="42">
        <f t="shared" si="18"/>
        <v>15.100334806893541</v>
      </c>
      <c r="AU6" s="31"/>
      <c r="AV6" s="31"/>
      <c r="AW6" s="31"/>
      <c r="AX6" s="31"/>
      <c r="AY6" s="31"/>
      <c r="AZ6" s="31"/>
      <c r="BA6" s="31"/>
      <c r="BB6" s="31"/>
      <c r="BC6" s="31"/>
    </row>
    <row r="7" spans="1:55" ht="15.95" customHeight="1" x14ac:dyDescent="0.25">
      <c r="A7" s="28">
        <v>46279</v>
      </c>
      <c r="B7" s="29">
        <v>1788.23</v>
      </c>
      <c r="C7" s="30">
        <v>8659916</v>
      </c>
      <c r="D7" s="31"/>
      <c r="E7" s="31"/>
      <c r="F7" s="30">
        <v>241400</v>
      </c>
      <c r="G7" s="30">
        <v>7762186429</v>
      </c>
      <c r="H7" s="30">
        <v>71700</v>
      </c>
      <c r="I7" s="30">
        <v>8214824008</v>
      </c>
      <c r="J7" s="30">
        <v>25750</v>
      </c>
      <c r="K7" s="30">
        <v>2272318410</v>
      </c>
      <c r="L7" s="30">
        <v>84200</v>
      </c>
      <c r="M7" s="30">
        <v>1793300377</v>
      </c>
      <c r="N7" s="30">
        <v>122900</v>
      </c>
      <c r="O7" s="30">
        <v>769092961</v>
      </c>
      <c r="P7" s="31"/>
      <c r="Q7" s="12"/>
      <c r="R7" s="32">
        <f t="shared" si="0"/>
        <v>-14748154215100</v>
      </c>
      <c r="S7" s="32">
        <f t="shared" si="1"/>
        <v>-2464447202400</v>
      </c>
      <c r="T7" s="32">
        <f t="shared" si="2"/>
        <v>340847761500</v>
      </c>
      <c r="U7" s="32">
        <f t="shared" si="3"/>
        <v>3048610640900</v>
      </c>
      <c r="V7" s="32">
        <f t="shared" si="4"/>
        <v>-1384367329800</v>
      </c>
      <c r="W7" s="31"/>
      <c r="X7" s="33">
        <f t="shared" si="5"/>
        <v>-14748.154215099999</v>
      </c>
      <c r="Y7" s="33">
        <f t="shared" si="6"/>
        <v>-2464.4472024000002</v>
      </c>
      <c r="Z7" s="33">
        <f t="shared" si="7"/>
        <v>340.84776149999999</v>
      </c>
      <c r="AA7" s="33">
        <f t="shared" si="8"/>
        <v>3048.6106408999999</v>
      </c>
      <c r="AB7" s="33">
        <f t="shared" si="9"/>
        <v>-1384.3673298000001</v>
      </c>
      <c r="AC7" s="31"/>
      <c r="AD7" s="34">
        <f t="shared" si="10"/>
        <v>-3.0448066397397922</v>
      </c>
      <c r="AE7" s="34">
        <f t="shared" si="11"/>
        <v>-0.50879351379936721</v>
      </c>
      <c r="AF7" s="34">
        <f t="shared" si="12"/>
        <v>7.0369180591634342E-2</v>
      </c>
      <c r="AG7" s="34">
        <f t="shared" si="13"/>
        <v>0.62939604414292227</v>
      </c>
      <c r="AH7" s="35">
        <f t="shared" si="14"/>
        <v>-0.28580734755934384</v>
      </c>
      <c r="AI7" s="34">
        <f t="shared" si="15"/>
        <v>-2.853834928804603</v>
      </c>
      <c r="AJ7" s="43">
        <f t="shared" si="16"/>
        <v>478.96002375978401</v>
      </c>
      <c r="AK7" s="36"/>
      <c r="AL7" s="37">
        <f t="shared" si="17"/>
        <v>1309.269976240216</v>
      </c>
      <c r="AM7" s="42">
        <f t="shared" si="18"/>
        <v>15.101624647278484</v>
      </c>
      <c r="AU7" s="31"/>
      <c r="AV7" s="31"/>
      <c r="AW7" s="31"/>
      <c r="AX7" s="31"/>
      <c r="AY7" s="31"/>
      <c r="AZ7" s="31"/>
      <c r="BA7" s="31"/>
      <c r="BB7" s="31"/>
      <c r="BC7" s="31"/>
    </row>
    <row r="8" spans="1:55" ht="15.95" customHeight="1" x14ac:dyDescent="0.25">
      <c r="A8" s="28">
        <v>46276</v>
      </c>
      <c r="B8" s="29">
        <v>1795.21</v>
      </c>
      <c r="C8" s="30">
        <f>AVERAGE(C3/B3,C13/B13)*B8</f>
        <v>8695473.0007920302</v>
      </c>
      <c r="D8" s="31"/>
      <c r="E8" s="31"/>
      <c r="F8" s="4">
        <v>243300</v>
      </c>
      <c r="G8" s="4">
        <v>7762186429</v>
      </c>
      <c r="H8" s="4">
        <v>72000</v>
      </c>
      <c r="I8" s="4">
        <v>8214824008</v>
      </c>
      <c r="J8" s="4">
        <v>25600</v>
      </c>
      <c r="K8" s="4">
        <v>2272318410</v>
      </c>
      <c r="L8" s="4">
        <v>82500</v>
      </c>
      <c r="M8" s="4">
        <v>1793300377</v>
      </c>
      <c r="N8" s="4">
        <v>124700</v>
      </c>
      <c r="O8" s="4">
        <v>769092961</v>
      </c>
      <c r="P8" s="31"/>
      <c r="Q8" s="12"/>
      <c r="R8" s="32">
        <f t="shared" si="0"/>
        <v>-34153620287600</v>
      </c>
      <c r="S8" s="32">
        <f t="shared" si="1"/>
        <v>-9036306408800</v>
      </c>
      <c r="T8" s="32">
        <f t="shared" si="2"/>
        <v>-1931470648500</v>
      </c>
      <c r="U8" s="32">
        <f>M8*L8-M9*L9</f>
        <v>-2689950565500</v>
      </c>
      <c r="V8" s="32">
        <f t="shared" si="4"/>
        <v>-384546480500</v>
      </c>
      <c r="W8" s="31"/>
      <c r="X8" s="33">
        <f t="shared" si="5"/>
        <v>-34153.620287600002</v>
      </c>
      <c r="Y8" s="33">
        <f t="shared" si="6"/>
        <v>-9036.3064087999992</v>
      </c>
      <c r="Z8" s="33">
        <f t="shared" si="7"/>
        <v>-1931.4706484999999</v>
      </c>
      <c r="AA8" s="33">
        <f t="shared" si="8"/>
        <v>-2689.9505654999998</v>
      </c>
      <c r="AB8" s="33">
        <f t="shared" si="9"/>
        <v>-384.54648049999997</v>
      </c>
      <c r="AC8" s="31"/>
      <c r="AD8" s="34">
        <f t="shared" si="10"/>
        <v>-7.0517306473582044</v>
      </c>
      <c r="AE8" s="34">
        <f t="shared" si="11"/>
        <v>-1.8657348270920908</v>
      </c>
      <c r="AF8" s="34">
        <f t="shared" si="12"/>
        <v>-0.39879259217053786</v>
      </c>
      <c r="AG8" s="34">
        <f t="shared" si="13"/>
        <v>-0.55539666608935745</v>
      </c>
      <c r="AH8" s="35">
        <f t="shared" si="14"/>
        <v>-7.9397679632226728E-2</v>
      </c>
      <c r="AI8" s="34">
        <f t="shared" si="15"/>
        <v>-9.8716547327101924</v>
      </c>
      <c r="AJ8" s="43">
        <f t="shared" si="16"/>
        <v>481.8138586885886</v>
      </c>
      <c r="AK8" s="36"/>
      <c r="AL8" s="37">
        <f t="shared" si="17"/>
        <v>1313.3961413114114</v>
      </c>
      <c r="AM8" s="42">
        <f t="shared" si="18"/>
        <v>13.888539242723672</v>
      </c>
      <c r="AU8" s="31"/>
      <c r="AV8" s="31"/>
      <c r="AW8" s="31"/>
      <c r="AX8" s="31"/>
      <c r="AY8" s="31"/>
      <c r="AZ8" s="31"/>
      <c r="BA8" s="31"/>
      <c r="BB8" s="31"/>
      <c r="BC8" s="31"/>
    </row>
    <row r="9" spans="1:55" ht="15.95" customHeight="1" x14ac:dyDescent="0.25">
      <c r="A9" s="28">
        <v>46275</v>
      </c>
      <c r="B9" s="29">
        <v>1829.23</v>
      </c>
      <c r="C9" s="30">
        <f t="shared" ref="C9:C12" si="19">AVERAGE(C4/B4,C14/B14)*B9</f>
        <v>8859502.7182570491</v>
      </c>
      <c r="D9" s="31"/>
      <c r="E9" s="31"/>
      <c r="F9" s="4">
        <v>247700</v>
      </c>
      <c r="G9" s="4">
        <v>7762186429</v>
      </c>
      <c r="H9" s="4">
        <v>73100</v>
      </c>
      <c r="I9" s="4">
        <v>8214824008</v>
      </c>
      <c r="J9" s="4">
        <v>26450</v>
      </c>
      <c r="K9" s="4">
        <v>2272318410</v>
      </c>
      <c r="L9" s="4">
        <v>84000</v>
      </c>
      <c r="M9" s="4">
        <v>1793300377</v>
      </c>
      <c r="N9" s="4">
        <v>125200</v>
      </c>
      <c r="O9" s="4">
        <v>769092961</v>
      </c>
      <c r="P9" s="31"/>
      <c r="Q9" s="12"/>
      <c r="R9" s="32">
        <f t="shared" si="0"/>
        <v>0</v>
      </c>
      <c r="S9" s="32">
        <f t="shared" si="1"/>
        <v>8214824008000</v>
      </c>
      <c r="T9" s="32">
        <f t="shared" si="2"/>
        <v>340847761500</v>
      </c>
      <c r="U9" s="32">
        <f t="shared" si="3"/>
        <v>-3407270716300</v>
      </c>
      <c r="V9" s="32">
        <f t="shared" si="4"/>
        <v>153818592200</v>
      </c>
      <c r="W9" s="31"/>
      <c r="X9" s="33">
        <f t="shared" si="5"/>
        <v>0</v>
      </c>
      <c r="Y9" s="33">
        <f t="shared" si="6"/>
        <v>8214.8240079999996</v>
      </c>
      <c r="Z9" s="33">
        <f t="shared" si="7"/>
        <v>340.84776149999999</v>
      </c>
      <c r="AA9" s="33">
        <f t="shared" si="8"/>
        <v>-3407.2707163</v>
      </c>
      <c r="AB9" s="33">
        <f t="shared" si="9"/>
        <v>153.81859220000001</v>
      </c>
      <c r="AC9" s="31"/>
      <c r="AD9" s="34">
        <f t="shared" si="10"/>
        <v>0</v>
      </c>
      <c r="AE9" s="34">
        <f t="shared" si="11"/>
        <v>1.6961484488163847</v>
      </c>
      <c r="AF9" s="34">
        <f t="shared" si="12"/>
        <v>7.0376237079181739E-2</v>
      </c>
      <c r="AG9" s="34">
        <f t="shared" si="13"/>
        <v>-0.70351317746084785</v>
      </c>
      <c r="AH9" s="35">
        <f t="shared" si="14"/>
        <v>3.1759556419598718E-2</v>
      </c>
      <c r="AI9" s="34">
        <f t="shared" si="15"/>
        <v>1.0630115084347187</v>
      </c>
      <c r="AJ9" s="43">
        <f t="shared" si="16"/>
        <v>491.68551342129877</v>
      </c>
      <c r="AK9" s="36"/>
      <c r="AL9" s="37">
        <f t="shared" si="17"/>
        <v>1337.5444865787013</v>
      </c>
      <c r="AM9" s="42">
        <f t="shared" si="18"/>
        <v>12.455721549372562</v>
      </c>
      <c r="AU9" s="31"/>
      <c r="AV9" s="31"/>
      <c r="AW9" s="31"/>
      <c r="AX9" s="31"/>
      <c r="AY9" s="31"/>
      <c r="AZ9" s="31"/>
      <c r="BA9" s="31"/>
      <c r="BB9" s="31"/>
      <c r="BC9" s="31"/>
    </row>
    <row r="10" spans="1:55" ht="15.95" customHeight="1" x14ac:dyDescent="0.25">
      <c r="A10" s="28">
        <v>46274</v>
      </c>
      <c r="B10" s="29">
        <v>1827.12</v>
      </c>
      <c r="C10" s="30">
        <f t="shared" si="19"/>
        <v>8849148.3466384951</v>
      </c>
      <c r="D10" s="31"/>
      <c r="E10" s="31"/>
      <c r="F10" s="4">
        <v>247700</v>
      </c>
      <c r="G10" s="4">
        <v>7762186429</v>
      </c>
      <c r="H10" s="4">
        <v>72100</v>
      </c>
      <c r="I10" s="4">
        <v>8214824008</v>
      </c>
      <c r="J10" s="4">
        <v>26300</v>
      </c>
      <c r="K10" s="4">
        <v>2272318410</v>
      </c>
      <c r="L10" s="4">
        <v>85900</v>
      </c>
      <c r="M10" s="4">
        <v>1793300377</v>
      </c>
      <c r="N10" s="4">
        <v>125000</v>
      </c>
      <c r="O10" s="4">
        <v>769092961</v>
      </c>
      <c r="P10" s="31"/>
      <c r="Q10" s="12"/>
      <c r="R10" s="32">
        <f t="shared" si="0"/>
        <v>-14748154215100</v>
      </c>
      <c r="S10" s="32">
        <f t="shared" si="1"/>
        <v>-12322236012000</v>
      </c>
      <c r="T10" s="32">
        <f t="shared" si="2"/>
        <v>227231841000</v>
      </c>
      <c r="U10" s="32">
        <f t="shared" si="3"/>
        <v>6097221281800</v>
      </c>
      <c r="V10" s="32">
        <f t="shared" si="4"/>
        <v>-769092961000</v>
      </c>
      <c r="W10" s="31"/>
      <c r="X10" s="33">
        <f t="shared" si="5"/>
        <v>-14748.154215099999</v>
      </c>
      <c r="Y10" s="33">
        <f t="shared" si="6"/>
        <v>-12322.236011999999</v>
      </c>
      <c r="Z10" s="33">
        <f t="shared" si="7"/>
        <v>227.231841</v>
      </c>
      <c r="AA10" s="33">
        <f t="shared" si="8"/>
        <v>6097.2212817999998</v>
      </c>
      <c r="AB10" s="33">
        <f t="shared" si="9"/>
        <v>-769.09296099999995</v>
      </c>
      <c r="AC10" s="31"/>
      <c r="AD10" s="34">
        <f t="shared" si="10"/>
        <v>-3.0451313029369844</v>
      </c>
      <c r="AE10" s="34">
        <f t="shared" si="11"/>
        <v>-2.5442388284698421</v>
      </c>
      <c r="AF10" s="34">
        <f>Z10/$C11*$B11</f>
        <v>4.6917789301704003E-2</v>
      </c>
      <c r="AG10" s="34">
        <f t="shared" si="13"/>
        <v>1.2589263114114277</v>
      </c>
      <c r="AH10" s="35">
        <f t="shared" si="14"/>
        <v>-0.15879879042841386</v>
      </c>
      <c r="AI10" s="34">
        <f t="shared" si="15"/>
        <v>-4.2835260306936949</v>
      </c>
      <c r="AJ10" s="43">
        <f t="shared" si="16"/>
        <v>490.62250191286404</v>
      </c>
      <c r="AK10" s="36"/>
      <c r="AL10" s="37">
        <f t="shared" si="17"/>
        <v>1336.4974980871359</v>
      </c>
      <c r="AM10" s="42">
        <f t="shared" si="18"/>
        <v>12.62920376004721</v>
      </c>
      <c r="AU10" s="31"/>
      <c r="AV10" s="31"/>
      <c r="AW10" s="31"/>
      <c r="AX10" s="31"/>
      <c r="AY10" s="31"/>
      <c r="AZ10" s="31"/>
      <c r="BA10" s="31"/>
      <c r="BB10" s="31"/>
      <c r="BC10" s="31"/>
    </row>
    <row r="11" spans="1:55" ht="15.95" customHeight="1" x14ac:dyDescent="0.25">
      <c r="A11" s="28">
        <v>46273</v>
      </c>
      <c r="B11" s="29">
        <v>1830.44</v>
      </c>
      <c r="C11" s="30">
        <f t="shared" si="19"/>
        <v>8865171.5528492238</v>
      </c>
      <c r="D11" s="31"/>
      <c r="E11" s="31"/>
      <c r="F11" s="4">
        <v>249600</v>
      </c>
      <c r="G11" s="4">
        <v>7762186429</v>
      </c>
      <c r="H11" s="4">
        <v>73600</v>
      </c>
      <c r="I11" s="4">
        <v>8214824008</v>
      </c>
      <c r="J11" s="4">
        <v>26200</v>
      </c>
      <c r="K11" s="4">
        <v>2272318410</v>
      </c>
      <c r="L11" s="4">
        <v>82500</v>
      </c>
      <c r="M11" s="4">
        <v>1793300377</v>
      </c>
      <c r="N11" s="4">
        <v>126000</v>
      </c>
      <c r="O11" s="4">
        <v>769092961</v>
      </c>
      <c r="P11" s="31"/>
      <c r="Q11" s="12"/>
      <c r="R11" s="32">
        <f t="shared" si="0"/>
        <v>35706057573400</v>
      </c>
      <c r="S11" s="32">
        <f t="shared" si="1"/>
        <v>-7393341607200</v>
      </c>
      <c r="T11" s="32">
        <f t="shared" si="2"/>
        <v>-1817854728000</v>
      </c>
      <c r="U11" s="32">
        <f t="shared" si="3"/>
        <v>2510620527800</v>
      </c>
      <c r="V11" s="32">
        <f t="shared" si="4"/>
        <v>769092961000</v>
      </c>
      <c r="W11" s="31"/>
      <c r="X11" s="33">
        <f t="shared" si="5"/>
        <v>35706.057573400001</v>
      </c>
      <c r="Y11" s="33">
        <f t="shared" si="6"/>
        <v>-7393.3416072</v>
      </c>
      <c r="Z11" s="33">
        <f t="shared" si="7"/>
        <v>-1817.854728</v>
      </c>
      <c r="AA11" s="33">
        <f t="shared" si="8"/>
        <v>2510.6205278000002</v>
      </c>
      <c r="AB11" s="33">
        <f t="shared" si="9"/>
        <v>769.09296099999995</v>
      </c>
      <c r="AC11" s="31"/>
      <c r="AD11" s="34">
        <f t="shared" si="10"/>
        <v>7.3723452502937601</v>
      </c>
      <c r="AE11" s="34">
        <f t="shared" si="11"/>
        <v>-1.5265271661424133</v>
      </c>
      <c r="AF11" s="34">
        <f t="shared" si="12"/>
        <v>-0.37533834818209821</v>
      </c>
      <c r="AG11" s="34">
        <f t="shared" si="13"/>
        <v>0.51837594462417336</v>
      </c>
      <c r="AH11" s="35">
        <f t="shared" si="14"/>
        <v>0.1587971124061234</v>
      </c>
      <c r="AI11" s="34">
        <f t="shared" si="15"/>
        <v>5.9888556805934217</v>
      </c>
      <c r="AJ11" s="43">
        <f t="shared" si="16"/>
        <v>494.90602794355772</v>
      </c>
      <c r="AK11" s="36"/>
      <c r="AL11" s="37">
        <f t="shared" si="17"/>
        <v>1335.5339720564423</v>
      </c>
      <c r="AM11" s="42">
        <f t="shared" si="18"/>
        <v>12.818005021794411</v>
      </c>
      <c r="AU11" s="31"/>
      <c r="AV11" s="31"/>
      <c r="AW11" s="31"/>
      <c r="AX11" s="31"/>
      <c r="AY11" s="31"/>
      <c r="AZ11" s="31"/>
      <c r="BA11" s="31"/>
      <c r="BB11" s="31"/>
      <c r="BC11" s="31"/>
    </row>
    <row r="12" spans="1:55" ht="15.95" customHeight="1" x14ac:dyDescent="0.25">
      <c r="A12" s="28">
        <v>46272</v>
      </c>
      <c r="B12" s="29">
        <v>1821.64</v>
      </c>
      <c r="C12" s="30">
        <f t="shared" si="19"/>
        <v>8822644.695786139</v>
      </c>
      <c r="D12" s="31"/>
      <c r="E12" s="31"/>
      <c r="F12" s="4">
        <v>245000</v>
      </c>
      <c r="G12" s="4">
        <v>7762186429</v>
      </c>
      <c r="H12" s="4">
        <v>74500</v>
      </c>
      <c r="I12" s="4">
        <v>8214824008</v>
      </c>
      <c r="J12" s="4">
        <v>27000</v>
      </c>
      <c r="K12" s="4">
        <v>2272318410</v>
      </c>
      <c r="L12" s="4">
        <v>81100</v>
      </c>
      <c r="M12" s="4">
        <v>1793300377</v>
      </c>
      <c r="N12" s="4">
        <v>125000</v>
      </c>
      <c r="O12" s="4">
        <v>769092961</v>
      </c>
      <c r="P12" s="31"/>
      <c r="Q12" s="12"/>
      <c r="R12" s="32">
        <f t="shared" si="0"/>
        <v>-86160269361900</v>
      </c>
      <c r="S12" s="32">
        <f t="shared" si="1"/>
        <v>-5750376805600</v>
      </c>
      <c r="T12" s="32">
        <f t="shared" si="2"/>
        <v>1136159205000</v>
      </c>
      <c r="U12" s="32">
        <f t="shared" si="3"/>
        <v>6455881357200</v>
      </c>
      <c r="V12" s="32">
        <f t="shared" si="4"/>
        <v>384546480500</v>
      </c>
      <c r="W12" s="31"/>
      <c r="X12" s="33">
        <f t="shared" si="5"/>
        <v>-86160.269361900006</v>
      </c>
      <c r="Y12" s="33">
        <f t="shared" si="6"/>
        <v>-5750.3768055999999</v>
      </c>
      <c r="Z12" s="33">
        <f t="shared" si="7"/>
        <v>1136.1592049999999</v>
      </c>
      <c r="AA12" s="33">
        <f t="shared" si="8"/>
        <v>6455.8813571999999</v>
      </c>
      <c r="AB12" s="33">
        <f t="shared" si="9"/>
        <v>384.54648049999997</v>
      </c>
      <c r="AC12" s="31"/>
      <c r="AD12" s="34">
        <f t="shared" si="10"/>
        <v>-17.787905274125571</v>
      </c>
      <c r="AE12" s="34">
        <f t="shared" si="11"/>
        <v>-1.1871731444908049</v>
      </c>
      <c r="AF12" s="34">
        <f t="shared" si="12"/>
        <v>0.23456161946265466</v>
      </c>
      <c r="AG12" s="34">
        <f t="shared" si="13"/>
        <v>1.3328255226375543</v>
      </c>
      <c r="AH12" s="35">
        <f t="shared" si="14"/>
        <v>7.9390146053293781E-2</v>
      </c>
      <c r="AI12" s="34">
        <f t="shared" si="15"/>
        <v>-17.407691276516168</v>
      </c>
      <c r="AJ12" s="43">
        <f t="shared" si="16"/>
        <v>488.9171722629643</v>
      </c>
      <c r="AK12" s="36"/>
      <c r="AL12" s="37">
        <f t="shared" si="17"/>
        <v>1332.7228277370359</v>
      </c>
      <c r="AM12" s="42">
        <f t="shared" si="18"/>
        <v>14.260566154601658</v>
      </c>
      <c r="AU12" s="31"/>
      <c r="AV12" s="31"/>
      <c r="AW12" s="31"/>
      <c r="AX12" s="31"/>
      <c r="AY12" s="31"/>
      <c r="AZ12" s="31"/>
      <c r="BA12" s="31"/>
      <c r="BB12" s="31"/>
      <c r="BC12" s="31"/>
    </row>
    <row r="13" spans="1:55" ht="15.95" customHeight="1" x14ac:dyDescent="0.25">
      <c r="A13" s="28">
        <v>46269</v>
      </c>
      <c r="B13" s="29">
        <v>1853.08</v>
      </c>
      <c r="C13" s="30">
        <v>8975867</v>
      </c>
      <c r="D13" s="31"/>
      <c r="E13" s="31"/>
      <c r="F13" s="30">
        <v>256100</v>
      </c>
      <c r="G13" s="30">
        <v>7762186429</v>
      </c>
      <c r="H13" s="30">
        <v>75200</v>
      </c>
      <c r="I13" s="30">
        <v>8214824008</v>
      </c>
      <c r="J13" s="30">
        <v>26500</v>
      </c>
      <c r="K13" s="30">
        <v>2272318410</v>
      </c>
      <c r="L13" s="30">
        <v>77500</v>
      </c>
      <c r="M13" s="30">
        <v>1793300377</v>
      </c>
      <c r="N13" s="30">
        <v>124500</v>
      </c>
      <c r="O13" s="30">
        <v>769092961</v>
      </c>
      <c r="P13" s="31"/>
      <c r="Q13" s="12"/>
      <c r="R13" s="32">
        <f t="shared" si="0"/>
        <v>90041362576400</v>
      </c>
      <c r="S13" s="32">
        <f t="shared" si="1"/>
        <v>14786683214400</v>
      </c>
      <c r="T13" s="32">
        <f t="shared" si="2"/>
        <v>454463682000</v>
      </c>
      <c r="U13" s="32">
        <f t="shared" si="3"/>
        <v>1613970339300</v>
      </c>
      <c r="V13" s="32">
        <f t="shared" si="4"/>
        <v>-846002257100</v>
      </c>
      <c r="W13" s="31"/>
      <c r="X13" s="33">
        <f t="shared" si="5"/>
        <v>90041.362576400003</v>
      </c>
      <c r="Y13" s="33">
        <f t="shared" si="6"/>
        <v>14786.6832144</v>
      </c>
      <c r="Z13" s="33">
        <f t="shared" si="7"/>
        <v>454.46368200000001</v>
      </c>
      <c r="AA13" s="33">
        <f t="shared" si="8"/>
        <v>1613.9703393</v>
      </c>
      <c r="AB13" s="33">
        <f t="shared" si="9"/>
        <v>-846.00225709999995</v>
      </c>
      <c r="AC13" s="31"/>
      <c r="AD13" s="34">
        <f t="shared" si="10"/>
        <v>18.588883746636263</v>
      </c>
      <c r="AE13" s="34">
        <f t="shared" si="11"/>
        <v>3.0526852038427816</v>
      </c>
      <c r="AF13" s="34">
        <f t="shared" si="12"/>
        <v>9.382324200834008E-2</v>
      </c>
      <c r="AG13" s="34">
        <f t="shared" si="13"/>
        <v>0.33320138822099904</v>
      </c>
      <c r="AH13" s="35">
        <f t="shared" si="14"/>
        <v>-0.17465570440785022</v>
      </c>
      <c r="AI13" s="34">
        <f t="shared" si="15"/>
        <v>22.068593580708384</v>
      </c>
      <c r="AJ13" s="43">
        <f t="shared" si="16"/>
        <v>506.32486353948048</v>
      </c>
      <c r="AK13" s="36"/>
      <c r="AL13" s="37">
        <f t="shared" si="17"/>
        <v>1346.7551364605195</v>
      </c>
      <c r="AM13" s="42">
        <f t="shared" si="18"/>
        <v>14.658347798035132</v>
      </c>
      <c r="AU13" s="31"/>
      <c r="AV13" s="31"/>
      <c r="AW13" s="31"/>
      <c r="AX13" s="31"/>
      <c r="AY13" s="31"/>
      <c r="AZ13" s="31"/>
      <c r="BA13" s="31"/>
      <c r="BB13" s="31"/>
      <c r="BC13" s="31"/>
    </row>
    <row r="14" spans="1:55" ht="15.95" customHeight="1" x14ac:dyDescent="0.25">
      <c r="A14" s="28">
        <v>46268</v>
      </c>
      <c r="B14" s="29">
        <v>1827.72</v>
      </c>
      <c r="C14" s="30">
        <v>8853162</v>
      </c>
      <c r="D14" s="31"/>
      <c r="E14" s="31"/>
      <c r="F14" s="30">
        <v>244500</v>
      </c>
      <c r="G14" s="30">
        <v>7762186429</v>
      </c>
      <c r="H14" s="30">
        <v>73400</v>
      </c>
      <c r="I14" s="30">
        <v>8214824008</v>
      </c>
      <c r="J14" s="30">
        <v>26300</v>
      </c>
      <c r="K14" s="30">
        <v>2272318410</v>
      </c>
      <c r="L14" s="30">
        <v>76600</v>
      </c>
      <c r="M14" s="30">
        <v>1793300377</v>
      </c>
      <c r="N14" s="30">
        <v>125600</v>
      </c>
      <c r="O14" s="30">
        <v>769092961</v>
      </c>
      <c r="P14" s="31"/>
      <c r="Q14" s="12"/>
      <c r="R14" s="32">
        <f t="shared" si="0"/>
        <v>65978584646500</v>
      </c>
      <c r="S14" s="32">
        <f t="shared" si="1"/>
        <v>3285929603200</v>
      </c>
      <c r="T14" s="32">
        <f t="shared" si="2"/>
        <v>454463682000</v>
      </c>
      <c r="U14" s="32">
        <f t="shared" si="3"/>
        <v>-1793300377000</v>
      </c>
      <c r="V14" s="32">
        <f t="shared" si="4"/>
        <v>461455776600</v>
      </c>
      <c r="W14" s="31"/>
      <c r="X14" s="33">
        <f t="shared" si="5"/>
        <v>65978.584646500007</v>
      </c>
      <c r="Y14" s="33">
        <f t="shared" si="6"/>
        <v>3285.9296032000002</v>
      </c>
      <c r="Z14" s="33">
        <f t="shared" si="7"/>
        <v>454.46368200000001</v>
      </c>
      <c r="AA14" s="33">
        <f t="shared" si="8"/>
        <v>-1793.300377</v>
      </c>
      <c r="AB14" s="33">
        <f t="shared" si="9"/>
        <v>461.45577659999998</v>
      </c>
      <c r="AC14" s="31"/>
      <c r="AD14" s="34">
        <f t="shared" si="10"/>
        <v>13.621371300668766</v>
      </c>
      <c r="AE14" s="34">
        <f t="shared" si="11"/>
        <v>0.67838477337541259</v>
      </c>
      <c r="AF14" s="34">
        <f t="shared" si="12"/>
        <v>9.3824664296120852E-2</v>
      </c>
      <c r="AG14" s="34">
        <f t="shared" si="13"/>
        <v>-0.37022937699592012</v>
      </c>
      <c r="AH14" s="35">
        <f t="shared" si="14"/>
        <v>9.5268192029040369E-2</v>
      </c>
      <c r="AI14" s="34">
        <f t="shared" si="15"/>
        <v>14.023351361344378</v>
      </c>
      <c r="AJ14" s="43">
        <f t="shared" si="16"/>
        <v>484.25626995877207</v>
      </c>
      <c r="AK14" s="36"/>
      <c r="AL14" s="37">
        <f t="shared" si="17"/>
        <v>1343.463730041228</v>
      </c>
      <c r="AM14" s="42">
        <f t="shared" si="18"/>
        <v>14.86300496338651</v>
      </c>
      <c r="AU14" s="31"/>
      <c r="AV14" s="31"/>
      <c r="AW14" s="31"/>
      <c r="AX14" s="31"/>
      <c r="AY14" s="31"/>
      <c r="AZ14" s="31"/>
      <c r="BA14" s="31"/>
      <c r="BB14" s="31"/>
      <c r="BC14" s="31"/>
    </row>
    <row r="15" spans="1:55" ht="15.95" customHeight="1" x14ac:dyDescent="0.25">
      <c r="A15" s="10">
        <v>46262</v>
      </c>
      <c r="B15" s="20">
        <v>1832.12</v>
      </c>
      <c r="C15" s="4">
        <f>C16*(B15/B16)</f>
        <v>8874340.3167205881</v>
      </c>
      <c r="D15" s="31"/>
      <c r="E15" s="31"/>
      <c r="F15" s="4">
        <v>236000</v>
      </c>
      <c r="G15" s="4">
        <v>7762186429</v>
      </c>
      <c r="H15" s="4">
        <v>73000</v>
      </c>
      <c r="I15" s="4">
        <v>8214824008</v>
      </c>
      <c r="J15" s="4">
        <v>26100</v>
      </c>
      <c r="K15" s="4">
        <v>2272318410</v>
      </c>
      <c r="L15" s="4">
        <v>77600</v>
      </c>
      <c r="M15" s="4">
        <v>1793300377</v>
      </c>
      <c r="N15" s="4">
        <v>125000</v>
      </c>
      <c r="O15" s="4">
        <v>769092961</v>
      </c>
      <c r="P15" s="31"/>
      <c r="Q15" s="12"/>
      <c r="R15" s="32">
        <f t="shared" si="0"/>
        <v>0</v>
      </c>
      <c r="S15" s="32">
        <f t="shared" si="1"/>
        <v>-6571859206400</v>
      </c>
      <c r="T15" s="32">
        <f t="shared" si="2"/>
        <v>227231841000</v>
      </c>
      <c r="U15" s="32">
        <f t="shared" si="3"/>
        <v>179330037700</v>
      </c>
      <c r="V15" s="32">
        <f t="shared" si="4"/>
        <v>-1153639441500</v>
      </c>
      <c r="W15" s="31"/>
      <c r="X15" s="33">
        <f t="shared" si="5"/>
        <v>0</v>
      </c>
      <c r="Y15" s="33">
        <f t="shared" si="6"/>
        <v>-6571.8592064000004</v>
      </c>
      <c r="Z15" s="33">
        <f t="shared" si="7"/>
        <v>227.231841</v>
      </c>
      <c r="AA15" s="33">
        <f t="shared" si="8"/>
        <v>179.33003769999999</v>
      </c>
      <c r="AB15" s="33">
        <f t="shared" si="9"/>
        <v>-1153.6394415</v>
      </c>
      <c r="AC15" s="31"/>
      <c r="AD15" s="34">
        <f t="shared" si="10"/>
        <v>0</v>
      </c>
      <c r="AE15" s="34">
        <f t="shared" si="11"/>
        <v>-1.3567695467508254</v>
      </c>
      <c r="AF15" s="34">
        <f t="shared" si="12"/>
        <v>4.6912332148060426E-2</v>
      </c>
      <c r="AG15" s="34">
        <f t="shared" si="13"/>
        <v>3.7022937699592015E-2</v>
      </c>
      <c r="AH15" s="35">
        <f t="shared" si="14"/>
        <v>-0.23817048007260092</v>
      </c>
      <c r="AI15" s="34">
        <f t="shared" si="15"/>
        <v>-1.2728342769031729</v>
      </c>
      <c r="AJ15" s="43">
        <f t="shared" si="16"/>
        <v>470.23291859742767</v>
      </c>
      <c r="AK15" s="36"/>
      <c r="AL15" s="37">
        <f t="shared" si="17"/>
        <v>1361.8870814025722</v>
      </c>
      <c r="AM15" s="42">
        <f t="shared" si="18"/>
        <v>15.126922007561864</v>
      </c>
      <c r="AU15" s="31"/>
      <c r="AV15" s="31"/>
      <c r="AW15" s="31"/>
      <c r="AX15" s="31"/>
      <c r="AY15" s="31"/>
      <c r="AZ15" s="31"/>
      <c r="BA15" s="31"/>
      <c r="BB15" s="31"/>
      <c r="BC15" s="31"/>
    </row>
    <row r="16" spans="1:55" ht="15.95" customHeight="1" x14ac:dyDescent="0.25">
      <c r="A16" s="10">
        <v>46261</v>
      </c>
      <c r="B16" s="20">
        <v>1831.56</v>
      </c>
      <c r="C16" s="4">
        <f>C17*(B16/B17)</f>
        <v>8871627.8139492832</v>
      </c>
      <c r="D16" s="31"/>
      <c r="E16" s="31"/>
      <c r="F16" s="4">
        <v>236000</v>
      </c>
      <c r="G16" s="4">
        <v>7762186429</v>
      </c>
      <c r="H16" s="4">
        <v>73800</v>
      </c>
      <c r="I16" s="4">
        <v>8214824008</v>
      </c>
      <c r="J16" s="4">
        <v>26000</v>
      </c>
      <c r="K16" s="4">
        <v>2272318410</v>
      </c>
      <c r="L16" s="4">
        <v>77500</v>
      </c>
      <c r="M16" s="4">
        <v>1793300377</v>
      </c>
      <c r="N16" s="4">
        <v>126500</v>
      </c>
      <c r="O16" s="4">
        <v>769092961</v>
      </c>
      <c r="P16" s="31"/>
      <c r="Q16" s="12"/>
      <c r="R16" s="32">
        <f t="shared" si="0"/>
        <v>46573118574000</v>
      </c>
      <c r="S16" s="32">
        <f t="shared" si="1"/>
        <v>1642964801600</v>
      </c>
      <c r="T16" s="32">
        <f t="shared" si="2"/>
        <v>908927364000</v>
      </c>
      <c r="U16" s="32">
        <f t="shared" si="3"/>
        <v>4124590867100</v>
      </c>
      <c r="V16" s="32">
        <f t="shared" si="4"/>
        <v>-384546480500</v>
      </c>
      <c r="W16" s="31"/>
      <c r="X16" s="33">
        <f t="shared" si="5"/>
        <v>46573.118574</v>
      </c>
      <c r="Y16" s="33">
        <f t="shared" si="6"/>
        <v>1642.9648016000001</v>
      </c>
      <c r="Z16" s="33">
        <f t="shared" si="7"/>
        <v>908.92736400000001</v>
      </c>
      <c r="AA16" s="33">
        <f t="shared" si="8"/>
        <v>4124.5908670999997</v>
      </c>
      <c r="AB16" s="33">
        <f t="shared" si="9"/>
        <v>-384.54648049999997</v>
      </c>
      <c r="AC16" s="31"/>
      <c r="AD16" s="34">
        <f t="shared" si="10"/>
        <v>9.6150856240014821</v>
      </c>
      <c r="AE16" s="34">
        <f t="shared" si="11"/>
        <v>0.3391923866877064</v>
      </c>
      <c r="AF16" s="34">
        <f t="shared" si="12"/>
        <v>0.18764932859224173</v>
      </c>
      <c r="AG16" s="34">
        <f t="shared" si="13"/>
        <v>0.85152756709061639</v>
      </c>
      <c r="AH16" s="35">
        <f t="shared" si="14"/>
        <v>-7.9390160024200324E-2</v>
      </c>
      <c r="AI16" s="34">
        <f t="shared" si="15"/>
        <v>10.993454906372047</v>
      </c>
      <c r="AJ16" s="43">
        <f t="shared" si="16"/>
        <v>471.50575287433082</v>
      </c>
      <c r="AK16" s="36"/>
      <c r="AL16" s="37">
        <f t="shared" si="17"/>
        <v>1360.054247125669</v>
      </c>
      <c r="AM16" s="42">
        <f t="shared" si="18"/>
        <v>16.685526114917764</v>
      </c>
      <c r="AU16" s="31"/>
      <c r="AV16" s="31"/>
      <c r="AW16" s="31"/>
      <c r="AX16" s="31"/>
      <c r="AY16" s="31"/>
      <c r="AZ16" s="31"/>
      <c r="BA16" s="31"/>
      <c r="BB16" s="31"/>
      <c r="BC16" s="31"/>
    </row>
    <row r="17" spans="1:55" ht="15.95" customHeight="1" x14ac:dyDescent="0.25">
      <c r="A17" s="10">
        <v>46260</v>
      </c>
      <c r="B17" s="20">
        <v>1821.32</v>
      </c>
      <c r="C17" s="4">
        <f>C18*(B17/B18)</f>
        <v>8822027.7632739879</v>
      </c>
      <c r="D17" s="31"/>
      <c r="E17" s="31"/>
      <c r="F17" s="4">
        <v>230000</v>
      </c>
      <c r="G17" s="4">
        <v>7762186429</v>
      </c>
      <c r="H17" s="4">
        <v>73600</v>
      </c>
      <c r="I17" s="4">
        <v>8214824008</v>
      </c>
      <c r="J17" s="4">
        <v>25600</v>
      </c>
      <c r="K17" s="4">
        <v>2272318410</v>
      </c>
      <c r="L17" s="4">
        <v>75200</v>
      </c>
      <c r="M17" s="4">
        <v>1793300377</v>
      </c>
      <c r="N17" s="4">
        <v>127000</v>
      </c>
      <c r="O17" s="4">
        <v>769092961</v>
      </c>
      <c r="P17" s="31"/>
      <c r="Q17" s="12"/>
      <c r="R17" s="32">
        <f t="shared" ref="R3:R49" si="20">G17*F17-G18*F18</f>
        <v>73740771075500</v>
      </c>
      <c r="S17" s="32">
        <f t="shared" ref="S3:S71" si="21">I17*H17-I18*H18</f>
        <v>0</v>
      </c>
      <c r="T17" s="32">
        <f t="shared" ref="T3:T71" si="22">K17*J17-K18*J18</f>
        <v>908927364000</v>
      </c>
      <c r="U17" s="32">
        <f t="shared" ref="U3:U71" si="23">M17*L17-M18*L18</f>
        <v>-2331290490100</v>
      </c>
      <c r="V17" s="32">
        <f t="shared" ref="V3:V71" si="24">O17*N17-O18*N18</f>
        <v>1768913810300</v>
      </c>
      <c r="W17" s="31"/>
      <c r="X17" s="33">
        <f t="shared" ref="X3:X71" si="25">R17/10^9</f>
        <v>73740.771075500001</v>
      </c>
      <c r="Y17" s="33">
        <f t="shared" ref="Y3:Y71" si="26">S17/10^9</f>
        <v>0</v>
      </c>
      <c r="Z17" s="33">
        <f t="shared" ref="Z3:Z71" si="27">T17/10^9</f>
        <v>908.92736400000001</v>
      </c>
      <c r="AA17" s="33">
        <f t="shared" ref="AA3:AA71" si="28">U17/10^9</f>
        <v>-2331.2904901000002</v>
      </c>
      <c r="AB17" s="33">
        <f t="shared" ref="AB3:AB71" si="29">V17/10^9</f>
        <v>1768.9138103</v>
      </c>
      <c r="AC17" s="31"/>
      <c r="AD17" s="34">
        <f t="shared" ref="AD3:AD71" si="30">X17/$C18*$B18</f>
        <v>15.223885571335684</v>
      </c>
      <c r="AE17" s="34">
        <f t="shared" ref="AE3:AE71" si="31">Y17/$C18*$B18</f>
        <v>0</v>
      </c>
      <c r="AF17" s="34">
        <f t="shared" ref="AF3:AF71" si="32">Z17/$C18*$B18</f>
        <v>0.18764932859224176</v>
      </c>
      <c r="AG17" s="34">
        <f t="shared" ref="AG3:AG71" si="33">AA17/$C18*$B18</f>
        <v>-0.48129819009469638</v>
      </c>
      <c r="AH17" s="35">
        <f t="shared" ref="AH3:AH71" si="34">AB17/$C18*$B18</f>
        <v>0.36519473611132153</v>
      </c>
      <c r="AI17" s="34">
        <f t="shared" ref="AI3:AI71" si="35">SUM(AD17:AG17)</f>
        <v>14.930236709833229</v>
      </c>
      <c r="AJ17" s="43">
        <f t="shared" ref="AJ3:AJ71" si="36">AI17+AJ18</f>
        <v>460.51229796795877</v>
      </c>
      <c r="AK17" s="36"/>
      <c r="AL17" s="37">
        <f t="shared" ref="AL3:AL71" si="37">B17-AJ17</f>
        <v>1360.8077020320411</v>
      </c>
      <c r="AM17" s="42">
        <f t="shared" ref="AM13:AM71" si="38">_xlfn.STDEV.S(AL17:AL36)</f>
        <v>17.705175177472064</v>
      </c>
      <c r="AU17" s="31"/>
      <c r="AV17" s="31"/>
      <c r="AW17" s="31"/>
      <c r="AX17" s="31"/>
      <c r="AY17" s="31"/>
      <c r="AZ17" s="31"/>
      <c r="BA17" s="31"/>
      <c r="BB17" s="31"/>
      <c r="BC17" s="31"/>
    </row>
    <row r="18" spans="1:55" ht="15.95" customHeight="1" x14ac:dyDescent="0.25">
      <c r="A18" s="10">
        <v>46259</v>
      </c>
      <c r="B18" s="20">
        <v>1791.41</v>
      </c>
      <c r="C18" s="4">
        <f>C19*(B18/B19)</f>
        <v>8677151.0527566019</v>
      </c>
      <c r="D18" s="31"/>
      <c r="E18" s="31"/>
      <c r="F18" s="4">
        <v>220500</v>
      </c>
      <c r="G18" s="4">
        <v>7762186429</v>
      </c>
      <c r="H18" s="4">
        <v>73600</v>
      </c>
      <c r="I18" s="4">
        <v>8214824008</v>
      </c>
      <c r="J18" s="4">
        <v>25200</v>
      </c>
      <c r="K18" s="4">
        <v>2272318410</v>
      </c>
      <c r="L18" s="4">
        <v>76500</v>
      </c>
      <c r="M18" s="4">
        <v>1793300377</v>
      </c>
      <c r="N18" s="4">
        <v>124700</v>
      </c>
      <c r="O18" s="4">
        <v>769092961</v>
      </c>
      <c r="P18" s="31"/>
      <c r="Q18" s="12"/>
      <c r="R18" s="32">
        <f t="shared" si="20"/>
        <v>46573118574000</v>
      </c>
      <c r="S18" s="32">
        <f t="shared" si="21"/>
        <v>1642964801600</v>
      </c>
      <c r="T18" s="32">
        <f t="shared" si="22"/>
        <v>-227231841000</v>
      </c>
      <c r="U18" s="32">
        <f t="shared" si="23"/>
        <v>-717320150800</v>
      </c>
      <c r="V18" s="32">
        <f t="shared" si="24"/>
        <v>153818592200</v>
      </c>
      <c r="W18" s="31"/>
      <c r="X18" s="33">
        <f t="shared" si="25"/>
        <v>46573.118574</v>
      </c>
      <c r="Y18" s="33">
        <f t="shared" si="26"/>
        <v>1642.9648016000001</v>
      </c>
      <c r="Z18" s="33">
        <f t="shared" si="27"/>
        <v>-227.231841</v>
      </c>
      <c r="AA18" s="33">
        <f t="shared" si="28"/>
        <v>-717.32015079999996</v>
      </c>
      <c r="AB18" s="33">
        <f t="shared" si="29"/>
        <v>153.81859220000001</v>
      </c>
      <c r="AC18" s="31"/>
      <c r="AD18" s="34">
        <f t="shared" si="30"/>
        <v>9.6150856240014839</v>
      </c>
      <c r="AE18" s="34">
        <f t="shared" si="31"/>
        <v>0.3391923866877064</v>
      </c>
      <c r="AF18" s="34">
        <f t="shared" si="32"/>
        <v>-4.691233214806044E-2</v>
      </c>
      <c r="AG18" s="34">
        <f t="shared" si="33"/>
        <v>-0.14809175079836806</v>
      </c>
      <c r="AH18" s="35">
        <f t="shared" si="34"/>
        <v>3.1756064009680132E-2</v>
      </c>
      <c r="AI18" s="34">
        <f t="shared" si="35"/>
        <v>9.7592739277427611</v>
      </c>
      <c r="AJ18" s="43">
        <f t="shared" si="36"/>
        <v>445.58206125812552</v>
      </c>
      <c r="AK18" s="36"/>
      <c r="AL18" s="37">
        <f t="shared" si="37"/>
        <v>1345.8279387418745</v>
      </c>
      <c r="AM18" s="42">
        <f t="shared" si="38"/>
        <v>21.764189508041657</v>
      </c>
      <c r="AU18" s="31"/>
      <c r="AV18" s="31"/>
      <c r="AW18" s="31"/>
      <c r="AX18" s="31"/>
      <c r="AY18" s="31"/>
      <c r="AZ18" s="31"/>
      <c r="BA18" s="31"/>
      <c r="BB18" s="31"/>
      <c r="BC18" s="31"/>
    </row>
    <row r="19" spans="1:55" ht="15.95" customHeight="1" x14ac:dyDescent="0.25">
      <c r="A19" s="10">
        <v>46258</v>
      </c>
      <c r="B19" s="20">
        <v>1788.78</v>
      </c>
      <c r="C19" s="4">
        <f>C20*(B19/B20)</f>
        <v>8664411.9772413652</v>
      </c>
      <c r="D19" s="31"/>
      <c r="E19" s="31"/>
      <c r="F19" s="4">
        <v>214500</v>
      </c>
      <c r="G19" s="4">
        <v>7762186429</v>
      </c>
      <c r="H19" s="4">
        <v>73400</v>
      </c>
      <c r="I19" s="4">
        <v>8214824008</v>
      </c>
      <c r="J19" s="4">
        <v>25300</v>
      </c>
      <c r="K19" s="4">
        <v>2272318410</v>
      </c>
      <c r="L19" s="4">
        <v>76900</v>
      </c>
      <c r="M19" s="4">
        <v>1793300377</v>
      </c>
      <c r="N19" s="4">
        <v>124500</v>
      </c>
      <c r="O19" s="4">
        <v>769092961</v>
      </c>
      <c r="P19" s="31"/>
      <c r="Q19" s="12"/>
      <c r="R19" s="32">
        <f t="shared" si="20"/>
        <v>73740771075500</v>
      </c>
      <c r="S19" s="32">
        <f t="shared" si="21"/>
        <v>13965200813600</v>
      </c>
      <c r="T19" s="32">
        <f t="shared" si="22"/>
        <v>0</v>
      </c>
      <c r="U19" s="32">
        <f t="shared" si="23"/>
        <v>0</v>
      </c>
      <c r="V19" s="32">
        <f t="shared" si="24"/>
        <v>0</v>
      </c>
      <c r="W19" s="31"/>
      <c r="X19" s="33">
        <f t="shared" si="25"/>
        <v>73740.771075500001</v>
      </c>
      <c r="Y19" s="33">
        <f t="shared" si="26"/>
        <v>13965.2008136</v>
      </c>
      <c r="Z19" s="33">
        <f t="shared" si="27"/>
        <v>0</v>
      </c>
      <c r="AA19" s="33">
        <f t="shared" si="28"/>
        <v>0</v>
      </c>
      <c r="AB19" s="33">
        <f t="shared" si="29"/>
        <v>0</v>
      </c>
      <c r="AC19" s="31"/>
      <c r="AD19" s="34">
        <f t="shared" si="30"/>
        <v>15.223885571335684</v>
      </c>
      <c r="AE19" s="34">
        <f t="shared" si="31"/>
        <v>2.8831352868455049</v>
      </c>
      <c r="AF19" s="34">
        <f t="shared" si="32"/>
        <v>0</v>
      </c>
      <c r="AG19" s="34">
        <f t="shared" si="33"/>
        <v>0</v>
      </c>
      <c r="AH19" s="35">
        <f t="shared" si="34"/>
        <v>0</v>
      </c>
      <c r="AI19" s="34">
        <f t="shared" si="35"/>
        <v>18.107020858181187</v>
      </c>
      <c r="AJ19" s="43">
        <f t="shared" si="36"/>
        <v>435.82278733038277</v>
      </c>
      <c r="AK19" s="36"/>
      <c r="AL19" s="37">
        <f t="shared" si="37"/>
        <v>1352.9572126696171</v>
      </c>
      <c r="AM19" s="42">
        <f t="shared" si="38"/>
        <v>25.963406036125082</v>
      </c>
      <c r="AU19" s="31"/>
      <c r="AV19" s="31"/>
      <c r="AW19" s="31"/>
      <c r="AX19" s="31"/>
      <c r="AY19" s="31"/>
      <c r="AZ19" s="31"/>
      <c r="BA19" s="31"/>
      <c r="BB19" s="31"/>
      <c r="BC19" s="31"/>
    </row>
    <row r="20" spans="1:55" ht="15.95" customHeight="1" x14ac:dyDescent="0.25">
      <c r="A20" s="28">
        <v>46255</v>
      </c>
      <c r="B20" s="29">
        <v>1768.12</v>
      </c>
      <c r="C20" s="30">
        <v>8564340</v>
      </c>
      <c r="D20" s="31"/>
      <c r="E20" s="31"/>
      <c r="F20" s="30">
        <v>205000</v>
      </c>
      <c r="G20" s="30">
        <v>7762186429</v>
      </c>
      <c r="H20" s="30">
        <v>71700</v>
      </c>
      <c r="I20" s="30">
        <v>8214824008</v>
      </c>
      <c r="J20" s="30">
        <v>25300</v>
      </c>
      <c r="K20" s="30">
        <v>2272318410</v>
      </c>
      <c r="L20" s="30">
        <v>76900</v>
      </c>
      <c r="M20" s="30">
        <v>1793300377</v>
      </c>
      <c r="N20" s="30">
        <v>124500</v>
      </c>
      <c r="O20" s="30">
        <v>769092961</v>
      </c>
      <c r="P20" s="31"/>
      <c r="Q20" s="12"/>
      <c r="R20" s="32">
        <f t="shared" si="20"/>
        <v>23286559287000</v>
      </c>
      <c r="S20" s="32">
        <f t="shared" si="21"/>
        <v>18072612817600</v>
      </c>
      <c r="T20" s="32">
        <f t="shared" si="22"/>
        <v>2613166171500</v>
      </c>
      <c r="U20" s="32">
        <f t="shared" si="23"/>
        <v>3407270716300</v>
      </c>
      <c r="V20" s="32">
        <f t="shared" si="24"/>
        <v>846002257100</v>
      </c>
      <c r="W20" s="31"/>
      <c r="X20" s="33">
        <f t="shared" si="25"/>
        <v>23286.559287</v>
      </c>
      <c r="Y20" s="33">
        <f t="shared" si="26"/>
        <v>18072.612817599998</v>
      </c>
      <c r="Z20" s="33">
        <f t="shared" si="27"/>
        <v>2613.1661715</v>
      </c>
      <c r="AA20" s="33">
        <f t="shared" si="28"/>
        <v>3407.2707163</v>
      </c>
      <c r="AB20" s="33">
        <f t="shared" si="29"/>
        <v>846.00225709999995</v>
      </c>
      <c r="AC20" s="31"/>
      <c r="AD20" s="34">
        <f t="shared" si="30"/>
        <v>4.8075872136049469</v>
      </c>
      <c r="AE20" s="34">
        <f t="shared" si="31"/>
        <v>3.7311507134861097</v>
      </c>
      <c r="AF20" s="34">
        <f t="shared" si="32"/>
        <v>0.53949680235249919</v>
      </c>
      <c r="AG20" s="34">
        <f t="shared" si="33"/>
        <v>0.70344231309943672</v>
      </c>
      <c r="AH20" s="35">
        <f t="shared" si="34"/>
        <v>0.17465996516649263</v>
      </c>
      <c r="AI20" s="34">
        <f t="shared" si="35"/>
        <v>9.7816770425429915</v>
      </c>
      <c r="AJ20" s="43">
        <f t="shared" si="36"/>
        <v>417.71576647220155</v>
      </c>
      <c r="AK20" s="36"/>
      <c r="AL20" s="37">
        <f t="shared" si="37"/>
        <v>1350.4042335277984</v>
      </c>
      <c r="AM20" s="42">
        <f t="shared" si="38"/>
        <v>29.705231574005591</v>
      </c>
      <c r="AU20" s="31"/>
      <c r="AV20" s="31"/>
      <c r="AW20" s="31"/>
      <c r="AX20" s="31"/>
      <c r="AY20" s="31"/>
      <c r="AZ20" s="31"/>
      <c r="BA20" s="31"/>
      <c r="BB20" s="31"/>
      <c r="BC20" s="31"/>
    </row>
    <row r="21" spans="1:55" ht="15.95" customHeight="1" x14ac:dyDescent="0.25">
      <c r="A21" s="28">
        <v>46254</v>
      </c>
      <c r="B21" s="29">
        <v>1734.24</v>
      </c>
      <c r="C21" s="30">
        <v>8400156</v>
      </c>
      <c r="D21" s="31"/>
      <c r="E21" s="31"/>
      <c r="F21" s="30">
        <v>202000</v>
      </c>
      <c r="G21" s="30">
        <v>7762186429</v>
      </c>
      <c r="H21" s="30">
        <v>69500</v>
      </c>
      <c r="I21" s="30">
        <v>8214824008</v>
      </c>
      <c r="J21" s="30">
        <v>24150</v>
      </c>
      <c r="K21" s="30">
        <v>2272318410</v>
      </c>
      <c r="L21" s="30">
        <v>75000</v>
      </c>
      <c r="M21" s="30">
        <v>1793300377</v>
      </c>
      <c r="N21" s="30">
        <v>123400</v>
      </c>
      <c r="O21" s="30">
        <v>769092961</v>
      </c>
      <c r="P21" s="31"/>
      <c r="Q21" s="12"/>
      <c r="R21" s="32">
        <f t="shared" si="20"/>
        <v>15524372858000</v>
      </c>
      <c r="S21" s="32">
        <f t="shared" si="21"/>
        <v>3285929603200</v>
      </c>
      <c r="T21" s="32">
        <f t="shared" si="22"/>
        <v>113615920500</v>
      </c>
      <c r="U21" s="32">
        <f t="shared" si="23"/>
        <v>179330037700</v>
      </c>
      <c r="V21" s="32">
        <f t="shared" si="24"/>
        <v>230727888300</v>
      </c>
      <c r="W21" s="31"/>
      <c r="X21" s="33">
        <f t="shared" si="25"/>
        <v>15524.372858000001</v>
      </c>
      <c r="Y21" s="33">
        <f t="shared" si="26"/>
        <v>3285.9296032000002</v>
      </c>
      <c r="Z21" s="33">
        <f t="shared" si="27"/>
        <v>113.6159205</v>
      </c>
      <c r="AA21" s="33">
        <f t="shared" si="28"/>
        <v>179.33003769999999</v>
      </c>
      <c r="AB21" s="33">
        <f t="shared" si="29"/>
        <v>230.72788829999999</v>
      </c>
      <c r="AC21" s="31"/>
      <c r="AD21" s="34">
        <f t="shared" si="30"/>
        <v>3.2051068069060924</v>
      </c>
      <c r="AE21" s="34">
        <f t="shared" si="31"/>
        <v>0.67840133927235236</v>
      </c>
      <c r="AF21" s="34">
        <f t="shared" si="32"/>
        <v>2.3456738864642609E-2</v>
      </c>
      <c r="AG21" s="34">
        <f t="shared" si="33"/>
        <v>3.7023841785583336E-2</v>
      </c>
      <c r="AH21" s="35">
        <f t="shared" si="34"/>
        <v>4.7635259220942791E-2</v>
      </c>
      <c r="AI21" s="34">
        <f t="shared" si="35"/>
        <v>3.9439887268286711</v>
      </c>
      <c r="AJ21" s="43">
        <f t="shared" si="36"/>
        <v>407.93408942965857</v>
      </c>
      <c r="AK21" s="36"/>
      <c r="AL21" s="37">
        <f t="shared" si="37"/>
        <v>1326.3059105703414</v>
      </c>
      <c r="AM21" s="42">
        <f t="shared" si="38"/>
        <v>30.709160571822345</v>
      </c>
      <c r="AU21" s="31"/>
      <c r="AV21" s="31"/>
      <c r="AW21" s="31"/>
      <c r="AX21" s="31"/>
      <c r="AY21" s="31"/>
      <c r="AZ21" s="31"/>
      <c r="BA21" s="31"/>
      <c r="BB21" s="31"/>
      <c r="BC21" s="31"/>
    </row>
    <row r="22" spans="1:55" ht="15.95" customHeight="1" x14ac:dyDescent="0.25">
      <c r="A22" s="28">
        <v>46253</v>
      </c>
      <c r="B22" s="29">
        <v>1726.69</v>
      </c>
      <c r="C22" s="30">
        <v>8363459</v>
      </c>
      <c r="D22" s="31"/>
      <c r="E22" s="31"/>
      <c r="F22" s="30">
        <v>200000</v>
      </c>
      <c r="G22" s="30">
        <v>7762186429</v>
      </c>
      <c r="H22" s="30">
        <v>69100</v>
      </c>
      <c r="I22" s="30">
        <v>8214824008</v>
      </c>
      <c r="J22" s="30">
        <v>24100</v>
      </c>
      <c r="K22" s="30">
        <v>2272318410</v>
      </c>
      <c r="L22" s="30">
        <v>74900</v>
      </c>
      <c r="M22" s="30">
        <v>1793300377</v>
      </c>
      <c r="N22" s="30">
        <v>123100</v>
      </c>
      <c r="O22" s="30">
        <v>769092961</v>
      </c>
      <c r="P22" s="31"/>
      <c r="Q22" s="12"/>
      <c r="R22" s="32">
        <f t="shared" si="20"/>
        <v>0</v>
      </c>
      <c r="S22" s="32">
        <f t="shared" si="21"/>
        <v>-821482400800</v>
      </c>
      <c r="T22" s="32">
        <f t="shared" si="22"/>
        <v>-681695523000</v>
      </c>
      <c r="U22" s="32">
        <f t="shared" si="23"/>
        <v>-179330037700</v>
      </c>
      <c r="V22" s="32">
        <f t="shared" si="24"/>
        <v>-307637184400</v>
      </c>
      <c r="W22" s="31"/>
      <c r="X22" s="33">
        <f t="shared" si="25"/>
        <v>0</v>
      </c>
      <c r="Y22" s="33">
        <f t="shared" si="26"/>
        <v>-821.48240080000005</v>
      </c>
      <c r="Z22" s="33">
        <f t="shared" si="27"/>
        <v>-681.69552299999998</v>
      </c>
      <c r="AA22" s="33">
        <f t="shared" si="28"/>
        <v>-179.33003769999999</v>
      </c>
      <c r="AB22" s="33">
        <f t="shared" si="29"/>
        <v>-307.63718440000002</v>
      </c>
      <c r="AC22" s="31"/>
      <c r="AD22" s="34">
        <f t="shared" si="30"/>
        <v>0</v>
      </c>
      <c r="AE22" s="34">
        <f t="shared" si="31"/>
        <v>-0.16960222675269365</v>
      </c>
      <c r="AF22" s="34">
        <f t="shared" si="32"/>
        <v>-0.14074200318296348</v>
      </c>
      <c r="AG22" s="34">
        <f t="shared" si="33"/>
        <v>-3.7024254795897146E-2</v>
      </c>
      <c r="AH22" s="35">
        <f t="shared" si="34"/>
        <v>-6.3514387472400527E-2</v>
      </c>
      <c r="AI22" s="34">
        <f t="shared" si="35"/>
        <v>-0.34736848473155429</v>
      </c>
      <c r="AJ22" s="43">
        <f t="shared" si="36"/>
        <v>403.99010070282992</v>
      </c>
      <c r="AK22" s="36"/>
      <c r="AL22" s="37">
        <f t="shared" si="37"/>
        <v>1322.6998992971701</v>
      </c>
      <c r="AM22" s="42">
        <f t="shared" si="38"/>
        <v>31.583630205516783</v>
      </c>
      <c r="AU22" s="31"/>
      <c r="AV22" s="31"/>
      <c r="AW22" s="31"/>
      <c r="AX22" s="31"/>
      <c r="AY22" s="31"/>
      <c r="AZ22" s="31"/>
      <c r="BA22" s="31"/>
      <c r="BB22" s="31"/>
      <c r="BC22" s="31"/>
    </row>
    <row r="23" spans="1:55" ht="15.95" customHeight="1" x14ac:dyDescent="0.25">
      <c r="A23" s="28">
        <v>46252</v>
      </c>
      <c r="B23" s="29">
        <v>1732.02</v>
      </c>
      <c r="C23" s="30">
        <v>8389182</v>
      </c>
      <c r="D23" s="31"/>
      <c r="E23" s="31"/>
      <c r="F23" s="30">
        <v>200000</v>
      </c>
      <c r="G23" s="30">
        <v>7762186429</v>
      </c>
      <c r="H23" s="30">
        <v>69200</v>
      </c>
      <c r="I23" s="30">
        <v>8214824008</v>
      </c>
      <c r="J23" s="30">
        <v>24400</v>
      </c>
      <c r="K23" s="30">
        <v>2272318410</v>
      </c>
      <c r="L23" s="30">
        <v>75000</v>
      </c>
      <c r="M23" s="30">
        <v>1793300377</v>
      </c>
      <c r="N23" s="30">
        <v>123500</v>
      </c>
      <c r="O23" s="30">
        <v>769092961</v>
      </c>
      <c r="P23" s="31"/>
      <c r="Q23" s="12"/>
      <c r="R23" s="32">
        <f t="shared" si="20"/>
        <v>15524372858000</v>
      </c>
      <c r="S23" s="32">
        <f t="shared" si="21"/>
        <v>8214824008000</v>
      </c>
      <c r="T23" s="32">
        <f t="shared" si="22"/>
        <v>0</v>
      </c>
      <c r="U23" s="32">
        <f t="shared" si="23"/>
        <v>0</v>
      </c>
      <c r="V23" s="32">
        <f t="shared" si="24"/>
        <v>0</v>
      </c>
      <c r="W23" s="31"/>
      <c r="X23" s="33">
        <f t="shared" si="25"/>
        <v>15524.372858000001</v>
      </c>
      <c r="Y23" s="33">
        <f t="shared" si="26"/>
        <v>8214.8240079999996</v>
      </c>
      <c r="Z23" s="33">
        <f t="shared" si="27"/>
        <v>0</v>
      </c>
      <c r="AA23" s="33">
        <f t="shared" si="28"/>
        <v>0</v>
      </c>
      <c r="AB23" s="33">
        <f t="shared" si="29"/>
        <v>0</v>
      </c>
      <c r="AC23" s="31"/>
      <c r="AD23" s="34">
        <f t="shared" si="30"/>
        <v>3.2222341338751614</v>
      </c>
      <c r="AE23" s="34">
        <f t="shared" si="31"/>
        <v>1.7050663859000417</v>
      </c>
      <c r="AF23" s="34">
        <f t="shared" si="32"/>
        <v>0</v>
      </c>
      <c r="AG23" s="34">
        <f t="shared" si="33"/>
        <v>0</v>
      </c>
      <c r="AH23" s="35">
        <f t="shared" si="34"/>
        <v>0</v>
      </c>
      <c r="AI23" s="34">
        <f t="shared" si="35"/>
        <v>4.9273005197752031</v>
      </c>
      <c r="AJ23" s="43">
        <f t="shared" si="36"/>
        <v>404.33746918756145</v>
      </c>
      <c r="AK23" s="36"/>
      <c r="AL23" s="37">
        <f t="shared" si="37"/>
        <v>1327.6825308124385</v>
      </c>
      <c r="AM23" s="42">
        <f t="shared" si="38"/>
        <v>32.690010264309734</v>
      </c>
      <c r="AU23" s="31"/>
      <c r="AV23" s="31"/>
      <c r="AW23" s="31"/>
      <c r="AX23" s="31"/>
      <c r="AY23" s="31"/>
      <c r="AZ23" s="31"/>
      <c r="BA23" s="31"/>
      <c r="BB23" s="31"/>
      <c r="BC23" s="31"/>
    </row>
    <row r="24" spans="1:55" ht="15.95" customHeight="1" x14ac:dyDescent="0.25">
      <c r="A24" s="28">
        <v>46251</v>
      </c>
      <c r="B24" s="29">
        <v>1727.46</v>
      </c>
      <c r="C24" s="30">
        <v>8322714</v>
      </c>
      <c r="D24" s="31"/>
      <c r="E24" s="31"/>
      <c r="F24" s="30">
        <v>198000</v>
      </c>
      <c r="G24" s="30">
        <v>7762186429</v>
      </c>
      <c r="H24" s="30">
        <v>68200</v>
      </c>
      <c r="I24" s="30">
        <v>8214824008</v>
      </c>
      <c r="J24" s="30">
        <v>24400</v>
      </c>
      <c r="K24" s="30">
        <v>2272318410</v>
      </c>
      <c r="L24" s="30">
        <v>75000</v>
      </c>
      <c r="M24" s="30">
        <v>1793300377</v>
      </c>
      <c r="N24" s="30">
        <v>123500</v>
      </c>
      <c r="O24" s="30">
        <v>769092961</v>
      </c>
      <c r="P24" s="31"/>
      <c r="Q24" s="12"/>
      <c r="R24" s="32">
        <f t="shared" si="20"/>
        <v>-18629247429600</v>
      </c>
      <c r="S24" s="32">
        <f t="shared" si="21"/>
        <v>0</v>
      </c>
      <c r="T24" s="32">
        <f t="shared" si="22"/>
        <v>1022543284500</v>
      </c>
      <c r="U24" s="32">
        <f t="shared" si="23"/>
        <v>896650188500</v>
      </c>
      <c r="V24" s="32">
        <f t="shared" si="24"/>
        <v>230727888300</v>
      </c>
      <c r="W24" s="31"/>
      <c r="X24" s="33">
        <f t="shared" si="25"/>
        <v>-18629.2474296</v>
      </c>
      <c r="Y24" s="33">
        <f t="shared" si="26"/>
        <v>0</v>
      </c>
      <c r="Z24" s="33">
        <f t="shared" si="27"/>
        <v>1022.5432845</v>
      </c>
      <c r="AA24" s="33">
        <f t="shared" si="28"/>
        <v>896.65018850000001</v>
      </c>
      <c r="AB24" s="33">
        <f t="shared" si="29"/>
        <v>230.72788829999999</v>
      </c>
      <c r="AC24" s="31"/>
      <c r="AD24" s="34">
        <f t="shared" si="30"/>
        <v>-3.8666786321692088</v>
      </c>
      <c r="AE24" s="34">
        <f t="shared" si="31"/>
        <v>0</v>
      </c>
      <c r="AF24" s="34">
        <f t="shared" si="32"/>
        <v>0.21223864697625983</v>
      </c>
      <c r="AG24" s="34">
        <f t="shared" si="33"/>
        <v>0.18610832979192904</v>
      </c>
      <c r="AH24" s="35">
        <f t="shared" si="34"/>
        <v>4.7889781855470791E-2</v>
      </c>
      <c r="AI24" s="34">
        <f t="shared" si="35"/>
        <v>-3.4683316554010197</v>
      </c>
      <c r="AJ24" s="43">
        <f t="shared" si="36"/>
        <v>399.41016866778625</v>
      </c>
      <c r="AK24" s="36"/>
      <c r="AL24" s="37">
        <f t="shared" si="37"/>
        <v>1328.0498313322137</v>
      </c>
      <c r="AM24" s="42">
        <f t="shared" si="38"/>
        <v>32.501631525102532</v>
      </c>
      <c r="AU24" s="31"/>
      <c r="AV24" s="31"/>
      <c r="AW24" s="31"/>
      <c r="AX24" s="31"/>
      <c r="AY24" s="31"/>
      <c r="AZ24" s="31"/>
      <c r="BA24" s="31"/>
      <c r="BB24" s="31"/>
      <c r="BC24" s="31"/>
    </row>
    <row r="25" spans="1:55" ht="15.95" customHeight="1" x14ac:dyDescent="0.25">
      <c r="A25" s="28">
        <v>46248</v>
      </c>
      <c r="B25" s="29">
        <v>1729.08</v>
      </c>
      <c r="C25" s="30">
        <v>8330524</v>
      </c>
      <c r="D25" s="31"/>
      <c r="E25" s="31"/>
      <c r="F25" s="30">
        <v>200400</v>
      </c>
      <c r="G25" s="30">
        <v>7762186429</v>
      </c>
      <c r="H25" s="30">
        <v>68200</v>
      </c>
      <c r="I25" s="30">
        <v>8214824008</v>
      </c>
      <c r="J25" s="30">
        <v>23950</v>
      </c>
      <c r="K25" s="30">
        <v>2272318410</v>
      </c>
      <c r="L25" s="30">
        <v>74500</v>
      </c>
      <c r="M25" s="30">
        <v>1793300377</v>
      </c>
      <c r="N25" s="30">
        <v>123200</v>
      </c>
      <c r="O25" s="30">
        <v>769092961</v>
      </c>
      <c r="P25" s="31"/>
      <c r="Q25" s="12"/>
      <c r="R25" s="32">
        <f t="shared" si="20"/>
        <v>-58216398217500</v>
      </c>
      <c r="S25" s="32">
        <f t="shared" si="21"/>
        <v>-29573366428800</v>
      </c>
      <c r="T25" s="32">
        <f t="shared" si="22"/>
        <v>-1477006966500</v>
      </c>
      <c r="U25" s="32">
        <f t="shared" si="23"/>
        <v>-4483250942500</v>
      </c>
      <c r="V25" s="32">
        <f t="shared" si="24"/>
        <v>-1307458033700</v>
      </c>
      <c r="W25" s="31"/>
      <c r="X25" s="33">
        <f t="shared" si="25"/>
        <v>-58216.398217499998</v>
      </c>
      <c r="Y25" s="33">
        <f t="shared" si="26"/>
        <v>-29573.3664288</v>
      </c>
      <c r="Z25" s="33">
        <f t="shared" si="27"/>
        <v>-1477.0069665000001</v>
      </c>
      <c r="AA25" s="33">
        <f t="shared" si="28"/>
        <v>-4483.2509424999998</v>
      </c>
      <c r="AB25" s="33">
        <f t="shared" si="29"/>
        <v>-1307.4580337</v>
      </c>
      <c r="AC25" s="31"/>
      <c r="AD25" s="34">
        <f t="shared" si="30"/>
        <v>-12.083508544182108</v>
      </c>
      <c r="AE25" s="34">
        <f t="shared" si="31"/>
        <v>-6.1383053033880888</v>
      </c>
      <c r="AF25" s="34">
        <f t="shared" si="32"/>
        <v>-0.30657043111530502</v>
      </c>
      <c r="AG25" s="34">
        <f t="shared" si="33"/>
        <v>-0.93055226238861621</v>
      </c>
      <c r="AH25" s="35">
        <f t="shared" si="34"/>
        <v>-0.27137852572652571</v>
      </c>
      <c r="AI25" s="34">
        <f t="shared" si="35"/>
        <v>-19.458936541074117</v>
      </c>
      <c r="AJ25" s="43">
        <f t="shared" si="36"/>
        <v>402.87850032318727</v>
      </c>
      <c r="AK25" s="36"/>
      <c r="AL25" s="37">
        <f t="shared" si="37"/>
        <v>1326.2014996768125</v>
      </c>
      <c r="AM25" s="42">
        <f t="shared" si="38"/>
        <v>32.1882657762755</v>
      </c>
      <c r="AU25" s="31"/>
      <c r="AV25" s="31"/>
      <c r="AW25" s="31"/>
      <c r="AX25" s="31"/>
      <c r="AY25" s="31"/>
      <c r="AZ25" s="31"/>
      <c r="BA25" s="31"/>
      <c r="BB25" s="31"/>
      <c r="BC25" s="31"/>
    </row>
    <row r="26" spans="1:55" ht="15.95" customHeight="1" x14ac:dyDescent="0.25">
      <c r="A26" s="28">
        <v>46247</v>
      </c>
      <c r="B26" s="29">
        <v>1765.63</v>
      </c>
      <c r="C26" s="30">
        <v>8506521</v>
      </c>
      <c r="D26" s="31"/>
      <c r="E26" s="31"/>
      <c r="F26" s="30">
        <v>207900</v>
      </c>
      <c r="G26" s="30">
        <v>7762186429</v>
      </c>
      <c r="H26" s="30">
        <v>71800</v>
      </c>
      <c r="I26" s="30">
        <v>8214824008</v>
      </c>
      <c r="J26" s="30">
        <v>24600</v>
      </c>
      <c r="K26" s="30">
        <v>2272318410</v>
      </c>
      <c r="L26" s="30">
        <v>77000</v>
      </c>
      <c r="M26" s="30">
        <v>1793300377</v>
      </c>
      <c r="N26" s="30">
        <v>124900</v>
      </c>
      <c r="O26" s="30">
        <v>769092961</v>
      </c>
      <c r="P26" s="31"/>
      <c r="Q26" s="12"/>
      <c r="R26" s="32">
        <f t="shared" si="20"/>
        <v>-58992616860400</v>
      </c>
      <c r="S26" s="32">
        <f t="shared" si="21"/>
        <v>-16429648016000</v>
      </c>
      <c r="T26" s="32">
        <f t="shared" si="22"/>
        <v>-1931470648500</v>
      </c>
      <c r="U26" s="32">
        <f t="shared" si="23"/>
        <v>-2510620527800</v>
      </c>
      <c r="V26" s="32">
        <f t="shared" si="24"/>
        <v>-2153460290800</v>
      </c>
      <c r="W26" s="31"/>
      <c r="X26" s="33">
        <f t="shared" si="25"/>
        <v>-58992.616860399998</v>
      </c>
      <c r="Y26" s="33">
        <f t="shared" si="26"/>
        <v>-16429.648015999999</v>
      </c>
      <c r="Z26" s="33">
        <f t="shared" si="27"/>
        <v>-1931.4706484999999</v>
      </c>
      <c r="AA26" s="33">
        <f t="shared" si="28"/>
        <v>-2510.6205278000002</v>
      </c>
      <c r="AB26" s="33">
        <f t="shared" si="29"/>
        <v>-2153.4602908000002</v>
      </c>
      <c r="AC26" s="31"/>
      <c r="AD26" s="34">
        <f t="shared" si="30"/>
        <v>-12.24511873172448</v>
      </c>
      <c r="AE26" s="34">
        <f t="shared" si="31"/>
        <v>-3.4103079568828165</v>
      </c>
      <c r="AF26" s="34">
        <f t="shared" si="32"/>
        <v>-0.40091605825337873</v>
      </c>
      <c r="AG26" s="34">
        <f t="shared" si="33"/>
        <v>-0.52113040731801386</v>
      </c>
      <c r="AH26" s="35">
        <f t="shared" si="34"/>
        <v>-0.44699452826953517</v>
      </c>
      <c r="AI26" s="34">
        <f t="shared" si="35"/>
        <v>-16.577473154178691</v>
      </c>
      <c r="AJ26" s="43">
        <f t="shared" si="36"/>
        <v>422.33743686426141</v>
      </c>
      <c r="AK26" s="36"/>
      <c r="AL26" s="37">
        <f t="shared" si="37"/>
        <v>1343.2925631357386</v>
      </c>
      <c r="AM26" s="42">
        <f t="shared" si="38"/>
        <v>33.153064735353823</v>
      </c>
      <c r="AU26" s="31"/>
      <c r="AV26" s="31"/>
      <c r="AW26" s="31"/>
      <c r="AX26" s="31"/>
      <c r="AY26" s="31"/>
      <c r="AZ26" s="31"/>
      <c r="BA26" s="31"/>
      <c r="BB26" s="31"/>
      <c r="BC26" s="31"/>
    </row>
    <row r="27" spans="1:55" ht="15.95" customHeight="1" x14ac:dyDescent="0.25">
      <c r="A27" s="28">
        <v>46246</v>
      </c>
      <c r="B27" s="29">
        <v>1793.18</v>
      </c>
      <c r="C27" s="30">
        <v>8638902</v>
      </c>
      <c r="D27" s="31"/>
      <c r="E27" s="31"/>
      <c r="F27" s="30">
        <v>215500</v>
      </c>
      <c r="G27" s="30">
        <v>7762186429</v>
      </c>
      <c r="H27" s="30">
        <v>73800</v>
      </c>
      <c r="I27" s="30">
        <v>8214824008</v>
      </c>
      <c r="J27" s="30">
        <v>25450</v>
      </c>
      <c r="K27" s="30">
        <v>2272318410</v>
      </c>
      <c r="L27" s="30">
        <v>78400</v>
      </c>
      <c r="M27" s="30">
        <v>1793300377</v>
      </c>
      <c r="N27" s="30">
        <v>127700</v>
      </c>
      <c r="O27" s="30">
        <v>769092961</v>
      </c>
      <c r="P27" s="31"/>
      <c r="Q27" s="12"/>
      <c r="R27" s="32">
        <f t="shared" si="20"/>
        <v>54335305003000</v>
      </c>
      <c r="S27" s="32">
        <f t="shared" si="21"/>
        <v>13965200813600</v>
      </c>
      <c r="T27" s="32">
        <f t="shared" si="22"/>
        <v>0</v>
      </c>
      <c r="U27" s="32">
        <f t="shared" si="23"/>
        <v>0</v>
      </c>
      <c r="V27" s="32">
        <f t="shared" si="24"/>
        <v>384546480500</v>
      </c>
      <c r="W27" s="31"/>
      <c r="X27" s="33">
        <f t="shared" si="25"/>
        <v>54335.305003000001</v>
      </c>
      <c r="Y27" s="33">
        <f t="shared" si="26"/>
        <v>13965.2008136</v>
      </c>
      <c r="Z27" s="33">
        <f t="shared" si="27"/>
        <v>0</v>
      </c>
      <c r="AA27" s="33">
        <f t="shared" si="28"/>
        <v>0</v>
      </c>
      <c r="AB27" s="33">
        <f t="shared" si="29"/>
        <v>384.54648049999997</v>
      </c>
      <c r="AC27" s="31"/>
      <c r="AD27" s="34">
        <f t="shared" si="30"/>
        <v>11.277934426961657</v>
      </c>
      <c r="AE27" s="34">
        <f t="shared" si="31"/>
        <v>2.8986424025122606</v>
      </c>
      <c r="AF27" s="34">
        <f t="shared" si="32"/>
        <v>0</v>
      </c>
      <c r="AG27" s="34">
        <f t="shared" si="33"/>
        <v>0</v>
      </c>
      <c r="AH27" s="35">
        <f t="shared" si="34"/>
        <v>7.981716475058781E-2</v>
      </c>
      <c r="AI27" s="34">
        <f t="shared" si="35"/>
        <v>14.176576829473918</v>
      </c>
      <c r="AJ27" s="43">
        <f t="shared" si="36"/>
        <v>438.91491001844008</v>
      </c>
      <c r="AK27" s="36"/>
      <c r="AL27" s="37">
        <f t="shared" si="37"/>
        <v>1354.2650899815599</v>
      </c>
      <c r="AM27" s="42">
        <f t="shared" si="38"/>
        <v>33.972278690281478</v>
      </c>
      <c r="AU27" s="31"/>
      <c r="AV27" s="31"/>
      <c r="AW27" s="31"/>
      <c r="AX27" s="31"/>
      <c r="AY27" s="31"/>
      <c r="AZ27" s="31"/>
      <c r="BA27" s="31"/>
      <c r="BB27" s="31"/>
      <c r="BC27" s="31"/>
    </row>
    <row r="28" spans="1:55" ht="15.95" customHeight="1" x14ac:dyDescent="0.25">
      <c r="A28" s="28">
        <v>46245</v>
      </c>
      <c r="B28" s="29">
        <v>1773.41</v>
      </c>
      <c r="C28" s="30">
        <v>8544009</v>
      </c>
      <c r="D28" s="31"/>
      <c r="E28" s="31"/>
      <c r="F28" s="30">
        <v>208500</v>
      </c>
      <c r="G28" s="30">
        <v>7762186429</v>
      </c>
      <c r="H28" s="30">
        <v>72100</v>
      </c>
      <c r="I28" s="30">
        <v>8214824008</v>
      </c>
      <c r="J28" s="30">
        <v>25450</v>
      </c>
      <c r="K28" s="30">
        <v>2272318410</v>
      </c>
      <c r="L28" s="30">
        <v>78400</v>
      </c>
      <c r="M28" s="30">
        <v>1793300377</v>
      </c>
      <c r="N28" s="30">
        <v>127200</v>
      </c>
      <c r="O28" s="30">
        <v>769092961</v>
      </c>
      <c r="P28" s="31"/>
      <c r="Q28" s="12"/>
      <c r="R28" s="32">
        <f t="shared" si="20"/>
        <v>0</v>
      </c>
      <c r="S28" s="32">
        <f t="shared" si="21"/>
        <v>4107412004000</v>
      </c>
      <c r="T28" s="32">
        <f t="shared" si="22"/>
        <v>-227231841000</v>
      </c>
      <c r="U28" s="32">
        <f t="shared" si="23"/>
        <v>-179330037700</v>
      </c>
      <c r="V28" s="32">
        <f t="shared" si="24"/>
        <v>1307458033700</v>
      </c>
      <c r="W28" s="31"/>
      <c r="X28" s="33">
        <f t="shared" si="25"/>
        <v>0</v>
      </c>
      <c r="Y28" s="33">
        <f t="shared" si="26"/>
        <v>4107.4120039999998</v>
      </c>
      <c r="Z28" s="33">
        <f t="shared" si="27"/>
        <v>-227.231841</v>
      </c>
      <c r="AA28" s="33">
        <f t="shared" si="28"/>
        <v>-179.33003769999999</v>
      </c>
      <c r="AB28" s="33">
        <f t="shared" si="29"/>
        <v>1307.4580337</v>
      </c>
      <c r="AC28" s="31"/>
      <c r="AD28" s="34">
        <f t="shared" si="30"/>
        <v>0</v>
      </c>
      <c r="AE28" s="34">
        <f t="shared" si="31"/>
        <v>0.85336491754878574</v>
      </c>
      <c r="AF28" s="34">
        <f t="shared" si="32"/>
        <v>-4.7210185165399293E-2</v>
      </c>
      <c r="AG28" s="34">
        <f t="shared" si="33"/>
        <v>-3.725800155593087E-2</v>
      </c>
      <c r="AH28" s="35">
        <f t="shared" si="34"/>
        <v>0.27164034580420388</v>
      </c>
      <c r="AI28" s="34">
        <f t="shared" si="35"/>
        <v>0.76889673082745558</v>
      </c>
      <c r="AJ28" s="43">
        <f t="shared" si="36"/>
        <v>424.73833318896618</v>
      </c>
      <c r="AK28" s="36"/>
      <c r="AL28" s="37">
        <f t="shared" si="37"/>
        <v>1348.6716668110339</v>
      </c>
      <c r="AM28" s="42">
        <f t="shared" si="38"/>
        <v>33.685773518697779</v>
      </c>
      <c r="AU28" s="31"/>
      <c r="AV28" s="31"/>
      <c r="AW28" s="31"/>
      <c r="AX28" s="31"/>
      <c r="AY28" s="31"/>
      <c r="AZ28" s="31"/>
      <c r="BA28" s="31"/>
      <c r="BB28" s="31"/>
      <c r="BC28" s="31"/>
    </row>
    <row r="29" spans="1:55" ht="15.95" customHeight="1" x14ac:dyDescent="0.25">
      <c r="A29" s="28">
        <v>46244</v>
      </c>
      <c r="B29" s="29">
        <v>1776.77</v>
      </c>
      <c r="C29" s="30">
        <v>8551941</v>
      </c>
      <c r="D29" s="31"/>
      <c r="E29" s="31"/>
      <c r="F29" s="30">
        <v>208500</v>
      </c>
      <c r="G29" s="30">
        <v>7762186429</v>
      </c>
      <c r="H29" s="30">
        <v>71600</v>
      </c>
      <c r="I29" s="30">
        <v>8214824008</v>
      </c>
      <c r="J29" s="30">
        <v>25550</v>
      </c>
      <c r="K29" s="30">
        <v>2272318410</v>
      </c>
      <c r="L29" s="30">
        <v>78500</v>
      </c>
      <c r="M29" s="30">
        <v>1793300377</v>
      </c>
      <c r="N29" s="30">
        <v>125500</v>
      </c>
      <c r="O29" s="30">
        <v>769092961</v>
      </c>
      <c r="P29" s="31"/>
      <c r="Q29" s="12"/>
      <c r="R29" s="32">
        <f t="shared" si="20"/>
        <v>-50454211788500</v>
      </c>
      <c r="S29" s="32">
        <f t="shared" si="21"/>
        <v>-11500753611200</v>
      </c>
      <c r="T29" s="32">
        <f t="shared" si="22"/>
        <v>1363391046000</v>
      </c>
      <c r="U29" s="32">
        <f t="shared" si="23"/>
        <v>-896650188500</v>
      </c>
      <c r="V29" s="32">
        <f t="shared" si="24"/>
        <v>0</v>
      </c>
      <c r="W29" s="31"/>
      <c r="X29" s="33">
        <f t="shared" si="25"/>
        <v>-50454.211788499997</v>
      </c>
      <c r="Y29" s="33">
        <f t="shared" si="26"/>
        <v>-11500.7536112</v>
      </c>
      <c r="Z29" s="33">
        <f t="shared" si="27"/>
        <v>1363.391046</v>
      </c>
      <c r="AA29" s="33">
        <f t="shared" si="28"/>
        <v>-896.65018850000001</v>
      </c>
      <c r="AB29" s="33">
        <f t="shared" si="29"/>
        <v>0</v>
      </c>
      <c r="AC29" s="31"/>
      <c r="AD29" s="34">
        <f t="shared" si="30"/>
        <v>-10.482540495724049</v>
      </c>
      <c r="AE29" s="34">
        <f t="shared" si="31"/>
        <v>-2.3894361082502753</v>
      </c>
      <c r="AF29" s="34">
        <f t="shared" si="32"/>
        <v>0.28326281086527827</v>
      </c>
      <c r="AG29" s="34">
        <f t="shared" si="33"/>
        <v>-0.186291125721088</v>
      </c>
      <c r="AH29" s="35">
        <f t="shared" si="34"/>
        <v>0</v>
      </c>
      <c r="AI29" s="34">
        <f t="shared" si="35"/>
        <v>-12.775004918830135</v>
      </c>
      <c r="AJ29" s="43">
        <f t="shared" si="36"/>
        <v>423.96943645813872</v>
      </c>
      <c r="AK29" s="36"/>
      <c r="AL29" s="37">
        <f t="shared" si="37"/>
        <v>1352.8005635418613</v>
      </c>
      <c r="AM29" s="42">
        <f t="shared" si="38"/>
        <v>35.002546298538533</v>
      </c>
      <c r="AU29" s="31"/>
      <c r="AV29" s="31"/>
      <c r="AW29" s="31"/>
      <c r="AX29" s="31"/>
      <c r="AY29" s="31"/>
      <c r="AZ29" s="31"/>
      <c r="BA29" s="31"/>
      <c r="BB29" s="31"/>
      <c r="BC29" s="31"/>
    </row>
    <row r="30" spans="1:55" ht="15.95" customHeight="1" x14ac:dyDescent="0.25">
      <c r="A30" s="28">
        <v>46241</v>
      </c>
      <c r="B30" s="29">
        <v>1768.06</v>
      </c>
      <c r="C30" s="30">
        <v>8509967</v>
      </c>
      <c r="D30" s="31"/>
      <c r="E30" s="31"/>
      <c r="F30" s="4">
        <v>215000</v>
      </c>
      <c r="G30" s="4">
        <v>7762186429</v>
      </c>
      <c r="H30" s="4">
        <v>73000</v>
      </c>
      <c r="I30" s="4">
        <v>8214824008</v>
      </c>
      <c r="J30" s="4">
        <v>24950</v>
      </c>
      <c r="K30" s="4">
        <v>2272318410</v>
      </c>
      <c r="L30" s="4">
        <v>79000</v>
      </c>
      <c r="M30" s="4">
        <v>1793300377</v>
      </c>
      <c r="N30" s="4">
        <v>125500</v>
      </c>
      <c r="O30" s="4">
        <v>769092961</v>
      </c>
      <c r="P30" s="31"/>
      <c r="Q30" s="12"/>
      <c r="R30" s="32">
        <f t="shared" si="20"/>
        <v>-29496308430200</v>
      </c>
      <c r="S30" s="32">
        <f t="shared" si="21"/>
        <v>-33680778432800</v>
      </c>
      <c r="T30" s="32">
        <f t="shared" si="22"/>
        <v>-795311443500</v>
      </c>
      <c r="U30" s="32">
        <f t="shared" si="23"/>
        <v>-3407270716300</v>
      </c>
      <c r="V30" s="32">
        <f t="shared" si="24"/>
        <v>-384546480500</v>
      </c>
      <c r="W30" s="31"/>
      <c r="X30" s="33">
        <f t="shared" si="25"/>
        <v>-29496.308430199999</v>
      </c>
      <c r="Y30" s="33">
        <f t="shared" si="26"/>
        <v>-33680.778432799998</v>
      </c>
      <c r="Z30" s="33">
        <f t="shared" si="27"/>
        <v>-795.3114435</v>
      </c>
      <c r="AA30" s="33">
        <f t="shared" si="28"/>
        <v>-3407.2707163</v>
      </c>
      <c r="AB30" s="33">
        <f t="shared" si="29"/>
        <v>-384.54648049999997</v>
      </c>
      <c r="AC30" s="31"/>
      <c r="AD30" s="34">
        <f t="shared" si="30"/>
        <v>-6.1282369944786295</v>
      </c>
      <c r="AE30" s="34">
        <f t="shared" si="31"/>
        <v>-6.9976143924300356</v>
      </c>
      <c r="AF30" s="34">
        <f t="shared" si="32"/>
        <v>-0.16523616918782855</v>
      </c>
      <c r="AG30" s="34">
        <f t="shared" si="33"/>
        <v>-0.70790426209588486</v>
      </c>
      <c r="AH30" s="35">
        <f t="shared" si="34"/>
        <v>-7.989447131912418E-2</v>
      </c>
      <c r="AI30" s="34">
        <f t="shared" si="35"/>
        <v>-13.998991818192378</v>
      </c>
      <c r="AJ30" s="43">
        <f t="shared" si="36"/>
        <v>436.74444137696884</v>
      </c>
      <c r="AK30" s="36"/>
      <c r="AL30" s="37">
        <f t="shared" si="37"/>
        <v>1331.3155586230312</v>
      </c>
      <c r="AM30" s="42">
        <f t="shared" si="38"/>
        <v>35.079750324079633</v>
      </c>
      <c r="AU30" s="31"/>
      <c r="AV30" s="31"/>
      <c r="AW30" s="31"/>
      <c r="AX30" s="31"/>
      <c r="AY30" s="31"/>
      <c r="AZ30" s="31"/>
      <c r="BA30" s="31"/>
      <c r="BB30" s="31"/>
      <c r="BC30" s="31"/>
    </row>
    <row r="31" spans="1:55" ht="15.95" customHeight="1" x14ac:dyDescent="0.25">
      <c r="A31" s="28">
        <v>46240</v>
      </c>
      <c r="B31" s="29">
        <v>1764.78</v>
      </c>
      <c r="C31" s="30">
        <v>8494204</v>
      </c>
      <c r="D31" s="31"/>
      <c r="E31" s="31"/>
      <c r="F31" s="4">
        <v>218800</v>
      </c>
      <c r="G31" s="4">
        <v>7762186429</v>
      </c>
      <c r="H31" s="4">
        <v>77100</v>
      </c>
      <c r="I31" s="4">
        <v>8214824008</v>
      </c>
      <c r="J31" s="4">
        <v>25300</v>
      </c>
      <c r="K31" s="4">
        <v>2272318410</v>
      </c>
      <c r="L31" s="4">
        <v>80900</v>
      </c>
      <c r="M31" s="4">
        <v>1793300377</v>
      </c>
      <c r="N31" s="4">
        <v>126000</v>
      </c>
      <c r="O31" s="4">
        <v>769092961</v>
      </c>
      <c r="P31" s="31"/>
      <c r="Q31" s="12"/>
      <c r="R31" s="32">
        <f t="shared" si="20"/>
        <v>-9314623714800</v>
      </c>
      <c r="S31" s="32">
        <f t="shared" si="21"/>
        <v>4928894404800</v>
      </c>
      <c r="T31" s="32">
        <f t="shared" si="22"/>
        <v>-2613166171500</v>
      </c>
      <c r="U31" s="32">
        <f t="shared" si="23"/>
        <v>-179330037700</v>
      </c>
      <c r="V31" s="32">
        <f t="shared" si="24"/>
        <v>-76909296100</v>
      </c>
      <c r="W31" s="31"/>
      <c r="X31" s="33">
        <f t="shared" si="25"/>
        <v>-9314.6237148</v>
      </c>
      <c r="Y31" s="33">
        <f t="shared" si="26"/>
        <v>4928.8944048000003</v>
      </c>
      <c r="Z31" s="33">
        <f t="shared" si="27"/>
        <v>-2613.1661715</v>
      </c>
      <c r="AA31" s="33">
        <f t="shared" si="28"/>
        <v>-179.33003769999999</v>
      </c>
      <c r="AB31" s="33">
        <f t="shared" si="29"/>
        <v>-76.909296100000006</v>
      </c>
      <c r="AC31" s="31"/>
      <c r="AD31" s="34">
        <f t="shared" si="30"/>
        <v>-1.959226911896613</v>
      </c>
      <c r="AE31" s="34">
        <f t="shared" si="31"/>
        <v>1.036737807071807</v>
      </c>
      <c r="AF31" s="34">
        <f t="shared" si="32"/>
        <v>-0.54965027522537668</v>
      </c>
      <c r="AG31" s="34">
        <f t="shared" si="33"/>
        <v>-3.7720067576644797E-2</v>
      </c>
      <c r="AH31" s="35">
        <f t="shared" si="34"/>
        <v>-1.6177010183967548E-2</v>
      </c>
      <c r="AI31" s="34">
        <f t="shared" si="35"/>
        <v>-1.5098594476268274</v>
      </c>
      <c r="AJ31" s="43">
        <f t="shared" si="36"/>
        <v>450.74343319516123</v>
      </c>
      <c r="AK31" s="36"/>
      <c r="AL31" s="37">
        <f t="shared" si="37"/>
        <v>1314.0365668048387</v>
      </c>
      <c r="AM31" s="42">
        <f t="shared" si="38"/>
        <v>37.790578961312335</v>
      </c>
      <c r="AU31" s="31"/>
      <c r="AV31" s="31"/>
      <c r="AW31" s="31"/>
      <c r="AX31" s="31"/>
      <c r="AY31" s="31"/>
      <c r="AZ31" s="31"/>
      <c r="BA31" s="31"/>
      <c r="BB31" s="31"/>
      <c r="BC31" s="31"/>
    </row>
    <row r="32" spans="1:55" ht="15.95" customHeight="1" x14ac:dyDescent="0.25">
      <c r="A32" s="28">
        <v>46239</v>
      </c>
      <c r="B32" s="29">
        <v>1776.46</v>
      </c>
      <c r="C32" s="30">
        <v>8445707</v>
      </c>
      <c r="D32" s="31"/>
      <c r="E32" s="31"/>
      <c r="F32" s="4">
        <v>220000</v>
      </c>
      <c r="G32" s="4">
        <v>7762186429</v>
      </c>
      <c r="H32" s="4">
        <v>153000</v>
      </c>
      <c r="I32" s="4">
        <v>4107412004</v>
      </c>
      <c r="J32" s="4">
        <v>26450</v>
      </c>
      <c r="K32" s="4">
        <v>2272318410</v>
      </c>
      <c r="L32" s="4">
        <v>81000</v>
      </c>
      <c r="M32" s="4">
        <v>1793300377</v>
      </c>
      <c r="N32" s="4">
        <v>126100</v>
      </c>
      <c r="O32" s="4">
        <v>769092961</v>
      </c>
      <c r="P32" s="31"/>
      <c r="Q32" s="12"/>
      <c r="R32" s="32">
        <f t="shared" si="20"/>
        <v>15524372858000</v>
      </c>
      <c r="S32" s="32">
        <f t="shared" si="21"/>
        <v>410741200400</v>
      </c>
      <c r="T32" s="32">
        <f t="shared" si="22"/>
        <v>113615920500</v>
      </c>
      <c r="U32" s="32">
        <f t="shared" si="23"/>
        <v>-358660075400</v>
      </c>
      <c r="V32" s="32">
        <f t="shared" si="24"/>
        <v>-307637184400</v>
      </c>
      <c r="W32" s="31"/>
      <c r="X32" s="33">
        <f t="shared" si="25"/>
        <v>15524.372858000001</v>
      </c>
      <c r="Y32" s="33">
        <f t="shared" si="26"/>
        <v>410.74120040000003</v>
      </c>
      <c r="Z32" s="33">
        <f t="shared" si="27"/>
        <v>113.6159205</v>
      </c>
      <c r="AA32" s="33">
        <f t="shared" si="28"/>
        <v>-358.66007539999998</v>
      </c>
      <c r="AB32" s="33">
        <f t="shared" si="29"/>
        <v>-307.63718440000002</v>
      </c>
      <c r="AC32" s="31"/>
      <c r="AD32" s="34">
        <f t="shared" si="30"/>
        <v>3.2655431224366867</v>
      </c>
      <c r="AE32" s="34">
        <f t="shared" si="31"/>
        <v>8.6399181102920705E-2</v>
      </c>
      <c r="AF32" s="34">
        <f t="shared" si="32"/>
        <v>2.3899045145446631E-2</v>
      </c>
      <c r="AG32" s="34">
        <f t="shared" si="33"/>
        <v>-7.5443945673563356E-2</v>
      </c>
      <c r="AH32" s="35">
        <f t="shared" si="34"/>
        <v>-6.4711309172500092E-2</v>
      </c>
      <c r="AI32" s="34">
        <f t="shared" si="35"/>
        <v>3.3003974030114906</v>
      </c>
      <c r="AJ32" s="43">
        <f t="shared" si="36"/>
        <v>452.25329264278804</v>
      </c>
      <c r="AK32" s="36"/>
      <c r="AL32" s="37">
        <f t="shared" si="37"/>
        <v>1324.2067073572121</v>
      </c>
      <c r="AM32" s="42">
        <f t="shared" si="38"/>
        <v>41.516867970028933</v>
      </c>
      <c r="AU32" s="31"/>
      <c r="AV32" s="31"/>
      <c r="AW32" s="31"/>
      <c r="AX32" s="31"/>
      <c r="AY32" s="31"/>
      <c r="AZ32" s="31"/>
      <c r="BA32" s="31"/>
      <c r="BB32" s="31"/>
      <c r="BC32" s="31"/>
    </row>
    <row r="33" spans="1:55" ht="15.95" customHeight="1" x14ac:dyDescent="0.25">
      <c r="A33" s="28">
        <v>46238</v>
      </c>
      <c r="B33" s="29">
        <v>1777.23</v>
      </c>
      <c r="C33" s="30">
        <v>8448941</v>
      </c>
      <c r="D33" s="31"/>
      <c r="E33" s="31"/>
      <c r="F33" s="4">
        <v>218000</v>
      </c>
      <c r="G33" s="4">
        <v>7762186429</v>
      </c>
      <c r="H33" s="4">
        <v>152900</v>
      </c>
      <c r="I33" s="4">
        <v>4107412004</v>
      </c>
      <c r="J33" s="4">
        <v>26400</v>
      </c>
      <c r="K33" s="4">
        <v>2272318410</v>
      </c>
      <c r="L33" s="4">
        <v>81200</v>
      </c>
      <c r="M33" s="4">
        <v>1793300377</v>
      </c>
      <c r="N33" s="4">
        <v>126500</v>
      </c>
      <c r="O33" s="4">
        <v>769092961</v>
      </c>
      <c r="P33" s="31"/>
      <c r="Q33" s="12"/>
      <c r="R33" s="32">
        <f t="shared" si="20"/>
        <v>38810932145000</v>
      </c>
      <c r="S33" s="32">
        <f t="shared" si="21"/>
        <v>20126318819600</v>
      </c>
      <c r="T33" s="32">
        <f t="shared" si="22"/>
        <v>2726782092000</v>
      </c>
      <c r="U33" s="32">
        <f t="shared" si="23"/>
        <v>358660075400</v>
      </c>
      <c r="V33" s="32">
        <f t="shared" si="24"/>
        <v>-76909296100</v>
      </c>
      <c r="W33" s="31"/>
      <c r="X33" s="33">
        <f t="shared" si="25"/>
        <v>38810.932144999999</v>
      </c>
      <c r="Y33" s="33">
        <f t="shared" si="26"/>
        <v>20126.318819600001</v>
      </c>
      <c r="Z33" s="33">
        <f t="shared" si="27"/>
        <v>2726.7820919999999</v>
      </c>
      <c r="AA33" s="33">
        <f t="shared" si="28"/>
        <v>358.66007539999998</v>
      </c>
      <c r="AB33" s="33">
        <f t="shared" si="29"/>
        <v>-76.909296100000006</v>
      </c>
      <c r="AC33" s="31"/>
      <c r="AD33" s="34">
        <f t="shared" si="30"/>
        <v>8.1636707981509229</v>
      </c>
      <c r="AE33" s="34">
        <f t="shared" si="31"/>
        <v>4.2334628966908543</v>
      </c>
      <c r="AF33" s="34">
        <f t="shared" si="32"/>
        <v>0.57356394466936556</v>
      </c>
      <c r="AG33" s="34">
        <f t="shared" si="33"/>
        <v>7.5442217493423405E-2</v>
      </c>
      <c r="AH33" s="35">
        <f t="shared" si="34"/>
        <v>-1.6177456710706702E-2</v>
      </c>
      <c r="AI33" s="34">
        <f t="shared" si="35"/>
        <v>13.046139857004565</v>
      </c>
      <c r="AJ33" s="43">
        <f t="shared" si="36"/>
        <v>448.95289523977652</v>
      </c>
      <c r="AK33" s="36"/>
      <c r="AL33" s="37">
        <f t="shared" si="37"/>
        <v>1328.2771047602234</v>
      </c>
      <c r="AM33" s="42">
        <f t="shared" si="38"/>
        <v>45.665120707256087</v>
      </c>
      <c r="AU33" s="31"/>
      <c r="AV33" s="31"/>
      <c r="AW33" s="31"/>
      <c r="AX33" s="31"/>
      <c r="AY33" s="31"/>
      <c r="AZ33" s="31"/>
      <c r="BA33" s="31"/>
      <c r="BB33" s="31"/>
      <c r="BC33" s="31"/>
    </row>
    <row r="34" spans="1:55" ht="15.95" customHeight="1" x14ac:dyDescent="0.25">
      <c r="A34" s="28">
        <v>46237</v>
      </c>
      <c r="B34" s="29">
        <v>1762.84</v>
      </c>
      <c r="C34" s="30">
        <v>8380723</v>
      </c>
      <c r="D34" s="31"/>
      <c r="E34" s="31"/>
      <c r="F34" s="4">
        <v>213000</v>
      </c>
      <c r="G34" s="4">
        <v>7762186429</v>
      </c>
      <c r="H34" s="4">
        <v>148000</v>
      </c>
      <c r="I34" s="4">
        <v>4107412004</v>
      </c>
      <c r="J34" s="4">
        <v>25200</v>
      </c>
      <c r="K34" s="4">
        <v>2272318410</v>
      </c>
      <c r="L34" s="4">
        <v>81000</v>
      </c>
      <c r="M34" s="4">
        <v>1793300377</v>
      </c>
      <c r="N34" s="4">
        <v>126600</v>
      </c>
      <c r="O34" s="4">
        <v>769092961</v>
      </c>
      <c r="P34" s="31"/>
      <c r="Q34" s="12"/>
      <c r="R34" s="32">
        <f t="shared" si="20"/>
        <v>-8538405071900</v>
      </c>
      <c r="S34" s="32">
        <f t="shared" si="21"/>
        <v>-410741200400</v>
      </c>
      <c r="T34" s="32">
        <f t="shared" si="22"/>
        <v>908927364000</v>
      </c>
      <c r="U34" s="32">
        <f t="shared" si="23"/>
        <v>2510620527800</v>
      </c>
      <c r="V34" s="32">
        <f t="shared" si="24"/>
        <v>1230548737600</v>
      </c>
      <c r="W34" s="31"/>
      <c r="X34" s="33">
        <f t="shared" si="25"/>
        <v>-8538.4050719000006</v>
      </c>
      <c r="Y34" s="33">
        <f t="shared" si="26"/>
        <v>-410.74120040000003</v>
      </c>
      <c r="Z34" s="33">
        <f t="shared" si="27"/>
        <v>908.92736400000001</v>
      </c>
      <c r="AA34" s="33">
        <f t="shared" si="28"/>
        <v>2510.6205278000002</v>
      </c>
      <c r="AB34" s="33">
        <f t="shared" si="29"/>
        <v>1230.5487376000001</v>
      </c>
      <c r="AC34" s="31"/>
      <c r="AD34" s="34">
        <f t="shared" si="30"/>
        <v>-1.7960848360745287</v>
      </c>
      <c r="AE34" s="34">
        <f t="shared" si="31"/>
        <v>-8.6400918599816148E-2</v>
      </c>
      <c r="AF34" s="34">
        <f t="shared" si="32"/>
        <v>0.19119620606267637</v>
      </c>
      <c r="AG34" s="34">
        <f t="shared" si="33"/>
        <v>0.52811824001640917</v>
      </c>
      <c r="AH34" s="35">
        <f t="shared" si="34"/>
        <v>0.2588504420957623</v>
      </c>
      <c r="AI34" s="34">
        <f t="shared" si="35"/>
        <v>-1.1631713085952593</v>
      </c>
      <c r="AJ34" s="43">
        <f t="shared" si="36"/>
        <v>435.90675538277196</v>
      </c>
      <c r="AK34" s="36"/>
      <c r="AL34" s="37">
        <f t="shared" si="37"/>
        <v>1326.933244617228</v>
      </c>
      <c r="AM34" s="42">
        <f t="shared" si="38"/>
        <v>48.780274831740599</v>
      </c>
      <c r="AU34" s="31"/>
      <c r="AV34" s="31"/>
      <c r="AW34" s="31"/>
      <c r="AX34" s="31"/>
      <c r="AY34" s="31"/>
      <c r="AZ34" s="31"/>
      <c r="BA34" s="31"/>
      <c r="BB34" s="31"/>
      <c r="BC34" s="31"/>
    </row>
    <row r="35" spans="1:55" ht="15.95" customHeight="1" x14ac:dyDescent="0.25">
      <c r="A35" s="28">
        <v>46234</v>
      </c>
      <c r="B35" s="29">
        <v>1735.78</v>
      </c>
      <c r="C35" s="30">
        <v>8251722</v>
      </c>
      <c r="D35" s="31"/>
      <c r="E35" s="31"/>
      <c r="F35" s="30">
        <v>214100</v>
      </c>
      <c r="G35" s="30">
        <v>7762186429</v>
      </c>
      <c r="H35" s="30">
        <v>148100</v>
      </c>
      <c r="I35" s="30">
        <v>4107412004</v>
      </c>
      <c r="J35" s="30">
        <v>24800</v>
      </c>
      <c r="K35" s="30">
        <v>2272318410</v>
      </c>
      <c r="L35" s="30">
        <v>79600</v>
      </c>
      <c r="M35" s="30">
        <v>1793300377</v>
      </c>
      <c r="N35" s="30">
        <v>125000</v>
      </c>
      <c r="O35" s="30">
        <v>769092961</v>
      </c>
      <c r="P35" s="31"/>
      <c r="Q35" s="12"/>
      <c r="R35" s="32">
        <f t="shared" si="20"/>
        <v>-45796899931100</v>
      </c>
      <c r="S35" s="32">
        <f t="shared" si="21"/>
        <v>821482400800</v>
      </c>
      <c r="T35" s="32">
        <f t="shared" si="22"/>
        <v>1136159205000</v>
      </c>
      <c r="U35" s="32">
        <f t="shared" si="23"/>
        <v>179330037700</v>
      </c>
      <c r="V35" s="32">
        <f t="shared" si="24"/>
        <v>615274368800</v>
      </c>
      <c r="W35" s="31"/>
      <c r="X35" s="33">
        <f t="shared" si="25"/>
        <v>-45796.899931100001</v>
      </c>
      <c r="Y35" s="33">
        <f t="shared" si="26"/>
        <v>821.48240080000005</v>
      </c>
      <c r="Z35" s="33">
        <f t="shared" si="27"/>
        <v>1136.1592049999999</v>
      </c>
      <c r="AA35" s="33">
        <f t="shared" si="28"/>
        <v>179.33003769999999</v>
      </c>
      <c r="AB35" s="33">
        <f t="shared" si="29"/>
        <v>615.27436880000005</v>
      </c>
      <c r="AC35" s="31"/>
      <c r="AD35" s="34">
        <f t="shared" si="30"/>
        <v>-9.6337162423684397</v>
      </c>
      <c r="AE35" s="34">
        <f t="shared" si="31"/>
        <v>0.17280489201917676</v>
      </c>
      <c r="AF35" s="34">
        <f t="shared" si="32"/>
        <v>0.23899948257615639</v>
      </c>
      <c r="AG35" s="34">
        <f t="shared" si="33"/>
        <v>3.7723398298447633E-2</v>
      </c>
      <c r="AH35" s="35">
        <f t="shared" si="34"/>
        <v>0.12942750904840947</v>
      </c>
      <c r="AI35" s="34">
        <f t="shared" si="35"/>
        <v>-9.1841884694746589</v>
      </c>
      <c r="AJ35" s="43">
        <f t="shared" si="36"/>
        <v>437.06992669136724</v>
      </c>
      <c r="AK35" s="36"/>
      <c r="AL35" s="37">
        <f t="shared" si="37"/>
        <v>1298.7100733086327</v>
      </c>
      <c r="AM35" s="42">
        <f t="shared" si="38"/>
        <v>50.885584690577161</v>
      </c>
      <c r="AU35" s="31"/>
      <c r="AV35" s="31"/>
      <c r="AW35" s="31"/>
      <c r="AX35" s="31"/>
      <c r="AY35" s="31"/>
      <c r="AZ35" s="31"/>
      <c r="BA35" s="31"/>
      <c r="BB35" s="31"/>
      <c r="BC35" s="31"/>
    </row>
    <row r="36" spans="1:55" ht="15.95" customHeight="1" x14ac:dyDescent="0.25">
      <c r="A36" s="28">
        <v>46233</v>
      </c>
      <c r="B36" s="29">
        <v>1744.66</v>
      </c>
      <c r="C36" s="30">
        <v>8293790</v>
      </c>
      <c r="D36" s="31"/>
      <c r="E36" s="31"/>
      <c r="F36" s="30">
        <v>220000</v>
      </c>
      <c r="G36" s="30">
        <v>7762186429</v>
      </c>
      <c r="H36" s="30">
        <v>147900</v>
      </c>
      <c r="I36" s="30">
        <v>4107412004</v>
      </c>
      <c r="J36" s="30">
        <v>24300</v>
      </c>
      <c r="K36" s="30">
        <v>2272318410</v>
      </c>
      <c r="L36" s="30">
        <v>79500</v>
      </c>
      <c r="M36" s="30">
        <v>1793300377</v>
      </c>
      <c r="N36" s="30">
        <v>124200</v>
      </c>
      <c r="O36" s="30">
        <v>769092961</v>
      </c>
      <c r="P36" s="31"/>
      <c r="Q36" s="12"/>
      <c r="R36" s="32">
        <f t="shared" si="20"/>
        <v>4657311857400</v>
      </c>
      <c r="S36" s="32">
        <f t="shared" si="21"/>
        <v>32448554831600</v>
      </c>
      <c r="T36" s="32">
        <f t="shared" si="22"/>
        <v>3522093535500</v>
      </c>
      <c r="U36" s="32">
        <f t="shared" si="23"/>
        <v>4662580980200</v>
      </c>
      <c r="V36" s="32">
        <f t="shared" si="24"/>
        <v>-999820849300</v>
      </c>
      <c r="W36" s="31"/>
      <c r="X36" s="33">
        <f t="shared" si="25"/>
        <v>4657.3118574</v>
      </c>
      <c r="Y36" s="33">
        <f t="shared" si="26"/>
        <v>32448.554831599999</v>
      </c>
      <c r="Z36" s="33">
        <f t="shared" si="27"/>
        <v>3522.0935355000001</v>
      </c>
      <c r="AA36" s="33">
        <f t="shared" si="28"/>
        <v>4662.5809802000003</v>
      </c>
      <c r="AB36" s="33">
        <f t="shared" si="29"/>
        <v>-999.82084929999996</v>
      </c>
      <c r="AC36" s="31"/>
      <c r="AD36" s="34">
        <f t="shared" si="30"/>
        <v>0.9797007422354399</v>
      </c>
      <c r="AE36" s="34">
        <f t="shared" si="31"/>
        <v>6.8257987067099615</v>
      </c>
      <c r="AF36" s="34">
        <f t="shared" si="32"/>
        <v>0.74089898993328995</v>
      </c>
      <c r="AG36" s="34">
        <f t="shared" si="33"/>
        <v>0.98080914203260783</v>
      </c>
      <c r="AH36" s="35">
        <f t="shared" si="34"/>
        <v>-0.21031987080815961</v>
      </c>
      <c r="AI36" s="34">
        <f t="shared" si="35"/>
        <v>9.5272075809113002</v>
      </c>
      <c r="AJ36" s="43">
        <f t="shared" si="36"/>
        <v>446.25411516084188</v>
      </c>
      <c r="AK36" s="36"/>
      <c r="AL36" s="37">
        <f t="shared" si="37"/>
        <v>1298.4058848391583</v>
      </c>
      <c r="AM36" s="42">
        <f t="shared" si="38"/>
        <v>53.50600792132434</v>
      </c>
      <c r="AU36" s="31"/>
      <c r="AV36" s="31"/>
      <c r="AW36" s="31"/>
      <c r="AX36" s="31"/>
      <c r="AY36" s="31"/>
      <c r="AZ36" s="31"/>
      <c r="BA36" s="31"/>
      <c r="BB36" s="31"/>
      <c r="BC36" s="31"/>
    </row>
    <row r="37" spans="1:55" ht="15.95" customHeight="1" x14ac:dyDescent="0.25">
      <c r="A37" s="28">
        <v>46232</v>
      </c>
      <c r="B37" s="29">
        <v>1704.68</v>
      </c>
      <c r="C37" s="30">
        <v>8103726</v>
      </c>
      <c r="D37" s="31"/>
      <c r="E37" s="31"/>
      <c r="F37" s="30">
        <v>219400</v>
      </c>
      <c r="G37" s="30">
        <v>7762186429</v>
      </c>
      <c r="H37" s="30">
        <v>140000</v>
      </c>
      <c r="I37" s="30">
        <v>4107412004</v>
      </c>
      <c r="J37" s="30">
        <v>22750</v>
      </c>
      <c r="K37" s="30">
        <v>2272318410</v>
      </c>
      <c r="L37" s="30">
        <v>76900</v>
      </c>
      <c r="M37" s="30">
        <v>1793300377</v>
      </c>
      <c r="N37" s="30">
        <v>125500</v>
      </c>
      <c r="O37" s="30">
        <v>769092961</v>
      </c>
      <c r="P37" s="31"/>
      <c r="Q37" s="12"/>
      <c r="R37" s="32">
        <f t="shared" si="20"/>
        <v>43468244002400</v>
      </c>
      <c r="S37" s="32">
        <f t="shared" si="21"/>
        <v>33270037232400</v>
      </c>
      <c r="T37" s="32">
        <f t="shared" si="22"/>
        <v>3294861694500</v>
      </c>
      <c r="U37" s="32">
        <f t="shared" si="23"/>
        <v>4303920904800</v>
      </c>
      <c r="V37" s="32">
        <f t="shared" si="24"/>
        <v>1615095218100</v>
      </c>
      <c r="W37" s="31"/>
      <c r="X37" s="33">
        <f t="shared" si="25"/>
        <v>43468.244002400003</v>
      </c>
      <c r="Y37" s="33">
        <f t="shared" si="26"/>
        <v>33270.037232399998</v>
      </c>
      <c r="Z37" s="33">
        <f t="shared" si="27"/>
        <v>3294.8616944999999</v>
      </c>
      <c r="AA37" s="33">
        <f t="shared" si="28"/>
        <v>4303.9209048000002</v>
      </c>
      <c r="AB37" s="33">
        <f t="shared" si="29"/>
        <v>1615.0952181</v>
      </c>
      <c r="AC37" s="31"/>
      <c r="AD37" s="34">
        <f t="shared" si="30"/>
        <v>9.1437698055575218</v>
      </c>
      <c r="AE37" s="34">
        <f t="shared" si="31"/>
        <v>6.9985242987638783</v>
      </c>
      <c r="AF37" s="34">
        <f t="shared" si="32"/>
        <v>0.69309118799447633</v>
      </c>
      <c r="AG37" s="34">
        <f t="shared" si="33"/>
        <v>0.90535200852938069</v>
      </c>
      <c r="AH37" s="35">
        <f t="shared" si="34"/>
        <v>0.33974362726839702</v>
      </c>
      <c r="AI37" s="34">
        <f t="shared" si="35"/>
        <v>17.740737300845257</v>
      </c>
      <c r="AJ37" s="43">
        <f t="shared" si="36"/>
        <v>436.72690757993058</v>
      </c>
      <c r="AK37" s="36"/>
      <c r="AL37" s="37">
        <f t="shared" si="37"/>
        <v>1267.9530924200694</v>
      </c>
      <c r="AM37" s="42">
        <f t="shared" si="38"/>
        <v>55.763640837856293</v>
      </c>
      <c r="AU37" s="31"/>
      <c r="AV37" s="31"/>
      <c r="AW37" s="31"/>
      <c r="AX37" s="31"/>
      <c r="AY37" s="31"/>
      <c r="AZ37" s="31"/>
      <c r="BA37" s="31"/>
      <c r="BB37" s="31"/>
      <c r="BC37" s="31"/>
    </row>
    <row r="38" spans="1:55" ht="15.95" customHeight="1" x14ac:dyDescent="0.25">
      <c r="A38" s="28">
        <v>46231</v>
      </c>
      <c r="B38" s="29">
        <v>1680.62</v>
      </c>
      <c r="C38" s="30">
        <v>7989440</v>
      </c>
      <c r="D38" s="31"/>
      <c r="E38" s="31"/>
      <c r="F38" s="30">
        <v>213800</v>
      </c>
      <c r="G38" s="30">
        <v>7762186429</v>
      </c>
      <c r="H38" s="30">
        <v>131900</v>
      </c>
      <c r="I38" s="30">
        <v>4107412004</v>
      </c>
      <c r="J38" s="30">
        <v>21300</v>
      </c>
      <c r="K38" s="30">
        <v>2272318410</v>
      </c>
      <c r="L38" s="30">
        <v>74500</v>
      </c>
      <c r="M38" s="30">
        <v>1793300377</v>
      </c>
      <c r="N38" s="30">
        <v>123400</v>
      </c>
      <c r="O38" s="30">
        <v>769092961</v>
      </c>
      <c r="P38" s="31"/>
      <c r="Q38" s="12"/>
      <c r="R38" s="32">
        <f t="shared" si="20"/>
        <v>2328655928700</v>
      </c>
      <c r="S38" s="32">
        <f t="shared" si="21"/>
        <v>3696670803600</v>
      </c>
      <c r="T38" s="32">
        <f t="shared" si="22"/>
        <v>-113615920500</v>
      </c>
      <c r="U38" s="32">
        <f t="shared" si="23"/>
        <v>896650188500</v>
      </c>
      <c r="V38" s="32">
        <f t="shared" si="24"/>
        <v>-1999641698600</v>
      </c>
      <c r="W38" s="31"/>
      <c r="X38" s="33">
        <f t="shared" si="25"/>
        <v>2328.6559287</v>
      </c>
      <c r="Y38" s="33">
        <f t="shared" si="26"/>
        <v>3696.6708036</v>
      </c>
      <c r="Z38" s="33">
        <f t="shared" si="27"/>
        <v>-113.6159205</v>
      </c>
      <c r="AA38" s="33">
        <f t="shared" si="28"/>
        <v>896.65018850000001</v>
      </c>
      <c r="AB38" s="33">
        <f t="shared" si="29"/>
        <v>-1999.6416985999999</v>
      </c>
      <c r="AC38" s="31"/>
      <c r="AD38" s="34">
        <f t="shared" si="30"/>
        <v>0.48982935424012797</v>
      </c>
      <c r="AE38" s="34">
        <f t="shared" si="31"/>
        <v>0.77758927381624343</v>
      </c>
      <c r="AF38" s="34">
        <f t="shared" si="32"/>
        <v>-2.3898941996545339E-2</v>
      </c>
      <c r="AG38" s="34">
        <f t="shared" si="33"/>
        <v>0.18860905013882229</v>
      </c>
      <c r="AH38" s="35">
        <f t="shared" si="34"/>
        <v>-0.42062169419922801</v>
      </c>
      <c r="AI38" s="34">
        <f t="shared" si="35"/>
        <v>1.4321287361986483</v>
      </c>
      <c r="AJ38" s="43">
        <f t="shared" si="36"/>
        <v>418.98617027908534</v>
      </c>
      <c r="AK38" s="36"/>
      <c r="AL38" s="37">
        <f t="shared" si="37"/>
        <v>1261.6338297209145</v>
      </c>
      <c r="AM38" s="42">
        <f t="shared" si="38"/>
        <v>56.06948820943439</v>
      </c>
      <c r="AU38" s="31"/>
      <c r="AV38" s="31"/>
      <c r="AW38" s="31"/>
      <c r="AX38" s="31"/>
      <c r="AY38" s="31"/>
      <c r="AZ38" s="31"/>
      <c r="BA38" s="31"/>
      <c r="BB38" s="31"/>
      <c r="BC38" s="31"/>
    </row>
    <row r="39" spans="1:55" ht="15.95" customHeight="1" x14ac:dyDescent="0.25">
      <c r="A39" s="28">
        <v>46230</v>
      </c>
      <c r="B39" s="29">
        <v>1669.01</v>
      </c>
      <c r="C39" s="30">
        <v>7934498</v>
      </c>
      <c r="D39" s="31"/>
      <c r="E39" s="31"/>
      <c r="F39" s="30">
        <v>213500</v>
      </c>
      <c r="G39" s="30">
        <v>7762186429</v>
      </c>
      <c r="H39" s="30">
        <v>131000</v>
      </c>
      <c r="I39" s="30">
        <v>4107412004</v>
      </c>
      <c r="J39" s="30">
        <v>21350</v>
      </c>
      <c r="K39" s="30">
        <v>2272318410</v>
      </c>
      <c r="L39" s="30">
        <v>74000</v>
      </c>
      <c r="M39" s="30">
        <v>1793300377</v>
      </c>
      <c r="N39" s="30">
        <v>126000</v>
      </c>
      <c r="O39" s="30">
        <v>769092961</v>
      </c>
      <c r="P39" s="31"/>
      <c r="Q39" s="12"/>
      <c r="R39" s="32">
        <f t="shared" si="20"/>
        <v>3104874571600</v>
      </c>
      <c r="S39" s="32">
        <f t="shared" si="21"/>
        <v>4107412004000</v>
      </c>
      <c r="T39" s="32">
        <f t="shared" si="22"/>
        <v>-1249775125500</v>
      </c>
      <c r="U39" s="32">
        <f t="shared" si="23"/>
        <v>-896650188500</v>
      </c>
      <c r="V39" s="32">
        <f t="shared" si="24"/>
        <v>-1076730145400</v>
      </c>
      <c r="W39" s="31"/>
      <c r="X39" s="33">
        <f t="shared" si="25"/>
        <v>3104.8745715999999</v>
      </c>
      <c r="Y39" s="33">
        <f t="shared" si="26"/>
        <v>4107.4120039999998</v>
      </c>
      <c r="Z39" s="33">
        <f t="shared" si="27"/>
        <v>-1249.7751255000001</v>
      </c>
      <c r="AA39" s="33">
        <f t="shared" si="28"/>
        <v>-896.65018850000001</v>
      </c>
      <c r="AB39" s="33">
        <f t="shared" si="29"/>
        <v>-1076.7301454000001</v>
      </c>
      <c r="AC39" s="31"/>
      <c r="AD39" s="34">
        <f t="shared" si="30"/>
        <v>0.65312166566264196</v>
      </c>
      <c r="AE39" s="34">
        <f t="shared" si="31"/>
        <v>0.86400906308843117</v>
      </c>
      <c r="AF39" s="34">
        <f t="shared" si="32"/>
        <v>-0.26289474593805112</v>
      </c>
      <c r="AG39" s="34">
        <f t="shared" si="33"/>
        <v>-0.18861363031745917</v>
      </c>
      <c r="AH39" s="35">
        <f t="shared" si="34"/>
        <v>-0.22649410461384151</v>
      </c>
      <c r="AI39" s="34">
        <f t="shared" si="35"/>
        <v>1.0656223524955628</v>
      </c>
      <c r="AJ39" s="43">
        <f t="shared" si="36"/>
        <v>417.55404154288669</v>
      </c>
      <c r="AK39" s="36"/>
      <c r="AL39" s="37">
        <f t="shared" si="37"/>
        <v>1251.4559584571134</v>
      </c>
      <c r="AM39" s="42">
        <f t="shared" si="38"/>
        <v>53.877330028520689</v>
      </c>
      <c r="AU39" s="31"/>
      <c r="AV39" s="31"/>
      <c r="AW39" s="31"/>
      <c r="AX39" s="31"/>
      <c r="AY39" s="31"/>
      <c r="AZ39" s="31"/>
      <c r="BA39" s="31"/>
      <c r="BB39" s="31"/>
      <c r="BC39" s="31"/>
    </row>
    <row r="40" spans="1:55" ht="15.95" customHeight="1" x14ac:dyDescent="0.25">
      <c r="A40" s="28">
        <v>46227</v>
      </c>
      <c r="B40" s="29">
        <v>1686.11</v>
      </c>
      <c r="C40" s="30">
        <v>8015597</v>
      </c>
      <c r="D40" s="31"/>
      <c r="E40" s="31"/>
      <c r="F40" s="30">
        <v>213100</v>
      </c>
      <c r="G40" s="30">
        <v>7762186429</v>
      </c>
      <c r="H40" s="30">
        <v>130000</v>
      </c>
      <c r="I40" s="30">
        <v>4107412004</v>
      </c>
      <c r="J40" s="30">
        <v>21900</v>
      </c>
      <c r="K40" s="30">
        <v>2272318410</v>
      </c>
      <c r="L40" s="30">
        <v>74500</v>
      </c>
      <c r="M40" s="30">
        <v>1793300377</v>
      </c>
      <c r="N40" s="30">
        <v>127400</v>
      </c>
      <c r="O40" s="30">
        <v>769092961</v>
      </c>
      <c r="P40" s="31"/>
      <c r="Q40" s="12"/>
      <c r="R40" s="32">
        <f t="shared" si="20"/>
        <v>-6985967786100</v>
      </c>
      <c r="S40" s="32">
        <f t="shared" si="21"/>
        <v>-8214824008000</v>
      </c>
      <c r="T40" s="32">
        <f t="shared" si="22"/>
        <v>-227231841000</v>
      </c>
      <c r="U40" s="32">
        <f t="shared" si="23"/>
        <v>-717320150800</v>
      </c>
      <c r="V40" s="32">
        <f t="shared" si="24"/>
        <v>-153818592200</v>
      </c>
      <c r="W40" s="31"/>
      <c r="X40" s="33">
        <f t="shared" si="25"/>
        <v>-6985.9677861</v>
      </c>
      <c r="Y40" s="33">
        <f t="shared" si="26"/>
        <v>-8214.8240079999996</v>
      </c>
      <c r="Z40" s="33">
        <f t="shared" si="27"/>
        <v>-227.231841</v>
      </c>
      <c r="AA40" s="33">
        <f t="shared" si="28"/>
        <v>-717.32015079999996</v>
      </c>
      <c r="AB40" s="33">
        <f t="shared" si="29"/>
        <v>-153.81859220000001</v>
      </c>
      <c r="AC40" s="31"/>
      <c r="AD40" s="34">
        <f t="shared" si="30"/>
        <v>-1.469539435550689</v>
      </c>
      <c r="AE40" s="34">
        <f t="shared" si="31"/>
        <v>-1.7280365735273322</v>
      </c>
      <c r="AF40" s="34">
        <f t="shared" si="32"/>
        <v>-4.7799554991750426E-2</v>
      </c>
      <c r="AG40" s="34">
        <f t="shared" si="33"/>
        <v>-0.15089251508046933</v>
      </c>
      <c r="AH40" s="35">
        <f t="shared" si="34"/>
        <v>-3.2356646076803705E-2</v>
      </c>
      <c r="AI40" s="34">
        <f t="shared" si="35"/>
        <v>-3.3962680791502406</v>
      </c>
      <c r="AJ40" s="43">
        <f t="shared" si="36"/>
        <v>416.48841919039114</v>
      </c>
      <c r="AK40" s="36"/>
      <c r="AL40" s="37">
        <f t="shared" si="37"/>
        <v>1269.6215808096088</v>
      </c>
      <c r="AM40" s="42">
        <f t="shared" si="38"/>
        <v>49.479728478855002</v>
      </c>
      <c r="AU40" s="31"/>
      <c r="AV40" s="31"/>
      <c r="AW40" s="31"/>
      <c r="AX40" s="31"/>
      <c r="AY40" s="31"/>
      <c r="AZ40" s="31"/>
      <c r="BA40" s="31"/>
      <c r="BB40" s="31"/>
      <c r="BC40" s="31"/>
    </row>
    <row r="41" spans="1:55" ht="15.95" customHeight="1" x14ac:dyDescent="0.25">
      <c r="A41" s="28">
        <v>46226</v>
      </c>
      <c r="B41" s="29">
        <v>1699.38</v>
      </c>
      <c r="C41" s="30">
        <v>8078595</v>
      </c>
      <c r="D41" s="31"/>
      <c r="E41" s="31"/>
      <c r="F41" s="30">
        <v>214000</v>
      </c>
      <c r="G41" s="30">
        <v>7762186429</v>
      </c>
      <c r="H41" s="30">
        <v>132000</v>
      </c>
      <c r="I41" s="30">
        <v>4107412004</v>
      </c>
      <c r="J41" s="30">
        <v>22000</v>
      </c>
      <c r="K41" s="30">
        <v>2272318410</v>
      </c>
      <c r="L41" s="30">
        <v>74900</v>
      </c>
      <c r="M41" s="30">
        <v>1793300377</v>
      </c>
      <c r="N41" s="30">
        <v>127600</v>
      </c>
      <c r="O41" s="30">
        <v>769092961</v>
      </c>
      <c r="P41" s="31"/>
      <c r="Q41" s="12"/>
      <c r="R41" s="32">
        <f t="shared" si="20"/>
        <v>92370018505100</v>
      </c>
      <c r="S41" s="32">
        <f t="shared" si="21"/>
        <v>20947801220400</v>
      </c>
      <c r="T41" s="32">
        <f t="shared" si="22"/>
        <v>568079602500</v>
      </c>
      <c r="U41" s="32">
        <f t="shared" si="23"/>
        <v>2510620527800</v>
      </c>
      <c r="V41" s="32">
        <f t="shared" si="24"/>
        <v>1230548737600</v>
      </c>
      <c r="W41" s="31"/>
      <c r="X41" s="33">
        <f t="shared" si="25"/>
        <v>92370.018505100001</v>
      </c>
      <c r="Y41" s="33">
        <f t="shared" si="26"/>
        <v>20947.801220400001</v>
      </c>
      <c r="Z41" s="33">
        <f t="shared" si="27"/>
        <v>568.07960249999996</v>
      </c>
      <c r="AA41" s="33">
        <f t="shared" si="28"/>
        <v>2510.6205278000002</v>
      </c>
      <c r="AB41" s="33">
        <f t="shared" si="29"/>
        <v>1230.5487376000001</v>
      </c>
      <c r="AC41" s="31"/>
      <c r="AD41" s="34">
        <f t="shared" si="30"/>
        <v>19.433636540618092</v>
      </c>
      <c r="AE41" s="34">
        <f t="shared" si="31"/>
        <v>4.4071871136400507</v>
      </c>
      <c r="AF41" s="34">
        <f t="shared" si="32"/>
        <v>0.11951770390209743</v>
      </c>
      <c r="AG41" s="34">
        <f t="shared" si="33"/>
        <v>0.528206961720876</v>
      </c>
      <c r="AH41" s="35">
        <f t="shared" si="34"/>
        <v>0.25889392791140847</v>
      </c>
      <c r="AI41" s="34">
        <f t="shared" si="35"/>
        <v>24.488548319881119</v>
      </c>
      <c r="AJ41" s="43">
        <f t="shared" si="36"/>
        <v>419.88468726954136</v>
      </c>
      <c r="AK41" s="36"/>
      <c r="AL41" s="37">
        <f t="shared" si="37"/>
        <v>1279.4953127304589</v>
      </c>
      <c r="AM41" s="42">
        <f t="shared" si="38"/>
        <v>45.105657514006872</v>
      </c>
      <c r="AU41" s="31"/>
      <c r="AV41" s="31"/>
      <c r="AW41" s="31"/>
      <c r="AX41" s="31"/>
      <c r="AY41" s="31"/>
      <c r="AZ41" s="31"/>
      <c r="BA41" s="31"/>
      <c r="BB41" s="31"/>
      <c r="BC41" s="31"/>
    </row>
    <row r="42" spans="1:55" ht="15.95" customHeight="1" x14ac:dyDescent="0.25">
      <c r="A42" s="28">
        <v>46225</v>
      </c>
      <c r="B42" s="29">
        <v>1668.53</v>
      </c>
      <c r="C42" s="30">
        <v>7930690</v>
      </c>
      <c r="D42" s="31"/>
      <c r="E42" s="31"/>
      <c r="F42" s="30">
        <v>202100</v>
      </c>
      <c r="G42" s="30">
        <v>7762186429</v>
      </c>
      <c r="H42" s="30">
        <v>126900</v>
      </c>
      <c r="I42" s="30">
        <v>4107412004</v>
      </c>
      <c r="J42" s="30">
        <v>21750</v>
      </c>
      <c r="K42" s="30">
        <v>2272318410</v>
      </c>
      <c r="L42" s="30">
        <v>73500</v>
      </c>
      <c r="M42" s="30">
        <v>1793300377</v>
      </c>
      <c r="N42" s="30">
        <v>126000</v>
      </c>
      <c r="O42" s="30">
        <v>769092961</v>
      </c>
      <c r="P42" s="31"/>
      <c r="Q42" s="12"/>
      <c r="R42" s="32">
        <f t="shared" si="20"/>
        <v>-117985233720800</v>
      </c>
      <c r="S42" s="32">
        <f t="shared" si="21"/>
        <v>-39020414038000</v>
      </c>
      <c r="T42" s="32">
        <f t="shared" si="22"/>
        <v>-2954013933000</v>
      </c>
      <c r="U42" s="32">
        <f t="shared" si="23"/>
        <v>-7352531545700</v>
      </c>
      <c r="V42" s="32">
        <f t="shared" si="24"/>
        <v>-3691646212800</v>
      </c>
      <c r="W42" s="31"/>
      <c r="X42" s="33">
        <f t="shared" si="25"/>
        <v>-117985.2337208</v>
      </c>
      <c r="Y42" s="33">
        <f t="shared" si="26"/>
        <v>-39020.414038000003</v>
      </c>
      <c r="Z42" s="33">
        <f t="shared" si="27"/>
        <v>-2954.0139330000002</v>
      </c>
      <c r="AA42" s="33">
        <f t="shared" si="28"/>
        <v>-7352.5315456999997</v>
      </c>
      <c r="AB42" s="33">
        <f t="shared" si="29"/>
        <v>-3691.6462127999998</v>
      </c>
      <c r="AC42" s="31"/>
      <c r="AD42" s="34">
        <f t="shared" si="30"/>
        <v>-24.822502914413967</v>
      </c>
      <c r="AE42" s="34">
        <f t="shared" si="31"/>
        <v>-8.2093691781121567</v>
      </c>
      <c r="AF42" s="34">
        <f t="shared" si="32"/>
        <v>-0.62148471591479404</v>
      </c>
      <c r="AG42" s="34">
        <f t="shared" si="33"/>
        <v>-1.5468735363388435</v>
      </c>
      <c r="AH42" s="35">
        <f t="shared" si="34"/>
        <v>-0.77667260543010208</v>
      </c>
      <c r="AI42" s="34">
        <f t="shared" si="35"/>
        <v>-35.200230344779762</v>
      </c>
      <c r="AJ42" s="43">
        <f t="shared" si="36"/>
        <v>395.39613894966027</v>
      </c>
      <c r="AK42" s="36"/>
      <c r="AL42" s="37">
        <f t="shared" si="37"/>
        <v>1273.1338610503396</v>
      </c>
      <c r="AM42" s="42">
        <f t="shared" si="38"/>
        <v>40.550084625930864</v>
      </c>
      <c r="AU42" s="31"/>
      <c r="AV42" s="31"/>
      <c r="AW42" s="31"/>
      <c r="AX42" s="31"/>
      <c r="AY42" s="31"/>
      <c r="AZ42" s="31"/>
      <c r="BA42" s="31"/>
      <c r="BB42" s="31"/>
      <c r="BC42" s="31"/>
    </row>
    <row r="43" spans="1:55" ht="15.95" customHeight="1" x14ac:dyDescent="0.25">
      <c r="A43" s="28">
        <v>46224</v>
      </c>
      <c r="B43" s="29">
        <v>1730.56</v>
      </c>
      <c r="C43" s="30">
        <v>8225622</v>
      </c>
      <c r="D43" s="31"/>
      <c r="E43" s="31"/>
      <c r="F43" s="30">
        <v>217300</v>
      </c>
      <c r="G43" s="30">
        <v>7762186429</v>
      </c>
      <c r="H43" s="30">
        <v>136400</v>
      </c>
      <c r="I43" s="30">
        <v>4107412004</v>
      </c>
      <c r="J43" s="30">
        <v>23050</v>
      </c>
      <c r="K43" s="30">
        <v>2272318410</v>
      </c>
      <c r="L43" s="30">
        <v>77600</v>
      </c>
      <c r="M43" s="30">
        <v>1793300377</v>
      </c>
      <c r="N43" s="30">
        <v>130800</v>
      </c>
      <c r="O43" s="30">
        <v>769092961</v>
      </c>
      <c r="P43" s="31"/>
      <c r="Q43" s="12"/>
      <c r="R43" s="32">
        <f t="shared" si="20"/>
        <v>-20957903358300</v>
      </c>
      <c r="S43" s="32">
        <f t="shared" si="21"/>
        <v>-2053706002000</v>
      </c>
      <c r="T43" s="32">
        <f t="shared" si="22"/>
        <v>-454463682000</v>
      </c>
      <c r="U43" s="32">
        <f t="shared" si="23"/>
        <v>0</v>
      </c>
      <c r="V43" s="32">
        <f t="shared" si="24"/>
        <v>-922911553200</v>
      </c>
      <c r="W43" s="31"/>
      <c r="X43" s="33">
        <f t="shared" si="25"/>
        <v>-20957.903358299998</v>
      </c>
      <c r="Y43" s="33">
        <f t="shared" si="26"/>
        <v>-2053.7060019999999</v>
      </c>
      <c r="Z43" s="33">
        <f t="shared" si="27"/>
        <v>-454.46368200000001</v>
      </c>
      <c r="AA43" s="33">
        <f t="shared" si="28"/>
        <v>0</v>
      </c>
      <c r="AB43" s="33">
        <f t="shared" si="29"/>
        <v>-922.91155319999996</v>
      </c>
      <c r="AC43" s="31"/>
      <c r="AD43" s="34">
        <f t="shared" si="30"/>
        <v>-4.4141097707702226</v>
      </c>
      <c r="AE43" s="34">
        <f t="shared" si="31"/>
        <v>-0.43254726270734078</v>
      </c>
      <c r="AF43" s="34">
        <f t="shared" si="32"/>
        <v>-9.571819016819498E-2</v>
      </c>
      <c r="AG43" s="34">
        <f t="shared" si="33"/>
        <v>0</v>
      </c>
      <c r="AH43" s="35">
        <f t="shared" si="34"/>
        <v>-0.19438170101702823</v>
      </c>
      <c r="AI43" s="34">
        <f t="shared" si="35"/>
        <v>-4.9423752236457581</v>
      </c>
      <c r="AJ43" s="43">
        <f t="shared" si="36"/>
        <v>430.59636929444002</v>
      </c>
      <c r="AK43" s="36"/>
      <c r="AL43" s="37">
        <f t="shared" si="37"/>
        <v>1299.9636307055598</v>
      </c>
      <c r="AM43" s="42">
        <f t="shared" si="38"/>
        <v>33.448685829471501</v>
      </c>
      <c r="AU43" s="31"/>
      <c r="AV43" s="31"/>
      <c r="AW43" s="31"/>
      <c r="AX43" s="31"/>
      <c r="AY43" s="31"/>
      <c r="AZ43" s="31"/>
      <c r="BA43" s="31"/>
      <c r="BB43" s="31"/>
      <c r="BC43" s="31"/>
    </row>
    <row r="44" spans="1:55" ht="15.95" customHeight="1" x14ac:dyDescent="0.25">
      <c r="A44" s="28">
        <v>46223</v>
      </c>
      <c r="B44" s="29">
        <v>1743.51</v>
      </c>
      <c r="C44" s="30">
        <v>8278071</v>
      </c>
      <c r="D44" s="31"/>
      <c r="E44" s="31"/>
      <c r="F44" s="30">
        <v>220000</v>
      </c>
      <c r="G44" s="30">
        <v>7762186429</v>
      </c>
      <c r="H44" s="30">
        <v>136900</v>
      </c>
      <c r="I44" s="30">
        <v>4107412004</v>
      </c>
      <c r="J44" s="30">
        <v>23250</v>
      </c>
      <c r="K44" s="30">
        <v>2272318410</v>
      </c>
      <c r="L44" s="30">
        <v>77600</v>
      </c>
      <c r="M44" s="30">
        <v>1793300377</v>
      </c>
      <c r="N44" s="30">
        <v>132000</v>
      </c>
      <c r="O44" s="30">
        <v>769092961</v>
      </c>
      <c r="P44" s="31"/>
      <c r="Q44" s="12"/>
      <c r="R44" s="32">
        <f t="shared" si="20"/>
        <v>0</v>
      </c>
      <c r="S44" s="32">
        <f t="shared" si="21"/>
        <v>-14786683214400</v>
      </c>
      <c r="T44" s="32">
        <f t="shared" si="22"/>
        <v>-2954013933000</v>
      </c>
      <c r="U44" s="32">
        <f t="shared" si="23"/>
        <v>-3945260829400</v>
      </c>
      <c r="V44" s="32">
        <f t="shared" si="24"/>
        <v>538365072700</v>
      </c>
      <c r="W44" s="31"/>
      <c r="X44" s="33">
        <f t="shared" si="25"/>
        <v>0</v>
      </c>
      <c r="Y44" s="33">
        <f t="shared" si="26"/>
        <v>-14786.6832144</v>
      </c>
      <c r="Z44" s="33">
        <f t="shared" si="27"/>
        <v>-2954.0139330000002</v>
      </c>
      <c r="AA44" s="33">
        <f t="shared" si="28"/>
        <v>-3945.2608294000001</v>
      </c>
      <c r="AB44" s="33">
        <f t="shared" si="29"/>
        <v>538.36507270000004</v>
      </c>
      <c r="AC44" s="31"/>
      <c r="AD44" s="34">
        <f t="shared" si="30"/>
        <v>0</v>
      </c>
      <c r="AE44" s="34">
        <f t="shared" si="31"/>
        <v>-3.1143913869865796</v>
      </c>
      <c r="AF44" s="34">
        <f t="shared" si="32"/>
        <v>-0.6221784437103639</v>
      </c>
      <c r="AG44" s="34">
        <f t="shared" si="33"/>
        <v>-0.83095621704623535</v>
      </c>
      <c r="AH44" s="35">
        <f t="shared" si="34"/>
        <v>0.11339118591777574</v>
      </c>
      <c r="AI44" s="34">
        <f t="shared" si="35"/>
        <v>-4.5675260477431792</v>
      </c>
      <c r="AJ44" s="43">
        <f t="shared" si="36"/>
        <v>435.53874451808576</v>
      </c>
      <c r="AK44" s="36"/>
      <c r="AL44" s="37">
        <f t="shared" si="37"/>
        <v>1307.9712554819143</v>
      </c>
      <c r="AM44" s="42">
        <f t="shared" si="38"/>
        <v>27.98875979844831</v>
      </c>
      <c r="AU44" s="31"/>
      <c r="AV44" s="31"/>
      <c r="AW44" s="31"/>
      <c r="AX44" s="31"/>
      <c r="AY44" s="31"/>
      <c r="AZ44" s="31"/>
      <c r="BA44" s="31"/>
      <c r="BB44" s="31"/>
      <c r="BC44" s="31"/>
    </row>
    <row r="45" spans="1:55" ht="15.95" customHeight="1" x14ac:dyDescent="0.25">
      <c r="A45" s="28">
        <v>46220</v>
      </c>
      <c r="B45" s="29">
        <v>1787.45</v>
      </c>
      <c r="C45" s="30">
        <v>8486556</v>
      </c>
      <c r="D45" s="31"/>
      <c r="E45" s="31"/>
      <c r="F45" s="30">
        <v>220000</v>
      </c>
      <c r="G45" s="30">
        <v>7762186429</v>
      </c>
      <c r="H45" s="30">
        <v>140500</v>
      </c>
      <c r="I45" s="30">
        <v>4107412004</v>
      </c>
      <c r="J45" s="30">
        <v>24550</v>
      </c>
      <c r="K45" s="30">
        <v>2272318410</v>
      </c>
      <c r="L45" s="30">
        <v>79800</v>
      </c>
      <c r="M45" s="30">
        <v>1793300377</v>
      </c>
      <c r="N45" s="30">
        <v>131300</v>
      </c>
      <c r="O45" s="30">
        <v>769092961</v>
      </c>
      <c r="P45" s="31"/>
      <c r="Q45" s="12"/>
      <c r="R45" s="32">
        <f t="shared" si="20"/>
        <v>-23286559287000</v>
      </c>
      <c r="S45" s="32">
        <f t="shared" si="21"/>
        <v>-9447047609200</v>
      </c>
      <c r="T45" s="32">
        <f t="shared" si="22"/>
        <v>-1136159205000</v>
      </c>
      <c r="U45" s="32">
        <f t="shared" si="23"/>
        <v>-3765930791700</v>
      </c>
      <c r="V45" s="32">
        <f t="shared" si="24"/>
        <v>-922911553200</v>
      </c>
      <c r="W45" s="31"/>
      <c r="X45" s="33">
        <f t="shared" si="25"/>
        <v>-23286.559287</v>
      </c>
      <c r="Y45" s="33">
        <f t="shared" si="26"/>
        <v>-9447.0476092000008</v>
      </c>
      <c r="Z45" s="33">
        <f t="shared" si="27"/>
        <v>-1136.1592049999999</v>
      </c>
      <c r="AA45" s="33">
        <f t="shared" si="28"/>
        <v>-3765.9307917000001</v>
      </c>
      <c r="AB45" s="33">
        <f t="shared" si="29"/>
        <v>-922.91155319999996</v>
      </c>
      <c r="AC45" s="31"/>
      <c r="AD45" s="34">
        <f t="shared" si="30"/>
        <v>-4.9047759985413197</v>
      </c>
      <c r="AE45" s="34">
        <f t="shared" si="31"/>
        <v>-1.9898024349414623</v>
      </c>
      <c r="AF45" s="34">
        <f t="shared" si="32"/>
        <v>-0.23930570122125178</v>
      </c>
      <c r="AG45" s="34">
        <f t="shared" si="33"/>
        <v>-0.79320636130257138</v>
      </c>
      <c r="AH45" s="35">
        <f t="shared" si="34"/>
        <v>-0.19439000751987093</v>
      </c>
      <c r="AI45" s="34">
        <f t="shared" si="35"/>
        <v>-7.9270904960066053</v>
      </c>
      <c r="AJ45" s="43">
        <f t="shared" si="36"/>
        <v>440.10627056582894</v>
      </c>
      <c r="AK45" s="36"/>
      <c r="AL45" s="37">
        <f t="shared" si="37"/>
        <v>1347.3437294341711</v>
      </c>
      <c r="AM45" s="42">
        <f t="shared" si="38"/>
        <v>21.789564745686338</v>
      </c>
      <c r="AO45" s="27">
        <f>B13-B26</f>
        <v>87.449999999999818</v>
      </c>
      <c r="AP45" s="7">
        <f>B13-B394</f>
        <v>556.32999999999993</v>
      </c>
      <c r="AQ45" s="7">
        <f>AL13-AL18</f>
        <v>0.9271977186449476</v>
      </c>
      <c r="AU45" s="31"/>
      <c r="AV45" s="31"/>
      <c r="AW45" s="31"/>
      <c r="AX45" s="31"/>
      <c r="AY45" s="31"/>
      <c r="AZ45" s="31"/>
      <c r="BA45" s="31"/>
      <c r="BB45" s="31"/>
      <c r="BC45" s="31"/>
    </row>
    <row r="46" spans="1:55" ht="15.95" customHeight="1" x14ac:dyDescent="0.25">
      <c r="A46" s="28">
        <v>46219</v>
      </c>
      <c r="B46" s="29">
        <v>1804.24</v>
      </c>
      <c r="C46" s="30">
        <v>8566047</v>
      </c>
      <c r="D46" s="31"/>
      <c r="E46" s="31"/>
      <c r="F46" s="4">
        <v>223000</v>
      </c>
      <c r="G46" s="4">
        <v>7762186429</v>
      </c>
      <c r="H46" s="4">
        <v>142800</v>
      </c>
      <c r="I46" s="4">
        <v>4107412004</v>
      </c>
      <c r="J46" s="4">
        <v>25050</v>
      </c>
      <c r="K46" s="4">
        <v>2272318410</v>
      </c>
      <c r="L46" s="4">
        <v>81900</v>
      </c>
      <c r="M46" s="4">
        <v>1793300377</v>
      </c>
      <c r="N46" s="4">
        <v>132500</v>
      </c>
      <c r="O46" s="4">
        <v>769092961</v>
      </c>
      <c r="P46" s="31"/>
      <c r="Q46" s="12"/>
      <c r="R46" s="32">
        <f t="shared" si="20"/>
        <v>46573118574000</v>
      </c>
      <c r="S46" s="32">
        <f t="shared" si="21"/>
        <v>27930401627200</v>
      </c>
      <c r="T46" s="32">
        <f t="shared" si="22"/>
        <v>568079602500</v>
      </c>
      <c r="U46" s="32">
        <f t="shared" si="23"/>
        <v>179330037700</v>
      </c>
      <c r="V46" s="32">
        <f t="shared" si="24"/>
        <v>2153460290800</v>
      </c>
      <c r="W46" s="31"/>
      <c r="X46" s="33">
        <f t="shared" si="25"/>
        <v>46573.118574</v>
      </c>
      <c r="Y46" s="33">
        <f t="shared" si="26"/>
        <v>27930.401627200001</v>
      </c>
      <c r="Z46" s="33">
        <f t="shared" si="27"/>
        <v>568.07960249999996</v>
      </c>
      <c r="AA46" s="33">
        <f t="shared" si="28"/>
        <v>179.33003769999999</v>
      </c>
      <c r="AB46" s="33">
        <f t="shared" si="29"/>
        <v>2153.4602908000002</v>
      </c>
      <c r="AC46" s="31"/>
      <c r="AD46" s="34">
        <f t="shared" si="30"/>
        <v>9.8125758709672226</v>
      </c>
      <c r="AE46" s="34">
        <f t="shared" si="31"/>
        <v>5.8847076052684351</v>
      </c>
      <c r="AF46" s="34">
        <f t="shared" si="32"/>
        <v>0.11968973457130878</v>
      </c>
      <c r="AG46" s="34">
        <f t="shared" si="33"/>
        <v>3.7783374932874474E-2</v>
      </c>
      <c r="AH46" s="35">
        <f t="shared" si="34"/>
        <v>0.45371650290102694</v>
      </c>
      <c r="AI46" s="34">
        <f t="shared" si="35"/>
        <v>15.854756585739841</v>
      </c>
      <c r="AJ46" s="43">
        <f t="shared" si="36"/>
        <v>448.03336106183554</v>
      </c>
      <c r="AK46" s="36"/>
      <c r="AL46" s="37">
        <f t="shared" si="37"/>
        <v>1356.2066389381644</v>
      </c>
      <c r="AM46" s="42">
        <f t="shared" si="38"/>
        <v>19.676217782258501</v>
      </c>
    </row>
    <row r="47" spans="1:55" ht="15.95" customHeight="1" x14ac:dyDescent="0.25">
      <c r="A47" s="28">
        <v>46218</v>
      </c>
      <c r="B47" s="29">
        <v>1782.12</v>
      </c>
      <c r="C47" s="30">
        <v>8458419.80378142</v>
      </c>
      <c r="D47" s="31"/>
      <c r="E47" s="31"/>
      <c r="F47" s="4">
        <v>217000</v>
      </c>
      <c r="G47" s="4">
        <v>7762186429</v>
      </c>
      <c r="H47" s="4">
        <v>136000</v>
      </c>
      <c r="I47" s="4">
        <v>4107412004</v>
      </c>
      <c r="J47" s="4">
        <v>24800</v>
      </c>
      <c r="K47" s="4">
        <v>2272318410</v>
      </c>
      <c r="L47" s="4">
        <v>81800</v>
      </c>
      <c r="M47" s="4">
        <v>1793300377</v>
      </c>
      <c r="N47" s="4">
        <v>129700</v>
      </c>
      <c r="O47" s="4">
        <v>769092961</v>
      </c>
      <c r="P47" s="31"/>
      <c r="Q47" s="12"/>
      <c r="R47" s="32">
        <f t="shared" si="20"/>
        <v>-15524372858000</v>
      </c>
      <c r="S47" s="32">
        <f t="shared" si="21"/>
        <v>-19715577619200</v>
      </c>
      <c r="T47" s="32">
        <f t="shared" si="22"/>
        <v>-1817854728000</v>
      </c>
      <c r="U47" s="32">
        <f t="shared" si="23"/>
        <v>0</v>
      </c>
      <c r="V47" s="32">
        <f t="shared" si="24"/>
        <v>-2768734659600</v>
      </c>
      <c r="W47" s="31"/>
      <c r="X47" s="33">
        <f t="shared" si="25"/>
        <v>-15524.372858000001</v>
      </c>
      <c r="Y47" s="33">
        <f t="shared" si="26"/>
        <v>-19715.577619200001</v>
      </c>
      <c r="Z47" s="33">
        <f t="shared" si="27"/>
        <v>-1817.854728</v>
      </c>
      <c r="AA47" s="33">
        <f t="shared" si="28"/>
        <v>0</v>
      </c>
      <c r="AB47" s="33">
        <f t="shared" si="29"/>
        <v>-2768.7346596000002</v>
      </c>
      <c r="AC47" s="31"/>
      <c r="AD47" s="34">
        <f t="shared" si="30"/>
        <v>-3.270069147583766</v>
      </c>
      <c r="AE47" s="34">
        <f t="shared" si="31"/>
        <v>-4.1529086352828513</v>
      </c>
      <c r="AF47" s="34">
        <f t="shared" si="32"/>
        <v>-0.38291470548897316</v>
      </c>
      <c r="AG47" s="34">
        <f t="shared" si="33"/>
        <v>0</v>
      </c>
      <c r="AH47" s="35">
        <f t="shared" si="34"/>
        <v>-0.58320898828052359</v>
      </c>
      <c r="AI47" s="34">
        <f t="shared" si="35"/>
        <v>-7.8058924883555907</v>
      </c>
      <c r="AJ47" s="43">
        <f t="shared" si="36"/>
        <v>432.1786044760957</v>
      </c>
      <c r="AK47" s="36"/>
      <c r="AL47" s="37">
        <f t="shared" si="37"/>
        <v>1349.9413955239042</v>
      </c>
      <c r="AM47" s="42">
        <f t="shared" si="38"/>
        <v>18.164911930666587</v>
      </c>
    </row>
    <row r="48" spans="1:55" ht="15.95" customHeight="1" x14ac:dyDescent="0.25">
      <c r="A48" s="28">
        <v>46217</v>
      </c>
      <c r="B48" s="29">
        <v>1806.63</v>
      </c>
      <c r="C48" s="30">
        <v>8576821</v>
      </c>
      <c r="D48" s="31"/>
      <c r="E48" s="31"/>
      <c r="F48" s="4">
        <v>219000</v>
      </c>
      <c r="G48" s="4">
        <v>7762186429</v>
      </c>
      <c r="H48" s="4">
        <v>140800</v>
      </c>
      <c r="I48" s="4">
        <v>4107412004</v>
      </c>
      <c r="J48" s="4">
        <v>25600</v>
      </c>
      <c r="K48" s="4">
        <v>2272318410</v>
      </c>
      <c r="L48" s="4">
        <v>81800</v>
      </c>
      <c r="M48" s="4">
        <v>1793300377</v>
      </c>
      <c r="N48" s="4">
        <v>133300</v>
      </c>
      <c r="O48" s="4">
        <v>769092961</v>
      </c>
      <c r="P48" s="31"/>
      <c r="Q48" s="12"/>
      <c r="R48" s="32">
        <f t="shared" si="20"/>
        <v>-19405466072500</v>
      </c>
      <c r="S48" s="32">
        <f t="shared" si="21"/>
        <v>-9036306408800</v>
      </c>
      <c r="T48" s="32">
        <f t="shared" si="22"/>
        <v>-681695523000</v>
      </c>
      <c r="U48" s="32">
        <f t="shared" si="23"/>
        <v>-1972630414700</v>
      </c>
      <c r="V48" s="32">
        <f t="shared" si="24"/>
        <v>-846002257100</v>
      </c>
      <c r="W48" s="31"/>
      <c r="X48" s="33">
        <f t="shared" si="25"/>
        <v>-19405.466072499999</v>
      </c>
      <c r="Y48" s="33">
        <f t="shared" si="26"/>
        <v>-9036.3064087999992</v>
      </c>
      <c r="Z48" s="33">
        <f t="shared" si="27"/>
        <v>-681.69552299999998</v>
      </c>
      <c r="AA48" s="33">
        <f t="shared" si="28"/>
        <v>-1972.6304147000001</v>
      </c>
      <c r="AB48" s="33">
        <f t="shared" si="29"/>
        <v>-846.00225709999995</v>
      </c>
      <c r="AC48" s="31"/>
      <c r="AD48" s="34">
        <f t="shared" si="30"/>
        <v>-4.0946108874383835</v>
      </c>
      <c r="AE48" s="34">
        <f t="shared" si="31"/>
        <v>-1.9066874490654788</v>
      </c>
      <c r="AF48" s="34">
        <f t="shared" si="32"/>
        <v>-0.14383977689406782</v>
      </c>
      <c r="AG48" s="34">
        <f t="shared" si="33"/>
        <v>-0.41623086725904834</v>
      </c>
      <c r="AH48" s="35">
        <f t="shared" si="34"/>
        <v>-0.17850898503427873</v>
      </c>
      <c r="AI48" s="34">
        <f t="shared" si="35"/>
        <v>-6.5613689806569786</v>
      </c>
      <c r="AJ48" s="43">
        <f t="shared" si="36"/>
        <v>439.9844969644513</v>
      </c>
      <c r="AK48" s="36"/>
      <c r="AL48" s="37">
        <f t="shared" si="37"/>
        <v>1366.6455030355487</v>
      </c>
      <c r="AM48" s="42">
        <f t="shared" si="38"/>
        <v>15.566259569008601</v>
      </c>
    </row>
    <row r="49" spans="1:55" ht="15.95" customHeight="1" x14ac:dyDescent="0.25">
      <c r="A49" s="28">
        <v>46216</v>
      </c>
      <c r="B49" s="29">
        <v>1800.54</v>
      </c>
      <c r="C49" s="30">
        <v>8533245</v>
      </c>
      <c r="D49" s="31"/>
      <c r="E49" s="31"/>
      <c r="F49" s="30">
        <v>221500</v>
      </c>
      <c r="G49" s="4">
        <v>7762186429</v>
      </c>
      <c r="H49" s="30">
        <v>143000</v>
      </c>
      <c r="I49" s="30">
        <v>4107412004</v>
      </c>
      <c r="J49" s="30">
        <v>25900</v>
      </c>
      <c r="K49" s="30">
        <v>2272318410</v>
      </c>
      <c r="L49" s="30">
        <v>82900</v>
      </c>
      <c r="M49" s="30">
        <v>1793300377</v>
      </c>
      <c r="N49" s="30">
        <v>134400</v>
      </c>
      <c r="O49" s="30">
        <v>769092961</v>
      </c>
      <c r="P49" s="31"/>
      <c r="Q49" s="12"/>
      <c r="R49" s="32">
        <f t="shared" si="20"/>
        <v>-11643279643500</v>
      </c>
      <c r="S49" s="32">
        <f t="shared" si="21"/>
        <v>-16429648016000</v>
      </c>
      <c r="T49" s="32">
        <f t="shared" si="22"/>
        <v>-1022543284500</v>
      </c>
      <c r="U49" s="32">
        <f t="shared" si="23"/>
        <v>1075980226200</v>
      </c>
      <c r="V49" s="32">
        <f t="shared" si="24"/>
        <v>-2768734659600</v>
      </c>
      <c r="W49" s="31"/>
      <c r="X49" s="33">
        <f t="shared" si="25"/>
        <v>-11643.2796435</v>
      </c>
      <c r="Y49" s="33">
        <f t="shared" si="26"/>
        <v>-16429.648015999999</v>
      </c>
      <c r="Z49" s="33">
        <f t="shared" si="27"/>
        <v>-1022.5432845</v>
      </c>
      <c r="AA49" s="33">
        <f t="shared" si="28"/>
        <v>1075.9802262000001</v>
      </c>
      <c r="AB49" s="33">
        <f t="shared" si="29"/>
        <v>-2768.7346596000002</v>
      </c>
      <c r="AC49" s="31"/>
      <c r="AD49" s="34">
        <f t="shared" si="30"/>
        <v>-2.4608358456707378</v>
      </c>
      <c r="AE49" s="34">
        <f t="shared" si="31"/>
        <v>-3.4724465964447413</v>
      </c>
      <c r="AF49" s="34">
        <f t="shared" si="32"/>
        <v>-0.2161170430749082</v>
      </c>
      <c r="AG49" s="34">
        <f t="shared" si="33"/>
        <v>0.22741107239007533</v>
      </c>
      <c r="AH49" s="35">
        <f t="shared" si="34"/>
        <v>-0.58517889341413454</v>
      </c>
      <c r="AI49" s="34">
        <f t="shared" si="35"/>
        <v>-5.9219884128003111</v>
      </c>
      <c r="AJ49" s="43">
        <f t="shared" si="36"/>
        <v>446.54586594510829</v>
      </c>
      <c r="AK49" s="36"/>
      <c r="AL49" s="37">
        <f t="shared" si="37"/>
        <v>1353.9941340548917</v>
      </c>
      <c r="AM49" s="42">
        <f t="shared" si="38"/>
        <v>14.19577179587294</v>
      </c>
    </row>
    <row r="50" spans="1:55" ht="15.95" customHeight="1" x14ac:dyDescent="0.25">
      <c r="A50" s="28">
        <v>46213</v>
      </c>
      <c r="B50" s="29">
        <v>1828.34</v>
      </c>
      <c r="C50" s="30">
        <v>8650668</v>
      </c>
      <c r="D50" s="31"/>
      <c r="E50" s="31"/>
      <c r="F50" s="30">
        <v>223000</v>
      </c>
      <c r="G50" s="4">
        <v>7762186429</v>
      </c>
      <c r="H50" s="30">
        <v>147000</v>
      </c>
      <c r="I50" s="30">
        <v>4107412004</v>
      </c>
      <c r="J50" s="30">
        <v>26350</v>
      </c>
      <c r="K50" s="30">
        <v>2272318410</v>
      </c>
      <c r="L50" s="30">
        <v>82300</v>
      </c>
      <c r="M50" s="30">
        <v>1793300377</v>
      </c>
      <c r="N50" s="30">
        <v>138000</v>
      </c>
      <c r="O50" s="30">
        <v>769092961</v>
      </c>
      <c r="P50" s="31"/>
      <c r="Q50" s="12"/>
      <c r="R50" s="32">
        <f>G51*F50-G51*F51</f>
        <v>15412062048000</v>
      </c>
      <c r="S50" s="32">
        <f t="shared" si="21"/>
        <v>-6982600406800</v>
      </c>
      <c r="T50" s="32">
        <f t="shared" si="22"/>
        <v>-1249775125500</v>
      </c>
      <c r="U50" s="32">
        <f t="shared" si="23"/>
        <v>-1613970339300</v>
      </c>
      <c r="V50" s="32">
        <f t="shared" si="24"/>
        <v>-769092961000</v>
      </c>
      <c r="W50" s="31"/>
      <c r="X50" s="33">
        <f t="shared" si="25"/>
        <v>15412.062048</v>
      </c>
      <c r="Y50" s="33">
        <f t="shared" si="26"/>
        <v>-6982.6004068000002</v>
      </c>
      <c r="Z50" s="33">
        <f t="shared" si="27"/>
        <v>-1249.7751255000001</v>
      </c>
      <c r="AA50" s="33">
        <f t="shared" si="28"/>
        <v>-1613.9703393</v>
      </c>
      <c r="AB50" s="33">
        <f t="shared" si="29"/>
        <v>-769.09296099999995</v>
      </c>
      <c r="AC50" s="31"/>
      <c r="AD50" s="34">
        <f t="shared" si="30"/>
        <v>3.2573815995492548</v>
      </c>
      <c r="AE50" s="34">
        <f t="shared" si="31"/>
        <v>-1.4757917539701995</v>
      </c>
      <c r="AF50" s="34">
        <f t="shared" si="32"/>
        <v>-0.26414340175241818</v>
      </c>
      <c r="AG50" s="34">
        <f t="shared" si="33"/>
        <v>-0.34111705942270859</v>
      </c>
      <c r="AH50" s="35">
        <f t="shared" si="34"/>
        <v>-0.16254990744923406</v>
      </c>
      <c r="AI50" s="34">
        <f t="shared" si="35"/>
        <v>1.1763293844039284</v>
      </c>
      <c r="AJ50" s="43">
        <f t="shared" si="36"/>
        <v>452.46785435790861</v>
      </c>
      <c r="AK50" s="36"/>
      <c r="AL50" s="37">
        <f t="shared" si="37"/>
        <v>1375.8721456420913</v>
      </c>
      <c r="AM50" s="42">
        <f t="shared" si="38"/>
        <v>9.7832456166772204</v>
      </c>
    </row>
    <row r="51" spans="1:55" ht="15.95" customHeight="1" x14ac:dyDescent="0.25">
      <c r="A51" s="28">
        <v>46212</v>
      </c>
      <c r="B51" s="29">
        <v>1840.7</v>
      </c>
      <c r="C51" s="30">
        <v>8709137</v>
      </c>
      <c r="D51" s="31"/>
      <c r="E51" s="31"/>
      <c r="F51" s="30">
        <v>221000</v>
      </c>
      <c r="G51" s="30">
        <v>7706031024</v>
      </c>
      <c r="H51" s="30">
        <v>148700</v>
      </c>
      <c r="I51" s="30">
        <v>4107412004</v>
      </c>
      <c r="J51" s="30">
        <v>26900</v>
      </c>
      <c r="K51" s="30">
        <v>2272318410</v>
      </c>
      <c r="L51" s="30">
        <v>83200</v>
      </c>
      <c r="M51" s="30">
        <v>1793300377</v>
      </c>
      <c r="N51" s="30">
        <v>139000</v>
      </c>
      <c r="O51" s="30">
        <v>769092961</v>
      </c>
      <c r="P51" s="31"/>
      <c r="Q51" s="12"/>
      <c r="R51" s="32">
        <f t="shared" ref="R51:R114" si="39">G51*F51-G52*F52</f>
        <v>2311809307200</v>
      </c>
      <c r="S51" s="32">
        <f t="shared" si="21"/>
        <v>-5339635605200</v>
      </c>
      <c r="T51" s="32">
        <f t="shared" si="22"/>
        <v>-340847761500</v>
      </c>
      <c r="U51" s="32">
        <f t="shared" si="23"/>
        <v>-1434640301600</v>
      </c>
      <c r="V51" s="32">
        <f t="shared" si="24"/>
        <v>76909296100</v>
      </c>
      <c r="W51" s="31"/>
      <c r="X51" s="33">
        <f t="shared" si="25"/>
        <v>2311.8093072000001</v>
      </c>
      <c r="Y51" s="33">
        <f t="shared" si="26"/>
        <v>-5339.6356052000001</v>
      </c>
      <c r="Z51" s="33">
        <f t="shared" si="27"/>
        <v>-340.84776149999999</v>
      </c>
      <c r="AA51" s="33">
        <f t="shared" si="28"/>
        <v>-1434.6403015999999</v>
      </c>
      <c r="AB51" s="33">
        <f t="shared" si="29"/>
        <v>76.909296100000006</v>
      </c>
      <c r="AC51" s="31"/>
      <c r="AD51" s="34">
        <f t="shared" si="30"/>
        <v>0.48860225656762407</v>
      </c>
      <c r="AE51" s="34">
        <f t="shared" si="31"/>
        <v>-1.1285351252043576</v>
      </c>
      <c r="AF51" s="34">
        <f t="shared" si="32"/>
        <v>-7.203837483318673E-2</v>
      </c>
      <c r="AG51" s="34">
        <f t="shared" si="33"/>
        <v>-0.30321207140290068</v>
      </c>
      <c r="AH51" s="35">
        <f t="shared" si="34"/>
        <v>1.6254824958292551E-2</v>
      </c>
      <c r="AI51" s="34">
        <f t="shared" si="35"/>
        <v>-1.0151833148728211</v>
      </c>
      <c r="AJ51" s="43">
        <f t="shared" si="36"/>
        <v>451.29152497350469</v>
      </c>
      <c r="AK51" s="36"/>
      <c r="AL51" s="37">
        <f t="shared" si="37"/>
        <v>1389.4084750264954</v>
      </c>
      <c r="AM51" s="42">
        <f t="shared" si="38"/>
        <v>8.4614211423185566</v>
      </c>
    </row>
    <row r="52" spans="1:55" ht="15.95" customHeight="1" x14ac:dyDescent="0.25">
      <c r="A52" s="28">
        <v>46211</v>
      </c>
      <c r="B52" s="29">
        <v>1853.7</v>
      </c>
      <c r="C52" s="30">
        <v>8770735</v>
      </c>
      <c r="D52" s="31"/>
      <c r="E52" s="31"/>
      <c r="F52" s="30">
        <v>220700</v>
      </c>
      <c r="G52" s="30">
        <v>7706031024</v>
      </c>
      <c r="H52" s="30">
        <v>150000</v>
      </c>
      <c r="I52" s="30">
        <v>4107412004</v>
      </c>
      <c r="J52" s="30">
        <v>27050</v>
      </c>
      <c r="K52" s="30">
        <v>2272318410</v>
      </c>
      <c r="L52" s="30">
        <v>84000</v>
      </c>
      <c r="M52" s="30">
        <v>1793300377</v>
      </c>
      <c r="N52" s="30">
        <v>138900</v>
      </c>
      <c r="O52" s="30">
        <v>769092961</v>
      </c>
      <c r="P52" s="31"/>
      <c r="Q52" s="12"/>
      <c r="R52" s="32">
        <f t="shared" si="39"/>
        <v>3082412409600</v>
      </c>
      <c r="S52" s="32">
        <f t="shared" si="21"/>
        <v>-410741200400</v>
      </c>
      <c r="T52" s="32">
        <f t="shared" si="22"/>
        <v>-681695523000</v>
      </c>
      <c r="U52" s="32">
        <f t="shared" si="23"/>
        <v>2869280603200</v>
      </c>
      <c r="V52" s="32">
        <f t="shared" si="24"/>
        <v>-615274368800</v>
      </c>
      <c r="W52" s="31"/>
      <c r="X52" s="33">
        <f t="shared" si="25"/>
        <v>3082.4124096</v>
      </c>
      <c r="Y52" s="33">
        <f t="shared" si="26"/>
        <v>-410.74120040000003</v>
      </c>
      <c r="Z52" s="33">
        <f t="shared" si="27"/>
        <v>-681.69552299999998</v>
      </c>
      <c r="AA52" s="33">
        <f t="shared" si="28"/>
        <v>2869.2806031999999</v>
      </c>
      <c r="AB52" s="33">
        <f t="shared" si="29"/>
        <v>-615.27436880000005</v>
      </c>
      <c r="AC52" s="31"/>
      <c r="AD52" s="34">
        <f t="shared" si="30"/>
        <v>0.65146918835410828</v>
      </c>
      <c r="AE52" s="34">
        <f t="shared" si="31"/>
        <v>-8.6810329342952602E-2</v>
      </c>
      <c r="AF52" s="34">
        <f t="shared" si="32"/>
        <v>-0.14407664194781447</v>
      </c>
      <c r="AG52" s="34">
        <f t="shared" si="33"/>
        <v>0.60642368941457092</v>
      </c>
      <c r="AH52" s="35">
        <f t="shared" si="34"/>
        <v>-0.13003850244336307</v>
      </c>
      <c r="AI52" s="34">
        <f t="shared" si="35"/>
        <v>1.0270059064779122</v>
      </c>
      <c r="AJ52" s="43">
        <f t="shared" si="36"/>
        <v>452.30670828837754</v>
      </c>
      <c r="AK52" s="36"/>
      <c r="AL52" s="37">
        <f t="shared" si="37"/>
        <v>1401.3932917116226</v>
      </c>
      <c r="AM52" s="42">
        <f t="shared" si="38"/>
        <v>8.5601681607823394</v>
      </c>
    </row>
    <row r="53" spans="1:55" ht="15.95" customHeight="1" x14ac:dyDescent="0.25">
      <c r="A53" s="28">
        <v>46210</v>
      </c>
      <c r="B53" s="29">
        <v>1848.25</v>
      </c>
      <c r="C53" s="30">
        <v>8744955</v>
      </c>
      <c r="D53" s="31"/>
      <c r="E53" s="31"/>
      <c r="F53" s="30">
        <v>220300</v>
      </c>
      <c r="G53" s="30">
        <v>7706031024</v>
      </c>
      <c r="H53" s="30">
        <v>150100</v>
      </c>
      <c r="I53" s="30">
        <v>4107412004</v>
      </c>
      <c r="J53" s="30">
        <v>27350</v>
      </c>
      <c r="K53" s="30">
        <v>2272318410</v>
      </c>
      <c r="L53" s="30">
        <v>82400</v>
      </c>
      <c r="M53" s="30">
        <v>1793300377</v>
      </c>
      <c r="N53" s="30">
        <v>139700</v>
      </c>
      <c r="O53" s="30">
        <v>769092961</v>
      </c>
      <c r="P53" s="31"/>
      <c r="Q53" s="12"/>
      <c r="R53" s="32">
        <f t="shared" si="39"/>
        <v>0</v>
      </c>
      <c r="S53" s="32">
        <f t="shared" si="21"/>
        <v>-16429648016000</v>
      </c>
      <c r="T53" s="32">
        <f t="shared" si="22"/>
        <v>-795311443500</v>
      </c>
      <c r="U53" s="32">
        <f t="shared" si="23"/>
        <v>-1075980226200</v>
      </c>
      <c r="V53" s="32">
        <f t="shared" si="24"/>
        <v>-692183664900</v>
      </c>
      <c r="W53" s="31"/>
      <c r="X53" s="33">
        <f t="shared" si="25"/>
        <v>0</v>
      </c>
      <c r="Y53" s="33">
        <f t="shared" si="26"/>
        <v>-16429.648015999999</v>
      </c>
      <c r="Z53" s="33">
        <f t="shared" si="27"/>
        <v>-795.3114435</v>
      </c>
      <c r="AA53" s="33">
        <f t="shared" si="28"/>
        <v>-1075.9802262000001</v>
      </c>
      <c r="AB53" s="33">
        <f t="shared" si="29"/>
        <v>-692.18366490000005</v>
      </c>
      <c r="AC53" s="31"/>
      <c r="AD53" s="34">
        <f t="shared" si="30"/>
        <v>0</v>
      </c>
      <c r="AE53" s="34">
        <f t="shared" si="31"/>
        <v>-3.472071828180451</v>
      </c>
      <c r="AF53" s="34">
        <f t="shared" si="32"/>
        <v>-0.16807289206176007</v>
      </c>
      <c r="AG53" s="34">
        <f t="shared" si="33"/>
        <v>-0.22738652875764989</v>
      </c>
      <c r="AH53" s="35">
        <f t="shared" si="34"/>
        <v>-0.14627893430738897</v>
      </c>
      <c r="AI53" s="34">
        <f t="shared" si="35"/>
        <v>-3.8675312489998608</v>
      </c>
      <c r="AJ53" s="43">
        <f t="shared" si="36"/>
        <v>451.2797023818996</v>
      </c>
      <c r="AK53" s="36"/>
      <c r="AL53" s="37">
        <f t="shared" si="37"/>
        <v>1396.9702976181004</v>
      </c>
      <c r="AM53" s="42">
        <f t="shared" si="38"/>
        <v>8.8343164455294918</v>
      </c>
    </row>
    <row r="54" spans="1:55" ht="15.95" customHeight="1" x14ac:dyDescent="0.25">
      <c r="A54" s="28">
        <v>46209</v>
      </c>
      <c r="B54" s="29">
        <v>1843.5</v>
      </c>
      <c r="C54" s="30">
        <v>8723338</v>
      </c>
      <c r="D54" s="31"/>
      <c r="E54" s="31"/>
      <c r="F54" s="30">
        <v>220300</v>
      </c>
      <c r="G54" s="30">
        <v>7706031024</v>
      </c>
      <c r="H54" s="30">
        <v>154100</v>
      </c>
      <c r="I54" s="30">
        <v>4107412004</v>
      </c>
      <c r="J54" s="30">
        <v>27700</v>
      </c>
      <c r="K54" s="30">
        <v>2272318410</v>
      </c>
      <c r="L54" s="30">
        <v>83000</v>
      </c>
      <c r="M54" s="30">
        <v>1793300377</v>
      </c>
      <c r="N54" s="30">
        <v>140600</v>
      </c>
      <c r="O54" s="30">
        <v>769092961</v>
      </c>
      <c r="P54" s="31"/>
      <c r="Q54" s="12"/>
      <c r="R54" s="32">
        <f t="shared" si="39"/>
        <v>0</v>
      </c>
      <c r="S54" s="32">
        <f t="shared" si="21"/>
        <v>10268530010000</v>
      </c>
      <c r="T54" s="32">
        <f t="shared" si="22"/>
        <v>-1022543284500</v>
      </c>
      <c r="U54" s="32">
        <f t="shared" si="23"/>
        <v>-5021241055600</v>
      </c>
      <c r="V54" s="32">
        <f t="shared" si="24"/>
        <v>-922911553200</v>
      </c>
      <c r="W54" s="31"/>
      <c r="X54" s="33">
        <f t="shared" si="25"/>
        <v>0</v>
      </c>
      <c r="Y54" s="33">
        <f t="shared" si="26"/>
        <v>10268.53001</v>
      </c>
      <c r="Z54" s="33">
        <f t="shared" si="27"/>
        <v>-1022.5432845</v>
      </c>
      <c r="AA54" s="33">
        <f t="shared" si="28"/>
        <v>-5021.2410556000004</v>
      </c>
      <c r="AB54" s="33">
        <f t="shared" si="29"/>
        <v>-922.91155319999996</v>
      </c>
      <c r="AC54" s="31"/>
      <c r="AD54" s="34">
        <f t="shared" si="30"/>
        <v>0</v>
      </c>
      <c r="AE54" s="34">
        <f t="shared" si="31"/>
        <v>2.1700196520197563</v>
      </c>
      <c r="AF54" s="34">
        <f t="shared" si="32"/>
        <v>-0.21609120489932995</v>
      </c>
      <c r="AG54" s="34">
        <f t="shared" si="33"/>
        <v>-1.0611247917247335</v>
      </c>
      <c r="AH54" s="35">
        <f t="shared" si="34"/>
        <v>-0.19503631051082418</v>
      </c>
      <c r="AI54" s="34">
        <f t="shared" si="35"/>
        <v>0.89280365539569284</v>
      </c>
      <c r="AJ54" s="43">
        <f t="shared" si="36"/>
        <v>455.14723363089945</v>
      </c>
      <c r="AK54" s="36"/>
      <c r="AL54" s="37">
        <f t="shared" si="37"/>
        <v>1388.3527663691007</v>
      </c>
      <c r="AM54" s="42">
        <f t="shared" si="38"/>
        <v>9.3881136312771272</v>
      </c>
    </row>
    <row r="55" spans="1:55" ht="15.95" customHeight="1" x14ac:dyDescent="0.25">
      <c r="A55" s="28">
        <v>46206</v>
      </c>
      <c r="B55" s="29">
        <v>1862.08</v>
      </c>
      <c r="C55" s="30">
        <v>8811360</v>
      </c>
      <c r="D55" s="31"/>
      <c r="E55" s="31"/>
      <c r="F55" s="30">
        <v>220300</v>
      </c>
      <c r="G55" s="30">
        <v>7706031024</v>
      </c>
      <c r="H55" s="30">
        <v>151600</v>
      </c>
      <c r="I55" s="30">
        <v>4107412004</v>
      </c>
      <c r="J55" s="30">
        <v>28150</v>
      </c>
      <c r="K55" s="30">
        <v>2272318410</v>
      </c>
      <c r="L55" s="30">
        <v>85800</v>
      </c>
      <c r="M55" s="30">
        <v>1793300377</v>
      </c>
      <c r="N55" s="30">
        <v>141800</v>
      </c>
      <c r="O55" s="30">
        <v>769092961</v>
      </c>
      <c r="P55" s="31"/>
      <c r="Q55" s="12"/>
      <c r="R55" s="32">
        <f t="shared" si="39"/>
        <v>0</v>
      </c>
      <c r="S55" s="32">
        <f t="shared" si="21"/>
        <v>4928894404800</v>
      </c>
      <c r="T55" s="32">
        <f t="shared" si="22"/>
        <v>0</v>
      </c>
      <c r="U55" s="32">
        <f t="shared" si="23"/>
        <v>-2151960452400</v>
      </c>
      <c r="V55" s="32">
        <f t="shared" si="24"/>
        <v>2153460290800</v>
      </c>
      <c r="W55" s="31"/>
      <c r="X55" s="33">
        <f t="shared" si="25"/>
        <v>0</v>
      </c>
      <c r="Y55" s="33">
        <f t="shared" si="26"/>
        <v>4928.8944048000003</v>
      </c>
      <c r="Z55" s="33">
        <f t="shared" si="27"/>
        <v>0</v>
      </c>
      <c r="AA55" s="33">
        <f t="shared" si="28"/>
        <v>-2151.9604524000001</v>
      </c>
      <c r="AB55" s="33">
        <f t="shared" si="29"/>
        <v>2153.4602908000002</v>
      </c>
      <c r="AC55" s="31"/>
      <c r="AD55" s="34">
        <f t="shared" si="30"/>
        <v>0</v>
      </c>
      <c r="AE55" s="34">
        <f t="shared" si="31"/>
        <v>1.0416102154102669</v>
      </c>
      <c r="AF55" s="34">
        <f t="shared" si="32"/>
        <v>0</v>
      </c>
      <c r="AG55" s="34">
        <f t="shared" si="33"/>
        <v>-0.45476810949649321</v>
      </c>
      <c r="AH55" s="35">
        <f t="shared" si="34"/>
        <v>0.45508506637781393</v>
      </c>
      <c r="AI55" s="34">
        <f t="shared" si="35"/>
        <v>0.58684210591377362</v>
      </c>
      <c r="AJ55" s="43">
        <f t="shared" si="36"/>
        <v>454.25442997550374</v>
      </c>
      <c r="AK55" s="36"/>
      <c r="AL55" s="37">
        <f t="shared" si="37"/>
        <v>1407.8255700244963</v>
      </c>
      <c r="AM55" s="42">
        <f t="shared" si="38"/>
        <v>10.093124180427562</v>
      </c>
    </row>
    <row r="56" spans="1:55" ht="15.95" customHeight="1" x14ac:dyDescent="0.25">
      <c r="A56" s="28">
        <v>46205</v>
      </c>
      <c r="B56" s="29">
        <v>1866.35</v>
      </c>
      <c r="C56" s="30">
        <v>8831559</v>
      </c>
      <c r="D56" s="31"/>
      <c r="E56" s="31"/>
      <c r="F56" s="30">
        <v>220300</v>
      </c>
      <c r="G56" s="30">
        <v>7706031024</v>
      </c>
      <c r="H56" s="30">
        <v>150400</v>
      </c>
      <c r="I56" s="30">
        <v>4107412004</v>
      </c>
      <c r="J56" s="30">
        <v>28150</v>
      </c>
      <c r="K56" s="30">
        <v>2272318410</v>
      </c>
      <c r="L56" s="30">
        <v>87000</v>
      </c>
      <c r="M56" s="30">
        <v>1793300377</v>
      </c>
      <c r="N56" s="30">
        <v>139000</v>
      </c>
      <c r="O56" s="30">
        <v>769092961</v>
      </c>
      <c r="P56" s="31"/>
      <c r="Q56" s="12"/>
      <c r="R56" s="32">
        <f t="shared" si="39"/>
        <v>24659299276800</v>
      </c>
      <c r="S56" s="32">
        <f t="shared" si="21"/>
        <v>6982600406800</v>
      </c>
      <c r="T56" s="32">
        <f t="shared" si="22"/>
        <v>-340847761500</v>
      </c>
      <c r="U56" s="32">
        <f t="shared" si="23"/>
        <v>-2151960452400</v>
      </c>
      <c r="V56" s="32">
        <f t="shared" si="24"/>
        <v>-230727888300</v>
      </c>
      <c r="W56" s="31"/>
      <c r="X56" s="33">
        <f t="shared" si="25"/>
        <v>24659.2992768</v>
      </c>
      <c r="Y56" s="33">
        <f t="shared" si="26"/>
        <v>6982.6004068000002</v>
      </c>
      <c r="Z56" s="33">
        <f t="shared" si="27"/>
        <v>-340.84776149999999</v>
      </c>
      <c r="AA56" s="33">
        <f t="shared" si="28"/>
        <v>-2151.9604524000001</v>
      </c>
      <c r="AB56" s="33">
        <f t="shared" si="29"/>
        <v>-230.72788829999999</v>
      </c>
      <c r="AC56" s="31"/>
      <c r="AD56" s="34">
        <f t="shared" si="30"/>
        <v>5.2120454343395206</v>
      </c>
      <c r="AE56" s="34">
        <f t="shared" si="31"/>
        <v>1.4758582618898313</v>
      </c>
      <c r="AF56" s="34">
        <f t="shared" si="32"/>
        <v>-7.2042356077907835E-2</v>
      </c>
      <c r="AG56" s="34">
        <f t="shared" si="33"/>
        <v>-0.45484324290443218</v>
      </c>
      <c r="AH56" s="35">
        <f t="shared" si="34"/>
        <v>-4.8767169873322885E-2</v>
      </c>
      <c r="AI56" s="34">
        <f t="shared" si="35"/>
        <v>6.1610180972470117</v>
      </c>
      <c r="AJ56" s="43">
        <f t="shared" si="36"/>
        <v>453.66758786958997</v>
      </c>
      <c r="AK56" s="36"/>
      <c r="AL56" s="37">
        <f t="shared" si="37"/>
        <v>1412.6824121304098</v>
      </c>
      <c r="AM56" s="42">
        <f t="shared" si="38"/>
        <v>9.9198999157060967</v>
      </c>
    </row>
    <row r="57" spans="1:55" ht="15.95" customHeight="1" x14ac:dyDescent="0.25">
      <c r="A57" s="28">
        <v>46204</v>
      </c>
      <c r="B57" s="29">
        <v>1867.21</v>
      </c>
      <c r="C57" s="30">
        <v>8834169</v>
      </c>
      <c r="D57" s="31"/>
      <c r="E57" s="31"/>
      <c r="F57" s="30">
        <v>217100</v>
      </c>
      <c r="G57" s="30">
        <v>7706031024</v>
      </c>
      <c r="H57" s="30">
        <v>148700</v>
      </c>
      <c r="I57" s="30">
        <v>4107412004</v>
      </c>
      <c r="J57" s="30">
        <v>28300</v>
      </c>
      <c r="K57" s="30">
        <v>2272318410</v>
      </c>
      <c r="L57" s="30">
        <v>88200</v>
      </c>
      <c r="M57" s="30">
        <v>1793300377</v>
      </c>
      <c r="N57" s="30">
        <v>139300</v>
      </c>
      <c r="O57" s="30">
        <v>769092961</v>
      </c>
      <c r="P57" s="31"/>
      <c r="Q57" s="12"/>
      <c r="R57" s="32">
        <f t="shared" si="39"/>
        <v>-22347489969600</v>
      </c>
      <c r="S57" s="32">
        <f t="shared" si="21"/>
        <v>-12732977212400</v>
      </c>
      <c r="T57" s="32">
        <f t="shared" si="22"/>
        <v>-454463682000</v>
      </c>
      <c r="U57" s="32">
        <f t="shared" si="23"/>
        <v>-2869280603200</v>
      </c>
      <c r="V57" s="32">
        <f t="shared" si="24"/>
        <v>-153818592200</v>
      </c>
      <c r="W57" s="31"/>
      <c r="X57" s="33">
        <f t="shared" si="25"/>
        <v>-22347.489969599999</v>
      </c>
      <c r="Y57" s="33">
        <f t="shared" si="26"/>
        <v>-12732.977212399999</v>
      </c>
      <c r="Z57" s="33">
        <f t="shared" si="27"/>
        <v>-454.46368200000001</v>
      </c>
      <c r="AA57" s="33">
        <f t="shared" si="28"/>
        <v>-2869.2806031999999</v>
      </c>
      <c r="AB57" s="33">
        <f t="shared" si="29"/>
        <v>-153.81859220000001</v>
      </c>
      <c r="AC57" s="31"/>
      <c r="AD57" s="34">
        <f t="shared" si="30"/>
        <v>-4.7235816396602486</v>
      </c>
      <c r="AE57" s="34">
        <f t="shared" si="31"/>
        <v>-2.691365225379784</v>
      </c>
      <c r="AF57" s="34">
        <f t="shared" si="32"/>
        <v>-9.6059839700468053E-2</v>
      </c>
      <c r="AG57" s="34">
        <f t="shared" si="33"/>
        <v>-0.60647890186977427</v>
      </c>
      <c r="AH57" s="35">
        <f t="shared" si="34"/>
        <v>-3.2512585482427324E-2</v>
      </c>
      <c r="AI57" s="34">
        <f t="shared" si="35"/>
        <v>-8.1174856066102752</v>
      </c>
      <c r="AJ57" s="43">
        <f t="shared" si="36"/>
        <v>447.50656977234297</v>
      </c>
      <c r="AK57" s="36"/>
      <c r="AL57" s="37">
        <f t="shared" si="37"/>
        <v>1419.703430227657</v>
      </c>
      <c r="AM57" s="42">
        <f t="shared" si="38"/>
        <v>9.6376181355459831</v>
      </c>
    </row>
    <row r="58" spans="1:55" ht="15.95" customHeight="1" x14ac:dyDescent="0.25">
      <c r="A58" s="28">
        <v>46203</v>
      </c>
      <c r="B58" s="29">
        <v>1860.01</v>
      </c>
      <c r="C58" s="30">
        <v>8799796</v>
      </c>
      <c r="D58" s="31"/>
      <c r="E58" s="31"/>
      <c r="F58" s="30">
        <v>220000</v>
      </c>
      <c r="G58" s="30">
        <v>7706031024</v>
      </c>
      <c r="H58" s="30">
        <v>151800</v>
      </c>
      <c r="I58" s="30">
        <v>4107412004</v>
      </c>
      <c r="J58" s="30">
        <v>28500</v>
      </c>
      <c r="K58" s="30">
        <v>2272318410</v>
      </c>
      <c r="L58" s="30">
        <v>89800</v>
      </c>
      <c r="M58" s="30">
        <v>1793300377</v>
      </c>
      <c r="N58" s="30">
        <v>139500</v>
      </c>
      <c r="O58" s="30">
        <v>769092961</v>
      </c>
      <c r="P58" s="31"/>
      <c r="Q58" s="12"/>
      <c r="R58" s="32">
        <f t="shared" si="39"/>
        <v>21576886867200</v>
      </c>
      <c r="S58" s="32">
        <f t="shared" si="21"/>
        <v>6161118006000</v>
      </c>
      <c r="T58" s="32">
        <f t="shared" si="22"/>
        <v>-1590622887000</v>
      </c>
      <c r="U58" s="32">
        <f t="shared" si="23"/>
        <v>2331290490100</v>
      </c>
      <c r="V58" s="32">
        <f t="shared" si="24"/>
        <v>538365072700</v>
      </c>
      <c r="W58" s="31"/>
      <c r="X58" s="33">
        <f t="shared" si="25"/>
        <v>21576.886867199999</v>
      </c>
      <c r="Y58" s="33">
        <f t="shared" si="26"/>
        <v>6161.1180059999997</v>
      </c>
      <c r="Z58" s="33">
        <f t="shared" si="27"/>
        <v>-1590.622887</v>
      </c>
      <c r="AA58" s="33">
        <f t="shared" si="28"/>
        <v>2331.2904901000002</v>
      </c>
      <c r="AB58" s="33">
        <f t="shared" si="29"/>
        <v>538.36507270000004</v>
      </c>
      <c r="AC58" s="31"/>
      <c r="AD58" s="34">
        <f t="shared" si="30"/>
        <v>4.5610573531585299</v>
      </c>
      <c r="AE58" s="34">
        <f t="shared" si="31"/>
        <v>1.3023756743917327</v>
      </c>
      <c r="AF58" s="34">
        <f t="shared" si="32"/>
        <v>-0.33623581842485972</v>
      </c>
      <c r="AG58" s="34">
        <f t="shared" si="33"/>
        <v>0.49280277074553747</v>
      </c>
      <c r="AH58" s="35">
        <f t="shared" si="34"/>
        <v>0.11380297763227371</v>
      </c>
      <c r="AI58" s="34">
        <f t="shared" si="35"/>
        <v>6.0199999798709412</v>
      </c>
      <c r="AJ58" s="43">
        <f t="shared" si="36"/>
        <v>455.62405537895324</v>
      </c>
      <c r="AK58" s="36"/>
      <c r="AL58" s="37">
        <f t="shared" si="37"/>
        <v>1404.3859446210467</v>
      </c>
      <c r="AM58" s="42">
        <f t="shared" si="38"/>
        <v>8.3156444756839978</v>
      </c>
    </row>
    <row r="59" spans="1:55" ht="15.95" customHeight="1" x14ac:dyDescent="0.25">
      <c r="A59" s="28">
        <v>46202</v>
      </c>
      <c r="B59" s="29">
        <v>1854.97</v>
      </c>
      <c r="C59" s="30">
        <v>8775263</v>
      </c>
      <c r="D59" s="31"/>
      <c r="E59" s="31"/>
      <c r="F59" s="30">
        <v>217200</v>
      </c>
      <c r="G59" s="30">
        <v>7706031024</v>
      </c>
      <c r="H59" s="30">
        <v>150300</v>
      </c>
      <c r="I59" s="30">
        <v>4107412004</v>
      </c>
      <c r="J59" s="30">
        <v>29200</v>
      </c>
      <c r="K59" s="30">
        <v>2272318410</v>
      </c>
      <c r="L59" s="30">
        <v>88500</v>
      </c>
      <c r="M59" s="30">
        <v>1793300377</v>
      </c>
      <c r="N59" s="30">
        <v>138800</v>
      </c>
      <c r="O59" s="30">
        <v>769092961</v>
      </c>
      <c r="P59" s="31"/>
      <c r="Q59" s="12"/>
      <c r="R59" s="32">
        <f t="shared" si="39"/>
        <v>-83225135059200</v>
      </c>
      <c r="S59" s="32">
        <f t="shared" si="21"/>
        <v>-48056720446800</v>
      </c>
      <c r="T59" s="32">
        <f t="shared" si="22"/>
        <v>-1817854728000</v>
      </c>
      <c r="U59" s="32">
        <f t="shared" si="23"/>
        <v>-537990113100</v>
      </c>
      <c r="V59" s="32">
        <f t="shared" si="24"/>
        <v>-538365072700</v>
      </c>
      <c r="W59" s="31"/>
      <c r="X59" s="33">
        <f t="shared" si="25"/>
        <v>-83225.135059199994</v>
      </c>
      <c r="Y59" s="33">
        <f t="shared" si="26"/>
        <v>-48056.720446799998</v>
      </c>
      <c r="Z59" s="33">
        <f t="shared" si="27"/>
        <v>-1817.854728</v>
      </c>
      <c r="AA59" s="33">
        <f t="shared" si="28"/>
        <v>-537.99011310000003</v>
      </c>
      <c r="AB59" s="33">
        <f t="shared" si="29"/>
        <v>-538.36507270000004</v>
      </c>
      <c r="AC59" s="31"/>
      <c r="AD59" s="34">
        <f t="shared" si="30"/>
        <v>-17.592964999563769</v>
      </c>
      <c r="AE59" s="34">
        <f t="shared" si="31"/>
        <v>-10.158712271394659</v>
      </c>
      <c r="AF59" s="34">
        <f t="shared" si="32"/>
        <v>-0.38427639175648509</v>
      </c>
      <c r="AG59" s="34">
        <f t="shared" si="33"/>
        <v>-0.11372575392214251</v>
      </c>
      <c r="AH59" s="35">
        <f t="shared" si="34"/>
        <v>-0.11380501664865365</v>
      </c>
      <c r="AI59" s="34">
        <f t="shared" si="35"/>
        <v>-28.249679416637058</v>
      </c>
      <c r="AJ59" s="43">
        <f t="shared" si="36"/>
        <v>449.60405539908231</v>
      </c>
      <c r="AK59" s="36"/>
      <c r="AL59" s="37">
        <f t="shared" si="37"/>
        <v>1405.3659446009178</v>
      </c>
      <c r="AM59" s="42">
        <f t="shared" si="38"/>
        <v>8.2004871859289601</v>
      </c>
    </row>
    <row r="60" spans="1:55" ht="15.95" customHeight="1" x14ac:dyDescent="0.25">
      <c r="A60" s="28">
        <v>46199</v>
      </c>
      <c r="B60" s="29">
        <v>1871.91</v>
      </c>
      <c r="C60" s="30">
        <v>8855242</v>
      </c>
      <c r="D60" s="31"/>
      <c r="E60" s="31"/>
      <c r="F60" s="30">
        <v>228000</v>
      </c>
      <c r="G60" s="30">
        <v>7706031024</v>
      </c>
      <c r="H60" s="30">
        <v>162000</v>
      </c>
      <c r="I60" s="30">
        <v>4107412004</v>
      </c>
      <c r="J60" s="30">
        <v>30000</v>
      </c>
      <c r="K60" s="30">
        <v>2272318410</v>
      </c>
      <c r="L60" s="30">
        <v>88800</v>
      </c>
      <c r="M60" s="30">
        <v>1793300377</v>
      </c>
      <c r="N60" s="30">
        <v>139500</v>
      </c>
      <c r="O60" s="30">
        <v>769092961</v>
      </c>
      <c r="P60" s="31"/>
      <c r="Q60" s="12"/>
      <c r="R60" s="32">
        <f t="shared" si="39"/>
        <v>23118093072000</v>
      </c>
      <c r="S60" s="32">
        <f t="shared" si="21"/>
        <v>22590766022000</v>
      </c>
      <c r="T60" s="32">
        <f t="shared" si="22"/>
        <v>908927364000</v>
      </c>
      <c r="U60" s="32">
        <f t="shared" si="23"/>
        <v>1613970339300</v>
      </c>
      <c r="V60" s="32">
        <f t="shared" si="24"/>
        <v>76909296100</v>
      </c>
      <c r="W60" s="31"/>
      <c r="X60" s="33">
        <f t="shared" si="25"/>
        <v>23118.093072</v>
      </c>
      <c r="Y60" s="33">
        <f t="shared" si="26"/>
        <v>22590.766022</v>
      </c>
      <c r="Z60" s="33">
        <f t="shared" si="27"/>
        <v>908.92736400000001</v>
      </c>
      <c r="AA60" s="33">
        <f t="shared" si="28"/>
        <v>1613.9703393</v>
      </c>
      <c r="AB60" s="33">
        <f t="shared" si="29"/>
        <v>76.909296100000006</v>
      </c>
      <c r="AC60" s="31"/>
      <c r="AD60" s="34">
        <f t="shared" si="30"/>
        <v>4.8868468756120995</v>
      </c>
      <c r="AE60" s="34">
        <f t="shared" si="31"/>
        <v>4.7753771908637761</v>
      </c>
      <c r="AF60" s="34">
        <f t="shared" si="32"/>
        <v>0.19213474204330089</v>
      </c>
      <c r="AG60" s="34">
        <f t="shared" si="33"/>
        <v>0.34117112883724809</v>
      </c>
      <c r="AH60" s="35">
        <f t="shared" si="34"/>
        <v>1.6257567273445347E-2</v>
      </c>
      <c r="AI60" s="34">
        <f t="shared" si="35"/>
        <v>10.195529937356424</v>
      </c>
      <c r="AJ60" s="43">
        <f t="shared" si="36"/>
        <v>477.85373481571935</v>
      </c>
      <c r="AK60" s="36"/>
      <c r="AL60" s="37">
        <f t="shared" si="37"/>
        <v>1394.0562651842806</v>
      </c>
      <c r="AM60" s="42">
        <f t="shared" si="38"/>
        <v>8.5912328678115042</v>
      </c>
      <c r="AN60" s="7"/>
      <c r="AO60" s="26"/>
      <c r="AP60" s="7"/>
      <c r="AQ60" s="7"/>
      <c r="AR60" s="26"/>
      <c r="AS60" s="7"/>
      <c r="AT60" s="7"/>
      <c r="BC60">
        <v>8855242</v>
      </c>
    </row>
    <row r="61" spans="1:55" ht="15.95" customHeight="1" x14ac:dyDescent="0.25">
      <c r="A61" s="28">
        <v>46198</v>
      </c>
      <c r="B61" s="29">
        <v>1863.07</v>
      </c>
      <c r="C61" s="30">
        <v>8813582</v>
      </c>
      <c r="D61" s="31"/>
      <c r="E61" s="31"/>
      <c r="F61" s="30">
        <v>225000</v>
      </c>
      <c r="G61" s="30">
        <v>7706031024</v>
      </c>
      <c r="H61" s="30">
        <v>156500</v>
      </c>
      <c r="I61" s="30">
        <v>4107412004</v>
      </c>
      <c r="J61" s="30">
        <v>29600</v>
      </c>
      <c r="K61" s="30">
        <v>2272318410</v>
      </c>
      <c r="L61" s="30">
        <v>87900</v>
      </c>
      <c r="M61" s="30">
        <v>1793300377</v>
      </c>
      <c r="N61" s="30">
        <v>139400</v>
      </c>
      <c r="O61" s="30">
        <v>769092961</v>
      </c>
      <c r="P61" s="31"/>
      <c r="Q61" s="12"/>
      <c r="R61" s="32">
        <f t="shared" si="39"/>
        <v>-42383170632000</v>
      </c>
      <c r="S61" s="32">
        <f t="shared" si="21"/>
        <v>-12732977212400</v>
      </c>
      <c r="T61" s="32">
        <f t="shared" si="22"/>
        <v>-1590622887000</v>
      </c>
      <c r="U61" s="32">
        <f t="shared" si="23"/>
        <v>-4662580980200</v>
      </c>
      <c r="V61" s="32">
        <f t="shared" si="24"/>
        <v>2307278883000</v>
      </c>
      <c r="W61" s="31"/>
      <c r="X61" s="33">
        <f t="shared" si="25"/>
        <v>-42383.170632000001</v>
      </c>
      <c r="Y61" s="33">
        <f t="shared" si="26"/>
        <v>-12732.977212399999</v>
      </c>
      <c r="Z61" s="33">
        <f t="shared" si="27"/>
        <v>-1590.622887</v>
      </c>
      <c r="AA61" s="33">
        <f t="shared" si="28"/>
        <v>-4662.5809802000003</v>
      </c>
      <c r="AB61" s="33">
        <f t="shared" si="29"/>
        <v>2307.278883</v>
      </c>
      <c r="AC61" s="31"/>
      <c r="AD61" s="34">
        <f t="shared" si="30"/>
        <v>-8.9622492411933106</v>
      </c>
      <c r="AE61" s="34">
        <f t="shared" si="31"/>
        <v>-2.692486514300656</v>
      </c>
      <c r="AF61" s="34">
        <f t="shared" si="32"/>
        <v>-0.33634951206971003</v>
      </c>
      <c r="AG61" s="34">
        <f t="shared" si="33"/>
        <v>-0.9859388108224677</v>
      </c>
      <c r="AH61" s="35">
        <f t="shared" si="34"/>
        <v>0.48789196537305674</v>
      </c>
      <c r="AI61" s="34">
        <f t="shared" si="35"/>
        <v>-12.977024078386144</v>
      </c>
      <c r="AJ61" s="43">
        <f t="shared" si="36"/>
        <v>467.65820487836294</v>
      </c>
      <c r="AK61" s="36"/>
      <c r="AL61" s="37">
        <f t="shared" si="37"/>
        <v>1395.4117951216369</v>
      </c>
      <c r="AM61" s="42">
        <f t="shared" si="38"/>
        <v>9.395586777759986</v>
      </c>
      <c r="AN61" s="37"/>
      <c r="AO61" s="38"/>
      <c r="AP61" s="37"/>
      <c r="AQ61" s="37"/>
      <c r="AR61" s="38"/>
      <c r="AS61" s="37"/>
      <c r="AT61" s="37"/>
      <c r="BC61">
        <f>F426*G426</f>
        <v>155049476298550</v>
      </c>
    </row>
    <row r="62" spans="1:55" ht="15.95" customHeight="1" x14ac:dyDescent="0.25">
      <c r="A62" s="28">
        <v>46197</v>
      </c>
      <c r="B62" s="29">
        <v>1878.02</v>
      </c>
      <c r="C62" s="30">
        <v>8881302</v>
      </c>
      <c r="D62" s="31"/>
      <c r="E62" s="31"/>
      <c r="F62" s="30">
        <v>230500</v>
      </c>
      <c r="G62" s="30">
        <v>7706031024</v>
      </c>
      <c r="H62" s="30">
        <v>159600</v>
      </c>
      <c r="I62" s="30">
        <v>4107412004</v>
      </c>
      <c r="J62" s="30">
        <v>30300</v>
      </c>
      <c r="K62" s="30">
        <v>2272318410</v>
      </c>
      <c r="L62" s="30">
        <v>90500</v>
      </c>
      <c r="M62" s="30">
        <v>1793300377</v>
      </c>
      <c r="N62" s="30">
        <v>136400</v>
      </c>
      <c r="O62" s="30">
        <v>769092961</v>
      </c>
      <c r="P62" s="31"/>
      <c r="Q62" s="12"/>
      <c r="R62" s="32">
        <f t="shared" si="39"/>
        <v>11559046536000</v>
      </c>
      <c r="S62" s="32">
        <f t="shared" si="21"/>
        <v>14786683214400</v>
      </c>
      <c r="T62" s="32">
        <f t="shared" si="22"/>
        <v>1136159205000</v>
      </c>
      <c r="U62" s="32">
        <f t="shared" si="23"/>
        <v>0</v>
      </c>
      <c r="V62" s="32">
        <f t="shared" si="24"/>
        <v>-846002257100</v>
      </c>
      <c r="W62" s="31"/>
      <c r="X62" s="33">
        <f t="shared" si="25"/>
        <v>11559.046536</v>
      </c>
      <c r="Y62" s="33">
        <f t="shared" si="26"/>
        <v>14786.6832144</v>
      </c>
      <c r="Z62" s="33">
        <f t="shared" si="27"/>
        <v>1136.1592049999999</v>
      </c>
      <c r="AA62" s="33">
        <f t="shared" si="28"/>
        <v>0</v>
      </c>
      <c r="AB62" s="33">
        <f t="shared" si="29"/>
        <v>-846.00225709999995</v>
      </c>
      <c r="AC62" s="31"/>
      <c r="AD62" s="34">
        <f t="shared" si="30"/>
        <v>2.4442060693616838</v>
      </c>
      <c r="AE62" s="34">
        <f t="shared" si="31"/>
        <v>3.1267026000633984</v>
      </c>
      <c r="AF62" s="34">
        <f t="shared" si="32"/>
        <v>0.24024535379914883</v>
      </c>
      <c r="AG62" s="34">
        <f t="shared" si="33"/>
        <v>0</v>
      </c>
      <c r="AH62" s="35">
        <f t="shared" si="34"/>
        <v>-0.17889052051632848</v>
      </c>
      <c r="AI62" s="34">
        <f t="shared" si="35"/>
        <v>5.8111540232242307</v>
      </c>
      <c r="AJ62" s="43">
        <f t="shared" si="36"/>
        <v>480.63522895674907</v>
      </c>
      <c r="AK62" s="36"/>
      <c r="AL62" s="37">
        <f t="shared" si="37"/>
        <v>1397.384771043251</v>
      </c>
      <c r="AM62" s="42">
        <f t="shared" si="38"/>
        <v>10.068166974063072</v>
      </c>
      <c r="AN62" s="37"/>
      <c r="AO62" s="38"/>
      <c r="AP62" s="37"/>
      <c r="AQ62" s="37"/>
      <c r="AR62" s="38"/>
      <c r="AS62" s="37"/>
      <c r="AT62" s="37"/>
      <c r="BC62">
        <f>BC60*1000000000</f>
        <v>8855242000000000</v>
      </c>
    </row>
    <row r="63" spans="1:55" ht="15.95" customHeight="1" x14ac:dyDescent="0.25">
      <c r="A63" s="28">
        <v>46196</v>
      </c>
      <c r="B63" s="29">
        <v>1869.04</v>
      </c>
      <c r="C63" s="30">
        <v>8838993</v>
      </c>
      <c r="D63" s="31"/>
      <c r="E63" s="31"/>
      <c r="F63" s="30">
        <v>229000</v>
      </c>
      <c r="G63" s="30">
        <v>7706031024</v>
      </c>
      <c r="H63" s="30">
        <v>156000</v>
      </c>
      <c r="I63" s="30">
        <v>4107412004</v>
      </c>
      <c r="J63" s="30">
        <v>29800</v>
      </c>
      <c r="K63" s="30">
        <v>2272318410</v>
      </c>
      <c r="L63" s="30">
        <v>90500</v>
      </c>
      <c r="M63" s="30">
        <v>1793300377</v>
      </c>
      <c r="N63" s="30">
        <v>137500</v>
      </c>
      <c r="O63" s="30">
        <v>769092961</v>
      </c>
      <c r="P63" s="31"/>
      <c r="Q63" s="12"/>
      <c r="R63" s="32">
        <f t="shared" si="39"/>
        <v>70895485420800</v>
      </c>
      <c r="S63" s="32">
        <f t="shared" si="21"/>
        <v>2464447202400</v>
      </c>
      <c r="T63" s="32">
        <f t="shared" si="22"/>
        <v>-2045086569000</v>
      </c>
      <c r="U63" s="32">
        <f t="shared" si="23"/>
        <v>-2510620527800</v>
      </c>
      <c r="V63" s="32">
        <f t="shared" si="24"/>
        <v>-1538433255500</v>
      </c>
      <c r="W63" s="31"/>
      <c r="X63" s="33">
        <f t="shared" si="25"/>
        <v>70895.485420800003</v>
      </c>
      <c r="Y63" s="33">
        <f t="shared" si="26"/>
        <v>2464.4472024000002</v>
      </c>
      <c r="Z63" s="33">
        <f t="shared" si="27"/>
        <v>-2045.0865690000001</v>
      </c>
      <c r="AA63" s="33">
        <f t="shared" si="28"/>
        <v>-2510.6205278000002</v>
      </c>
      <c r="AB63" s="33">
        <f t="shared" si="29"/>
        <v>-1538.4332555000001</v>
      </c>
      <c r="AC63" s="31"/>
      <c r="AD63" s="34">
        <f t="shared" si="30"/>
        <v>14.991074982803919</v>
      </c>
      <c r="AE63" s="34">
        <f t="shared" si="31"/>
        <v>0.52111516809645198</v>
      </c>
      <c r="AF63" s="34">
        <f t="shared" si="32"/>
        <v>-0.43244003366693151</v>
      </c>
      <c r="AG63" s="34">
        <f t="shared" si="33"/>
        <v>-0.53087866402525941</v>
      </c>
      <c r="AH63" s="35">
        <f t="shared" si="34"/>
        <v>-0.32530658549483976</v>
      </c>
      <c r="AI63" s="34">
        <f t="shared" si="35"/>
        <v>14.54887145320818</v>
      </c>
      <c r="AJ63" s="43">
        <f t="shared" si="36"/>
        <v>474.82407493352486</v>
      </c>
      <c r="AK63" s="36"/>
      <c r="AL63" s="37">
        <f t="shared" si="37"/>
        <v>1394.2159250664752</v>
      </c>
      <c r="AM63" s="42">
        <f t="shared" si="38"/>
        <v>12.854045062466218</v>
      </c>
      <c r="AN63" s="37"/>
      <c r="AO63" s="38"/>
      <c r="AP63" s="37"/>
      <c r="AQ63" s="37"/>
      <c r="AR63" s="38"/>
      <c r="AS63" s="37"/>
      <c r="AT63" s="37"/>
      <c r="BC63">
        <f>F60*G60</f>
        <v>1756975073472000</v>
      </c>
    </row>
    <row r="64" spans="1:55" ht="15.95" customHeight="1" x14ac:dyDescent="0.25">
      <c r="A64" s="28">
        <v>46195</v>
      </c>
      <c r="B64" s="29">
        <v>1857.91</v>
      </c>
      <c r="C64" s="30">
        <v>8786390</v>
      </c>
      <c r="D64" s="31"/>
      <c r="E64" s="31"/>
      <c r="F64" s="30">
        <v>219800</v>
      </c>
      <c r="G64" s="30">
        <v>7706031024</v>
      </c>
      <c r="H64" s="30">
        <v>155400</v>
      </c>
      <c r="I64" s="30">
        <v>4107412004</v>
      </c>
      <c r="J64" s="30">
        <v>30700</v>
      </c>
      <c r="K64" s="30">
        <v>2272318410</v>
      </c>
      <c r="L64" s="30">
        <v>91900</v>
      </c>
      <c r="M64" s="30">
        <v>1793300377</v>
      </c>
      <c r="N64" s="30">
        <v>139500</v>
      </c>
      <c r="O64" s="30">
        <v>769094734</v>
      </c>
      <c r="P64" s="31"/>
      <c r="Q64" s="12"/>
      <c r="R64" s="32">
        <f t="shared" si="39"/>
        <v>110196243643200</v>
      </c>
      <c r="S64" s="32">
        <f t="shared" si="21"/>
        <v>41484861240400</v>
      </c>
      <c r="T64" s="32">
        <f t="shared" si="22"/>
        <v>3067629853500</v>
      </c>
      <c r="U64" s="32">
        <f t="shared" si="23"/>
        <v>1613970339300</v>
      </c>
      <c r="V64" s="32">
        <f t="shared" si="24"/>
        <v>-769094734000</v>
      </c>
      <c r="W64" s="31"/>
      <c r="X64" s="33">
        <f t="shared" si="25"/>
        <v>110196.2436432</v>
      </c>
      <c r="Y64" s="33">
        <f t="shared" si="26"/>
        <v>41484.861240400001</v>
      </c>
      <c r="Z64" s="33">
        <f t="shared" si="27"/>
        <v>3067.6298535000001</v>
      </c>
      <c r="AA64" s="33">
        <f t="shared" si="28"/>
        <v>1613.9703393</v>
      </c>
      <c r="AB64" s="33">
        <f t="shared" si="29"/>
        <v>-769.09473400000002</v>
      </c>
      <c r="AC64" s="31"/>
      <c r="AD64" s="34">
        <f t="shared" si="30"/>
        <v>23.29962198143873</v>
      </c>
      <c r="AE64" s="34">
        <f t="shared" si="31"/>
        <v>8.771456747504164</v>
      </c>
      <c r="AF64" s="34">
        <f t="shared" si="32"/>
        <v>0.64861209059857849</v>
      </c>
      <c r="AG64" s="34">
        <f t="shared" si="33"/>
        <v>0.34125390804339756</v>
      </c>
      <c r="AH64" s="35">
        <f t="shared" si="34"/>
        <v>-0.16261549375617904</v>
      </c>
      <c r="AI64" s="34">
        <f t="shared" si="35"/>
        <v>33.060944727584868</v>
      </c>
      <c r="AJ64" s="43">
        <f t="shared" si="36"/>
        <v>460.27520348031669</v>
      </c>
      <c r="AK64" s="36"/>
      <c r="AL64" s="37">
        <f t="shared" si="37"/>
        <v>1397.6347965196833</v>
      </c>
      <c r="AM64" s="42">
        <f t="shared" si="38"/>
        <v>14.613144275677483</v>
      </c>
      <c r="AN64" s="37"/>
      <c r="AO64" s="38"/>
      <c r="AP64" s="37"/>
      <c r="AQ64" s="37"/>
      <c r="AR64" s="38"/>
      <c r="AS64" s="37"/>
      <c r="AT64" s="37"/>
    </row>
    <row r="65" spans="1:55" ht="15.95" customHeight="1" x14ac:dyDescent="0.25">
      <c r="A65" s="28">
        <v>46192</v>
      </c>
      <c r="B65" s="29">
        <v>1824.53</v>
      </c>
      <c r="C65" s="30">
        <v>8629168</v>
      </c>
      <c r="D65" s="31"/>
      <c r="E65" s="31"/>
      <c r="F65" s="30">
        <v>205500</v>
      </c>
      <c r="G65" s="30">
        <v>7706031024</v>
      </c>
      <c r="H65" s="30">
        <v>145300</v>
      </c>
      <c r="I65" s="30">
        <v>4107412004</v>
      </c>
      <c r="J65" s="30">
        <v>29350</v>
      </c>
      <c r="K65" s="30">
        <v>2272318410</v>
      </c>
      <c r="L65" s="30">
        <v>91000</v>
      </c>
      <c r="M65" s="30">
        <v>1793300377</v>
      </c>
      <c r="N65" s="30">
        <v>140500</v>
      </c>
      <c r="O65" s="30">
        <v>769094734</v>
      </c>
      <c r="P65" s="31"/>
      <c r="Q65" s="12"/>
      <c r="R65" s="32">
        <f t="shared" si="39"/>
        <v>770603102400</v>
      </c>
      <c r="S65" s="32">
        <f t="shared" si="21"/>
        <v>3696670803600</v>
      </c>
      <c r="T65" s="32">
        <f t="shared" si="22"/>
        <v>-1704238807500</v>
      </c>
      <c r="U65" s="32">
        <f t="shared" si="23"/>
        <v>0</v>
      </c>
      <c r="V65" s="32">
        <f t="shared" si="24"/>
        <v>1615098941400</v>
      </c>
      <c r="W65" s="31"/>
      <c r="X65" s="33">
        <f t="shared" si="25"/>
        <v>770.60310240000001</v>
      </c>
      <c r="Y65" s="33">
        <f t="shared" si="26"/>
        <v>3696.6708036</v>
      </c>
      <c r="Z65" s="33">
        <f t="shared" si="27"/>
        <v>-1704.2388074999999</v>
      </c>
      <c r="AA65" s="33">
        <f t="shared" si="28"/>
        <v>0</v>
      </c>
      <c r="AB65" s="33">
        <f t="shared" si="29"/>
        <v>1615.0989414000001</v>
      </c>
      <c r="AC65" s="31"/>
      <c r="AD65" s="34">
        <f t="shared" si="30"/>
        <v>0.16294317907573749</v>
      </c>
      <c r="AE65" s="34">
        <f t="shared" si="31"/>
        <v>0.78165697861722661</v>
      </c>
      <c r="AF65" s="34">
        <f t="shared" si="32"/>
        <v>-0.36035942281238054</v>
      </c>
      <c r="AG65" s="34">
        <f t="shared" si="33"/>
        <v>0</v>
      </c>
      <c r="AH65" s="35">
        <f t="shared" si="34"/>
        <v>0.34151089609417368</v>
      </c>
      <c r="AI65" s="34">
        <f t="shared" si="35"/>
        <v>0.58424073488058359</v>
      </c>
      <c r="AJ65" s="9">
        <f t="shared" si="36"/>
        <v>427.21425875273184</v>
      </c>
      <c r="AK65" s="36"/>
      <c r="AL65" s="37">
        <f t="shared" si="37"/>
        <v>1397.3157412472681</v>
      </c>
      <c r="AM65" s="42">
        <f t="shared" si="38"/>
        <v>15.106064591908925</v>
      </c>
      <c r="AN65" s="7"/>
      <c r="AO65" s="26"/>
      <c r="AP65" s="7"/>
      <c r="AQ65" s="7"/>
      <c r="AR65" s="26"/>
      <c r="AS65" s="7"/>
      <c r="AT65" s="7"/>
    </row>
    <row r="66" spans="1:55" ht="15.95" customHeight="1" x14ac:dyDescent="0.25">
      <c r="A66" s="28">
        <v>46191</v>
      </c>
      <c r="B66" s="29">
        <v>1830.47</v>
      </c>
      <c r="C66" s="30">
        <v>8656796</v>
      </c>
      <c r="D66" s="31"/>
      <c r="E66" s="31"/>
      <c r="F66" s="30">
        <v>205400</v>
      </c>
      <c r="G66" s="30">
        <v>7706031024</v>
      </c>
      <c r="H66" s="30">
        <v>144400</v>
      </c>
      <c r="I66" s="30">
        <v>4107412004</v>
      </c>
      <c r="J66" s="30">
        <v>30100</v>
      </c>
      <c r="K66" s="30">
        <v>2272318410</v>
      </c>
      <c r="L66" s="30">
        <v>91000</v>
      </c>
      <c r="M66" s="30">
        <v>1793300377</v>
      </c>
      <c r="N66" s="30">
        <v>138400</v>
      </c>
      <c r="O66" s="30">
        <v>769094734</v>
      </c>
      <c r="P66" s="31"/>
      <c r="Q66" s="12"/>
      <c r="R66" s="32">
        <f t="shared" si="39"/>
        <v>103260815721600</v>
      </c>
      <c r="S66" s="32">
        <f t="shared" si="21"/>
        <v>38609672837600</v>
      </c>
      <c r="T66" s="32">
        <f t="shared" si="22"/>
        <v>4431020899500</v>
      </c>
      <c r="U66" s="32">
        <f t="shared" si="23"/>
        <v>3048610640900</v>
      </c>
      <c r="V66" s="32">
        <f t="shared" si="24"/>
        <v>-4230021037000</v>
      </c>
      <c r="W66" s="31"/>
      <c r="X66" s="33">
        <f t="shared" si="25"/>
        <v>103260.8157216</v>
      </c>
      <c r="Y66" s="33">
        <f t="shared" si="26"/>
        <v>38609.672837600003</v>
      </c>
      <c r="Z66" s="33">
        <f t="shared" si="27"/>
        <v>4431.0208995000003</v>
      </c>
      <c r="AA66" s="33">
        <f t="shared" si="28"/>
        <v>3048.6106408999999</v>
      </c>
      <c r="AB66" s="33">
        <f t="shared" si="29"/>
        <v>-4230.0210370000004</v>
      </c>
      <c r="AC66" s="31"/>
      <c r="AD66" s="34">
        <f t="shared" si="30"/>
        <v>21.833883720337333</v>
      </c>
      <c r="AE66" s="34">
        <f t="shared" si="31"/>
        <v>8.1637850846464648</v>
      </c>
      <c r="AF66" s="34">
        <f t="shared" si="32"/>
        <v>0.9369129461741238</v>
      </c>
      <c r="AG66" s="34">
        <f t="shared" si="33"/>
        <v>0.64461054056994138</v>
      </c>
      <c r="AH66" s="35">
        <f t="shared" si="34"/>
        <v>-0.8944127238491244</v>
      </c>
      <c r="AI66" s="34">
        <f t="shared" si="35"/>
        <v>31.579192291727864</v>
      </c>
      <c r="AJ66" s="9">
        <f t="shared" si="36"/>
        <v>426.63001801785123</v>
      </c>
      <c r="AK66" s="36"/>
      <c r="AL66" s="37">
        <f t="shared" si="37"/>
        <v>1403.8399819821489</v>
      </c>
      <c r="AM66" s="42">
        <f t="shared" si="38"/>
        <v>15.501397108174659</v>
      </c>
      <c r="AN66" s="37"/>
      <c r="AO66" s="38"/>
      <c r="AP66" s="37"/>
      <c r="AQ66" s="37"/>
      <c r="AR66" s="38"/>
      <c r="AS66" s="37"/>
      <c r="AT66" s="37"/>
      <c r="BC66">
        <f>BC63-BC61</f>
        <v>1601925597173450</v>
      </c>
    </row>
    <row r="67" spans="1:55" ht="15.95" customHeight="1" x14ac:dyDescent="0.25">
      <c r="A67" s="28">
        <v>46190</v>
      </c>
      <c r="B67" s="29">
        <v>1806.2</v>
      </c>
      <c r="C67" s="30">
        <v>8542213</v>
      </c>
      <c r="D67" s="31"/>
      <c r="E67" s="31"/>
      <c r="F67" s="30">
        <v>192000</v>
      </c>
      <c r="G67" s="30">
        <v>7706031024</v>
      </c>
      <c r="H67" s="30">
        <v>135000</v>
      </c>
      <c r="I67" s="30">
        <v>4107412004</v>
      </c>
      <c r="J67" s="30">
        <v>28150</v>
      </c>
      <c r="K67" s="30">
        <v>2272318410</v>
      </c>
      <c r="L67" s="30">
        <v>89300</v>
      </c>
      <c r="M67" s="30">
        <v>1793300377</v>
      </c>
      <c r="N67" s="30">
        <v>143900</v>
      </c>
      <c r="O67" s="30">
        <v>769094734</v>
      </c>
      <c r="P67" s="31"/>
      <c r="Q67" s="12"/>
      <c r="R67" s="32">
        <f t="shared" si="39"/>
        <v>-15412062048000</v>
      </c>
      <c r="S67" s="32">
        <f t="shared" si="21"/>
        <v>-6161118006000</v>
      </c>
      <c r="T67" s="32">
        <f t="shared" si="22"/>
        <v>-1136159205000</v>
      </c>
      <c r="U67" s="32">
        <f t="shared" si="23"/>
        <v>0</v>
      </c>
      <c r="V67" s="32">
        <f t="shared" si="24"/>
        <v>4537658930600</v>
      </c>
      <c r="W67" s="31"/>
      <c r="X67" s="33">
        <f t="shared" si="25"/>
        <v>-15412.062048</v>
      </c>
      <c r="Y67" s="33">
        <f t="shared" si="26"/>
        <v>-6161.1180059999997</v>
      </c>
      <c r="Z67" s="33">
        <f t="shared" si="27"/>
        <v>-1136.1592049999999</v>
      </c>
      <c r="AA67" s="33">
        <f t="shared" si="28"/>
        <v>0</v>
      </c>
      <c r="AB67" s="33">
        <f t="shared" si="29"/>
        <v>4537.6589305999996</v>
      </c>
      <c r="AC67" s="31"/>
      <c r="AD67" s="34">
        <f t="shared" si="30"/>
        <v>-3.2593554953864095</v>
      </c>
      <c r="AE67" s="34">
        <f t="shared" si="31"/>
        <v>-1.3029582782653131</v>
      </c>
      <c r="AF67" s="34">
        <f t="shared" si="32"/>
        <v>-0.24027587852406521</v>
      </c>
      <c r="AG67" s="34">
        <f t="shared" si="33"/>
        <v>0</v>
      </c>
      <c r="AH67" s="35">
        <f t="shared" si="34"/>
        <v>0.95962782433513383</v>
      </c>
      <c r="AI67" s="34">
        <f t="shared" si="35"/>
        <v>-4.8025896521757883</v>
      </c>
      <c r="AJ67" s="9">
        <f t="shared" si="36"/>
        <v>395.05082572612338</v>
      </c>
      <c r="AK67" s="36"/>
      <c r="AL67" s="37">
        <f t="shared" si="37"/>
        <v>1411.1491742738767</v>
      </c>
      <c r="AM67" s="42">
        <f t="shared" si="38"/>
        <v>16.613197770568966</v>
      </c>
      <c r="AN67" s="37"/>
      <c r="AO67" s="38"/>
      <c r="AP67" s="37"/>
      <c r="AQ67" s="37"/>
      <c r="AR67" s="38"/>
      <c r="AS67" s="37"/>
      <c r="AT67" s="37"/>
      <c r="BC67">
        <f>BC62-BC66</f>
        <v>7253316402826550</v>
      </c>
    </row>
    <row r="68" spans="1:55" ht="15.95" customHeight="1" x14ac:dyDescent="0.25">
      <c r="A68" s="28">
        <v>46189</v>
      </c>
      <c r="B68" s="29">
        <v>1807.94</v>
      </c>
      <c r="C68" s="30">
        <v>8548955</v>
      </c>
      <c r="D68" s="31"/>
      <c r="E68" s="31"/>
      <c r="F68" s="30">
        <v>194000</v>
      </c>
      <c r="G68" s="30">
        <v>7706031024</v>
      </c>
      <c r="H68" s="30">
        <v>136500</v>
      </c>
      <c r="I68" s="30">
        <v>4107412004</v>
      </c>
      <c r="J68" s="30">
        <v>28650</v>
      </c>
      <c r="K68" s="30">
        <v>2272318410</v>
      </c>
      <c r="L68" s="30">
        <v>89300</v>
      </c>
      <c r="M68" s="30">
        <v>1793300377</v>
      </c>
      <c r="N68" s="30">
        <v>138000</v>
      </c>
      <c r="O68" s="30">
        <v>769094734</v>
      </c>
      <c r="P68" s="31"/>
      <c r="Q68" s="12"/>
      <c r="R68" s="32">
        <f t="shared" si="39"/>
        <v>10788443433600</v>
      </c>
      <c r="S68" s="32">
        <f t="shared" si="21"/>
        <v>1642964801600</v>
      </c>
      <c r="T68" s="32">
        <f t="shared" si="22"/>
        <v>227231841000</v>
      </c>
      <c r="U68" s="32">
        <f t="shared" si="23"/>
        <v>1255310263900</v>
      </c>
      <c r="V68" s="32">
        <f t="shared" si="24"/>
        <v>-2543928763800</v>
      </c>
      <c r="W68" s="31"/>
      <c r="X68" s="33">
        <f t="shared" si="25"/>
        <v>10788.443433599999</v>
      </c>
      <c r="Y68" s="33">
        <f t="shared" si="26"/>
        <v>1642.9648016000001</v>
      </c>
      <c r="Z68" s="33">
        <f t="shared" si="27"/>
        <v>227.231841</v>
      </c>
      <c r="AA68" s="33">
        <f t="shared" si="28"/>
        <v>1255.3102639000001</v>
      </c>
      <c r="AB68" s="33">
        <f t="shared" si="29"/>
        <v>-2543.9287638000001</v>
      </c>
      <c r="AC68" s="31"/>
      <c r="AD68" s="34">
        <f t="shared" si="30"/>
        <v>2.2815798241603713</v>
      </c>
      <c r="AE68" s="34">
        <f t="shared" si="31"/>
        <v>0.34746025839664169</v>
      </c>
      <c r="AF68" s="34">
        <f t="shared" si="32"/>
        <v>4.8055828166808728E-2</v>
      </c>
      <c r="AG68" s="34">
        <f t="shared" si="33"/>
        <v>0.26547764640964078</v>
      </c>
      <c r="AH68" s="35">
        <f t="shared" si="34"/>
        <v>-0.53799944146813017</v>
      </c>
      <c r="AI68" s="34">
        <f t="shared" si="35"/>
        <v>2.9425735571334624</v>
      </c>
      <c r="AJ68" s="9">
        <f t="shared" si="36"/>
        <v>399.85341537829919</v>
      </c>
      <c r="AK68" s="36"/>
      <c r="AL68" s="37">
        <f t="shared" si="37"/>
        <v>1408.0865846217009</v>
      </c>
      <c r="AM68" s="42">
        <f t="shared" si="38"/>
        <v>17.834628916177035</v>
      </c>
      <c r="AN68" s="37"/>
      <c r="AO68" s="38"/>
      <c r="AP68" s="37"/>
      <c r="AQ68" s="37"/>
      <c r="AR68" s="38"/>
      <c r="AS68" s="37"/>
      <c r="AT68" s="37"/>
      <c r="BC68">
        <f>BC67/BC62</f>
        <v>0.81909860880442908</v>
      </c>
    </row>
    <row r="69" spans="1:55" ht="15.95" customHeight="1" x14ac:dyDescent="0.25">
      <c r="A69" s="28">
        <v>46188</v>
      </c>
      <c r="B69" s="29">
        <v>1799.31</v>
      </c>
      <c r="C69" s="30">
        <v>8508032</v>
      </c>
      <c r="D69" s="31"/>
      <c r="E69" s="31"/>
      <c r="F69" s="30">
        <v>192600</v>
      </c>
      <c r="G69" s="30">
        <v>7706031024</v>
      </c>
      <c r="H69" s="30">
        <v>136100</v>
      </c>
      <c r="I69" s="30">
        <v>4107412004</v>
      </c>
      <c r="J69" s="30">
        <v>28550</v>
      </c>
      <c r="K69" s="30">
        <v>2272318410</v>
      </c>
      <c r="L69" s="30">
        <v>88600</v>
      </c>
      <c r="M69" s="30">
        <v>1793300377</v>
      </c>
      <c r="N69" s="30">
        <v>183700</v>
      </c>
      <c r="O69" s="30">
        <v>591611334</v>
      </c>
      <c r="P69" s="31"/>
      <c r="Q69" s="12"/>
      <c r="R69" s="32">
        <f t="shared" si="39"/>
        <v>-22347489969600</v>
      </c>
      <c r="S69" s="32">
        <f t="shared" si="21"/>
        <v>-10679271210400</v>
      </c>
      <c r="T69" s="32">
        <f t="shared" si="22"/>
        <v>-113615920500</v>
      </c>
      <c r="U69" s="32">
        <f t="shared" si="23"/>
        <v>2869280603200</v>
      </c>
      <c r="V69" s="32">
        <f t="shared" si="24"/>
        <v>1715672868600</v>
      </c>
      <c r="W69" s="31"/>
      <c r="X69" s="33">
        <f t="shared" si="25"/>
        <v>-22347.489969599999</v>
      </c>
      <c r="Y69" s="33">
        <f t="shared" si="26"/>
        <v>-10679.2712104</v>
      </c>
      <c r="Z69" s="33">
        <f t="shared" si="27"/>
        <v>-113.6159205</v>
      </c>
      <c r="AA69" s="33">
        <f t="shared" si="28"/>
        <v>2869.2806031999999</v>
      </c>
      <c r="AB69" s="33">
        <f t="shared" si="29"/>
        <v>1715.6728685999999</v>
      </c>
      <c r="AC69" s="31"/>
      <c r="AD69" s="34">
        <f t="shared" si="30"/>
        <v>-4.7261746630097017</v>
      </c>
      <c r="AE69" s="34">
        <f t="shared" si="31"/>
        <v>-2.2585131969031078</v>
      </c>
      <c r="AF69" s="34">
        <f t="shared" si="32"/>
        <v>-2.4028143004519973E-2</v>
      </c>
      <c r="AG69" s="34">
        <f t="shared" si="33"/>
        <v>0.60681183015882822</v>
      </c>
      <c r="AH69" s="35">
        <f t="shared" si="34"/>
        <v>0.362840285536355</v>
      </c>
      <c r="AI69" s="34">
        <f t="shared" si="35"/>
        <v>-6.4019041727585009</v>
      </c>
      <c r="AJ69" s="9">
        <f t="shared" si="36"/>
        <v>396.91084182116572</v>
      </c>
      <c r="AK69" s="36"/>
      <c r="AL69" s="37">
        <f t="shared" si="37"/>
        <v>1402.3991581788341</v>
      </c>
      <c r="AM69" s="42">
        <f t="shared" si="38"/>
        <v>19.269326745518271</v>
      </c>
      <c r="AN69" s="37"/>
      <c r="AO69" s="38"/>
      <c r="AP69" s="37"/>
      <c r="AQ69" s="37"/>
      <c r="AR69" s="38"/>
      <c r="AS69" s="37"/>
      <c r="AT69" s="37"/>
      <c r="BC69">
        <f>BC68*B60</f>
        <v>1533.2788768070989</v>
      </c>
    </row>
    <row r="70" spans="1:55" ht="15.95" customHeight="1" x14ac:dyDescent="0.25">
      <c r="A70" s="10">
        <v>46185</v>
      </c>
      <c r="B70" s="20">
        <v>1791.65</v>
      </c>
      <c r="C70" s="4">
        <v>8471731</v>
      </c>
      <c r="F70" s="4">
        <v>195500</v>
      </c>
      <c r="G70" s="4">
        <v>7706031024</v>
      </c>
      <c r="H70" s="4">
        <v>138700</v>
      </c>
      <c r="I70" s="4">
        <v>4107412004</v>
      </c>
      <c r="J70" s="4">
        <v>28600</v>
      </c>
      <c r="K70" s="4">
        <v>2272318410</v>
      </c>
      <c r="L70" s="4">
        <v>87000</v>
      </c>
      <c r="M70" s="4">
        <v>1793300377</v>
      </c>
      <c r="N70" s="4">
        <v>180800</v>
      </c>
      <c r="O70" s="4">
        <v>591611334</v>
      </c>
      <c r="Q70" s="12"/>
      <c r="R70" s="3">
        <f t="shared" si="39"/>
        <v>-3853015512000</v>
      </c>
      <c r="S70" s="3">
        <f t="shared" si="21"/>
        <v>-23822989623200</v>
      </c>
      <c r="T70" s="3">
        <f t="shared" si="22"/>
        <v>-1249775125500</v>
      </c>
      <c r="U70" s="3">
        <f t="shared" si="23"/>
        <v>-5200571093300</v>
      </c>
      <c r="V70" s="3">
        <f t="shared" si="24"/>
        <v>1952317402200</v>
      </c>
      <c r="X70" s="2">
        <f t="shared" si="25"/>
        <v>-3853.0155119999999</v>
      </c>
      <c r="Y70" s="2">
        <f t="shared" si="26"/>
        <v>-23822.989623199999</v>
      </c>
      <c r="Z70" s="2">
        <f t="shared" si="27"/>
        <v>-1249.7751255000001</v>
      </c>
      <c r="AA70" s="2">
        <f t="shared" si="28"/>
        <v>-5200.5710933</v>
      </c>
      <c r="AB70" s="2">
        <f t="shared" si="29"/>
        <v>1952.3174022000001</v>
      </c>
      <c r="AD70" s="8">
        <f t="shared" si="30"/>
        <v>-0.81487389576193792</v>
      </c>
      <c r="AE70" s="8">
        <f t="shared" si="31"/>
        <v>-5.0383218812624406</v>
      </c>
      <c r="AF70" s="8">
        <f t="shared" si="32"/>
        <v>-0.26431482618504182</v>
      </c>
      <c r="AG70" s="8">
        <f t="shared" si="33"/>
        <v>-1.0998683015383333</v>
      </c>
      <c r="AH70" s="11">
        <f t="shared" si="34"/>
        <v>0.41289542757868358</v>
      </c>
      <c r="AI70" s="8">
        <f t="shared" si="35"/>
        <v>-7.2173789047477541</v>
      </c>
      <c r="AJ70" s="9">
        <f t="shared" si="36"/>
        <v>403.31274599392424</v>
      </c>
      <c r="AL70" s="7">
        <f t="shared" si="37"/>
        <v>1388.3372540060759</v>
      </c>
      <c r="AM70" s="42">
        <f t="shared" si="38"/>
        <v>22.083419700083272</v>
      </c>
      <c r="AN70" s="7"/>
      <c r="AO70" s="26"/>
      <c r="AP70" s="7"/>
      <c r="AQ70" s="7"/>
      <c r="AR70" s="26"/>
      <c r="AS70" s="7"/>
      <c r="AT70" s="7"/>
    </row>
    <row r="71" spans="1:55" ht="15.95" customHeight="1" x14ac:dyDescent="0.25">
      <c r="A71" s="10">
        <v>46184</v>
      </c>
      <c r="B71" s="20">
        <v>1798.61</v>
      </c>
      <c r="C71" s="4">
        <v>8504472</v>
      </c>
      <c r="F71" s="4">
        <v>196000</v>
      </c>
      <c r="G71" s="4">
        <v>7706031024</v>
      </c>
      <c r="H71" s="4">
        <v>144500</v>
      </c>
      <c r="I71" s="4">
        <v>4107412004</v>
      </c>
      <c r="J71" s="4">
        <v>29150</v>
      </c>
      <c r="K71" s="4">
        <v>2272318410</v>
      </c>
      <c r="L71" s="4">
        <v>89900</v>
      </c>
      <c r="M71" s="4">
        <v>1793300377</v>
      </c>
      <c r="N71" s="4">
        <v>177500</v>
      </c>
      <c r="O71" s="4">
        <v>591611334</v>
      </c>
      <c r="Q71" s="12"/>
      <c r="R71" s="3">
        <f t="shared" si="39"/>
        <v>0</v>
      </c>
      <c r="S71" s="3">
        <f t="shared" si="21"/>
        <v>-9447047609200</v>
      </c>
      <c r="T71" s="3">
        <f t="shared" si="22"/>
        <v>-1136159205000</v>
      </c>
      <c r="U71" s="3">
        <f t="shared" si="23"/>
        <v>-179330037700</v>
      </c>
      <c r="V71" s="3">
        <f t="shared" si="24"/>
        <v>-2662251003000</v>
      </c>
      <c r="X71" s="2">
        <f t="shared" si="25"/>
        <v>0</v>
      </c>
      <c r="Y71" s="2">
        <f t="shared" si="26"/>
        <v>-9447.0476092000008</v>
      </c>
      <c r="Z71" s="2">
        <f t="shared" si="27"/>
        <v>-1136.1592049999999</v>
      </c>
      <c r="AA71" s="2">
        <f t="shared" si="28"/>
        <v>-179.33003769999999</v>
      </c>
      <c r="AB71" s="2">
        <f t="shared" si="29"/>
        <v>-2662.2510029999999</v>
      </c>
      <c r="AD71" s="8">
        <f t="shared" si="30"/>
        <v>0</v>
      </c>
      <c r="AE71" s="8">
        <f t="shared" si="31"/>
        <v>-1.9979387426637201</v>
      </c>
      <c r="AF71" s="8">
        <f t="shared" si="32"/>
        <v>-0.24028422290292012</v>
      </c>
      <c r="AG71" s="8">
        <f t="shared" si="33"/>
        <v>-3.7926180206317009E-2</v>
      </c>
      <c r="AH71" s="11">
        <f t="shared" si="34"/>
        <v>-0.56303457351153052</v>
      </c>
      <c r="AI71" s="8">
        <f t="shared" si="35"/>
        <v>-2.2761491457729575</v>
      </c>
      <c r="AJ71" s="9">
        <f t="shared" si="36"/>
        <v>410.530124898672</v>
      </c>
      <c r="AL71" s="7">
        <f t="shared" si="37"/>
        <v>1388.0798751013278</v>
      </c>
      <c r="AM71" s="42">
        <f t="shared" si="38"/>
        <v>22.377891526592844</v>
      </c>
      <c r="BC71">
        <f>H60*I60</f>
        <v>665400744648000</v>
      </c>
    </row>
    <row r="72" spans="1:55" ht="15.95" customHeight="1" x14ac:dyDescent="0.25">
      <c r="A72" s="10">
        <v>46183</v>
      </c>
      <c r="B72" s="20">
        <v>1803.71</v>
      </c>
      <c r="C72" s="4">
        <v>8528657</v>
      </c>
      <c r="F72" s="4">
        <v>196000</v>
      </c>
      <c r="G72" s="4">
        <v>7706031024</v>
      </c>
      <c r="H72" s="4">
        <v>146800</v>
      </c>
      <c r="I72" s="4">
        <v>4107412004</v>
      </c>
      <c r="J72" s="4">
        <v>29650</v>
      </c>
      <c r="K72" s="4">
        <v>2272318410</v>
      </c>
      <c r="L72" s="4">
        <v>90000</v>
      </c>
      <c r="M72" s="4">
        <v>1793300377</v>
      </c>
      <c r="N72" s="4">
        <v>182000</v>
      </c>
      <c r="O72" s="4">
        <v>591611334</v>
      </c>
      <c r="Q72" s="12"/>
      <c r="R72" s="3">
        <f t="shared" si="39"/>
        <v>21576886867200</v>
      </c>
      <c r="S72" s="3">
        <f t="shared" ref="S72:S135" si="40">I72*H72-I73*H73</f>
        <v>3285929603200</v>
      </c>
      <c r="T72" s="3">
        <f t="shared" ref="T72:T135" si="41">K72*J72-K73*J73</f>
        <v>1249775125500</v>
      </c>
      <c r="U72" s="3">
        <f t="shared" ref="U72:U135" si="42">M72*L72-M73*L73</f>
        <v>0</v>
      </c>
      <c r="V72" s="3">
        <f t="shared" ref="V72:V135" si="43">O72*N72-O73*N73</f>
        <v>1774834002000</v>
      </c>
      <c r="X72" s="2">
        <f t="shared" ref="X72:X135" si="44">R72/10^9</f>
        <v>21576.886867199999</v>
      </c>
      <c r="Y72" s="2">
        <f t="shared" ref="Y72:Y135" si="45">S72/10^9</f>
        <v>3285.9296032000002</v>
      </c>
      <c r="Z72" s="2">
        <f t="shared" ref="Z72:Z135" si="46">T72/10^9</f>
        <v>1249.7751255000001</v>
      </c>
      <c r="AA72" s="2">
        <f t="shared" ref="AA72:AA135" si="47">U72/10^9</f>
        <v>0</v>
      </c>
      <c r="AB72" s="2">
        <f t="shared" ref="AB72:AB135" si="48">V72/10^9</f>
        <v>1774.8340020000001</v>
      </c>
      <c r="AD72" s="8">
        <f t="shared" ref="AD72:AD135" si="49">X72/$C73*$B73</f>
        <v>4.56327784646491</v>
      </c>
      <c r="AE72" s="8">
        <f t="shared" ref="AE72:AE135" si="50">Y72/$C73*$B73</f>
        <v>0.6949385171092396</v>
      </c>
      <c r="AF72" s="8">
        <f t="shared" ref="AF72:AF135" si="51">Z72/$C73*$B73</f>
        <v>0.26431390118314746</v>
      </c>
      <c r="AG72" s="8">
        <f t="shared" ref="AG72:AG135" si="52">AA72/$C73*$B73</f>
        <v>0</v>
      </c>
      <c r="AH72" s="11">
        <f t="shared" ref="AH72:AH135" si="53">AB72/$C73*$B73</f>
        <v>0.37535816600081479</v>
      </c>
      <c r="AI72" s="8">
        <f t="shared" ref="AI72:AI135" si="54">SUM(AD72:AG72)</f>
        <v>5.5225302647572967</v>
      </c>
      <c r="AJ72" s="9">
        <f t="shared" ref="AJ72:AJ135" si="55">AI72+AJ73</f>
        <v>412.80627404444493</v>
      </c>
      <c r="AL72" s="7">
        <f t="shared" ref="AL72:AL135" si="56">B72-AJ72</f>
        <v>1390.903725955555</v>
      </c>
      <c r="AM72" s="42">
        <f t="shared" ref="AM72:AM135" si="57">_xlfn.STDEV.S(AL72:AL91)</f>
        <v>22.344309603177361</v>
      </c>
      <c r="BC72">
        <f>H426*I426</f>
        <v>164296480160000</v>
      </c>
    </row>
    <row r="73" spans="1:55" ht="15.95" customHeight="1" x14ac:dyDescent="0.25">
      <c r="A73" s="10">
        <v>46182</v>
      </c>
      <c r="B73" s="20">
        <v>1793.05</v>
      </c>
      <c r="C73" s="4">
        <v>8478212</v>
      </c>
      <c r="F73" s="4">
        <v>193200</v>
      </c>
      <c r="G73" s="4">
        <v>7706031024</v>
      </c>
      <c r="H73" s="4">
        <v>146000</v>
      </c>
      <c r="I73" s="4">
        <v>4107412004</v>
      </c>
      <c r="J73" s="4">
        <v>29100</v>
      </c>
      <c r="K73" s="4">
        <v>2272318410</v>
      </c>
      <c r="L73" s="4">
        <v>90000</v>
      </c>
      <c r="M73" s="4">
        <v>1793300377</v>
      </c>
      <c r="N73" s="4">
        <v>179000</v>
      </c>
      <c r="O73" s="4">
        <v>591611334</v>
      </c>
      <c r="Q73" s="12"/>
      <c r="R73" s="3">
        <f t="shared" si="39"/>
        <v>-13870855843200</v>
      </c>
      <c r="S73" s="3">
        <f t="shared" si="40"/>
        <v>-2875188402800</v>
      </c>
      <c r="T73" s="3">
        <f t="shared" si="41"/>
        <v>-1136159205000</v>
      </c>
      <c r="U73" s="3">
        <f t="shared" si="42"/>
        <v>1793300377000</v>
      </c>
      <c r="V73" s="3">
        <f t="shared" si="43"/>
        <v>1301544934800</v>
      </c>
      <c r="X73" s="2">
        <f t="shared" si="44"/>
        <v>-13870.855843200001</v>
      </c>
      <c r="Y73" s="2">
        <f t="shared" si="45"/>
        <v>-2875.1884027999999</v>
      </c>
      <c r="Z73" s="2">
        <f t="shared" si="46"/>
        <v>-1136.1592049999999</v>
      </c>
      <c r="AA73" s="2">
        <f t="shared" si="47"/>
        <v>1793.300377</v>
      </c>
      <c r="AB73" s="2">
        <f t="shared" si="48"/>
        <v>1301.5449348</v>
      </c>
      <c r="AD73" s="8">
        <f t="shared" si="49"/>
        <v>-2.9334863822824326</v>
      </c>
      <c r="AE73" s="8">
        <f t="shared" si="50"/>
        <v>-0.6080609676471399</v>
      </c>
      <c r="AF73" s="8">
        <f t="shared" si="51"/>
        <v>-0.24028132031998928</v>
      </c>
      <c r="AG73" s="8">
        <f t="shared" si="52"/>
        <v>0.37925722066028111</v>
      </c>
      <c r="AH73" s="11">
        <f t="shared" si="53"/>
        <v>0.27525802195083954</v>
      </c>
      <c r="AI73" s="8">
        <f t="shared" si="54"/>
        <v>-3.4025714495892805</v>
      </c>
      <c r="AJ73" s="9">
        <f t="shared" si="55"/>
        <v>407.28374377968765</v>
      </c>
      <c r="AL73" s="7">
        <f t="shared" si="56"/>
        <v>1385.7662562203122</v>
      </c>
      <c r="AM73" s="42">
        <f t="shared" si="57"/>
        <v>21.704202046349391</v>
      </c>
      <c r="BC73">
        <f>BC71-BC72</f>
        <v>501104264488000</v>
      </c>
    </row>
    <row r="74" spans="1:55" ht="15.95" customHeight="1" x14ac:dyDescent="0.25">
      <c r="A74" s="10">
        <v>46181</v>
      </c>
      <c r="B74" s="20">
        <v>1790.53</v>
      </c>
      <c r="C74" s="4">
        <v>8466439</v>
      </c>
      <c r="F74" s="4">
        <v>195000</v>
      </c>
      <c r="G74" s="4">
        <v>7706031024</v>
      </c>
      <c r="H74" s="4">
        <v>146700</v>
      </c>
      <c r="I74" s="4">
        <v>4107412004</v>
      </c>
      <c r="J74" s="4">
        <v>29600</v>
      </c>
      <c r="K74" s="4">
        <v>2272318410</v>
      </c>
      <c r="L74" s="4">
        <v>89000</v>
      </c>
      <c r="M74" s="4">
        <v>1793300377</v>
      </c>
      <c r="N74" s="4">
        <v>176800</v>
      </c>
      <c r="O74" s="4">
        <v>591611334</v>
      </c>
      <c r="Q74" s="12"/>
      <c r="R74" s="3">
        <f t="shared" si="39"/>
        <v>-92472372288000</v>
      </c>
      <c r="S74" s="3">
        <f t="shared" si="40"/>
        <v>-21769283621200</v>
      </c>
      <c r="T74" s="3">
        <f t="shared" si="41"/>
        <v>-3635709456000</v>
      </c>
      <c r="U74" s="3">
        <f t="shared" si="42"/>
        <v>-4483250942500</v>
      </c>
      <c r="V74" s="3">
        <f t="shared" si="43"/>
        <v>-4614568405200</v>
      </c>
      <c r="X74" s="2">
        <f t="shared" si="44"/>
        <v>-92472.372287999999</v>
      </c>
      <c r="Y74" s="2">
        <f t="shared" si="45"/>
        <v>-21769.2836212</v>
      </c>
      <c r="Z74" s="2">
        <f t="shared" si="46"/>
        <v>-3635.709456</v>
      </c>
      <c r="AA74" s="2">
        <f t="shared" si="47"/>
        <v>-4483.2509424999998</v>
      </c>
      <c r="AB74" s="2">
        <f t="shared" si="48"/>
        <v>-4614.5684051999997</v>
      </c>
      <c r="AD74" s="8">
        <f t="shared" si="49"/>
        <v>-19.557656911828015</v>
      </c>
      <c r="AE74" s="8">
        <f t="shared" si="50"/>
        <v>-4.6041446731107198</v>
      </c>
      <c r="AF74" s="8">
        <f t="shared" si="51"/>
        <v>-0.76894272756495707</v>
      </c>
      <c r="AG74" s="8">
        <f t="shared" si="52"/>
        <v>-0.94819546220750439</v>
      </c>
      <c r="AH74" s="11">
        <f t="shared" si="53"/>
        <v>-0.9759687507960102</v>
      </c>
      <c r="AI74" s="8">
        <f t="shared" si="54"/>
        <v>-25.878939774711199</v>
      </c>
      <c r="AJ74" s="9">
        <f t="shared" si="55"/>
        <v>410.68631522927694</v>
      </c>
      <c r="AL74" s="7">
        <f t="shared" si="56"/>
        <v>1379.843684770723</v>
      </c>
      <c r="AM74" s="42">
        <f t="shared" si="57"/>
        <v>20.103927031055303</v>
      </c>
    </row>
    <row r="75" spans="1:55" ht="15.95" customHeight="1" x14ac:dyDescent="0.25">
      <c r="A75" s="10">
        <v>46178</v>
      </c>
      <c r="B75" s="20">
        <v>1838.9</v>
      </c>
      <c r="C75" s="4">
        <v>8694673.7110191602</v>
      </c>
      <c r="F75" s="4">
        <v>207000</v>
      </c>
      <c r="G75" s="4">
        <v>7706031024</v>
      </c>
      <c r="H75" s="4">
        <v>152000</v>
      </c>
      <c r="I75" s="4">
        <v>4107412004</v>
      </c>
      <c r="J75" s="4">
        <v>31200</v>
      </c>
      <c r="K75" s="4">
        <v>2272318410</v>
      </c>
      <c r="L75" s="4">
        <v>91500</v>
      </c>
      <c r="M75" s="4">
        <v>1793300377</v>
      </c>
      <c r="N75" s="4">
        <v>184600</v>
      </c>
      <c r="O75" s="4">
        <v>591611334</v>
      </c>
      <c r="Q75" s="12"/>
      <c r="R75" s="3">
        <f t="shared" si="39"/>
        <v>52401010963200</v>
      </c>
      <c r="S75" s="3">
        <f t="shared" si="40"/>
        <v>8214824008000</v>
      </c>
      <c r="T75" s="3">
        <f t="shared" si="41"/>
        <v>227231841000</v>
      </c>
      <c r="U75" s="3">
        <f t="shared" si="42"/>
        <v>1434640301600</v>
      </c>
      <c r="V75" s="3">
        <f t="shared" si="43"/>
        <v>7099336008000</v>
      </c>
      <c r="X75" s="2">
        <f t="shared" si="44"/>
        <v>52401.010963200002</v>
      </c>
      <c r="Y75" s="2">
        <f t="shared" si="45"/>
        <v>8214.8240079999996</v>
      </c>
      <c r="Z75" s="2">
        <f t="shared" si="46"/>
        <v>227.231841</v>
      </c>
      <c r="AA75" s="2">
        <f t="shared" si="47"/>
        <v>1434.6403015999999</v>
      </c>
      <c r="AB75" s="2">
        <f t="shared" si="48"/>
        <v>7099.3360080000002</v>
      </c>
      <c r="AD75" s="8">
        <f t="shared" si="49"/>
        <v>11.08266172828395</v>
      </c>
      <c r="AE75" s="8">
        <f t="shared" si="50"/>
        <v>1.7374114347142366</v>
      </c>
      <c r="AF75" s="8">
        <f t="shared" si="51"/>
        <v>4.8058874846265281E-2</v>
      </c>
      <c r="AG75" s="8">
        <f t="shared" si="52"/>
        <v>0.30342225984078819</v>
      </c>
      <c r="AH75" s="11">
        <f t="shared" si="53"/>
        <v>1.5014889603436192</v>
      </c>
      <c r="AI75" s="8">
        <f t="shared" si="54"/>
        <v>13.17155429768524</v>
      </c>
      <c r="AJ75" s="9">
        <f t="shared" si="55"/>
        <v>436.56525500398811</v>
      </c>
      <c r="AK75" s="27"/>
      <c r="AL75" s="7">
        <f t="shared" si="56"/>
        <v>1402.334744996012</v>
      </c>
      <c r="AM75" s="42">
        <f t="shared" si="57"/>
        <v>17.251832718078617</v>
      </c>
      <c r="AN75" s="7"/>
      <c r="AO75" s="26"/>
      <c r="AP75" s="7"/>
      <c r="AQ75" s="7"/>
      <c r="AR75" s="26"/>
      <c r="AS75" s="7"/>
      <c r="AT75" s="7"/>
      <c r="AV75" s="7"/>
    </row>
    <row r="76" spans="1:55" ht="15.95" customHeight="1" x14ac:dyDescent="0.25">
      <c r="A76" s="10">
        <v>46177</v>
      </c>
      <c r="B76" s="20">
        <v>1831.55</v>
      </c>
      <c r="C76" s="4">
        <v>8659929.7156848107</v>
      </c>
      <c r="F76" s="4">
        <v>200200</v>
      </c>
      <c r="G76" s="4">
        <v>7706031024</v>
      </c>
      <c r="H76" s="4">
        <v>150000</v>
      </c>
      <c r="I76" s="4">
        <v>4107412004</v>
      </c>
      <c r="J76" s="4">
        <v>31100</v>
      </c>
      <c r="K76" s="4">
        <v>2272318410</v>
      </c>
      <c r="L76" s="4">
        <v>90700</v>
      </c>
      <c r="M76" s="4">
        <v>1793300377</v>
      </c>
      <c r="N76" s="4">
        <v>172600</v>
      </c>
      <c r="O76" s="4">
        <v>591611334</v>
      </c>
      <c r="Q76" s="12"/>
      <c r="R76" s="3">
        <f t="shared" si="39"/>
        <v>20035680662400</v>
      </c>
      <c r="S76" s="3">
        <f t="shared" si="40"/>
        <v>6571859206400</v>
      </c>
      <c r="T76" s="3">
        <f t="shared" si="41"/>
        <v>2385934330500</v>
      </c>
      <c r="U76" s="3">
        <f t="shared" si="42"/>
        <v>-2331290490100</v>
      </c>
      <c r="V76" s="3">
        <f t="shared" si="43"/>
        <v>1064900401200</v>
      </c>
      <c r="X76" s="2">
        <f t="shared" si="44"/>
        <v>20035.680662399998</v>
      </c>
      <c r="Y76" s="2">
        <f t="shared" si="45"/>
        <v>6571.8592064000004</v>
      </c>
      <c r="Z76" s="2">
        <f t="shared" si="46"/>
        <v>2385.9343305000002</v>
      </c>
      <c r="AA76" s="2">
        <f t="shared" si="47"/>
        <v>-2331.2904901000002</v>
      </c>
      <c r="AB76" s="2">
        <f t="shared" si="48"/>
        <v>1064.9004012</v>
      </c>
      <c r="AD76" s="8">
        <f t="shared" si="49"/>
        <v>4.2380572002647252</v>
      </c>
      <c r="AE76" s="8">
        <f t="shared" si="50"/>
        <v>1.3901157489037994</v>
      </c>
      <c r="AF76" s="8">
        <f t="shared" si="51"/>
        <v>0.50468593201879652</v>
      </c>
      <c r="AG76" s="8">
        <f t="shared" si="52"/>
        <v>-0.49312736681906577</v>
      </c>
      <c r="AH76" s="11">
        <f t="shared" si="53"/>
        <v>0.22525358079498592</v>
      </c>
      <c r="AI76" s="8">
        <f t="shared" si="54"/>
        <v>5.6397315143682549</v>
      </c>
      <c r="AJ76" s="9">
        <f t="shared" si="55"/>
        <v>423.39370070630287</v>
      </c>
      <c r="AK76" s="27"/>
      <c r="AL76" s="7">
        <f t="shared" si="56"/>
        <v>1408.156299293697</v>
      </c>
      <c r="AM76" s="42">
        <f t="shared" si="57"/>
        <v>16.427179373319884</v>
      </c>
      <c r="AS76" s="7"/>
      <c r="AV76" s="7"/>
      <c r="BC76">
        <f>BC67-BC73</f>
        <v>6752212138338550</v>
      </c>
    </row>
    <row r="77" spans="1:55" ht="15.95" customHeight="1" x14ac:dyDescent="0.25">
      <c r="A77" s="10">
        <v>46176</v>
      </c>
      <c r="B77" s="20">
        <v>1819.01</v>
      </c>
      <c r="C77" s="4">
        <v>8599483.6217490695</v>
      </c>
      <c r="F77" s="4">
        <v>197600</v>
      </c>
      <c r="G77" s="4">
        <v>7706031024</v>
      </c>
      <c r="H77" s="4">
        <v>148400</v>
      </c>
      <c r="I77" s="4">
        <v>4107412004</v>
      </c>
      <c r="J77" s="4">
        <v>30050</v>
      </c>
      <c r="K77" s="4">
        <v>2272318410</v>
      </c>
      <c r="L77" s="4">
        <v>92000</v>
      </c>
      <c r="M77" s="4">
        <v>1793300377</v>
      </c>
      <c r="N77" s="4">
        <v>170800</v>
      </c>
      <c r="O77" s="4">
        <v>591611334</v>
      </c>
      <c r="Q77" s="12"/>
      <c r="R77" s="3">
        <f t="shared" si="39"/>
        <v>-56254026475200</v>
      </c>
      <c r="S77" s="3">
        <f t="shared" si="40"/>
        <v>-9857788809600</v>
      </c>
      <c r="T77" s="3">
        <f t="shared" si="41"/>
        <v>-2158702489500</v>
      </c>
      <c r="U77" s="3">
        <f t="shared" si="42"/>
        <v>0</v>
      </c>
      <c r="V77" s="3">
        <f t="shared" si="43"/>
        <v>414127933800</v>
      </c>
      <c r="X77" s="2">
        <f t="shared" si="44"/>
        <v>-56254.0264752</v>
      </c>
      <c r="Y77" s="2">
        <f t="shared" si="45"/>
        <v>-9857.7888096000006</v>
      </c>
      <c r="Z77" s="2">
        <f t="shared" si="46"/>
        <v>-2158.7024895</v>
      </c>
      <c r="AA77" s="2">
        <f t="shared" si="47"/>
        <v>0</v>
      </c>
      <c r="AB77" s="2">
        <f t="shared" si="48"/>
        <v>414.12793379999999</v>
      </c>
      <c r="AD77" s="8">
        <f t="shared" si="49"/>
        <v>-11.899275866790799</v>
      </c>
      <c r="AE77" s="8">
        <f t="shared" si="50"/>
        <v>-2.0851938222361115</v>
      </c>
      <c r="AF77" s="8">
        <f t="shared" si="51"/>
        <v>-0.45662502840064023</v>
      </c>
      <c r="AG77" s="8">
        <f t="shared" si="52"/>
        <v>0</v>
      </c>
      <c r="AH77" s="11">
        <f t="shared" si="53"/>
        <v>8.7599463313132689E-2</v>
      </c>
      <c r="AI77" s="8">
        <f t="shared" si="54"/>
        <v>-14.44109471742755</v>
      </c>
      <c r="AJ77" s="9">
        <f t="shared" si="55"/>
        <v>417.75396919193463</v>
      </c>
      <c r="AK77" s="27"/>
      <c r="AL77" s="7">
        <f t="shared" si="56"/>
        <v>1401.2560308080654</v>
      </c>
      <c r="AM77" s="42">
        <f t="shared" si="57"/>
        <v>15.82120832738431</v>
      </c>
      <c r="AS77" s="7"/>
      <c r="BC77">
        <f>BC76/BC62</f>
        <v>0.7625101762705695</v>
      </c>
    </row>
    <row r="78" spans="1:55" ht="15.95" customHeight="1" x14ac:dyDescent="0.25">
      <c r="A78" s="10">
        <v>46175</v>
      </c>
      <c r="B78" s="20">
        <v>1826.47</v>
      </c>
      <c r="C78" s="4">
        <v>8634667.5954382196</v>
      </c>
      <c r="F78" s="4">
        <v>204900</v>
      </c>
      <c r="G78" s="4">
        <v>7706031024</v>
      </c>
      <c r="H78" s="4">
        <v>150800</v>
      </c>
      <c r="I78" s="4">
        <v>4107412004</v>
      </c>
      <c r="J78" s="4">
        <v>31000</v>
      </c>
      <c r="K78" s="4">
        <v>2272318410</v>
      </c>
      <c r="L78" s="4">
        <v>92000</v>
      </c>
      <c r="M78" s="4">
        <v>1793300377</v>
      </c>
      <c r="N78" s="4">
        <v>170100</v>
      </c>
      <c r="O78" s="4">
        <v>591611334</v>
      </c>
      <c r="Q78" s="12"/>
      <c r="R78" s="3">
        <f t="shared" si="39"/>
        <v>0</v>
      </c>
      <c r="S78" s="3">
        <f t="shared" si="40"/>
        <v>-4928894404800</v>
      </c>
      <c r="T78" s="3">
        <f t="shared" si="41"/>
        <v>-454463682000</v>
      </c>
      <c r="U78" s="3">
        <f t="shared" si="42"/>
        <v>-358660075400</v>
      </c>
      <c r="V78" s="3">
        <f t="shared" si="43"/>
        <v>-532450200600</v>
      </c>
      <c r="X78" s="2">
        <f t="shared" si="44"/>
        <v>0</v>
      </c>
      <c r="Y78" s="2">
        <f t="shared" si="45"/>
        <v>-4928.8944048000003</v>
      </c>
      <c r="Z78" s="2">
        <f t="shared" si="46"/>
        <v>-454.46368200000001</v>
      </c>
      <c r="AA78" s="2">
        <f t="shared" si="47"/>
        <v>-358.66007539999998</v>
      </c>
      <c r="AB78" s="2">
        <f t="shared" si="48"/>
        <v>-532.45020060000002</v>
      </c>
      <c r="AD78" s="8">
        <f t="shared" si="49"/>
        <v>0</v>
      </c>
      <c r="AE78" s="8">
        <f t="shared" si="50"/>
        <v>-1.0426202058339409</v>
      </c>
      <c r="AF78" s="8">
        <f t="shared" si="51"/>
        <v>-9.6133732791972307E-2</v>
      </c>
      <c r="AG78" s="8">
        <f t="shared" si="52"/>
        <v>-7.5868178728640934E-2</v>
      </c>
      <c r="AH78" s="11">
        <f t="shared" si="53"/>
        <v>-0.11263039784444745</v>
      </c>
      <c r="AI78" s="8">
        <f t="shared" si="54"/>
        <v>-1.2146221173545539</v>
      </c>
      <c r="AJ78" s="9">
        <f t="shared" si="55"/>
        <v>432.1950639093622</v>
      </c>
      <c r="AK78" s="27"/>
      <c r="AL78" s="7">
        <f t="shared" si="56"/>
        <v>1394.2749360906378</v>
      </c>
      <c r="AM78" s="42">
        <f t="shared" si="57"/>
        <v>14.435537496303128</v>
      </c>
      <c r="BC78">
        <f>BC77*B60</f>
        <v>1427.3504240626419</v>
      </c>
    </row>
    <row r="79" spans="1:55" ht="15.95" customHeight="1" x14ac:dyDescent="0.25">
      <c r="A79" s="10">
        <v>46174</v>
      </c>
      <c r="B79" s="20">
        <v>1844.54</v>
      </c>
      <c r="C79" s="4">
        <v>8719898.9953948893</v>
      </c>
      <c r="F79" s="4">
        <v>204900</v>
      </c>
      <c r="G79" s="4">
        <v>7706031024</v>
      </c>
      <c r="H79" s="4">
        <v>152000</v>
      </c>
      <c r="I79" s="4">
        <v>4107412004</v>
      </c>
      <c r="J79" s="4">
        <v>31200</v>
      </c>
      <c r="K79" s="4">
        <v>2272318410</v>
      </c>
      <c r="L79" s="4">
        <v>92200</v>
      </c>
      <c r="M79" s="4">
        <v>1793300377</v>
      </c>
      <c r="N79" s="4">
        <v>171000</v>
      </c>
      <c r="O79" s="4">
        <v>591611334</v>
      </c>
      <c r="Q79" s="12"/>
      <c r="R79" s="3">
        <f t="shared" si="39"/>
        <v>-49318598553600</v>
      </c>
      <c r="S79" s="3">
        <f t="shared" si="40"/>
        <v>-16429648016000</v>
      </c>
      <c r="T79" s="3">
        <f t="shared" si="41"/>
        <v>-2385934330500</v>
      </c>
      <c r="U79" s="3">
        <f t="shared" si="42"/>
        <v>-2331290490100</v>
      </c>
      <c r="V79" s="3">
        <f t="shared" si="43"/>
        <v>-532450200600</v>
      </c>
      <c r="X79" s="2">
        <f t="shared" si="44"/>
        <v>-49318.598553600001</v>
      </c>
      <c r="Y79" s="2">
        <f t="shared" si="45"/>
        <v>-16429.648015999999</v>
      </c>
      <c r="Z79" s="2">
        <f t="shared" si="46"/>
        <v>-2385.9343305000002</v>
      </c>
      <c r="AA79" s="2">
        <f t="shared" si="47"/>
        <v>-2331.2904901000002</v>
      </c>
      <c r="AB79" s="2">
        <f t="shared" si="48"/>
        <v>-532.45020060000002</v>
      </c>
      <c r="AD79" s="8">
        <f t="shared" si="49"/>
        <v>-10.432773543017952</v>
      </c>
      <c r="AE79" s="8">
        <f t="shared" si="50"/>
        <v>-3.4755001595622264</v>
      </c>
      <c r="AF79" s="8">
        <f t="shared" si="51"/>
        <v>-0.50471654281834155</v>
      </c>
      <c r="AG79" s="8">
        <f t="shared" si="52"/>
        <v>-0.49315727655503855</v>
      </c>
      <c r="AH79" s="11">
        <f t="shared" si="53"/>
        <v>-0.1126336215688919</v>
      </c>
      <c r="AI79" s="8">
        <f t="shared" si="54"/>
        <v>-14.906147521953558</v>
      </c>
      <c r="AJ79" s="9">
        <f t="shared" si="55"/>
        <v>433.40968602671677</v>
      </c>
      <c r="AK79" s="27"/>
      <c r="AL79" s="7">
        <f t="shared" si="56"/>
        <v>1411.1303139732831</v>
      </c>
      <c r="AM79" s="42">
        <f t="shared" si="57"/>
        <v>12.087464488260515</v>
      </c>
    </row>
    <row r="80" spans="1:55" ht="15.95" customHeight="1" x14ac:dyDescent="0.25">
      <c r="A80" s="10">
        <v>46171</v>
      </c>
      <c r="B80" s="20">
        <v>1863.49</v>
      </c>
      <c r="C80" s="4">
        <v>8809231.2978608198</v>
      </c>
      <c r="F80" s="4">
        <v>211300</v>
      </c>
      <c r="G80" s="4">
        <v>7706031024</v>
      </c>
      <c r="H80" s="4">
        <v>156000</v>
      </c>
      <c r="I80" s="4">
        <v>4107412004</v>
      </c>
      <c r="J80" s="4">
        <v>32250</v>
      </c>
      <c r="K80" s="4">
        <v>2272318410</v>
      </c>
      <c r="L80" s="4">
        <v>93500</v>
      </c>
      <c r="M80" s="4">
        <v>1793300377</v>
      </c>
      <c r="N80" s="4">
        <v>171900</v>
      </c>
      <c r="O80" s="4">
        <v>591611334</v>
      </c>
      <c r="Q80" s="12"/>
      <c r="R80" s="3">
        <f t="shared" si="39"/>
        <v>3853015512000</v>
      </c>
      <c r="S80" s="3">
        <f t="shared" si="40"/>
        <v>-6982600406800</v>
      </c>
      <c r="T80" s="3">
        <f t="shared" si="41"/>
        <v>0</v>
      </c>
      <c r="U80" s="3">
        <f t="shared" si="42"/>
        <v>3048610640900</v>
      </c>
      <c r="V80" s="3">
        <f t="shared" si="43"/>
        <v>887417001000</v>
      </c>
      <c r="X80" s="2">
        <f t="shared" si="44"/>
        <v>3853.0155119999999</v>
      </c>
      <c r="Y80" s="2">
        <f t="shared" si="45"/>
        <v>-6982.6004068000002</v>
      </c>
      <c r="Z80" s="2">
        <f t="shared" si="46"/>
        <v>0</v>
      </c>
      <c r="AA80" s="2">
        <f t="shared" si="47"/>
        <v>3048.6106408999999</v>
      </c>
      <c r="AB80" s="2">
        <f t="shared" si="48"/>
        <v>887.41700100000003</v>
      </c>
      <c r="AD80" s="8">
        <f t="shared" si="49"/>
        <v>0.81505742390649194</v>
      </c>
      <c r="AE80" s="8">
        <f t="shared" si="50"/>
        <v>-1.4770821145177966</v>
      </c>
      <c r="AF80" s="8">
        <f t="shared" si="51"/>
        <v>0</v>
      </c>
      <c r="AG80" s="8">
        <f t="shared" si="52"/>
        <v>0.64489559611870906</v>
      </c>
      <c r="AH80" s="11">
        <f t="shared" si="53"/>
        <v>0.18772200955672788</v>
      </c>
      <c r="AI80" s="8">
        <f t="shared" si="54"/>
        <v>-1.7129094492595587E-2</v>
      </c>
      <c r="AJ80" s="9">
        <f t="shared" si="55"/>
        <v>448.31583354867035</v>
      </c>
      <c r="AK80" s="27"/>
      <c r="AL80" s="7">
        <f t="shared" si="56"/>
        <v>1415.1741664513297</v>
      </c>
      <c r="AM80" s="42">
        <f t="shared" si="57"/>
        <v>11.484914629462308</v>
      </c>
      <c r="AN80" s="7"/>
      <c r="AO80" s="26"/>
      <c r="AP80" s="7"/>
      <c r="AQ80" s="7"/>
      <c r="AR80" s="26"/>
      <c r="AS80" s="7"/>
      <c r="AT80" s="7"/>
      <c r="AV80" s="7"/>
    </row>
    <row r="81" spans="1:48" ht="15.95" customHeight="1" x14ac:dyDescent="0.25">
      <c r="A81" s="10">
        <v>46170</v>
      </c>
      <c r="B81" s="20">
        <v>1863.67</v>
      </c>
      <c r="C81" s="4">
        <v>8810114.7337967902</v>
      </c>
      <c r="F81" s="4">
        <v>210800</v>
      </c>
      <c r="G81" s="4">
        <v>7706031024</v>
      </c>
      <c r="H81" s="4">
        <v>157700</v>
      </c>
      <c r="I81" s="4">
        <v>4107412004</v>
      </c>
      <c r="J81" s="4">
        <v>32250</v>
      </c>
      <c r="K81" s="4">
        <v>2272318410</v>
      </c>
      <c r="L81" s="4">
        <v>91800</v>
      </c>
      <c r="M81" s="4">
        <v>1793300377</v>
      </c>
      <c r="N81" s="4">
        <v>170400</v>
      </c>
      <c r="O81" s="4">
        <v>591611334</v>
      </c>
      <c r="Q81" s="12"/>
      <c r="R81" s="3">
        <f t="shared" si="39"/>
        <v>0</v>
      </c>
      <c r="S81" s="3">
        <f t="shared" si="40"/>
        <v>42306343641200</v>
      </c>
      <c r="T81" s="3">
        <f t="shared" si="41"/>
        <v>2272318410000</v>
      </c>
      <c r="U81" s="3">
        <f t="shared" si="42"/>
        <v>179330037700</v>
      </c>
      <c r="V81" s="3">
        <f t="shared" si="43"/>
        <v>-1005739267800</v>
      </c>
      <c r="X81" s="2">
        <f t="shared" si="44"/>
        <v>0</v>
      </c>
      <c r="Y81" s="2">
        <f t="shared" si="45"/>
        <v>42306.343641200001</v>
      </c>
      <c r="Z81" s="2">
        <f t="shared" si="46"/>
        <v>2272.3184099999999</v>
      </c>
      <c r="AA81" s="2">
        <f t="shared" si="47"/>
        <v>179.33003769999999</v>
      </c>
      <c r="AB81" s="2">
        <f t="shared" si="48"/>
        <v>-1005.7392678</v>
      </c>
      <c r="AD81" s="8">
        <f t="shared" si="49"/>
        <v>0</v>
      </c>
      <c r="AE81" s="8">
        <f t="shared" si="50"/>
        <v>8.9492474755039026</v>
      </c>
      <c r="AF81" s="8">
        <f t="shared" si="51"/>
        <v>0.48067353602332569</v>
      </c>
      <c r="AG81" s="8">
        <f t="shared" si="52"/>
        <v>3.7934473864714803E-2</v>
      </c>
      <c r="AH81" s="11">
        <f t="shared" si="53"/>
        <v>-0.21274846343868528</v>
      </c>
      <c r="AI81" s="8">
        <f t="shared" si="54"/>
        <v>9.4678554853919437</v>
      </c>
      <c r="AJ81" s="9">
        <f t="shared" si="55"/>
        <v>448.33296264316294</v>
      </c>
      <c r="AL81" s="7">
        <f t="shared" si="56"/>
        <v>1415.3370373568371</v>
      </c>
      <c r="AM81" s="42">
        <f t="shared" si="57"/>
        <v>11.662271208602807</v>
      </c>
      <c r="AS81" s="7"/>
      <c r="AV81" s="7"/>
    </row>
    <row r="82" spans="1:48" ht="15.95" customHeight="1" x14ac:dyDescent="0.25">
      <c r="A82" s="10">
        <v>46169</v>
      </c>
      <c r="B82" s="20">
        <v>1874.43</v>
      </c>
      <c r="C82" s="4">
        <v>8861111.4988648109</v>
      </c>
      <c r="F82" s="4">
        <v>210800</v>
      </c>
      <c r="G82" s="4">
        <v>7706031024</v>
      </c>
      <c r="H82" s="4">
        <v>147400</v>
      </c>
      <c r="I82" s="4">
        <v>4107412004</v>
      </c>
      <c r="J82" s="4">
        <v>31250</v>
      </c>
      <c r="K82" s="4">
        <v>2272318410</v>
      </c>
      <c r="L82" s="4">
        <v>91700</v>
      </c>
      <c r="M82" s="4">
        <v>1793300377</v>
      </c>
      <c r="N82" s="4">
        <v>172100</v>
      </c>
      <c r="O82" s="4">
        <v>591611334</v>
      </c>
      <c r="Q82" s="12"/>
      <c r="R82" s="3">
        <f t="shared" si="39"/>
        <v>-16953268252800</v>
      </c>
      <c r="S82" s="3">
        <f t="shared" si="40"/>
        <v>-26287436825600</v>
      </c>
      <c r="T82" s="3">
        <f t="shared" si="41"/>
        <v>-3294861694500</v>
      </c>
      <c r="U82" s="3">
        <f t="shared" si="42"/>
        <v>-7173201508000</v>
      </c>
      <c r="V82" s="3">
        <f t="shared" si="43"/>
        <v>-295805667000</v>
      </c>
      <c r="X82" s="2">
        <f t="shared" si="44"/>
        <v>-16953.2682528</v>
      </c>
      <c r="Y82" s="2">
        <f t="shared" si="45"/>
        <v>-26287.436825600002</v>
      </c>
      <c r="Z82" s="2">
        <f t="shared" si="46"/>
        <v>-3294.8616944999999</v>
      </c>
      <c r="AA82" s="2">
        <f t="shared" si="47"/>
        <v>-7173.2015080000001</v>
      </c>
      <c r="AB82" s="2">
        <f t="shared" si="48"/>
        <v>-295.80566700000003</v>
      </c>
      <c r="AD82" s="8">
        <f t="shared" si="49"/>
        <v>-3.5862653874320585</v>
      </c>
      <c r="AE82" s="8">
        <f t="shared" si="50"/>
        <v>-5.5607994521284061</v>
      </c>
      <c r="AF82" s="8">
        <f t="shared" si="51"/>
        <v>-0.6969894108417426</v>
      </c>
      <c r="AG82" s="8">
        <f t="shared" si="52"/>
        <v>-1.5174067856188795</v>
      </c>
      <c r="AH82" s="11">
        <f t="shared" si="53"/>
        <v>-6.2574225167064512E-2</v>
      </c>
      <c r="AI82" s="8">
        <f t="shared" si="54"/>
        <v>-11.361461036021087</v>
      </c>
      <c r="AJ82" s="9">
        <f t="shared" si="55"/>
        <v>438.86510715777098</v>
      </c>
      <c r="AL82" s="7">
        <f t="shared" si="56"/>
        <v>1435.564892842229</v>
      </c>
      <c r="AM82" s="42">
        <f t="shared" si="57"/>
        <v>11.856679622941332</v>
      </c>
      <c r="AS82" s="7"/>
    </row>
    <row r="83" spans="1:48" ht="15.95" customHeight="1" x14ac:dyDescent="0.25">
      <c r="A83" s="10">
        <v>46168</v>
      </c>
      <c r="B83" s="20">
        <v>1884.18</v>
      </c>
      <c r="C83" s="4">
        <v>8907039.9219488502</v>
      </c>
      <c r="F83" s="4">
        <v>213000</v>
      </c>
      <c r="G83" s="4">
        <v>7706031024</v>
      </c>
      <c r="H83" s="4">
        <v>153800</v>
      </c>
      <c r="I83" s="4">
        <v>4107412004</v>
      </c>
      <c r="J83" s="4">
        <v>32700</v>
      </c>
      <c r="K83" s="4">
        <v>2272318410</v>
      </c>
      <c r="L83" s="4">
        <v>95700</v>
      </c>
      <c r="M83" s="4">
        <v>1793300377</v>
      </c>
      <c r="N83" s="4">
        <v>172600</v>
      </c>
      <c r="O83" s="4">
        <v>591611334</v>
      </c>
      <c r="Q83" s="12"/>
      <c r="R83" s="3">
        <f t="shared" si="39"/>
        <v>-44694979939200</v>
      </c>
      <c r="S83" s="3">
        <f t="shared" si="40"/>
        <v>-20126318819600</v>
      </c>
      <c r="T83" s="3">
        <f t="shared" si="41"/>
        <v>-227231841000</v>
      </c>
      <c r="U83" s="3">
        <f t="shared" si="42"/>
        <v>0</v>
      </c>
      <c r="V83" s="3">
        <f t="shared" si="43"/>
        <v>-709933600800</v>
      </c>
      <c r="X83" s="2">
        <f t="shared" si="44"/>
        <v>-44694.979939199999</v>
      </c>
      <c r="Y83" s="2">
        <f t="shared" si="45"/>
        <v>-20126.318819600001</v>
      </c>
      <c r="Z83" s="2">
        <f t="shared" si="46"/>
        <v>-227.231841</v>
      </c>
      <c r="AA83" s="2">
        <f t="shared" si="47"/>
        <v>0</v>
      </c>
      <c r="AB83" s="2">
        <f t="shared" si="48"/>
        <v>-709.93360080000002</v>
      </c>
      <c r="AD83" s="8">
        <f t="shared" si="49"/>
        <v>-9.4549405390364996</v>
      </c>
      <c r="AE83" s="8">
        <f t="shared" si="50"/>
        <v>-4.2575955502803913</v>
      </c>
      <c r="AF83" s="8">
        <f t="shared" si="51"/>
        <v>-4.8069459884609408E-2</v>
      </c>
      <c r="AG83" s="8">
        <f t="shared" si="52"/>
        <v>0</v>
      </c>
      <c r="AH83" s="11">
        <f t="shared" si="53"/>
        <v>-0.15018196655103414</v>
      </c>
      <c r="AI83" s="8">
        <f t="shared" si="54"/>
        <v>-13.7606055492015</v>
      </c>
      <c r="AJ83" s="9">
        <f t="shared" si="55"/>
        <v>450.22656819379205</v>
      </c>
      <c r="AL83" s="7">
        <f t="shared" si="56"/>
        <v>1433.9534318062081</v>
      </c>
      <c r="AM83" s="42">
        <f t="shared" si="57"/>
        <v>11.991084354378621</v>
      </c>
      <c r="AS83" s="7"/>
    </row>
    <row r="84" spans="1:48" ht="15.95" customHeight="1" x14ac:dyDescent="0.25">
      <c r="A84" s="10">
        <v>46167</v>
      </c>
      <c r="B84" s="20">
        <v>1886.03</v>
      </c>
      <c r="C84" s="4">
        <v>8915558.2382244691</v>
      </c>
      <c r="F84" s="4">
        <v>218800</v>
      </c>
      <c r="G84" s="4">
        <v>7706031024</v>
      </c>
      <c r="H84" s="4">
        <v>158700</v>
      </c>
      <c r="I84" s="4">
        <v>4107412004</v>
      </c>
      <c r="J84" s="4">
        <v>32800</v>
      </c>
      <c r="K84" s="4">
        <v>2272318410</v>
      </c>
      <c r="L84" s="4">
        <v>95700</v>
      </c>
      <c r="M84" s="4">
        <v>1793300377</v>
      </c>
      <c r="N84" s="4">
        <v>173800</v>
      </c>
      <c r="O84" s="4">
        <v>591611334</v>
      </c>
      <c r="Q84" s="12"/>
      <c r="R84" s="3">
        <f t="shared" si="39"/>
        <v>17723871355200</v>
      </c>
      <c r="S84" s="3">
        <f t="shared" si="40"/>
        <v>20126318819600</v>
      </c>
      <c r="T84" s="3">
        <f t="shared" si="41"/>
        <v>2499550251000</v>
      </c>
      <c r="U84" s="3">
        <f t="shared" si="42"/>
        <v>4124590867100</v>
      </c>
      <c r="V84" s="3">
        <f t="shared" si="43"/>
        <v>2188961935800</v>
      </c>
      <c r="X84" s="2">
        <f t="shared" si="44"/>
        <v>17723.871355200001</v>
      </c>
      <c r="Y84" s="2">
        <f t="shared" si="45"/>
        <v>20126.318819600001</v>
      </c>
      <c r="Z84" s="2">
        <f t="shared" si="46"/>
        <v>2499.5502510000001</v>
      </c>
      <c r="AA84" s="2">
        <f t="shared" si="47"/>
        <v>4124.5908670999997</v>
      </c>
      <c r="AB84" s="2">
        <f t="shared" si="48"/>
        <v>2188.9619358</v>
      </c>
      <c r="AD84" s="8">
        <f t="shared" si="49"/>
        <v>3.7493360517598813</v>
      </c>
      <c r="AE84" s="8">
        <f t="shared" si="50"/>
        <v>4.2575536251226724</v>
      </c>
      <c r="AF84" s="8">
        <f t="shared" si="51"/>
        <v>0.52875885191472094</v>
      </c>
      <c r="AG84" s="8">
        <f t="shared" si="52"/>
        <v>0.87252253905806321</v>
      </c>
      <c r="AH84" s="11">
        <f t="shared" si="53"/>
        <v>0.46305650370324686</v>
      </c>
      <c r="AI84" s="8">
        <f t="shared" si="54"/>
        <v>9.4081710678553403</v>
      </c>
      <c r="AJ84" s="9">
        <f t="shared" si="55"/>
        <v>463.98717374299355</v>
      </c>
      <c r="AL84" s="7">
        <f t="shared" si="56"/>
        <v>1422.0428262570065</v>
      </c>
      <c r="AM84" s="42">
        <f t="shared" si="57"/>
        <v>11.990180576023448</v>
      </c>
      <c r="AS84" s="7"/>
    </row>
    <row r="85" spans="1:48" s="16" customFormat="1" ht="15.95" customHeight="1" x14ac:dyDescent="0.25">
      <c r="A85" s="10">
        <v>46164</v>
      </c>
      <c r="B85" s="20">
        <v>1877.13</v>
      </c>
      <c r="C85" s="4">
        <v>8873573.9282079395</v>
      </c>
      <c r="F85" s="4">
        <v>216500</v>
      </c>
      <c r="G85" s="4">
        <v>7706031024</v>
      </c>
      <c r="H85" s="4">
        <v>153800</v>
      </c>
      <c r="I85" s="4">
        <v>4107412004</v>
      </c>
      <c r="J85" s="4">
        <v>31700</v>
      </c>
      <c r="K85" s="4">
        <v>2272318410</v>
      </c>
      <c r="L85" s="4">
        <v>93400</v>
      </c>
      <c r="M85" s="4">
        <v>1793300377</v>
      </c>
      <c r="N85" s="4">
        <v>170100</v>
      </c>
      <c r="O85" s="23">
        <v>591611334</v>
      </c>
      <c r="Q85" s="12"/>
      <c r="R85" s="3">
        <f t="shared" si="39"/>
        <v>-16953268252800</v>
      </c>
      <c r="S85" s="3">
        <f t="shared" si="40"/>
        <v>-24644472024000</v>
      </c>
      <c r="T85" s="3">
        <f t="shared" si="41"/>
        <v>-2499550251000</v>
      </c>
      <c r="U85" s="3">
        <f t="shared" si="42"/>
        <v>-179330037700</v>
      </c>
      <c r="V85" s="3">
        <f t="shared" si="43"/>
        <v>-2011478535600</v>
      </c>
      <c r="X85" s="2">
        <f t="shared" si="44"/>
        <v>-16953.2682528</v>
      </c>
      <c r="Y85" s="2">
        <f t="shared" si="45"/>
        <v>-24644.472023999999</v>
      </c>
      <c r="Z85" s="2">
        <f t="shared" si="46"/>
        <v>-2499.5502510000001</v>
      </c>
      <c r="AA85" s="2">
        <f t="shared" si="47"/>
        <v>-179.33003769999999</v>
      </c>
      <c r="AB85" s="2">
        <f t="shared" si="48"/>
        <v>-2011.4785356</v>
      </c>
      <c r="AD85" s="8">
        <f t="shared" si="49"/>
        <v>-3.5868549797783107</v>
      </c>
      <c r="AE85" s="8">
        <f t="shared" si="50"/>
        <v>-5.2141065595828202</v>
      </c>
      <c r="AF85" s="8">
        <f t="shared" si="51"/>
        <v>-0.52883751565275516</v>
      </c>
      <c r="AG85" s="8">
        <f t="shared" si="52"/>
        <v>-3.7941406291488435E-2</v>
      </c>
      <c r="AH85" s="11">
        <f t="shared" si="53"/>
        <v>-0.42557468533788079</v>
      </c>
      <c r="AI85" s="8">
        <f t="shared" si="54"/>
        <v>-9.3677404613053739</v>
      </c>
      <c r="AJ85" s="9">
        <f t="shared" si="55"/>
        <v>454.57900267513821</v>
      </c>
      <c r="AL85" s="7">
        <f t="shared" si="56"/>
        <v>1422.5509973248618</v>
      </c>
      <c r="AM85" s="42">
        <f t="shared" si="57"/>
        <v>11.883565000084541</v>
      </c>
      <c r="AN85" s="7"/>
      <c r="AO85" s="26"/>
      <c r="AP85" s="7"/>
      <c r="AQ85" s="7"/>
      <c r="AR85" s="26"/>
      <c r="AS85" s="7"/>
      <c r="AT85" s="7"/>
    </row>
    <row r="86" spans="1:48" s="16" customFormat="1" ht="15.95" customHeight="1" x14ac:dyDescent="0.25">
      <c r="A86" s="10">
        <v>46163</v>
      </c>
      <c r="B86" s="20">
        <v>1896.89</v>
      </c>
      <c r="C86" s="4">
        <v>8965649.6282549407</v>
      </c>
      <c r="F86" s="4">
        <v>218700</v>
      </c>
      <c r="G86" s="4">
        <v>7706031024</v>
      </c>
      <c r="H86" s="4">
        <v>159800</v>
      </c>
      <c r="I86" s="4">
        <v>4107412004</v>
      </c>
      <c r="J86" s="4">
        <v>32800</v>
      </c>
      <c r="K86" s="4">
        <v>2272318410</v>
      </c>
      <c r="L86" s="4">
        <v>93500</v>
      </c>
      <c r="M86" s="4">
        <v>1793300377</v>
      </c>
      <c r="N86" s="4">
        <v>173500</v>
      </c>
      <c r="O86" s="23">
        <v>591611334</v>
      </c>
      <c r="Q86" s="12"/>
      <c r="R86" s="3">
        <f t="shared" si="39"/>
        <v>-61648248192000</v>
      </c>
      <c r="S86" s="3">
        <f t="shared" si="40"/>
        <v>-410741200400</v>
      </c>
      <c r="T86" s="3">
        <f t="shared" si="41"/>
        <v>-1590622887000</v>
      </c>
      <c r="U86" s="3">
        <f t="shared" si="42"/>
        <v>3407270716300</v>
      </c>
      <c r="V86" s="3">
        <f t="shared" si="43"/>
        <v>1715672868600</v>
      </c>
      <c r="X86" s="2">
        <f t="shared" si="44"/>
        <v>-61648.248191999999</v>
      </c>
      <c r="Y86" s="2">
        <f t="shared" si="45"/>
        <v>-410.74120040000003</v>
      </c>
      <c r="Z86" s="2">
        <f t="shared" si="46"/>
        <v>-1590.622887</v>
      </c>
      <c r="AA86" s="2">
        <f t="shared" si="47"/>
        <v>3407.2707163</v>
      </c>
      <c r="AB86" s="2">
        <f t="shared" si="48"/>
        <v>1715.6728685999999</v>
      </c>
      <c r="AD86" s="8">
        <f t="shared" si="49"/>
        <v>-13.043402936686308</v>
      </c>
      <c r="AE86" s="8">
        <f t="shared" si="50"/>
        <v>-8.6903734276923855E-2</v>
      </c>
      <c r="AF86" s="8">
        <f t="shared" si="51"/>
        <v>-0.33654054809214479</v>
      </c>
      <c r="AG86" s="8">
        <f t="shared" si="52"/>
        <v>0.72090296432526857</v>
      </c>
      <c r="AH86" s="11">
        <f t="shared" si="53"/>
        <v>0.36299835257272162</v>
      </c>
      <c r="AI86" s="8">
        <f t="shared" si="54"/>
        <v>-12.745944254730107</v>
      </c>
      <c r="AJ86" s="9">
        <f t="shared" si="55"/>
        <v>463.94674313644356</v>
      </c>
      <c r="AL86" s="7">
        <f t="shared" si="56"/>
        <v>1432.9432568635566</v>
      </c>
      <c r="AM86" s="42">
        <f t="shared" si="57"/>
        <v>11.741737561490385</v>
      </c>
    </row>
    <row r="87" spans="1:48" s="16" customFormat="1" ht="15.95" customHeight="1" x14ac:dyDescent="0.25">
      <c r="A87" s="10">
        <v>46162</v>
      </c>
      <c r="B87" s="20">
        <v>1913.23</v>
      </c>
      <c r="C87" s="4">
        <v>9042676.8582482208</v>
      </c>
      <c r="F87" s="4">
        <v>226700</v>
      </c>
      <c r="G87" s="4">
        <v>7706031024</v>
      </c>
      <c r="H87" s="4">
        <v>159900</v>
      </c>
      <c r="I87" s="4">
        <v>4107412004</v>
      </c>
      <c r="J87" s="4">
        <v>33500</v>
      </c>
      <c r="K87" s="4">
        <v>2272318410</v>
      </c>
      <c r="L87" s="4">
        <v>91600</v>
      </c>
      <c r="M87" s="4">
        <v>1793300377</v>
      </c>
      <c r="N87" s="4">
        <v>170600</v>
      </c>
      <c r="O87" s="23">
        <v>591611334</v>
      </c>
      <c r="Q87" s="12"/>
      <c r="R87" s="3">
        <f t="shared" si="39"/>
        <v>12329649638400</v>
      </c>
      <c r="S87" s="3">
        <f t="shared" si="40"/>
        <v>11911494811600</v>
      </c>
      <c r="T87" s="3">
        <f t="shared" si="41"/>
        <v>0</v>
      </c>
      <c r="U87" s="3">
        <f t="shared" si="42"/>
        <v>179330037700</v>
      </c>
      <c r="V87" s="3">
        <f t="shared" si="43"/>
        <v>-828255867600</v>
      </c>
      <c r="X87" s="2">
        <f t="shared" si="44"/>
        <v>12329.6496384</v>
      </c>
      <c r="Y87" s="2">
        <f t="shared" si="45"/>
        <v>11911.4948116</v>
      </c>
      <c r="Z87" s="2">
        <f t="shared" si="46"/>
        <v>0</v>
      </c>
      <c r="AA87" s="2">
        <f t="shared" si="47"/>
        <v>179.33003769999999</v>
      </c>
      <c r="AB87" s="2">
        <f t="shared" si="48"/>
        <v>-828.25586759999999</v>
      </c>
      <c r="AD87" s="8">
        <f t="shared" si="49"/>
        <v>2.6085676769936779</v>
      </c>
      <c r="AE87" s="8">
        <f t="shared" si="50"/>
        <v>2.520099212993518</v>
      </c>
      <c r="AF87" s="8">
        <f t="shared" si="51"/>
        <v>0</v>
      </c>
      <c r="AG87" s="8">
        <f t="shared" si="52"/>
        <v>3.7940619042519899E-2</v>
      </c>
      <c r="AH87" s="11">
        <f t="shared" si="53"/>
        <v>-0.17523299914157886</v>
      </c>
      <c r="AI87" s="8">
        <f t="shared" si="54"/>
        <v>5.1666075090297161</v>
      </c>
      <c r="AJ87" s="9">
        <f t="shared" si="55"/>
        <v>476.69268739117365</v>
      </c>
      <c r="AL87" s="7">
        <f t="shared" si="56"/>
        <v>1436.5373126088264</v>
      </c>
      <c r="AM87" s="42">
        <f t="shared" si="57"/>
        <v>11.779667351001404</v>
      </c>
    </row>
    <row r="88" spans="1:48" s="16" customFormat="1" ht="15.95" customHeight="1" x14ac:dyDescent="0.25">
      <c r="A88" s="10">
        <v>46161</v>
      </c>
      <c r="B88" s="20">
        <v>1912.93</v>
      </c>
      <c r="C88" s="4">
        <v>9041650.2860169709</v>
      </c>
      <c r="F88" s="4">
        <v>225100</v>
      </c>
      <c r="G88" s="4">
        <v>7706031024</v>
      </c>
      <c r="H88" s="4">
        <v>157000</v>
      </c>
      <c r="I88" s="4">
        <v>4107412004</v>
      </c>
      <c r="J88" s="4">
        <v>33500</v>
      </c>
      <c r="K88" s="4">
        <v>2272318410</v>
      </c>
      <c r="L88" s="4">
        <v>91500</v>
      </c>
      <c r="M88" s="4">
        <v>1793300377</v>
      </c>
      <c r="N88" s="4">
        <v>172000</v>
      </c>
      <c r="O88" s="23">
        <v>591611334</v>
      </c>
      <c r="Q88" s="12"/>
      <c r="R88" s="3">
        <f t="shared" si="39"/>
        <v>770603102400</v>
      </c>
      <c r="S88" s="3">
        <f t="shared" si="40"/>
        <v>12322236012000</v>
      </c>
      <c r="T88" s="3">
        <f t="shared" si="41"/>
        <v>908927364000</v>
      </c>
      <c r="U88" s="3">
        <f t="shared" si="42"/>
        <v>1972630414700</v>
      </c>
      <c r="V88" s="3">
        <f t="shared" si="43"/>
        <v>532450200600</v>
      </c>
      <c r="X88" s="2">
        <f t="shared" si="44"/>
        <v>770.60310240000001</v>
      </c>
      <c r="Y88" s="2">
        <f t="shared" si="45"/>
        <v>12322.236011999999</v>
      </c>
      <c r="Z88" s="2">
        <f t="shared" si="46"/>
        <v>908.92736400000001</v>
      </c>
      <c r="AA88" s="2">
        <f t="shared" si="47"/>
        <v>1972.6304147000001</v>
      </c>
      <c r="AB88" s="2">
        <f t="shared" si="48"/>
        <v>532.45020060000002</v>
      </c>
      <c r="AD88" s="8">
        <f t="shared" si="49"/>
        <v>0.16302196013018622</v>
      </c>
      <c r="AE88" s="8">
        <f t="shared" si="50"/>
        <v>2.6067830010114537</v>
      </c>
      <c r="AF88" s="8">
        <f t="shared" si="51"/>
        <v>0.19228461452304069</v>
      </c>
      <c r="AG88" s="8">
        <f t="shared" si="52"/>
        <v>0.41731220107376521</v>
      </c>
      <c r="AH88" s="11">
        <f t="shared" si="53"/>
        <v>0.11264044370336142</v>
      </c>
      <c r="AI88" s="8">
        <f t="shared" si="54"/>
        <v>3.3794017767384457</v>
      </c>
      <c r="AJ88" s="9">
        <f t="shared" si="55"/>
        <v>471.52607988214396</v>
      </c>
      <c r="AL88" s="7">
        <f t="shared" si="56"/>
        <v>1441.4039201178562</v>
      </c>
      <c r="AM88" s="42">
        <f t="shared" si="57"/>
        <v>11.720793959917883</v>
      </c>
    </row>
    <row r="89" spans="1:48" s="16" customFormat="1" ht="15.95" customHeight="1" x14ac:dyDescent="0.25">
      <c r="A89" s="10">
        <v>46160</v>
      </c>
      <c r="B89" s="20">
        <v>1927.94</v>
      </c>
      <c r="C89" s="4">
        <v>9113352.2382789608</v>
      </c>
      <c r="F89" s="4">
        <v>225000</v>
      </c>
      <c r="G89" s="4">
        <v>7706031024</v>
      </c>
      <c r="H89" s="4">
        <v>154000</v>
      </c>
      <c r="I89" s="4">
        <v>4107412004</v>
      </c>
      <c r="J89" s="4">
        <v>33100</v>
      </c>
      <c r="K89" s="4">
        <v>2272318410</v>
      </c>
      <c r="L89" s="4">
        <v>90400</v>
      </c>
      <c r="M89" s="4">
        <v>1793300377</v>
      </c>
      <c r="N89" s="4">
        <v>171100</v>
      </c>
      <c r="O89" s="23">
        <v>591611334</v>
      </c>
      <c r="Q89" s="12"/>
      <c r="R89" s="3">
        <f t="shared" si="39"/>
        <v>-23118093072000</v>
      </c>
      <c r="S89" s="3">
        <f t="shared" si="40"/>
        <v>-16429648016000</v>
      </c>
      <c r="T89" s="3">
        <f t="shared" si="41"/>
        <v>-2045086569000</v>
      </c>
      <c r="U89" s="3">
        <f t="shared" si="42"/>
        <v>3586600754000</v>
      </c>
      <c r="V89" s="3">
        <f t="shared" si="43"/>
        <v>-118322266800</v>
      </c>
      <c r="X89" s="2">
        <f t="shared" si="44"/>
        <v>-23118.093072</v>
      </c>
      <c r="Y89" s="2">
        <f t="shared" si="45"/>
        <v>-16429.648015999999</v>
      </c>
      <c r="Z89" s="2">
        <f t="shared" si="46"/>
        <v>-2045.0865690000001</v>
      </c>
      <c r="AA89" s="2">
        <f t="shared" si="47"/>
        <v>3586.6007540000001</v>
      </c>
      <c r="AB89" s="2">
        <f t="shared" si="48"/>
        <v>-118.32226679999999</v>
      </c>
      <c r="AD89" s="8">
        <f t="shared" si="49"/>
        <v>-4.8904762476184152</v>
      </c>
      <c r="AE89" s="8">
        <f t="shared" si="50"/>
        <v>-3.475580928268486</v>
      </c>
      <c r="AF89" s="8">
        <f t="shared" si="51"/>
        <v>-0.4326242332734363</v>
      </c>
      <c r="AG89" s="8">
        <f t="shared" si="52"/>
        <v>0.75872113424318255</v>
      </c>
      <c r="AH89" s="11">
        <f t="shared" si="53"/>
        <v>-2.5030275358248154E-2</v>
      </c>
      <c r="AI89" s="8">
        <f t="shared" si="54"/>
        <v>-8.0399602749171546</v>
      </c>
      <c r="AJ89" s="9">
        <f t="shared" si="55"/>
        <v>468.1466781054055</v>
      </c>
      <c r="AL89" s="7">
        <f t="shared" si="56"/>
        <v>1459.7933218945946</v>
      </c>
      <c r="AM89" s="42">
        <f t="shared" si="57"/>
        <v>11.609270864891513</v>
      </c>
    </row>
    <row r="90" spans="1:48" s="16" customFormat="1" ht="15.95" customHeight="1" x14ac:dyDescent="0.25">
      <c r="A90" s="10">
        <v>46157</v>
      </c>
      <c r="B90" s="20">
        <v>1921.6</v>
      </c>
      <c r="C90" s="4">
        <v>9083722.1975648794</v>
      </c>
      <c r="F90" s="4">
        <v>228000</v>
      </c>
      <c r="G90" s="4">
        <v>7706031024</v>
      </c>
      <c r="H90" s="4">
        <v>158000</v>
      </c>
      <c r="I90" s="4">
        <v>4107412004</v>
      </c>
      <c r="J90" s="4">
        <v>34000</v>
      </c>
      <c r="K90" s="4">
        <v>2272318410</v>
      </c>
      <c r="L90" s="4">
        <v>88400</v>
      </c>
      <c r="M90" s="4">
        <v>1793300377</v>
      </c>
      <c r="N90" s="4">
        <v>171300</v>
      </c>
      <c r="O90" s="23">
        <v>591611334</v>
      </c>
      <c r="Q90" s="12"/>
      <c r="R90" s="3">
        <f t="shared" si="39"/>
        <v>-13870855843200</v>
      </c>
      <c r="S90" s="3">
        <f t="shared" si="40"/>
        <v>4107412004000</v>
      </c>
      <c r="T90" s="3">
        <f t="shared" si="41"/>
        <v>-340847761500</v>
      </c>
      <c r="U90" s="3">
        <f t="shared" si="42"/>
        <v>-2510620527800</v>
      </c>
      <c r="V90" s="3">
        <f t="shared" si="43"/>
        <v>-1064900401200</v>
      </c>
      <c r="X90" s="2">
        <f t="shared" si="44"/>
        <v>-13870.855843200001</v>
      </c>
      <c r="Y90" s="2">
        <f t="shared" si="45"/>
        <v>4107.4120039999998</v>
      </c>
      <c r="Z90" s="2">
        <f t="shared" si="46"/>
        <v>-340.84776149999999</v>
      </c>
      <c r="AA90" s="2">
        <f t="shared" si="47"/>
        <v>-2510.6205278000002</v>
      </c>
      <c r="AB90" s="2">
        <f t="shared" si="48"/>
        <v>-1064.9004012</v>
      </c>
      <c r="AD90" s="8">
        <f t="shared" si="49"/>
        <v>-2.9342030089873021</v>
      </c>
      <c r="AE90" s="8">
        <f t="shared" si="50"/>
        <v>0.86887073137564785</v>
      </c>
      <c r="AF90" s="8">
        <f t="shared" si="51"/>
        <v>-7.2102005723762144E-2</v>
      </c>
      <c r="AG90" s="8">
        <f t="shared" si="52"/>
        <v>-0.53108981813169509</v>
      </c>
      <c r="AH90" s="11">
        <f t="shared" si="53"/>
        <v>-0.22526612609881852</v>
      </c>
      <c r="AI90" s="8">
        <f t="shared" si="54"/>
        <v>-2.6685241014671113</v>
      </c>
      <c r="AJ90" s="9">
        <f t="shared" si="55"/>
        <v>476.18663838032268</v>
      </c>
      <c r="AL90" s="7">
        <f t="shared" si="56"/>
        <v>1445.4133616196773</v>
      </c>
      <c r="AM90" s="42">
        <f t="shared" si="57"/>
        <v>9.2983985636479538</v>
      </c>
    </row>
    <row r="91" spans="1:48" s="16" customFormat="1" ht="15.95" customHeight="1" x14ac:dyDescent="0.25">
      <c r="A91" s="10">
        <v>46156</v>
      </c>
      <c r="B91" s="20">
        <v>1925.46</v>
      </c>
      <c r="C91" s="4">
        <v>9102225.7185489293</v>
      </c>
      <c r="F91" s="4">
        <v>229800</v>
      </c>
      <c r="G91" s="4">
        <v>7706031024</v>
      </c>
      <c r="H91" s="4">
        <v>157000</v>
      </c>
      <c r="I91" s="4">
        <v>4107412004</v>
      </c>
      <c r="J91" s="4">
        <v>34150</v>
      </c>
      <c r="K91" s="4">
        <v>2272318410</v>
      </c>
      <c r="L91" s="4">
        <v>89800</v>
      </c>
      <c r="M91" s="4">
        <v>1793300377</v>
      </c>
      <c r="N91" s="4">
        <v>173100</v>
      </c>
      <c r="O91" s="23">
        <v>591611334</v>
      </c>
      <c r="Q91" s="12"/>
      <c r="R91" s="3">
        <f t="shared" si="39"/>
        <v>67813073011200</v>
      </c>
      <c r="S91" s="3">
        <f t="shared" si="40"/>
        <v>18483354018000</v>
      </c>
      <c r="T91" s="3">
        <f t="shared" si="41"/>
        <v>2613166171500</v>
      </c>
      <c r="U91" s="3">
        <f t="shared" si="42"/>
        <v>-358660075400</v>
      </c>
      <c r="V91" s="3">
        <f t="shared" si="43"/>
        <v>0</v>
      </c>
      <c r="X91" s="2">
        <f t="shared" si="44"/>
        <v>67813.073011200002</v>
      </c>
      <c r="Y91" s="2">
        <f t="shared" si="45"/>
        <v>18483.354018000002</v>
      </c>
      <c r="Z91" s="2">
        <f t="shared" si="46"/>
        <v>2613.1661715</v>
      </c>
      <c r="AA91" s="2">
        <f t="shared" si="47"/>
        <v>-358.66007539999998</v>
      </c>
      <c r="AB91" s="2">
        <f t="shared" si="48"/>
        <v>0</v>
      </c>
      <c r="AD91" s="8">
        <f t="shared" si="49"/>
        <v>14.344523631324144</v>
      </c>
      <c r="AE91" s="8">
        <f t="shared" si="50"/>
        <v>3.9097904979699329</v>
      </c>
      <c r="AF91" s="8">
        <f t="shared" si="51"/>
        <v>0.55276397654870524</v>
      </c>
      <c r="AG91" s="8">
        <f t="shared" si="52"/>
        <v>-7.5867494256425791E-2</v>
      </c>
      <c r="AH91" s="11">
        <f t="shared" si="53"/>
        <v>0</v>
      </c>
      <c r="AI91" s="8">
        <f t="shared" si="54"/>
        <v>18.731210611586356</v>
      </c>
      <c r="AJ91" s="9">
        <f t="shared" si="55"/>
        <v>478.85516248178976</v>
      </c>
      <c r="AL91" s="7">
        <f t="shared" si="56"/>
        <v>1446.6048375182104</v>
      </c>
      <c r="AM91" s="42">
        <f t="shared" si="57"/>
        <v>8.500447396450431</v>
      </c>
    </row>
    <row r="92" spans="1:48" s="16" customFormat="1" ht="15.95" customHeight="1" x14ac:dyDescent="0.25">
      <c r="A92" s="10">
        <v>46155</v>
      </c>
      <c r="B92" s="20">
        <v>1898.37</v>
      </c>
      <c r="C92" s="4">
        <v>8974456.5048611704</v>
      </c>
      <c r="F92" s="4">
        <v>221000</v>
      </c>
      <c r="G92" s="4">
        <v>7706031024</v>
      </c>
      <c r="H92" s="4">
        <v>152500</v>
      </c>
      <c r="I92" s="4">
        <v>4107412004</v>
      </c>
      <c r="J92" s="4">
        <v>33000</v>
      </c>
      <c r="K92" s="4">
        <v>2272318410</v>
      </c>
      <c r="L92" s="4">
        <v>90000</v>
      </c>
      <c r="M92" s="4">
        <v>1793300377</v>
      </c>
      <c r="N92" s="4">
        <v>173100</v>
      </c>
      <c r="O92" s="23">
        <v>591611334</v>
      </c>
      <c r="Q92" s="12"/>
      <c r="R92" s="3">
        <f t="shared" si="39"/>
        <v>-7706031024000</v>
      </c>
      <c r="S92" s="3">
        <f t="shared" si="40"/>
        <v>-31627072430800</v>
      </c>
      <c r="T92" s="3">
        <f t="shared" si="41"/>
        <v>-5567180104500</v>
      </c>
      <c r="U92" s="3">
        <f t="shared" si="42"/>
        <v>896650188500</v>
      </c>
      <c r="V92" s="3">
        <f t="shared" si="43"/>
        <v>-1124061534600</v>
      </c>
      <c r="X92" s="2">
        <f t="shared" si="44"/>
        <v>-7706.0310239999999</v>
      </c>
      <c r="Y92" s="2">
        <f t="shared" si="45"/>
        <v>-31627.072430799999</v>
      </c>
      <c r="Z92" s="2">
        <f t="shared" si="46"/>
        <v>-5567.1801045000002</v>
      </c>
      <c r="AA92" s="2">
        <f t="shared" si="47"/>
        <v>896.65018850000001</v>
      </c>
      <c r="AB92" s="2">
        <f t="shared" si="48"/>
        <v>-1124.0615346</v>
      </c>
      <c r="AD92" s="8">
        <f t="shared" si="49"/>
        <v>-1.6300619141147825</v>
      </c>
      <c r="AE92" s="8">
        <f t="shared" si="50"/>
        <v>-6.6900958565874458</v>
      </c>
      <c r="AF92" s="8">
        <f t="shared" si="51"/>
        <v>-1.1776293437049372</v>
      </c>
      <c r="AG92" s="8">
        <f t="shared" si="52"/>
        <v>0.18966901612589337</v>
      </c>
      <c r="AH92" s="11">
        <f t="shared" si="53"/>
        <v>-0.23777349078485566</v>
      </c>
      <c r="AI92" s="8">
        <f t="shared" si="54"/>
        <v>-9.3081180982812715</v>
      </c>
      <c r="AJ92" s="9">
        <f t="shared" si="55"/>
        <v>460.12395187020343</v>
      </c>
      <c r="AL92" s="7">
        <f t="shared" si="56"/>
        <v>1438.2460481297965</v>
      </c>
      <c r="AM92" s="42">
        <f t="shared" si="57"/>
        <v>7.3360774160396991</v>
      </c>
    </row>
    <row r="93" spans="1:48" s="16" customFormat="1" ht="15.95" customHeight="1" x14ac:dyDescent="0.25">
      <c r="A93" s="10">
        <v>46154</v>
      </c>
      <c r="B93" s="20">
        <v>1901.1</v>
      </c>
      <c r="C93" s="4">
        <v>8987349.1631648596</v>
      </c>
      <c r="F93" s="4">
        <v>222000</v>
      </c>
      <c r="G93" s="4">
        <v>7706031024</v>
      </c>
      <c r="H93" s="4">
        <v>160200</v>
      </c>
      <c r="I93" s="4">
        <v>4107412004</v>
      </c>
      <c r="J93" s="4">
        <v>35450</v>
      </c>
      <c r="K93" s="4">
        <v>2272318410</v>
      </c>
      <c r="L93" s="4">
        <v>89500</v>
      </c>
      <c r="M93" s="4">
        <v>1793300377</v>
      </c>
      <c r="N93" s="4">
        <v>175000</v>
      </c>
      <c r="O93" s="23">
        <v>591611334</v>
      </c>
      <c r="Q93" s="12"/>
      <c r="R93" s="3">
        <f t="shared" si="39"/>
        <v>-7706031024000</v>
      </c>
      <c r="S93" s="3">
        <f t="shared" si="40"/>
        <v>-3285929603200</v>
      </c>
      <c r="T93" s="3">
        <f t="shared" si="41"/>
        <v>4203789058500</v>
      </c>
      <c r="U93" s="3">
        <f t="shared" si="42"/>
        <v>896650188500</v>
      </c>
      <c r="V93" s="3">
        <f t="shared" si="43"/>
        <v>2662251003000</v>
      </c>
      <c r="X93" s="2">
        <f t="shared" si="44"/>
        <v>-7706.0310239999999</v>
      </c>
      <c r="Y93" s="2">
        <f t="shared" si="45"/>
        <v>-3285.9296032000002</v>
      </c>
      <c r="Z93" s="2">
        <f t="shared" si="46"/>
        <v>4203.7890584999996</v>
      </c>
      <c r="AA93" s="2">
        <f t="shared" si="47"/>
        <v>896.65018850000001</v>
      </c>
      <c r="AB93" s="2">
        <f t="shared" si="48"/>
        <v>2662.2510029999999</v>
      </c>
      <c r="AD93" s="8">
        <f t="shared" si="49"/>
        <v>-1.6300479680089321</v>
      </c>
      <c r="AE93" s="8">
        <f t="shared" si="50"/>
        <v>-0.69506894743025327</v>
      </c>
      <c r="AF93" s="8">
        <f t="shared" si="51"/>
        <v>0.88922271288614874</v>
      </c>
      <c r="AG93" s="8">
        <f t="shared" si="52"/>
        <v>0.18966739339969349</v>
      </c>
      <c r="AH93" s="11">
        <f t="shared" si="53"/>
        <v>0.56314292328365423</v>
      </c>
      <c r="AI93" s="8">
        <f t="shared" si="54"/>
        <v>-1.2462268091533431</v>
      </c>
      <c r="AJ93" s="9">
        <f t="shared" si="55"/>
        <v>469.43206996848471</v>
      </c>
      <c r="AL93" s="7">
        <f t="shared" si="56"/>
        <v>1431.6679300315152</v>
      </c>
      <c r="AM93" s="42">
        <f t="shared" si="57"/>
        <v>7.1873037343307988</v>
      </c>
    </row>
    <row r="94" spans="1:48" s="16" customFormat="1" ht="15.95" customHeight="1" x14ac:dyDescent="0.25">
      <c r="A94" s="10">
        <v>46153</v>
      </c>
      <c r="B94" s="20">
        <v>1895.5</v>
      </c>
      <c r="C94" s="4">
        <v>8960952.1269695293</v>
      </c>
      <c r="F94" s="4">
        <v>223000</v>
      </c>
      <c r="G94" s="4">
        <v>7706031024</v>
      </c>
      <c r="H94" s="4">
        <v>161000</v>
      </c>
      <c r="I94" s="4">
        <v>4107412004</v>
      </c>
      <c r="J94" s="4">
        <v>33600</v>
      </c>
      <c r="K94" s="4">
        <v>2272318410</v>
      </c>
      <c r="L94" s="4">
        <v>89000</v>
      </c>
      <c r="M94" s="4">
        <v>1793300377</v>
      </c>
      <c r="N94" s="4">
        <v>170500</v>
      </c>
      <c r="O94" s="23">
        <v>591611334</v>
      </c>
      <c r="Q94" s="12"/>
      <c r="R94" s="3">
        <f t="shared" si="39"/>
        <v>-23118093072000</v>
      </c>
      <c r="S94" s="3">
        <f t="shared" si="40"/>
        <v>-12322236012000</v>
      </c>
      <c r="T94" s="3">
        <f t="shared" si="41"/>
        <v>-5226332343000</v>
      </c>
      <c r="U94" s="3">
        <f t="shared" si="42"/>
        <v>-4483250942500</v>
      </c>
      <c r="V94" s="3">
        <f t="shared" si="43"/>
        <v>-3372184603800</v>
      </c>
      <c r="X94" s="2">
        <f t="shared" si="44"/>
        <v>-23118.093072</v>
      </c>
      <c r="Y94" s="2">
        <f t="shared" si="45"/>
        <v>-12322.236011999999</v>
      </c>
      <c r="Z94" s="2">
        <f t="shared" si="46"/>
        <v>-5226.332343</v>
      </c>
      <c r="AA94" s="2">
        <f t="shared" si="47"/>
        <v>-4483.2509424999998</v>
      </c>
      <c r="AB94" s="2">
        <f t="shared" si="48"/>
        <v>-3372.1846037999999</v>
      </c>
      <c r="AD94" s="8">
        <f t="shared" si="49"/>
        <v>-4.8901779622061197</v>
      </c>
      <c r="AE94" s="8">
        <f t="shared" si="50"/>
        <v>-2.6065267063038071</v>
      </c>
      <c r="AF94" s="8">
        <f t="shared" si="51"/>
        <v>-1.1055278291036235</v>
      </c>
      <c r="AG94" s="8">
        <f t="shared" si="52"/>
        <v>-0.94834357184100682</v>
      </c>
      <c r="AH94" s="11">
        <f t="shared" si="53"/>
        <v>-0.71331933748317999</v>
      </c>
      <c r="AI94" s="8">
        <f t="shared" si="54"/>
        <v>-9.5505760694545554</v>
      </c>
      <c r="AJ94" s="9">
        <f t="shared" si="55"/>
        <v>470.67829677763808</v>
      </c>
      <c r="AL94" s="7">
        <f t="shared" si="56"/>
        <v>1424.821703222362</v>
      </c>
      <c r="AM94" s="42">
        <f t="shared" si="57"/>
        <v>7.1104909712190585</v>
      </c>
    </row>
    <row r="95" spans="1:48" s="16" customFormat="1" ht="15.95" customHeight="1" x14ac:dyDescent="0.25">
      <c r="A95" s="10">
        <v>46150</v>
      </c>
      <c r="B95" s="20">
        <v>1915.37</v>
      </c>
      <c r="C95" s="4">
        <v>9054824.2353414502</v>
      </c>
      <c r="F95" s="4">
        <v>226000</v>
      </c>
      <c r="G95" s="4">
        <v>7706031024</v>
      </c>
      <c r="H95" s="4">
        <v>164000</v>
      </c>
      <c r="I95" s="4">
        <v>4107412004</v>
      </c>
      <c r="J95" s="4">
        <v>35900</v>
      </c>
      <c r="K95" s="4">
        <v>2272318410</v>
      </c>
      <c r="L95" s="4">
        <v>91500</v>
      </c>
      <c r="M95" s="4">
        <v>1793300377</v>
      </c>
      <c r="N95" s="21">
        <v>176200</v>
      </c>
      <c r="O95" s="23">
        <v>591611334</v>
      </c>
      <c r="Q95" s="12"/>
      <c r="R95" s="3">
        <f t="shared" si="39"/>
        <v>15412062048000</v>
      </c>
      <c r="S95" s="3">
        <f t="shared" si="40"/>
        <v>10268530010000</v>
      </c>
      <c r="T95" s="3">
        <f t="shared" si="41"/>
        <v>-1363391046000</v>
      </c>
      <c r="U95" s="3">
        <f t="shared" si="42"/>
        <v>0</v>
      </c>
      <c r="V95" s="3">
        <f t="shared" si="43"/>
        <v>-3431345737200</v>
      </c>
      <c r="X95" s="2">
        <f t="shared" si="44"/>
        <v>15412.062048</v>
      </c>
      <c r="Y95" s="2">
        <f t="shared" si="45"/>
        <v>10268.53001</v>
      </c>
      <c r="Z95" s="2">
        <f t="shared" si="46"/>
        <v>-1363.391046</v>
      </c>
      <c r="AA95" s="2">
        <f t="shared" si="47"/>
        <v>0</v>
      </c>
      <c r="AB95" s="2">
        <f t="shared" si="48"/>
        <v>-3431.3457371999998</v>
      </c>
      <c r="AD95" s="8">
        <f t="shared" si="49"/>
        <v>3.2600484355980117</v>
      </c>
      <c r="AE95" s="8">
        <f t="shared" si="50"/>
        <v>2.1720588128138152</v>
      </c>
      <c r="AF95" s="8">
        <f t="shared" si="51"/>
        <v>-0.28839235352010678</v>
      </c>
      <c r="AG95" s="8">
        <f t="shared" si="52"/>
        <v>0</v>
      </c>
      <c r="AH95" s="11">
        <f t="shared" si="53"/>
        <v>-0.72581808117015734</v>
      </c>
      <c r="AI95" s="8">
        <f t="shared" si="54"/>
        <v>5.14371489489172</v>
      </c>
      <c r="AJ95" s="9">
        <f t="shared" si="55"/>
        <v>480.22887284709265</v>
      </c>
      <c r="AL95" s="7">
        <f t="shared" si="56"/>
        <v>1435.1411271529073</v>
      </c>
      <c r="AM95" s="42">
        <f t="shared" si="57"/>
        <v>7.417546871203319</v>
      </c>
      <c r="AN95" s="7"/>
    </row>
    <row r="96" spans="1:48" s="16" customFormat="1" ht="15.95" customHeight="1" x14ac:dyDescent="0.25">
      <c r="A96" s="10">
        <v>46149</v>
      </c>
      <c r="B96" s="20">
        <v>1909.01</v>
      </c>
      <c r="C96" s="4">
        <v>9024951.97586089</v>
      </c>
      <c r="F96" s="4">
        <v>224000</v>
      </c>
      <c r="G96" s="4">
        <v>7706031024</v>
      </c>
      <c r="H96" s="4">
        <v>161500</v>
      </c>
      <c r="I96" s="4">
        <v>4107412004</v>
      </c>
      <c r="J96" s="4">
        <v>36500</v>
      </c>
      <c r="K96" s="4">
        <v>2272318410</v>
      </c>
      <c r="L96" s="4">
        <v>91500</v>
      </c>
      <c r="M96" s="4">
        <v>1793300377</v>
      </c>
      <c r="N96" s="21">
        <v>182000</v>
      </c>
      <c r="O96" s="23">
        <v>591611334</v>
      </c>
      <c r="Q96" s="12"/>
      <c r="R96" s="3">
        <f t="shared" si="39"/>
        <v>34677139608000</v>
      </c>
      <c r="S96" s="3">
        <f t="shared" si="40"/>
        <v>43127826042000</v>
      </c>
      <c r="T96" s="3">
        <f t="shared" si="41"/>
        <v>-227231841000</v>
      </c>
      <c r="U96" s="3">
        <f t="shared" si="42"/>
        <v>2689950565500</v>
      </c>
      <c r="V96" s="3">
        <f t="shared" si="43"/>
        <v>295805667000</v>
      </c>
      <c r="X96" s="2">
        <f t="shared" si="44"/>
        <v>34677.139607999998</v>
      </c>
      <c r="Y96" s="2">
        <f t="shared" si="45"/>
        <v>43127.826042000001</v>
      </c>
      <c r="Z96" s="2">
        <f t="shared" si="46"/>
        <v>-227.231841</v>
      </c>
      <c r="AA96" s="2">
        <f t="shared" si="47"/>
        <v>2689.9505654999998</v>
      </c>
      <c r="AB96" s="2">
        <f t="shared" si="48"/>
        <v>295.80566700000003</v>
      </c>
      <c r="AD96" s="8">
        <f t="shared" si="49"/>
        <v>7.3350793024064398</v>
      </c>
      <c r="AE96" s="8">
        <f t="shared" si="50"/>
        <v>9.1226101037894942</v>
      </c>
      <c r="AF96" s="8">
        <f t="shared" si="51"/>
        <v>-4.8065197781834629E-2</v>
      </c>
      <c r="AG96" s="8">
        <f t="shared" si="52"/>
        <v>0.56899158755711254</v>
      </c>
      <c r="AH96" s="11">
        <f t="shared" si="53"/>
        <v>6.257027107984621E-2</v>
      </c>
      <c r="AI96" s="8">
        <f t="shared" si="54"/>
        <v>16.978615795971209</v>
      </c>
      <c r="AJ96" s="9">
        <f t="shared" si="55"/>
        <v>475.08515795220092</v>
      </c>
      <c r="AL96" s="7">
        <f t="shared" si="56"/>
        <v>1433.9248420477991</v>
      </c>
      <c r="AM96" s="42">
        <f t="shared" si="57"/>
        <v>12.208110857142643</v>
      </c>
    </row>
    <row r="97" spans="1:40" s="16" customFormat="1" ht="15.95" customHeight="1" x14ac:dyDescent="0.25">
      <c r="A97" s="10">
        <v>46148</v>
      </c>
      <c r="B97" s="20">
        <v>1891.2</v>
      </c>
      <c r="C97" s="4">
        <v>8940790.3749771491</v>
      </c>
      <c r="F97" s="4">
        <v>219500</v>
      </c>
      <c r="G97" s="4">
        <v>7706031024</v>
      </c>
      <c r="H97" s="4">
        <v>151000</v>
      </c>
      <c r="I97" s="4">
        <v>4107412004</v>
      </c>
      <c r="J97" s="4">
        <v>36600</v>
      </c>
      <c r="K97" s="4">
        <v>2272318410</v>
      </c>
      <c r="L97" s="4">
        <v>90000</v>
      </c>
      <c r="M97" s="4">
        <v>1793300377</v>
      </c>
      <c r="N97" s="21">
        <v>181500</v>
      </c>
      <c r="O97" s="23">
        <v>591611334</v>
      </c>
      <c r="Q97" s="12"/>
      <c r="R97" s="3">
        <f t="shared" si="39"/>
        <v>0</v>
      </c>
      <c r="S97" s="3">
        <f t="shared" si="40"/>
        <v>-821482400800</v>
      </c>
      <c r="T97" s="3">
        <f t="shared" si="41"/>
        <v>3181245774000</v>
      </c>
      <c r="U97" s="3">
        <f t="shared" si="42"/>
        <v>3586600754000</v>
      </c>
      <c r="V97" s="3">
        <f t="shared" si="43"/>
        <v>295805667000</v>
      </c>
      <c r="X97" s="2">
        <f t="shared" si="44"/>
        <v>0</v>
      </c>
      <c r="Y97" s="2">
        <f t="shared" si="45"/>
        <v>-821.48240080000005</v>
      </c>
      <c r="Z97" s="2">
        <f t="shared" si="46"/>
        <v>3181.245774</v>
      </c>
      <c r="AA97" s="2">
        <f t="shared" si="47"/>
        <v>3586.6007540000001</v>
      </c>
      <c r="AB97" s="2">
        <f t="shared" si="48"/>
        <v>295.80566700000003</v>
      </c>
      <c r="AD97" s="8">
        <f t="shared" si="49"/>
        <v>0</v>
      </c>
      <c r="AE97" s="8">
        <f t="shared" si="50"/>
        <v>-0.17376140203268378</v>
      </c>
      <c r="AF97" s="8">
        <f t="shared" si="51"/>
        <v>0.67290270048691003</v>
      </c>
      <c r="AG97" s="8">
        <f t="shared" si="52"/>
        <v>0.75864409869232186</v>
      </c>
      <c r="AH97" s="11">
        <f t="shared" si="53"/>
        <v>6.2569334872028565E-2</v>
      </c>
      <c r="AI97" s="8">
        <f t="shared" si="54"/>
        <v>1.2577853971465482</v>
      </c>
      <c r="AJ97" s="9">
        <f t="shared" si="55"/>
        <v>458.10654215622969</v>
      </c>
      <c r="AL97" s="7">
        <f t="shared" si="56"/>
        <v>1433.0934578437705</v>
      </c>
      <c r="AM97" s="42">
        <f t="shared" si="57"/>
        <v>15.396706055100806</v>
      </c>
    </row>
    <row r="98" spans="1:40" s="16" customFormat="1" ht="15.95" customHeight="1" x14ac:dyDescent="0.25">
      <c r="A98" s="10">
        <v>46147</v>
      </c>
      <c r="B98" s="20">
        <v>1874.85</v>
      </c>
      <c r="C98" s="4">
        <v>8863627.1411425602</v>
      </c>
      <c r="F98" s="4">
        <v>219500</v>
      </c>
      <c r="G98" s="4">
        <v>7706031024</v>
      </c>
      <c r="H98" s="4">
        <v>151200</v>
      </c>
      <c r="I98" s="4">
        <v>4107412004</v>
      </c>
      <c r="J98" s="4">
        <v>35200</v>
      </c>
      <c r="K98" s="4">
        <v>2272318410</v>
      </c>
      <c r="L98" s="4">
        <v>88000</v>
      </c>
      <c r="M98" s="4">
        <v>1793300377</v>
      </c>
      <c r="N98" s="22">
        <v>181000</v>
      </c>
      <c r="O98" s="23">
        <v>591611334</v>
      </c>
      <c r="Q98" s="12"/>
      <c r="R98" s="3">
        <f t="shared" si="39"/>
        <v>57795232680000</v>
      </c>
      <c r="S98" s="3">
        <f t="shared" si="40"/>
        <v>37788190436800</v>
      </c>
      <c r="T98" s="3">
        <f t="shared" si="41"/>
        <v>3408477615000</v>
      </c>
      <c r="U98" s="3">
        <f t="shared" si="42"/>
        <v>5021241055600</v>
      </c>
      <c r="V98" s="3">
        <f t="shared" si="43"/>
        <v>650772467400</v>
      </c>
      <c r="X98" s="2">
        <f t="shared" si="44"/>
        <v>57795.232680000001</v>
      </c>
      <c r="Y98" s="2">
        <f t="shared" si="45"/>
        <v>37788.190436800003</v>
      </c>
      <c r="Z98" s="2">
        <f t="shared" si="46"/>
        <v>3408.4776149999998</v>
      </c>
      <c r="AA98" s="2">
        <f t="shared" si="47"/>
        <v>5021.2410556000004</v>
      </c>
      <c r="AB98" s="2">
        <f t="shared" si="48"/>
        <v>650.77246739999998</v>
      </c>
      <c r="AD98" s="8">
        <f t="shared" si="49"/>
        <v>12.224102046557419</v>
      </c>
      <c r="AE98" s="8">
        <f t="shared" si="50"/>
        <v>7.992470566072102</v>
      </c>
      <c r="AF98" s="8">
        <f t="shared" si="51"/>
        <v>0.7209172150903892</v>
      </c>
      <c r="AG98" s="8">
        <f t="shared" si="52"/>
        <v>1.0620281330791954</v>
      </c>
      <c r="AH98" s="11">
        <f t="shared" si="53"/>
        <v>0.13764299721109041</v>
      </c>
      <c r="AI98" s="8">
        <f t="shared" si="54"/>
        <v>21.999517960799103</v>
      </c>
      <c r="AJ98" s="9">
        <f t="shared" si="55"/>
        <v>456.84875675908313</v>
      </c>
      <c r="AL98" s="7">
        <f t="shared" si="56"/>
        <v>1418.0012432409167</v>
      </c>
      <c r="AM98" s="42">
        <f t="shared" si="57"/>
        <v>16.860834071319321</v>
      </c>
    </row>
    <row r="99" spans="1:40" s="16" customFormat="1" ht="15.95" customHeight="1" x14ac:dyDescent="0.25">
      <c r="A99" s="10">
        <v>46146</v>
      </c>
      <c r="B99" s="20">
        <v>1854.06</v>
      </c>
      <c r="C99" s="4">
        <v>8765946.8723805584</v>
      </c>
      <c r="F99" s="4">
        <v>212000</v>
      </c>
      <c r="G99" s="4">
        <v>7706031024</v>
      </c>
      <c r="H99" s="4">
        <v>142000</v>
      </c>
      <c r="I99" s="4">
        <v>4107412004</v>
      </c>
      <c r="J99" s="4">
        <v>33700</v>
      </c>
      <c r="K99" s="4">
        <v>2272318410</v>
      </c>
      <c r="L99" s="4">
        <v>85200</v>
      </c>
      <c r="M99" s="4">
        <v>1793300377</v>
      </c>
      <c r="N99" s="25">
        <v>179900</v>
      </c>
      <c r="O99" s="4">
        <v>591611334</v>
      </c>
      <c r="Q99" s="12"/>
      <c r="R99" s="3">
        <f t="shared" si="39"/>
        <v>-15412062048000</v>
      </c>
      <c r="S99" s="3">
        <f t="shared" si="40"/>
        <v>-16429648016000</v>
      </c>
      <c r="T99" s="3">
        <f t="shared" si="41"/>
        <v>3181245774000</v>
      </c>
      <c r="U99" s="3">
        <f t="shared" si="42"/>
        <v>-896650188500</v>
      </c>
      <c r="V99" s="3">
        <f t="shared" si="43"/>
        <v>-59161133400</v>
      </c>
      <c r="X99" s="2">
        <f t="shared" si="44"/>
        <v>-15412.062048</v>
      </c>
      <c r="Y99" s="2">
        <f t="shared" si="45"/>
        <v>-16429.648015999999</v>
      </c>
      <c r="Z99" s="2">
        <f t="shared" si="46"/>
        <v>3181.245774</v>
      </c>
      <c r="AA99" s="2">
        <f t="shared" si="47"/>
        <v>-896.65018850000001</v>
      </c>
      <c r="AB99" s="2">
        <f t="shared" si="48"/>
        <v>-59.161133399999997</v>
      </c>
      <c r="AD99" s="8">
        <f t="shared" si="49"/>
        <v>-3.2598454179690046</v>
      </c>
      <c r="AE99" s="8">
        <f t="shared" si="50"/>
        <v>-3.4750776785739261</v>
      </c>
      <c r="AF99" s="8">
        <f t="shared" si="51"/>
        <v>0.67287358612424664</v>
      </c>
      <c r="AG99" s="8">
        <f t="shared" si="52"/>
        <v>-0.18965281864291969</v>
      </c>
      <c r="AH99" s="11">
        <f t="shared" si="53"/>
        <v>-1.2513325539126654E-2</v>
      </c>
      <c r="AI99" s="8">
        <f t="shared" si="54"/>
        <v>-6.2517023290616027</v>
      </c>
      <c r="AJ99" s="9">
        <f t="shared" si="55"/>
        <v>434.84923879828403</v>
      </c>
      <c r="AL99" s="7">
        <f t="shared" si="56"/>
        <v>1419.210761201716</v>
      </c>
      <c r="AM99" s="42">
        <f t="shared" si="57"/>
        <v>17.334653438542336</v>
      </c>
    </row>
    <row r="100" spans="1:40" s="16" customFormat="1" ht="15.95" customHeight="1" x14ac:dyDescent="0.25">
      <c r="A100" s="10">
        <v>46141</v>
      </c>
      <c r="B100" s="20">
        <v>1854.1</v>
      </c>
      <c r="C100" s="4">
        <v>8765907.7592091206</v>
      </c>
      <c r="F100" s="4">
        <v>214000</v>
      </c>
      <c r="G100" s="4">
        <v>7706031024</v>
      </c>
      <c r="H100" s="4">
        <v>146000</v>
      </c>
      <c r="I100" s="4">
        <v>4107412004</v>
      </c>
      <c r="J100" s="4">
        <v>32300</v>
      </c>
      <c r="K100" s="4">
        <v>2272318410</v>
      </c>
      <c r="L100" s="4">
        <v>85700</v>
      </c>
      <c r="M100" s="4">
        <v>1793300377</v>
      </c>
      <c r="N100" s="4">
        <v>180000</v>
      </c>
      <c r="O100" s="4">
        <v>591611334</v>
      </c>
      <c r="Q100" s="12"/>
      <c r="R100" s="3">
        <f t="shared" si="39"/>
        <v>-88619356776000</v>
      </c>
      <c r="S100" s="3">
        <f t="shared" si="40"/>
        <v>-20537060020000</v>
      </c>
      <c r="T100" s="3">
        <f t="shared" si="41"/>
        <v>3408477615000</v>
      </c>
      <c r="U100" s="3">
        <f t="shared" si="42"/>
        <v>2510620527800</v>
      </c>
      <c r="V100" s="3">
        <f t="shared" si="43"/>
        <v>769094734200</v>
      </c>
      <c r="X100" s="2">
        <f t="shared" si="44"/>
        <v>-88619.356776000001</v>
      </c>
      <c r="Y100" s="2">
        <f t="shared" si="45"/>
        <v>-20537.060020000001</v>
      </c>
      <c r="Z100" s="2">
        <f t="shared" si="46"/>
        <v>3408.4776149999998</v>
      </c>
      <c r="AA100" s="2">
        <f t="shared" si="47"/>
        <v>2510.6205278000002</v>
      </c>
      <c r="AB100" s="2">
        <f t="shared" si="48"/>
        <v>769.09473419999995</v>
      </c>
      <c r="AD100" s="8">
        <f t="shared" si="49"/>
        <v>-18.751207104089602</v>
      </c>
      <c r="AE100" s="8">
        <f t="shared" si="50"/>
        <v>-4.3454915467004431</v>
      </c>
      <c r="AF100" s="8">
        <f t="shared" si="51"/>
        <v>0.72120890958472184</v>
      </c>
      <c r="AG100" s="8">
        <f t="shared" si="52"/>
        <v>0.53122892321992166</v>
      </c>
      <c r="AH100" s="11">
        <f t="shared" si="53"/>
        <v>0.16273481514994001</v>
      </c>
      <c r="AI100" s="8">
        <f t="shared" si="54"/>
        <v>-21.844260817985404</v>
      </c>
      <c r="AJ100" s="9">
        <f t="shared" si="55"/>
        <v>441.10094112734566</v>
      </c>
      <c r="AL100" s="7">
        <f t="shared" si="56"/>
        <v>1412.9990588726541</v>
      </c>
      <c r="AM100" s="42">
        <f t="shared" si="57"/>
        <v>17.362431129855086</v>
      </c>
      <c r="AN100" s="7">
        <f>B67-B87</f>
        <v>-107.02999999999997</v>
      </c>
    </row>
    <row r="101" spans="1:40" s="16" customFormat="1" ht="15.95" customHeight="1" x14ac:dyDescent="0.25">
      <c r="A101" s="10">
        <v>46140</v>
      </c>
      <c r="B101" s="20">
        <v>1875.84</v>
      </c>
      <c r="C101" s="4">
        <v>8865335.0843976401</v>
      </c>
      <c r="F101" s="4">
        <v>225500</v>
      </c>
      <c r="G101" s="4">
        <v>7706031024</v>
      </c>
      <c r="H101" s="4">
        <v>151000</v>
      </c>
      <c r="I101" s="4">
        <v>4107412004</v>
      </c>
      <c r="J101" s="4">
        <v>30800</v>
      </c>
      <c r="K101" s="4">
        <v>2272318410</v>
      </c>
      <c r="L101" s="4">
        <v>84300</v>
      </c>
      <c r="M101" s="4">
        <v>1793300377</v>
      </c>
      <c r="N101" s="4">
        <v>178700</v>
      </c>
      <c r="O101" s="4">
        <v>591611334</v>
      </c>
      <c r="Q101" s="12"/>
      <c r="R101" s="3">
        <f t="shared" si="39"/>
        <v>103260815721600</v>
      </c>
      <c r="S101" s="3">
        <f t="shared" si="40"/>
        <v>40252637639200</v>
      </c>
      <c r="T101" s="3">
        <f t="shared" si="41"/>
        <v>4544636820000</v>
      </c>
      <c r="U101" s="3">
        <f t="shared" si="42"/>
        <v>5021241055600</v>
      </c>
      <c r="V101" s="3">
        <f t="shared" si="43"/>
        <v>-1064900401200</v>
      </c>
      <c r="X101" s="2">
        <f t="shared" si="44"/>
        <v>103260.8157216</v>
      </c>
      <c r="Y101" s="2">
        <f t="shared" si="45"/>
        <v>40252.637639200002</v>
      </c>
      <c r="Z101" s="2">
        <f t="shared" si="46"/>
        <v>4544.6368199999997</v>
      </c>
      <c r="AA101" s="2">
        <f t="shared" si="47"/>
        <v>5021.2410556000004</v>
      </c>
      <c r="AB101" s="2">
        <f t="shared" si="48"/>
        <v>-1064.9004012</v>
      </c>
      <c r="AD101" s="8">
        <f t="shared" si="49"/>
        <v>21.845382065507021</v>
      </c>
      <c r="AE101" s="8">
        <f t="shared" si="50"/>
        <v>8.515662424587978</v>
      </c>
      <c r="AF101" s="8">
        <f t="shared" si="51"/>
        <v>0.96144241151005838</v>
      </c>
      <c r="AG101" s="8">
        <f t="shared" si="52"/>
        <v>1.0622706060963911</v>
      </c>
      <c r="AH101" s="11">
        <f t="shared" si="53"/>
        <v>-0.22528541890125264</v>
      </c>
      <c r="AI101" s="8">
        <f t="shared" si="54"/>
        <v>32.384757507701451</v>
      </c>
      <c r="AJ101" s="9">
        <f t="shared" si="55"/>
        <v>462.94520194533106</v>
      </c>
      <c r="AL101" s="7">
        <f t="shared" si="56"/>
        <v>1412.8947980546689</v>
      </c>
      <c r="AM101" s="42">
        <f t="shared" si="57"/>
        <v>17.661543837913396</v>
      </c>
    </row>
    <row r="102" spans="1:40" s="16" customFormat="1" ht="15.95" customHeight="1" x14ac:dyDescent="0.25">
      <c r="A102" s="10">
        <v>46136</v>
      </c>
      <c r="B102" s="20">
        <v>1853.29</v>
      </c>
      <c r="C102" s="4">
        <v>8760306.2557945885</v>
      </c>
      <c r="F102" s="4">
        <v>212100</v>
      </c>
      <c r="G102" s="4">
        <v>7706031024</v>
      </c>
      <c r="H102" s="4">
        <v>141200</v>
      </c>
      <c r="I102" s="4">
        <v>4107412004</v>
      </c>
      <c r="J102" s="4">
        <v>28800</v>
      </c>
      <c r="K102" s="4">
        <v>2272318410</v>
      </c>
      <c r="L102" s="4">
        <v>81500</v>
      </c>
      <c r="M102" s="4">
        <v>1793300377</v>
      </c>
      <c r="N102" s="4">
        <v>180500</v>
      </c>
      <c r="O102" s="4">
        <v>591611334</v>
      </c>
      <c r="Q102" s="12"/>
      <c r="R102" s="3">
        <f t="shared" si="39"/>
        <v>-18494474457600</v>
      </c>
      <c r="S102" s="3">
        <f t="shared" si="40"/>
        <v>-32037813631200</v>
      </c>
      <c r="T102" s="3">
        <f t="shared" si="41"/>
        <v>-568079602500</v>
      </c>
      <c r="U102" s="3">
        <f t="shared" si="42"/>
        <v>-3586600754000</v>
      </c>
      <c r="V102" s="3">
        <f t="shared" si="43"/>
        <v>3313023470400</v>
      </c>
      <c r="X102" s="2">
        <f t="shared" si="44"/>
        <v>-18494.474457600001</v>
      </c>
      <c r="Y102" s="2">
        <f t="shared" si="45"/>
        <v>-32037.813631199999</v>
      </c>
      <c r="Z102" s="2">
        <f t="shared" si="46"/>
        <v>-568.07960249999996</v>
      </c>
      <c r="AA102" s="2">
        <f t="shared" si="47"/>
        <v>-3586.6007540000001</v>
      </c>
      <c r="AB102" s="2">
        <f t="shared" si="48"/>
        <v>3313.0234704</v>
      </c>
      <c r="AD102" s="8">
        <f t="shared" si="49"/>
        <v>-3.9127833510688435</v>
      </c>
      <c r="AE102" s="8">
        <f t="shared" si="50"/>
        <v>-6.7780798026024689</v>
      </c>
      <c r="AF102" s="8">
        <f t="shared" si="51"/>
        <v>-0.12018575687780059</v>
      </c>
      <c r="AG102" s="8">
        <f t="shared" si="52"/>
        <v>-0.75879916184454144</v>
      </c>
      <c r="AH102" s="11">
        <f t="shared" si="53"/>
        <v>0.70091978587444803</v>
      </c>
      <c r="AI102" s="8">
        <f t="shared" si="54"/>
        <v>-11.569848072393654</v>
      </c>
      <c r="AJ102" s="9">
        <f t="shared" si="55"/>
        <v>430.5604444376296</v>
      </c>
      <c r="AL102" s="7">
        <f t="shared" si="56"/>
        <v>1422.7295555623705</v>
      </c>
      <c r="AM102" s="42">
        <f t="shared" si="57"/>
        <v>18.075838236078258</v>
      </c>
    </row>
    <row r="103" spans="1:40" s="16" customFormat="1" ht="15.95" customHeight="1" x14ac:dyDescent="0.25">
      <c r="A103" s="10">
        <v>46135</v>
      </c>
      <c r="B103" s="20">
        <v>1870.36</v>
      </c>
      <c r="C103" s="4">
        <v>8840593.0364295598</v>
      </c>
      <c r="F103" s="4">
        <v>214500</v>
      </c>
      <c r="G103" s="4">
        <v>7706031024</v>
      </c>
      <c r="H103" s="4">
        <v>149000</v>
      </c>
      <c r="I103" s="4">
        <v>4107412004</v>
      </c>
      <c r="J103" s="4">
        <v>29050</v>
      </c>
      <c r="K103" s="4">
        <v>2272318410</v>
      </c>
      <c r="L103" s="4">
        <v>83500</v>
      </c>
      <c r="M103" s="4">
        <v>1793300377</v>
      </c>
      <c r="N103" s="4">
        <v>174900</v>
      </c>
      <c r="O103" s="4">
        <v>591611334</v>
      </c>
      <c r="Q103" s="12"/>
      <c r="R103" s="3">
        <f t="shared" si="39"/>
        <v>56254026475200</v>
      </c>
      <c r="S103" s="3">
        <f t="shared" si="40"/>
        <v>-5339635605200</v>
      </c>
      <c r="T103" s="3">
        <f t="shared" si="41"/>
        <v>-2045086569000</v>
      </c>
      <c r="U103" s="3">
        <f t="shared" si="42"/>
        <v>-717320150800</v>
      </c>
      <c r="V103" s="3">
        <f t="shared" si="43"/>
        <v>-473289067200</v>
      </c>
      <c r="X103" s="2">
        <f t="shared" si="44"/>
        <v>56254.0264752</v>
      </c>
      <c r="Y103" s="2">
        <f t="shared" si="45"/>
        <v>-5339.6356052000001</v>
      </c>
      <c r="Z103" s="2">
        <f t="shared" si="46"/>
        <v>-2045.0865690000001</v>
      </c>
      <c r="AA103" s="2">
        <f t="shared" si="47"/>
        <v>-717.32015079999996</v>
      </c>
      <c r="AB103" s="2">
        <f t="shared" si="48"/>
        <v>-473.28906719999998</v>
      </c>
      <c r="AD103" s="8">
        <f t="shared" si="49"/>
        <v>11.901833755121757</v>
      </c>
      <c r="AE103" s="8">
        <f t="shared" si="50"/>
        <v>-1.1297227819600875</v>
      </c>
      <c r="AF103" s="8">
        <f t="shared" si="51"/>
        <v>-0.43268512290050798</v>
      </c>
      <c r="AG103" s="8">
        <f t="shared" si="52"/>
        <v>-0.15176558406506696</v>
      </c>
      <c r="AH103" s="11">
        <f t="shared" si="53"/>
        <v>-0.10013519296106567</v>
      </c>
      <c r="AI103" s="8">
        <f t="shared" si="54"/>
        <v>10.187660266196094</v>
      </c>
      <c r="AJ103" s="9">
        <f t="shared" si="55"/>
        <v>442.13029251002325</v>
      </c>
      <c r="AL103" s="7">
        <f t="shared" si="56"/>
        <v>1428.2297074899766</v>
      </c>
      <c r="AM103" s="42">
        <f t="shared" si="57"/>
        <v>18.233492639961796</v>
      </c>
    </row>
    <row r="104" spans="1:40" s="16" customFormat="1" ht="15.95" customHeight="1" x14ac:dyDescent="0.25">
      <c r="A104" s="10">
        <v>46134</v>
      </c>
      <c r="B104" s="20">
        <v>1857.3</v>
      </c>
      <c r="C104" s="4">
        <v>8778529.8906084504</v>
      </c>
      <c r="F104" s="4">
        <v>207200</v>
      </c>
      <c r="G104" s="4">
        <v>7706031024</v>
      </c>
      <c r="H104" s="4">
        <v>150300</v>
      </c>
      <c r="I104" s="4">
        <v>4107412004</v>
      </c>
      <c r="J104" s="4">
        <v>29950</v>
      </c>
      <c r="K104" s="4">
        <v>2272318410</v>
      </c>
      <c r="L104" s="4">
        <v>83900</v>
      </c>
      <c r="M104" s="4">
        <v>1793300377</v>
      </c>
      <c r="N104" s="4">
        <v>175700</v>
      </c>
      <c r="O104" s="4">
        <v>591611334</v>
      </c>
      <c r="Q104" s="12"/>
      <c r="R104" s="3">
        <f t="shared" si="39"/>
        <v>104031418824000</v>
      </c>
      <c r="S104" s="3">
        <f t="shared" si="40"/>
        <v>18483354018000</v>
      </c>
      <c r="T104" s="3">
        <f t="shared" si="41"/>
        <v>1477006966500</v>
      </c>
      <c r="U104" s="3">
        <f t="shared" si="42"/>
        <v>358660075400</v>
      </c>
      <c r="V104" s="3">
        <f t="shared" si="43"/>
        <v>0</v>
      </c>
      <c r="X104" s="2">
        <f t="shared" si="44"/>
        <v>104031.41882399999</v>
      </c>
      <c r="Y104" s="2">
        <f t="shared" si="45"/>
        <v>18483.354018000002</v>
      </c>
      <c r="Z104" s="2">
        <f t="shared" si="46"/>
        <v>1477.0069665000001</v>
      </c>
      <c r="AA104" s="2">
        <f t="shared" si="47"/>
        <v>358.66007539999998</v>
      </c>
      <c r="AB104" s="2">
        <f t="shared" si="48"/>
        <v>0</v>
      </c>
      <c r="AD104" s="8">
        <f t="shared" si="49"/>
        <v>22.00921347741928</v>
      </c>
      <c r="AE104" s="8">
        <f t="shared" si="50"/>
        <v>3.9103963875481433</v>
      </c>
      <c r="AF104" s="8">
        <f t="shared" si="51"/>
        <v>0.31248022953844828</v>
      </c>
      <c r="AG104" s="8">
        <f t="shared" si="52"/>
        <v>7.58792512352508E-2</v>
      </c>
      <c r="AH104" s="11">
        <f t="shared" si="53"/>
        <v>0</v>
      </c>
      <c r="AI104" s="8">
        <f t="shared" si="54"/>
        <v>26.307969345741121</v>
      </c>
      <c r="AJ104" s="9">
        <f t="shared" si="55"/>
        <v>431.94263224382718</v>
      </c>
      <c r="AL104" s="7">
        <f t="shared" si="56"/>
        <v>1425.3573677561728</v>
      </c>
      <c r="AM104" s="42">
        <f t="shared" si="57"/>
        <v>19.442559910374914</v>
      </c>
    </row>
    <row r="105" spans="1:40" s="16" customFormat="1" ht="15.95" customHeight="1" x14ac:dyDescent="0.25">
      <c r="A105" s="10">
        <v>46133</v>
      </c>
      <c r="B105" s="20">
        <v>1833.48</v>
      </c>
      <c r="C105" s="4">
        <v>8666349.0261076298</v>
      </c>
      <c r="F105" s="4">
        <v>193700</v>
      </c>
      <c r="G105" s="4">
        <v>7706031024</v>
      </c>
      <c r="H105" s="4">
        <v>145800</v>
      </c>
      <c r="I105" s="4">
        <v>4107412004</v>
      </c>
      <c r="J105" s="4">
        <v>29300</v>
      </c>
      <c r="K105" s="4">
        <v>2272318410</v>
      </c>
      <c r="L105" s="4">
        <v>83700</v>
      </c>
      <c r="M105" s="4">
        <v>1793300377</v>
      </c>
      <c r="N105" s="4">
        <v>175700</v>
      </c>
      <c r="O105" s="4">
        <v>591611334</v>
      </c>
      <c r="Q105" s="12"/>
      <c r="R105" s="3">
        <f t="shared" si="39"/>
        <v>20806283764800</v>
      </c>
      <c r="S105" s="3">
        <f t="shared" si="40"/>
        <v>2875188402800</v>
      </c>
      <c r="T105" s="3">
        <f t="shared" si="41"/>
        <v>-340847761500</v>
      </c>
      <c r="U105" s="3">
        <f t="shared" si="42"/>
        <v>-2869280603200</v>
      </c>
      <c r="V105" s="3">
        <f t="shared" si="43"/>
        <v>236644533600</v>
      </c>
      <c r="X105" s="2">
        <f t="shared" si="44"/>
        <v>20806.283764799999</v>
      </c>
      <c r="Y105" s="2">
        <f t="shared" si="45"/>
        <v>2875.1884027999999</v>
      </c>
      <c r="Z105" s="2">
        <f t="shared" si="46"/>
        <v>-340.84776149999999</v>
      </c>
      <c r="AA105" s="2">
        <f t="shared" si="47"/>
        <v>-2869.2806031999999</v>
      </c>
      <c r="AB105" s="2">
        <f t="shared" si="48"/>
        <v>236.64453359999999</v>
      </c>
      <c r="AD105" s="8">
        <f t="shared" si="49"/>
        <v>4.4018707848901792</v>
      </c>
      <c r="AE105" s="8">
        <f t="shared" si="50"/>
        <v>0.60828776413941388</v>
      </c>
      <c r="AF105" s="8">
        <f t="shared" si="51"/>
        <v>-7.2111282360782888E-2</v>
      </c>
      <c r="AG105" s="8">
        <f t="shared" si="52"/>
        <v>-0.6070378835381397</v>
      </c>
      <c r="AH105" s="11">
        <f t="shared" si="53"/>
        <v>5.006557973702689E-2</v>
      </c>
      <c r="AI105" s="8">
        <f t="shared" si="54"/>
        <v>4.3310093831306702</v>
      </c>
      <c r="AJ105" s="9">
        <f t="shared" si="55"/>
        <v>405.63466289808605</v>
      </c>
      <c r="AL105" s="7">
        <f t="shared" si="56"/>
        <v>1427.8453371019141</v>
      </c>
      <c r="AM105" s="42">
        <f t="shared" si="57"/>
        <v>19.696918514558028</v>
      </c>
    </row>
    <row r="106" spans="1:40" s="16" customFormat="1" ht="15.95" customHeight="1" x14ac:dyDescent="0.25">
      <c r="A106" s="10">
        <v>46132</v>
      </c>
      <c r="B106" s="20">
        <v>1837.11</v>
      </c>
      <c r="C106" s="4">
        <v>8683451.6129726302</v>
      </c>
      <c r="F106" s="4">
        <v>191000</v>
      </c>
      <c r="G106" s="4">
        <v>7706031024</v>
      </c>
      <c r="H106" s="4">
        <v>145100</v>
      </c>
      <c r="I106" s="4">
        <v>4107412004</v>
      </c>
      <c r="J106" s="4">
        <v>29450</v>
      </c>
      <c r="K106" s="4">
        <v>2272318410</v>
      </c>
      <c r="L106" s="4">
        <v>85300</v>
      </c>
      <c r="M106" s="4">
        <v>1793300377</v>
      </c>
      <c r="N106" s="4">
        <v>175300</v>
      </c>
      <c r="O106" s="4">
        <v>591611334</v>
      </c>
      <c r="Q106" s="12"/>
      <c r="R106" s="3">
        <f t="shared" si="39"/>
        <v>23888696174400</v>
      </c>
      <c r="S106" s="3">
        <f t="shared" si="40"/>
        <v>38609672837600</v>
      </c>
      <c r="T106" s="3">
        <f t="shared" si="41"/>
        <v>1931470648500</v>
      </c>
      <c r="U106" s="3">
        <f t="shared" si="42"/>
        <v>4483250942500</v>
      </c>
      <c r="V106" s="3">
        <f t="shared" si="43"/>
        <v>-1479028335000</v>
      </c>
      <c r="X106" s="2">
        <f t="shared" si="44"/>
        <v>23888.6961744</v>
      </c>
      <c r="Y106" s="2">
        <f t="shared" si="45"/>
        <v>38609.672837600003</v>
      </c>
      <c r="Z106" s="2">
        <f t="shared" si="46"/>
        <v>1931.4706484999999</v>
      </c>
      <c r="AA106" s="2">
        <f t="shared" si="47"/>
        <v>4483.2509424999998</v>
      </c>
      <c r="AB106" s="2">
        <f t="shared" si="48"/>
        <v>-1479.028335</v>
      </c>
      <c r="AD106" s="8">
        <f t="shared" si="49"/>
        <v>5.0538811781993074</v>
      </c>
      <c r="AE106" s="8">
        <f t="shared" si="50"/>
        <v>8.1682439856004656</v>
      </c>
      <c r="AF106" s="8">
        <f t="shared" si="51"/>
        <v>0.40862100993018013</v>
      </c>
      <c r="AG106" s="8">
        <f t="shared" si="52"/>
        <v>0.94847443284602517</v>
      </c>
      <c r="AH106" s="11">
        <f t="shared" si="53"/>
        <v>-0.31290252970315996</v>
      </c>
      <c r="AI106" s="8">
        <f t="shared" si="54"/>
        <v>14.579220606575978</v>
      </c>
      <c r="AJ106" s="9">
        <f t="shared" si="55"/>
        <v>401.30365351495539</v>
      </c>
      <c r="AL106" s="7">
        <f t="shared" si="56"/>
        <v>1435.8063464850445</v>
      </c>
      <c r="AM106" s="42">
        <f t="shared" si="57"/>
        <v>21.932806238116346</v>
      </c>
    </row>
    <row r="107" spans="1:40" s="16" customFormat="1" ht="15.95" customHeight="1" x14ac:dyDescent="0.25">
      <c r="A107" s="10">
        <v>46129</v>
      </c>
      <c r="B107" s="20">
        <v>1817.17</v>
      </c>
      <c r="C107" s="4">
        <v>8589402.9749827497</v>
      </c>
      <c r="F107" s="4">
        <v>187900</v>
      </c>
      <c r="G107" s="4">
        <v>7706031024</v>
      </c>
      <c r="H107" s="4">
        <v>135700</v>
      </c>
      <c r="I107" s="4">
        <v>4107412004</v>
      </c>
      <c r="J107" s="4">
        <v>28600</v>
      </c>
      <c r="K107" s="4">
        <v>2272318410</v>
      </c>
      <c r="L107" s="4">
        <v>82800</v>
      </c>
      <c r="M107" s="4">
        <v>1793300377</v>
      </c>
      <c r="N107" s="4">
        <v>177800</v>
      </c>
      <c r="O107" s="4">
        <v>591611334</v>
      </c>
      <c r="Q107" s="12"/>
      <c r="R107" s="3">
        <f t="shared" si="39"/>
        <v>-10788443433600</v>
      </c>
      <c r="S107" s="3">
        <f t="shared" si="40"/>
        <v>-30394848829600</v>
      </c>
      <c r="T107" s="3">
        <f t="shared" si="41"/>
        <v>-2272318410000</v>
      </c>
      <c r="U107" s="3">
        <f t="shared" si="42"/>
        <v>-5917891244100</v>
      </c>
      <c r="V107" s="3">
        <f t="shared" si="43"/>
        <v>-236644533600</v>
      </c>
      <c r="X107" s="2">
        <f t="shared" si="44"/>
        <v>-10788.443433599999</v>
      </c>
      <c r="Y107" s="2">
        <f t="shared" si="45"/>
        <v>-30394.8488296</v>
      </c>
      <c r="Z107" s="2">
        <f t="shared" si="46"/>
        <v>-2272.3184099999999</v>
      </c>
      <c r="AA107" s="2">
        <f t="shared" si="47"/>
        <v>-5917.8912441000002</v>
      </c>
      <c r="AB107" s="2">
        <f t="shared" si="48"/>
        <v>-236.64453359999999</v>
      </c>
      <c r="AD107" s="8">
        <f t="shared" si="49"/>
        <v>-2.2826157580248676</v>
      </c>
      <c r="AE107" s="8">
        <f t="shared" si="50"/>
        <v>-6.4309333712729408</v>
      </c>
      <c r="AF107" s="8">
        <f t="shared" si="51"/>
        <v>-0.48077647547948599</v>
      </c>
      <c r="AG107" s="8">
        <f t="shared" si="52"/>
        <v>-1.2521057269475313</v>
      </c>
      <c r="AH107" s="11">
        <f t="shared" si="53"/>
        <v>-5.0069182340381074E-2</v>
      </c>
      <c r="AI107" s="8">
        <f t="shared" si="54"/>
        <v>-10.446431331724826</v>
      </c>
      <c r="AJ107" s="9">
        <f t="shared" si="55"/>
        <v>386.72443290837941</v>
      </c>
      <c r="AL107" s="7">
        <f t="shared" si="56"/>
        <v>1430.4455670916207</v>
      </c>
      <c r="AM107" s="42">
        <f t="shared" si="57"/>
        <v>25.893276389743999</v>
      </c>
    </row>
    <row r="108" spans="1:40" s="16" customFormat="1" ht="15.95" customHeight="1" x14ac:dyDescent="0.25">
      <c r="A108" s="10">
        <v>46128</v>
      </c>
      <c r="B108" s="20">
        <v>1819.83</v>
      </c>
      <c r="C108" s="4">
        <v>8601155.4703173991</v>
      </c>
      <c r="F108" s="4">
        <v>189300</v>
      </c>
      <c r="G108" s="4">
        <v>7706031024</v>
      </c>
      <c r="H108" s="4">
        <v>143100</v>
      </c>
      <c r="I108" s="4">
        <v>4107412004</v>
      </c>
      <c r="J108" s="4">
        <v>29600</v>
      </c>
      <c r="K108" s="4">
        <v>2272318410</v>
      </c>
      <c r="L108" s="4">
        <v>86100</v>
      </c>
      <c r="M108" s="4">
        <v>1793300377</v>
      </c>
      <c r="N108" s="4">
        <v>178200</v>
      </c>
      <c r="O108" s="4">
        <v>591611334</v>
      </c>
      <c r="Q108" s="12"/>
      <c r="R108" s="3">
        <f t="shared" si="39"/>
        <v>94784181595200</v>
      </c>
      <c r="S108" s="3">
        <f t="shared" si="40"/>
        <v>25055213224400</v>
      </c>
      <c r="T108" s="3">
        <f t="shared" si="41"/>
        <v>681695523000</v>
      </c>
      <c r="U108" s="3">
        <f t="shared" si="42"/>
        <v>3765930791700</v>
      </c>
      <c r="V108" s="3">
        <f t="shared" si="43"/>
        <v>0</v>
      </c>
      <c r="X108" s="2">
        <f t="shared" si="44"/>
        <v>94784.181595200003</v>
      </c>
      <c r="Y108" s="2">
        <f t="shared" si="45"/>
        <v>25055.213224399999</v>
      </c>
      <c r="Z108" s="2">
        <f t="shared" si="46"/>
        <v>681.69552299999998</v>
      </c>
      <c r="AA108" s="2">
        <f t="shared" si="47"/>
        <v>3765.9307917000001</v>
      </c>
      <c r="AB108" s="2">
        <f t="shared" si="48"/>
        <v>0</v>
      </c>
      <c r="AD108" s="8">
        <f t="shared" si="49"/>
        <v>20.052649354213877</v>
      </c>
      <c r="AE108" s="8">
        <f t="shared" si="50"/>
        <v>5.3007094309225851</v>
      </c>
      <c r="AF108" s="8">
        <f t="shared" si="51"/>
        <v>0.14422028084218536</v>
      </c>
      <c r="AG108" s="8">
        <f t="shared" si="52"/>
        <v>0.79672460517421861</v>
      </c>
      <c r="AH108" s="11">
        <f t="shared" si="53"/>
        <v>0</v>
      </c>
      <c r="AI108" s="8">
        <f t="shared" si="54"/>
        <v>26.294303671152864</v>
      </c>
      <c r="AJ108" s="9">
        <f t="shared" si="55"/>
        <v>397.17086424010427</v>
      </c>
      <c r="AL108" s="7">
        <f t="shared" si="56"/>
        <v>1422.6591357598957</v>
      </c>
      <c r="AM108" s="42">
        <f t="shared" si="57"/>
        <v>25.777474962583856</v>
      </c>
    </row>
    <row r="109" spans="1:40" s="16" customFormat="1" ht="15.95" customHeight="1" x14ac:dyDescent="0.25">
      <c r="A109" s="10">
        <v>46127</v>
      </c>
      <c r="B109" s="20">
        <v>1800.65</v>
      </c>
      <c r="C109" s="4">
        <v>8511251.2354150116</v>
      </c>
      <c r="F109" s="4">
        <v>177000</v>
      </c>
      <c r="G109" s="4">
        <v>7706031024</v>
      </c>
      <c r="H109" s="4">
        <v>137000</v>
      </c>
      <c r="I109" s="4">
        <v>4107412004</v>
      </c>
      <c r="J109" s="4">
        <v>29300</v>
      </c>
      <c r="K109" s="4">
        <v>2272318410</v>
      </c>
      <c r="L109" s="4">
        <v>84000</v>
      </c>
      <c r="M109" s="4">
        <v>1793300377</v>
      </c>
      <c r="N109" s="4">
        <v>178200</v>
      </c>
      <c r="O109" s="4">
        <v>591611334</v>
      </c>
      <c r="Q109" s="12"/>
      <c r="R109" s="3">
        <f t="shared" si="39"/>
        <v>88619356776000</v>
      </c>
      <c r="S109" s="3">
        <f t="shared" si="40"/>
        <v>33270037232400</v>
      </c>
      <c r="T109" s="3">
        <f t="shared" si="41"/>
        <v>3181245774000</v>
      </c>
      <c r="U109" s="3">
        <f t="shared" si="42"/>
        <v>7173201508000</v>
      </c>
      <c r="V109" s="3">
        <f t="shared" si="43"/>
        <v>6744369207600</v>
      </c>
      <c r="X109" s="2">
        <f t="shared" si="44"/>
        <v>88619.356776000001</v>
      </c>
      <c r="Y109" s="2">
        <f t="shared" si="45"/>
        <v>33270.037232399998</v>
      </c>
      <c r="Z109" s="2">
        <f t="shared" si="46"/>
        <v>3181.245774</v>
      </c>
      <c r="AA109" s="2">
        <f t="shared" si="47"/>
        <v>7173.2015080000001</v>
      </c>
      <c r="AB109" s="2">
        <f t="shared" si="48"/>
        <v>6744.3692075999998</v>
      </c>
      <c r="AD109" s="8">
        <f t="shared" si="49"/>
        <v>18.748126834785399</v>
      </c>
      <c r="AE109" s="8">
        <f t="shared" si="50"/>
        <v>7.0385398915465007</v>
      </c>
      <c r="AF109" s="8">
        <f t="shared" si="51"/>
        <v>0.67301774051839502</v>
      </c>
      <c r="AG109" s="8">
        <f t="shared" si="52"/>
        <v>1.5175475942957759</v>
      </c>
      <c r="AH109" s="11">
        <f t="shared" si="53"/>
        <v>1.4268247245837566</v>
      </c>
      <c r="AI109" s="8">
        <f t="shared" si="54"/>
        <v>27.977232061146076</v>
      </c>
      <c r="AJ109" s="9">
        <f t="shared" si="55"/>
        <v>370.87656056895139</v>
      </c>
      <c r="AL109" s="7">
        <f t="shared" si="56"/>
        <v>1429.7734394310487</v>
      </c>
      <c r="AM109" s="42">
        <f t="shared" si="57"/>
        <v>25.490238561365658</v>
      </c>
    </row>
    <row r="110" spans="1:40" s="16" customFormat="1" ht="15.95" customHeight="1" x14ac:dyDescent="0.25">
      <c r="A110" s="10">
        <v>46126</v>
      </c>
      <c r="B110" s="20">
        <v>1775.65</v>
      </c>
      <c r="C110" s="4">
        <v>8393209.7454847209</v>
      </c>
      <c r="F110" s="4">
        <v>165500</v>
      </c>
      <c r="G110" s="4">
        <v>7706031024</v>
      </c>
      <c r="H110" s="4">
        <v>128900</v>
      </c>
      <c r="I110" s="4">
        <v>4107412004</v>
      </c>
      <c r="J110" s="4">
        <v>27900</v>
      </c>
      <c r="K110" s="4">
        <v>2272318410</v>
      </c>
      <c r="L110" s="4">
        <v>80000</v>
      </c>
      <c r="M110" s="4">
        <v>1793300377</v>
      </c>
      <c r="N110" s="4">
        <v>166800</v>
      </c>
      <c r="O110" s="4">
        <v>591611334</v>
      </c>
      <c r="Q110" s="12"/>
      <c r="R110" s="3">
        <f t="shared" si="39"/>
        <v>42383170632000</v>
      </c>
      <c r="S110" s="3">
        <f t="shared" si="40"/>
        <v>24644472024000</v>
      </c>
      <c r="T110" s="3">
        <f t="shared" si="41"/>
        <v>795311443500</v>
      </c>
      <c r="U110" s="3">
        <f t="shared" si="42"/>
        <v>-358660075400</v>
      </c>
      <c r="V110" s="3">
        <f t="shared" si="43"/>
        <v>0</v>
      </c>
      <c r="X110" s="2">
        <f t="shared" si="44"/>
        <v>42383.170632000001</v>
      </c>
      <c r="Y110" s="2">
        <f t="shared" si="45"/>
        <v>24644.472023999999</v>
      </c>
      <c r="Z110" s="2">
        <f t="shared" si="46"/>
        <v>795.3114435</v>
      </c>
      <c r="AA110" s="2">
        <f t="shared" si="47"/>
        <v>-358.66007539999998</v>
      </c>
      <c r="AB110" s="2">
        <f t="shared" si="48"/>
        <v>0</v>
      </c>
      <c r="AD110" s="8">
        <f t="shared" si="49"/>
        <v>8.9662422783157201</v>
      </c>
      <c r="AE110" s="8">
        <f t="shared" si="50"/>
        <v>5.2135860459085848</v>
      </c>
      <c r="AF110" s="8">
        <f t="shared" si="51"/>
        <v>0.1682496845517738</v>
      </c>
      <c r="AG110" s="8">
        <f t="shared" si="52"/>
        <v>-7.5875237355823869E-2</v>
      </c>
      <c r="AH110" s="11">
        <f t="shared" si="53"/>
        <v>0</v>
      </c>
      <c r="AI110" s="8">
        <f t="shared" si="54"/>
        <v>14.272202771420254</v>
      </c>
      <c r="AJ110" s="9">
        <f t="shared" si="55"/>
        <v>342.89932850780531</v>
      </c>
      <c r="AL110" s="7">
        <f t="shared" si="56"/>
        <v>1432.7506714921947</v>
      </c>
      <c r="AM110" s="42">
        <f t="shared" si="57"/>
        <v>25.382471874663342</v>
      </c>
    </row>
    <row r="111" spans="1:40" s="16" customFormat="1" ht="15.95" customHeight="1" x14ac:dyDescent="0.25">
      <c r="A111" s="10">
        <v>46125</v>
      </c>
      <c r="B111" s="20">
        <v>1758.96</v>
      </c>
      <c r="C111" s="4">
        <v>8314553.5778302401</v>
      </c>
      <c r="F111" s="4">
        <v>160000</v>
      </c>
      <c r="G111" s="4">
        <v>7706031024</v>
      </c>
      <c r="H111" s="4">
        <v>122900</v>
      </c>
      <c r="I111" s="4">
        <v>4107412004</v>
      </c>
      <c r="J111" s="4">
        <v>27550</v>
      </c>
      <c r="K111" s="4">
        <v>2272318410</v>
      </c>
      <c r="L111" s="4">
        <v>80200</v>
      </c>
      <c r="M111" s="4">
        <v>1793300377</v>
      </c>
      <c r="N111" s="4">
        <v>166800</v>
      </c>
      <c r="O111" s="4">
        <v>591611334</v>
      </c>
      <c r="Q111" s="12"/>
      <c r="R111" s="3">
        <f t="shared" si="39"/>
        <v>63960057499200</v>
      </c>
      <c r="S111" s="3">
        <f t="shared" si="40"/>
        <v>7393341607200</v>
      </c>
      <c r="T111" s="3">
        <f t="shared" si="41"/>
        <v>113615920500</v>
      </c>
      <c r="U111" s="3">
        <f t="shared" si="42"/>
        <v>-1434640301600</v>
      </c>
      <c r="V111" s="3">
        <f t="shared" si="43"/>
        <v>-118322266800</v>
      </c>
      <c r="X111" s="2">
        <f t="shared" si="44"/>
        <v>63960.057499199997</v>
      </c>
      <c r="Y111" s="2">
        <f t="shared" si="45"/>
        <v>7393.3416072</v>
      </c>
      <c r="Z111" s="2">
        <f t="shared" si="46"/>
        <v>113.6159205</v>
      </c>
      <c r="AA111" s="2">
        <f t="shared" si="47"/>
        <v>-1434.6403015999999</v>
      </c>
      <c r="AB111" s="2">
        <f t="shared" si="48"/>
        <v>-118.32226679999999</v>
      </c>
      <c r="AD111" s="8">
        <f t="shared" si="49"/>
        <v>13.530148793533632</v>
      </c>
      <c r="AE111" s="8">
        <f t="shared" si="50"/>
        <v>1.5639919027291413</v>
      </c>
      <c r="AF111" s="8">
        <f t="shared" si="51"/>
        <v>2.4034379732984383E-2</v>
      </c>
      <c r="AG111" s="8">
        <f t="shared" si="52"/>
        <v>-0.30348466691248288</v>
      </c>
      <c r="AH111" s="11">
        <f t="shared" si="53"/>
        <v>-2.5029963042359812E-2</v>
      </c>
      <c r="AI111" s="8">
        <f t="shared" si="54"/>
        <v>14.814690409083275</v>
      </c>
      <c r="AJ111" s="9">
        <f t="shared" si="55"/>
        <v>328.62712573638504</v>
      </c>
      <c r="AL111" s="7">
        <f t="shared" si="56"/>
        <v>1430.3328742636149</v>
      </c>
      <c r="AM111" s="42">
        <f t="shared" si="57"/>
        <v>24.912605248114943</v>
      </c>
    </row>
    <row r="112" spans="1:40" s="16" customFormat="1" ht="15.95" customHeight="1" x14ac:dyDescent="0.25">
      <c r="A112" s="10">
        <v>46122</v>
      </c>
      <c r="B112" s="20">
        <v>1750</v>
      </c>
      <c r="C112" s="4">
        <v>8272643.7330160001</v>
      </c>
      <c r="F112" s="4">
        <v>151700</v>
      </c>
      <c r="G112" s="4">
        <v>7706031024</v>
      </c>
      <c r="H112" s="4">
        <v>121100</v>
      </c>
      <c r="I112" s="4">
        <v>4107412004</v>
      </c>
      <c r="J112" s="4">
        <v>27500</v>
      </c>
      <c r="K112" s="4">
        <v>2272318410</v>
      </c>
      <c r="L112" s="4">
        <v>81000</v>
      </c>
      <c r="M112" s="4">
        <v>1793300377</v>
      </c>
      <c r="N112" s="4">
        <v>167000</v>
      </c>
      <c r="O112" s="4">
        <v>591611334</v>
      </c>
      <c r="Q112" s="12"/>
      <c r="R112" s="3">
        <f t="shared" si="39"/>
        <v>19265077560000</v>
      </c>
      <c r="S112" s="3">
        <f t="shared" si="40"/>
        <v>-3696670803600</v>
      </c>
      <c r="T112" s="3">
        <f t="shared" si="41"/>
        <v>-227231841000</v>
      </c>
      <c r="U112" s="3">
        <f t="shared" si="42"/>
        <v>1793300377000</v>
      </c>
      <c r="V112" s="3">
        <f t="shared" si="43"/>
        <v>591611334000</v>
      </c>
      <c r="X112" s="2">
        <f t="shared" si="44"/>
        <v>19265.077560000002</v>
      </c>
      <c r="Y112" s="2">
        <f t="shared" si="45"/>
        <v>-3696.6708036</v>
      </c>
      <c r="Z112" s="2">
        <f t="shared" si="46"/>
        <v>-227.231841</v>
      </c>
      <c r="AA112" s="2">
        <f t="shared" si="47"/>
        <v>1793.300377</v>
      </c>
      <c r="AB112" s="2">
        <f t="shared" si="48"/>
        <v>591.61133400000006</v>
      </c>
      <c r="AD112" s="8">
        <f t="shared" si="49"/>
        <v>4.0753260390668355</v>
      </c>
      <c r="AE112" s="8">
        <f t="shared" si="50"/>
        <v>-0.78199211691983472</v>
      </c>
      <c r="AF112" s="8">
        <f t="shared" si="51"/>
        <v>-4.806852376525781E-2</v>
      </c>
      <c r="AG112" s="8">
        <f t="shared" si="52"/>
        <v>0.37935397350440114</v>
      </c>
      <c r="AH112" s="11">
        <f t="shared" si="53"/>
        <v>0.12514920155126888</v>
      </c>
      <c r="AI112" s="8">
        <f t="shared" si="54"/>
        <v>3.6246193718861446</v>
      </c>
      <c r="AJ112" s="9">
        <f t="shared" si="55"/>
        <v>313.81243532730178</v>
      </c>
      <c r="AL112" s="7">
        <f t="shared" si="56"/>
        <v>1436.1875646726983</v>
      </c>
      <c r="AM112" s="42">
        <f t="shared" si="57"/>
        <v>24.143476618586117</v>
      </c>
    </row>
    <row r="113" spans="1:39" s="16" customFormat="1" ht="15.95" customHeight="1" x14ac:dyDescent="0.25">
      <c r="A113" s="10">
        <v>46121</v>
      </c>
      <c r="B113" s="20">
        <v>1736.68</v>
      </c>
      <c r="C113" s="4">
        <v>8209717.3517340999</v>
      </c>
      <c r="F113" s="4">
        <v>149200</v>
      </c>
      <c r="G113" s="4">
        <v>7706031024</v>
      </c>
      <c r="H113" s="4">
        <v>122000</v>
      </c>
      <c r="I113" s="4">
        <v>4107412004</v>
      </c>
      <c r="J113" s="4">
        <v>27600</v>
      </c>
      <c r="K113" s="4">
        <v>2272318410</v>
      </c>
      <c r="L113" s="4">
        <v>80000</v>
      </c>
      <c r="M113" s="4">
        <v>1793300377</v>
      </c>
      <c r="N113" s="4">
        <v>166000</v>
      </c>
      <c r="O113" s="4">
        <v>591611334</v>
      </c>
      <c r="Q113" s="12"/>
      <c r="R113" s="3">
        <f t="shared" si="39"/>
        <v>-32365330300800</v>
      </c>
      <c r="S113" s="3">
        <f t="shared" si="40"/>
        <v>-4107412004000</v>
      </c>
      <c r="T113" s="3">
        <f t="shared" si="41"/>
        <v>0</v>
      </c>
      <c r="U113" s="3">
        <f t="shared" si="42"/>
        <v>-8966501885000</v>
      </c>
      <c r="V113" s="3">
        <f t="shared" si="43"/>
        <v>-2070639669000</v>
      </c>
      <c r="X113" s="2">
        <f t="shared" si="44"/>
        <v>-32365.3303008</v>
      </c>
      <c r="Y113" s="2">
        <f t="shared" si="45"/>
        <v>-4107.4120039999998</v>
      </c>
      <c r="Z113" s="2">
        <f t="shared" si="46"/>
        <v>0</v>
      </c>
      <c r="AA113" s="2">
        <f t="shared" si="47"/>
        <v>-8966.5018849999997</v>
      </c>
      <c r="AB113" s="2">
        <f t="shared" si="48"/>
        <v>-2070.6396690000001</v>
      </c>
      <c r="AD113" s="8">
        <f t="shared" si="49"/>
        <v>-6.8465533976202524</v>
      </c>
      <c r="AE113" s="8">
        <f t="shared" si="50"/>
        <v>-0.86888084719213576</v>
      </c>
      <c r="AF113" s="8">
        <f t="shared" si="51"/>
        <v>0</v>
      </c>
      <c r="AG113" s="8">
        <f t="shared" si="52"/>
        <v>-1.8967714333506347</v>
      </c>
      <c r="AH113" s="11">
        <f t="shared" si="53"/>
        <v>-0.43802256702718739</v>
      </c>
      <c r="AI113" s="8">
        <f t="shared" si="54"/>
        <v>-9.6122056781630221</v>
      </c>
      <c r="AJ113" s="9">
        <f t="shared" si="55"/>
        <v>310.18781595541566</v>
      </c>
      <c r="AL113" s="7">
        <f t="shared" si="56"/>
        <v>1426.4921840445845</v>
      </c>
      <c r="AM113" s="42">
        <f t="shared" si="57"/>
        <v>22.999380162322595</v>
      </c>
    </row>
    <row r="114" spans="1:39" s="16" customFormat="1" ht="15.95" customHeight="1" x14ac:dyDescent="0.25">
      <c r="A114" s="10">
        <v>46120</v>
      </c>
      <c r="B114" s="20">
        <v>1756.55</v>
      </c>
      <c r="C114" s="4">
        <v>8303640.9180173501</v>
      </c>
      <c r="F114" s="4">
        <v>153400</v>
      </c>
      <c r="G114" s="4">
        <v>7706031024</v>
      </c>
      <c r="H114" s="4">
        <v>123000</v>
      </c>
      <c r="I114" s="4">
        <v>4107412004</v>
      </c>
      <c r="J114" s="4">
        <v>27600</v>
      </c>
      <c r="K114" s="4">
        <v>2272318410</v>
      </c>
      <c r="L114" s="4">
        <v>85000</v>
      </c>
      <c r="M114" s="4">
        <v>1793300377</v>
      </c>
      <c r="N114" s="4">
        <v>169500</v>
      </c>
      <c r="O114" s="4">
        <v>591611334</v>
      </c>
      <c r="Q114" s="12"/>
      <c r="R114" s="3">
        <f t="shared" si="39"/>
        <v>77060310240000</v>
      </c>
      <c r="S114" s="3">
        <f t="shared" si="40"/>
        <v>32859296032000</v>
      </c>
      <c r="T114" s="3">
        <f t="shared" si="41"/>
        <v>4090173138000</v>
      </c>
      <c r="U114" s="3">
        <f t="shared" si="42"/>
        <v>5559231168700</v>
      </c>
      <c r="V114" s="3">
        <f t="shared" si="43"/>
        <v>3549668004000</v>
      </c>
      <c r="X114" s="2">
        <f t="shared" si="44"/>
        <v>77060.310240000006</v>
      </c>
      <c r="Y114" s="2">
        <f t="shared" si="45"/>
        <v>32859.296031999998</v>
      </c>
      <c r="Z114" s="2">
        <f t="shared" si="46"/>
        <v>4090.1731380000001</v>
      </c>
      <c r="AA114" s="2">
        <f t="shared" si="47"/>
        <v>5559.2311687000001</v>
      </c>
      <c r="AB114" s="2">
        <f t="shared" si="48"/>
        <v>3549.6680040000001</v>
      </c>
      <c r="AD114" s="8">
        <f t="shared" si="49"/>
        <v>16.301561187042839</v>
      </c>
      <c r="AE114" s="8">
        <f t="shared" si="50"/>
        <v>6.9511506398108942</v>
      </c>
      <c r="AF114" s="8">
        <f t="shared" si="51"/>
        <v>0.86524707034070758</v>
      </c>
      <c r="AG114" s="8">
        <f t="shared" si="52"/>
        <v>1.176015860398627</v>
      </c>
      <c r="AH114" s="11">
        <f t="shared" si="53"/>
        <v>0.7509070490460853</v>
      </c>
      <c r="AI114" s="8">
        <f t="shared" si="54"/>
        <v>25.29397475759307</v>
      </c>
      <c r="AJ114" s="9">
        <f t="shared" si="55"/>
        <v>319.80002163357869</v>
      </c>
      <c r="AL114" s="7">
        <f t="shared" si="56"/>
        <v>1436.7499783664211</v>
      </c>
      <c r="AM114" s="42">
        <f t="shared" si="57"/>
        <v>23.197412571026707</v>
      </c>
    </row>
    <row r="115" spans="1:39" s="16" customFormat="1" ht="15.95" customHeight="1" x14ac:dyDescent="0.25">
      <c r="A115" s="10">
        <v>46119</v>
      </c>
      <c r="B115" s="20">
        <v>1677.54</v>
      </c>
      <c r="C115" s="4">
        <v>7930022.8583480809</v>
      </c>
      <c r="F115" s="4">
        <v>143400</v>
      </c>
      <c r="G115" s="4">
        <v>7706031024</v>
      </c>
      <c r="H115" s="4">
        <v>115000</v>
      </c>
      <c r="I115" s="4">
        <v>4107412004</v>
      </c>
      <c r="J115" s="4">
        <v>25800</v>
      </c>
      <c r="K115" s="4">
        <v>2272318410</v>
      </c>
      <c r="L115" s="4">
        <v>81900</v>
      </c>
      <c r="M115" s="4">
        <v>1793300377</v>
      </c>
      <c r="N115" s="4">
        <v>163500</v>
      </c>
      <c r="O115" s="4">
        <v>591611334</v>
      </c>
      <c r="Q115" s="12"/>
      <c r="R115" s="3">
        <f t="shared" ref="R115:R178" si="58">G115*F115-G116*F116</f>
        <v>13870855843200</v>
      </c>
      <c r="S115" s="3">
        <f t="shared" si="40"/>
        <v>-8214824008000</v>
      </c>
      <c r="T115" s="3">
        <f t="shared" si="41"/>
        <v>113615920500</v>
      </c>
      <c r="U115" s="3">
        <f t="shared" si="42"/>
        <v>-1255310263900</v>
      </c>
      <c r="V115" s="3">
        <f t="shared" si="43"/>
        <v>118322266800</v>
      </c>
      <c r="X115" s="2">
        <f t="shared" si="44"/>
        <v>13870.855843200001</v>
      </c>
      <c r="Y115" s="2">
        <f t="shared" si="45"/>
        <v>-8214.8240079999996</v>
      </c>
      <c r="Z115" s="2">
        <f t="shared" si="46"/>
        <v>113.6159205</v>
      </c>
      <c r="AA115" s="2">
        <f t="shared" si="47"/>
        <v>-1255.3102639000001</v>
      </c>
      <c r="AB115" s="2">
        <f t="shared" si="48"/>
        <v>118.32226679999999</v>
      </c>
      <c r="AD115" s="8">
        <f t="shared" si="49"/>
        <v>2.9344749202554392</v>
      </c>
      <c r="AE115" s="8">
        <f t="shared" si="50"/>
        <v>-1.7379024984681102</v>
      </c>
      <c r="AF115" s="8">
        <f t="shared" si="51"/>
        <v>2.403622912802689E-2</v>
      </c>
      <c r="AG115" s="8">
        <f t="shared" si="52"/>
        <v>-0.26556951699268505</v>
      </c>
      <c r="AH115" s="11">
        <f t="shared" si="53"/>
        <v>2.5031889045447012E-2</v>
      </c>
      <c r="AI115" s="8">
        <f t="shared" si="54"/>
        <v>0.95503913392267092</v>
      </c>
      <c r="AJ115" s="9">
        <f t="shared" si="55"/>
        <v>294.50604687598565</v>
      </c>
      <c r="AL115" s="7">
        <f t="shared" si="56"/>
        <v>1383.0339531240143</v>
      </c>
      <c r="AM115" s="42">
        <f t="shared" si="57"/>
        <v>24.206467011592089</v>
      </c>
    </row>
    <row r="116" spans="1:39" s="16" customFormat="1" ht="15.95" customHeight="1" x14ac:dyDescent="0.25">
      <c r="A116" s="10">
        <v>46118</v>
      </c>
      <c r="B116" s="20">
        <v>1674.99</v>
      </c>
      <c r="C116" s="4">
        <v>7917445.35570239</v>
      </c>
      <c r="F116" s="4">
        <v>141600</v>
      </c>
      <c r="G116" s="4">
        <v>7706031024</v>
      </c>
      <c r="H116" s="4">
        <v>117000</v>
      </c>
      <c r="I116" s="4">
        <v>4107412004</v>
      </c>
      <c r="J116" s="4">
        <v>25750</v>
      </c>
      <c r="K116" s="4">
        <v>2272318410</v>
      </c>
      <c r="L116" s="4">
        <v>82600</v>
      </c>
      <c r="M116" s="4">
        <v>1793300377</v>
      </c>
      <c r="N116" s="4">
        <v>163300</v>
      </c>
      <c r="O116" s="4">
        <v>591611334</v>
      </c>
      <c r="Q116" s="12"/>
      <c r="R116" s="3">
        <f t="shared" si="58"/>
        <v>4623618614400</v>
      </c>
      <c r="S116" s="3">
        <f t="shared" si="40"/>
        <v>-9036306408800</v>
      </c>
      <c r="T116" s="3">
        <f t="shared" si="41"/>
        <v>-1704238807500</v>
      </c>
      <c r="U116" s="3">
        <f t="shared" si="42"/>
        <v>-1075980226200</v>
      </c>
      <c r="V116" s="3">
        <f t="shared" si="43"/>
        <v>1301544934800</v>
      </c>
      <c r="X116" s="2">
        <f t="shared" si="44"/>
        <v>4623.6186144000003</v>
      </c>
      <c r="Y116" s="2">
        <f t="shared" si="45"/>
        <v>-9036.3064087999992</v>
      </c>
      <c r="Z116" s="2">
        <f t="shared" si="46"/>
        <v>-1704.2388074999999</v>
      </c>
      <c r="AA116" s="2">
        <f t="shared" si="47"/>
        <v>-1075.9802262000001</v>
      </c>
      <c r="AB116" s="2">
        <f t="shared" si="48"/>
        <v>1301.5449348</v>
      </c>
      <c r="AD116" s="8">
        <f t="shared" si="49"/>
        <v>0.97813472727919926</v>
      </c>
      <c r="AE116" s="8">
        <f t="shared" si="50"/>
        <v>-1.9116466650720616</v>
      </c>
      <c r="AF116" s="8">
        <f t="shared" si="51"/>
        <v>-0.36053474566456228</v>
      </c>
      <c r="AG116" s="8">
        <f t="shared" si="52"/>
        <v>-0.22762552729460436</v>
      </c>
      <c r="AH116" s="11">
        <f t="shared" si="53"/>
        <v>0.27534414189727185</v>
      </c>
      <c r="AI116" s="8">
        <f t="shared" si="54"/>
        <v>-1.5216722107520291</v>
      </c>
      <c r="AJ116" s="9">
        <f t="shared" si="55"/>
        <v>293.55100774206295</v>
      </c>
      <c r="AL116" s="7">
        <f t="shared" si="56"/>
        <v>1381.4389922579371</v>
      </c>
      <c r="AM116" s="42">
        <f t="shared" si="57"/>
        <v>23.915245786074024</v>
      </c>
    </row>
    <row r="117" spans="1:39" s="16" customFormat="1" ht="15.95" customHeight="1" x14ac:dyDescent="0.25">
      <c r="A117" s="10">
        <v>46115</v>
      </c>
      <c r="B117" s="20">
        <v>1684.04</v>
      </c>
      <c r="C117" s="4">
        <v>7960415.3438584898</v>
      </c>
      <c r="F117" s="4">
        <v>141000</v>
      </c>
      <c r="G117" s="4">
        <v>7706031024</v>
      </c>
      <c r="H117" s="4">
        <v>119200</v>
      </c>
      <c r="I117" s="4">
        <v>4107412004</v>
      </c>
      <c r="J117" s="4">
        <v>26500</v>
      </c>
      <c r="K117" s="4">
        <v>2272318410</v>
      </c>
      <c r="L117" s="4">
        <v>83200</v>
      </c>
      <c r="M117" s="4">
        <v>1793300377</v>
      </c>
      <c r="N117" s="4">
        <v>161100</v>
      </c>
      <c r="O117" s="4">
        <v>591611334</v>
      </c>
      <c r="Q117" s="12"/>
      <c r="R117" s="3">
        <f t="shared" si="58"/>
        <v>8476634126400</v>
      </c>
      <c r="S117" s="3">
        <f t="shared" si="40"/>
        <v>5339635605200</v>
      </c>
      <c r="T117" s="3">
        <f t="shared" si="41"/>
        <v>-1590622887000</v>
      </c>
      <c r="U117" s="3">
        <f t="shared" si="42"/>
        <v>-1255310263900</v>
      </c>
      <c r="V117" s="3">
        <f t="shared" si="43"/>
        <v>-2603089869600</v>
      </c>
      <c r="X117" s="2">
        <f t="shared" si="44"/>
        <v>8476.6341264000002</v>
      </c>
      <c r="Y117" s="2">
        <f t="shared" si="45"/>
        <v>5339.6356052000001</v>
      </c>
      <c r="Z117" s="2">
        <f t="shared" si="46"/>
        <v>-1590.622887</v>
      </c>
      <c r="AA117" s="2">
        <f t="shared" si="47"/>
        <v>-1255.3102639000001</v>
      </c>
      <c r="AB117" s="2">
        <f t="shared" si="48"/>
        <v>-2603.0898695999999</v>
      </c>
      <c r="AD117" s="8">
        <f t="shared" si="49"/>
        <v>1.7944509659578001</v>
      </c>
      <c r="AE117" s="8">
        <f t="shared" si="50"/>
        <v>1.1303678000884916</v>
      </c>
      <c r="AF117" s="8">
        <f t="shared" si="51"/>
        <v>-0.33672501767679153</v>
      </c>
      <c r="AG117" s="8">
        <f t="shared" si="52"/>
        <v>-0.26574141127744594</v>
      </c>
      <c r="AH117" s="11">
        <f t="shared" si="53"/>
        <v>-0.55105800973888341</v>
      </c>
      <c r="AI117" s="8">
        <f t="shared" si="54"/>
        <v>2.3223523370920538</v>
      </c>
      <c r="AJ117" s="9">
        <f t="shared" si="55"/>
        <v>295.07267995281495</v>
      </c>
      <c r="AL117" s="7">
        <f t="shared" si="56"/>
        <v>1388.967320047185</v>
      </c>
      <c r="AM117" s="42">
        <f t="shared" si="57"/>
        <v>23.869546737137128</v>
      </c>
    </row>
    <row r="118" spans="1:39" s="16" customFormat="1" ht="15.95" customHeight="1" x14ac:dyDescent="0.25">
      <c r="A118" s="10">
        <v>46114</v>
      </c>
      <c r="B118" s="20">
        <v>1694.82</v>
      </c>
      <c r="C118" s="18">
        <v>8005997</v>
      </c>
      <c r="E118" s="14"/>
      <c r="F118" s="4">
        <v>139900</v>
      </c>
      <c r="G118" s="4">
        <v>7706031024</v>
      </c>
      <c r="H118" s="4">
        <v>117900</v>
      </c>
      <c r="I118" s="4">
        <v>4107412004</v>
      </c>
      <c r="J118" s="4">
        <v>27200</v>
      </c>
      <c r="K118" s="4">
        <v>2272318410</v>
      </c>
      <c r="L118" s="4">
        <v>83900</v>
      </c>
      <c r="M118" s="4">
        <v>1793300377</v>
      </c>
      <c r="N118" s="4">
        <v>165500</v>
      </c>
      <c r="O118" s="4">
        <v>591611334</v>
      </c>
      <c r="Q118" s="17"/>
      <c r="R118" s="3">
        <f t="shared" si="58"/>
        <v>-8476634126400</v>
      </c>
      <c r="S118" s="3">
        <f t="shared" si="40"/>
        <v>31627072430800</v>
      </c>
      <c r="T118" s="3">
        <f t="shared" si="41"/>
        <v>-795311443500</v>
      </c>
      <c r="U118" s="3">
        <f t="shared" si="42"/>
        <v>0</v>
      </c>
      <c r="V118" s="3">
        <f t="shared" si="43"/>
        <v>-828255867600</v>
      </c>
      <c r="W118" s="3"/>
      <c r="X118" s="2">
        <f t="shared" si="44"/>
        <v>-8476.6341264000002</v>
      </c>
      <c r="Y118" s="2">
        <f t="shared" si="45"/>
        <v>31627.072430799999</v>
      </c>
      <c r="Z118" s="2">
        <f t="shared" si="46"/>
        <v>-795.3114435</v>
      </c>
      <c r="AA118" s="2">
        <f t="shared" si="47"/>
        <v>0</v>
      </c>
      <c r="AB118" s="2">
        <f t="shared" si="48"/>
        <v>-828.25586759999999</v>
      </c>
      <c r="AC118" s="2"/>
      <c r="AD118" s="8">
        <f t="shared" si="49"/>
        <v>-1.7943742435651158</v>
      </c>
      <c r="AE118" s="8">
        <f t="shared" si="50"/>
        <v>6.6949691732534129</v>
      </c>
      <c r="AF118" s="8">
        <f t="shared" si="51"/>
        <v>-0.16835531043912969</v>
      </c>
      <c r="AG118" s="8">
        <f t="shared" si="52"/>
        <v>0</v>
      </c>
      <c r="AH118" s="11">
        <f t="shared" si="53"/>
        <v>-0.17532914288165741</v>
      </c>
      <c r="AI118" s="8">
        <f t="shared" si="54"/>
        <v>4.7322396192491674</v>
      </c>
      <c r="AJ118" s="9">
        <f t="shared" si="55"/>
        <v>292.75032761572288</v>
      </c>
      <c r="AL118" s="7">
        <f t="shared" si="56"/>
        <v>1402.0696723842771</v>
      </c>
      <c r="AM118" s="42">
        <f t="shared" si="57"/>
        <v>28.101393660096893</v>
      </c>
    </row>
    <row r="119" spans="1:39" s="16" customFormat="1" ht="15.95" customHeight="1" x14ac:dyDescent="0.25">
      <c r="A119" s="10">
        <v>46113</v>
      </c>
      <c r="B119" s="20">
        <v>1702.93</v>
      </c>
      <c r="C119" s="18">
        <v>8044651</v>
      </c>
      <c r="E119" s="14"/>
      <c r="F119" s="4">
        <v>141000</v>
      </c>
      <c r="G119" s="4">
        <v>7706031024</v>
      </c>
      <c r="H119" s="4">
        <v>110200</v>
      </c>
      <c r="I119" s="4">
        <v>4107412004</v>
      </c>
      <c r="J119" s="4">
        <v>27550</v>
      </c>
      <c r="K119" s="4">
        <v>2272318410</v>
      </c>
      <c r="L119" s="4">
        <v>83900</v>
      </c>
      <c r="M119" s="4">
        <v>1793300377</v>
      </c>
      <c r="N119" s="4">
        <v>166900</v>
      </c>
      <c r="O119" s="4">
        <v>591611334</v>
      </c>
      <c r="Q119" s="17"/>
      <c r="R119" s="3">
        <f t="shared" si="58"/>
        <v>46236186144000</v>
      </c>
      <c r="S119" s="3">
        <f t="shared" si="40"/>
        <v>29573366428800</v>
      </c>
      <c r="T119" s="3">
        <f t="shared" si="41"/>
        <v>4090173138000</v>
      </c>
      <c r="U119" s="3">
        <f t="shared" si="42"/>
        <v>896650188500</v>
      </c>
      <c r="V119" s="3">
        <f t="shared" si="43"/>
        <v>6448563540600</v>
      </c>
      <c r="W119" s="3"/>
      <c r="X119" s="2">
        <f t="shared" si="44"/>
        <v>46236.186143999999</v>
      </c>
      <c r="Y119" s="2">
        <f t="shared" si="45"/>
        <v>29573.3664288</v>
      </c>
      <c r="Z119" s="2">
        <f t="shared" si="46"/>
        <v>4090.1731380000001</v>
      </c>
      <c r="AA119" s="2">
        <f t="shared" si="47"/>
        <v>896.65018850000001</v>
      </c>
      <c r="AB119" s="2">
        <f t="shared" si="48"/>
        <v>6448.5635406000001</v>
      </c>
      <c r="AC119" s="2"/>
      <c r="AD119" s="8">
        <f t="shared" si="49"/>
        <v>9.7875568469656091</v>
      </c>
      <c r="AE119" s="8">
        <f t="shared" si="50"/>
        <v>6.260269914489605</v>
      </c>
      <c r="AF119" s="8">
        <f t="shared" si="51"/>
        <v>0.86583270465749063</v>
      </c>
      <c r="AG119" s="8">
        <f t="shared" si="52"/>
        <v>0.18980836058696052</v>
      </c>
      <c r="AH119" s="11">
        <f t="shared" si="53"/>
        <v>1.3650711163399611</v>
      </c>
      <c r="AI119" s="8">
        <f t="shared" si="54"/>
        <v>17.103467826699664</v>
      </c>
      <c r="AJ119" s="9">
        <f t="shared" si="55"/>
        <v>288.0180879964737</v>
      </c>
      <c r="AL119" s="7">
        <f t="shared" si="56"/>
        <v>1414.9119120035264</v>
      </c>
      <c r="AM119" s="42">
        <f t="shared" si="57"/>
        <v>34.730364602084286</v>
      </c>
    </row>
    <row r="120" spans="1:39" s="16" customFormat="1" ht="15.95" customHeight="1" x14ac:dyDescent="0.25">
      <c r="A120" s="10">
        <v>46112</v>
      </c>
      <c r="B120" s="20">
        <v>1674.49</v>
      </c>
      <c r="C120" s="18">
        <v>7910251</v>
      </c>
      <c r="E120" s="14"/>
      <c r="F120" s="4">
        <v>135000</v>
      </c>
      <c r="G120" s="4">
        <v>7706031024</v>
      </c>
      <c r="H120" s="4">
        <v>103000</v>
      </c>
      <c r="I120" s="4">
        <v>4107412004</v>
      </c>
      <c r="J120" s="4">
        <v>25750</v>
      </c>
      <c r="K120" s="4">
        <v>2272318410</v>
      </c>
      <c r="L120" s="4">
        <v>83400</v>
      </c>
      <c r="M120" s="4">
        <v>1793300377</v>
      </c>
      <c r="N120" s="4">
        <v>156000</v>
      </c>
      <c r="O120" s="4">
        <v>591611334</v>
      </c>
      <c r="Q120" s="17"/>
      <c r="R120" s="3">
        <f t="shared" si="58"/>
        <v>42383170632000</v>
      </c>
      <c r="S120" s="3">
        <f t="shared" si="40"/>
        <v>0</v>
      </c>
      <c r="T120" s="3">
        <f t="shared" si="41"/>
        <v>227231841000</v>
      </c>
      <c r="U120" s="3">
        <f t="shared" si="42"/>
        <v>179330037700</v>
      </c>
      <c r="V120" s="3">
        <f t="shared" si="43"/>
        <v>-650772467400</v>
      </c>
      <c r="W120" s="3"/>
      <c r="X120" s="2">
        <f t="shared" si="44"/>
        <v>42383.170632000001</v>
      </c>
      <c r="Y120" s="2">
        <f t="shared" si="45"/>
        <v>0</v>
      </c>
      <c r="Z120" s="2">
        <f t="shared" si="46"/>
        <v>227.231841</v>
      </c>
      <c r="AA120" s="2">
        <f t="shared" si="47"/>
        <v>179.33003769999999</v>
      </c>
      <c r="AB120" s="2">
        <f t="shared" si="48"/>
        <v>-650.77246739999998</v>
      </c>
      <c r="AC120" s="2"/>
      <c r="AD120" s="8">
        <f t="shared" si="49"/>
        <v>8.9718591207870269</v>
      </c>
      <c r="AE120" s="8">
        <f t="shared" si="50"/>
        <v>0</v>
      </c>
      <c r="AF120" s="8">
        <f t="shared" si="51"/>
        <v>4.810145241162847E-2</v>
      </c>
      <c r="AG120" s="8">
        <f t="shared" si="52"/>
        <v>3.7961384445246341E-2</v>
      </c>
      <c r="AH120" s="11">
        <f t="shared" si="53"/>
        <v>-0.13775842652015982</v>
      </c>
      <c r="AI120" s="8">
        <f t="shared" si="54"/>
        <v>9.0579219576439023</v>
      </c>
      <c r="AJ120" s="9">
        <f t="shared" si="55"/>
        <v>270.91462016977403</v>
      </c>
      <c r="AL120" s="7">
        <f t="shared" si="56"/>
        <v>1403.575379830226</v>
      </c>
      <c r="AM120" s="42">
        <f t="shared" si="57"/>
        <v>42.954656120484337</v>
      </c>
    </row>
    <row r="121" spans="1:39" s="16" customFormat="1" ht="15.95" customHeight="1" x14ac:dyDescent="0.25">
      <c r="A121" s="10">
        <v>46111</v>
      </c>
      <c r="B121" s="20">
        <v>1662.54</v>
      </c>
      <c r="C121" s="18">
        <v>7853859</v>
      </c>
      <c r="E121" s="14"/>
      <c r="F121" s="4">
        <v>129500</v>
      </c>
      <c r="G121" s="4">
        <v>7706031024</v>
      </c>
      <c r="H121" s="4">
        <v>103000</v>
      </c>
      <c r="I121" s="4">
        <v>4107412004</v>
      </c>
      <c r="J121" s="4">
        <v>25650</v>
      </c>
      <c r="K121" s="4">
        <v>2272318410</v>
      </c>
      <c r="L121" s="4">
        <v>83300</v>
      </c>
      <c r="M121" s="4">
        <v>1793300377</v>
      </c>
      <c r="N121" s="4">
        <v>157100</v>
      </c>
      <c r="O121" s="4">
        <v>591611334</v>
      </c>
      <c r="Q121" s="17"/>
      <c r="R121" s="3">
        <f t="shared" si="58"/>
        <v>-23888696174400</v>
      </c>
      <c r="S121" s="3">
        <f t="shared" si="40"/>
        <v>0</v>
      </c>
      <c r="T121" s="3">
        <f t="shared" si="41"/>
        <v>-227231841000</v>
      </c>
      <c r="U121" s="3">
        <f t="shared" si="42"/>
        <v>537990113100</v>
      </c>
      <c r="V121" s="3">
        <f t="shared" si="43"/>
        <v>59161133400</v>
      </c>
      <c r="W121" s="3"/>
      <c r="X121" s="2">
        <f t="shared" si="44"/>
        <v>-23888.6961744</v>
      </c>
      <c r="Y121" s="2">
        <f t="shared" si="45"/>
        <v>0</v>
      </c>
      <c r="Z121" s="2">
        <f t="shared" si="46"/>
        <v>-227.231841</v>
      </c>
      <c r="AA121" s="2">
        <f t="shared" si="47"/>
        <v>537.99011310000003</v>
      </c>
      <c r="AB121" s="2">
        <f t="shared" si="48"/>
        <v>59.161133399999997</v>
      </c>
      <c r="AC121" s="2"/>
      <c r="AD121" s="8">
        <f t="shared" si="49"/>
        <v>-5.0563352038351654</v>
      </c>
      <c r="AE121" s="8">
        <f t="shared" si="50"/>
        <v>0</v>
      </c>
      <c r="AF121" s="8">
        <f t="shared" si="51"/>
        <v>-4.8096402946923612E-2</v>
      </c>
      <c r="AG121" s="8">
        <f t="shared" si="52"/>
        <v>0.11387219831184932</v>
      </c>
      <c r="AH121" s="11">
        <f t="shared" si="53"/>
        <v>1.252217866246615E-2</v>
      </c>
      <c r="AI121" s="8">
        <f t="shared" si="54"/>
        <v>-4.99055940847024</v>
      </c>
      <c r="AJ121" s="9">
        <f t="shared" si="55"/>
        <v>261.85669821213014</v>
      </c>
      <c r="AL121" s="7">
        <f t="shared" si="56"/>
        <v>1400.6833017878698</v>
      </c>
      <c r="AM121" s="42">
        <f t="shared" si="57"/>
        <v>48.529351743132807</v>
      </c>
    </row>
    <row r="122" spans="1:39" s="16" customFormat="1" ht="15.95" customHeight="1" x14ac:dyDescent="0.25">
      <c r="A122" s="10">
        <v>46108</v>
      </c>
      <c r="B122" s="20">
        <v>1672.8</v>
      </c>
      <c r="C122" s="18">
        <v>7903157</v>
      </c>
      <c r="E122" s="14"/>
      <c r="F122" s="4">
        <v>132600</v>
      </c>
      <c r="G122" s="4">
        <v>7706031024</v>
      </c>
      <c r="H122" s="4">
        <v>103000</v>
      </c>
      <c r="I122" s="4">
        <v>4107412004</v>
      </c>
      <c r="J122" s="4">
        <v>25750</v>
      </c>
      <c r="K122" s="4">
        <v>2272318410</v>
      </c>
      <c r="L122" s="4">
        <v>83000</v>
      </c>
      <c r="M122" s="4">
        <v>1793300377</v>
      </c>
      <c r="N122" s="4">
        <v>157000</v>
      </c>
      <c r="O122" s="4">
        <v>591611334</v>
      </c>
      <c r="Q122" s="17"/>
      <c r="R122" s="3">
        <f t="shared" si="58"/>
        <v>20035680662400</v>
      </c>
      <c r="S122" s="3">
        <f t="shared" si="40"/>
        <v>7804082807600</v>
      </c>
      <c r="T122" s="3">
        <f t="shared" si="41"/>
        <v>454463682000</v>
      </c>
      <c r="U122" s="3">
        <f t="shared" si="42"/>
        <v>2151960452400</v>
      </c>
      <c r="V122" s="3">
        <f t="shared" si="43"/>
        <v>1183222668000</v>
      </c>
      <c r="W122" s="3"/>
      <c r="X122" s="2">
        <f t="shared" si="44"/>
        <v>20035.680662399998</v>
      </c>
      <c r="Y122" s="2">
        <f t="shared" si="45"/>
        <v>7804.0828075999998</v>
      </c>
      <c r="Z122" s="2">
        <f t="shared" si="46"/>
        <v>454.46368200000001</v>
      </c>
      <c r="AA122" s="2">
        <f t="shared" si="47"/>
        <v>2151.9604524000001</v>
      </c>
      <c r="AB122" s="2">
        <f t="shared" si="48"/>
        <v>1183.2226680000001</v>
      </c>
      <c r="AC122" s="2"/>
      <c r="AD122" s="8">
        <f t="shared" si="49"/>
        <v>4.2408341683144029</v>
      </c>
      <c r="AE122" s="8">
        <f t="shared" si="50"/>
        <v>1.6518441065460989</v>
      </c>
      <c r="AF122" s="8">
        <f t="shared" si="51"/>
        <v>9.6193642899312745E-2</v>
      </c>
      <c r="AG122" s="8">
        <f t="shared" si="52"/>
        <v>0.45549275660625638</v>
      </c>
      <c r="AH122" s="11">
        <f t="shared" si="53"/>
        <v>0.250445752441807</v>
      </c>
      <c r="AI122" s="8">
        <f t="shared" si="54"/>
        <v>6.4443646743660707</v>
      </c>
      <c r="AJ122" s="9">
        <f t="shared" si="55"/>
        <v>266.84725762060037</v>
      </c>
      <c r="AL122" s="7">
        <f t="shared" si="56"/>
        <v>1405.9527423793995</v>
      </c>
      <c r="AM122" s="42">
        <f t="shared" si="57"/>
        <v>53.287990732718413</v>
      </c>
    </row>
    <row r="123" spans="1:39" s="16" customFormat="1" ht="15.95" customHeight="1" x14ac:dyDescent="0.25">
      <c r="A123" s="10">
        <v>46107</v>
      </c>
      <c r="B123" s="20">
        <v>1644.63</v>
      </c>
      <c r="C123" s="18">
        <v>7770000</v>
      </c>
      <c r="E123" s="14"/>
      <c r="F123" s="4">
        <v>130000</v>
      </c>
      <c r="G123" s="4">
        <v>7706031024</v>
      </c>
      <c r="H123" s="4">
        <v>101100</v>
      </c>
      <c r="I123" s="4">
        <v>4107412004</v>
      </c>
      <c r="J123" s="4">
        <v>25550</v>
      </c>
      <c r="K123" s="4">
        <v>2272318410</v>
      </c>
      <c r="L123" s="4">
        <v>81800</v>
      </c>
      <c r="M123" s="4">
        <v>1793300377</v>
      </c>
      <c r="N123" s="4">
        <v>155000</v>
      </c>
      <c r="O123" s="4">
        <v>591611334</v>
      </c>
      <c r="Q123" s="17"/>
      <c r="R123" s="3">
        <f t="shared" si="58"/>
        <v>10017840331200</v>
      </c>
      <c r="S123" s="3">
        <f t="shared" si="40"/>
        <v>-12732977212400</v>
      </c>
      <c r="T123" s="3">
        <f t="shared" si="41"/>
        <v>-1817854728000</v>
      </c>
      <c r="U123" s="3">
        <f t="shared" si="42"/>
        <v>-1255310263900</v>
      </c>
      <c r="V123" s="3">
        <f t="shared" si="43"/>
        <v>1183222668000</v>
      </c>
      <c r="W123" s="3"/>
      <c r="X123" s="2">
        <f t="shared" si="44"/>
        <v>10017.840331199999</v>
      </c>
      <c r="Y123" s="2">
        <f t="shared" si="45"/>
        <v>-12732.977212399999</v>
      </c>
      <c r="Z123" s="2">
        <f t="shared" si="46"/>
        <v>-1817.854728</v>
      </c>
      <c r="AA123" s="2">
        <f t="shared" si="47"/>
        <v>-1255.3102639000001</v>
      </c>
      <c r="AB123" s="2">
        <f t="shared" si="48"/>
        <v>1183.2226680000001</v>
      </c>
      <c r="AC123" s="2"/>
      <c r="AD123" s="8">
        <f t="shared" si="49"/>
        <v>2.1231603515518533</v>
      </c>
      <c r="AE123" s="8">
        <f t="shared" si="50"/>
        <v>-2.6986008441744245</v>
      </c>
      <c r="AF123" s="8">
        <f t="shared" si="51"/>
        <v>-0.3852723696693568</v>
      </c>
      <c r="AG123" s="8">
        <f t="shared" si="52"/>
        <v>-0.26604785992724206</v>
      </c>
      <c r="AH123" s="11">
        <f t="shared" si="53"/>
        <v>0.25076976401100998</v>
      </c>
      <c r="AI123" s="8">
        <f t="shared" si="54"/>
        <v>-1.2267607222191699</v>
      </c>
      <c r="AJ123" s="9">
        <f t="shared" si="55"/>
        <v>260.40289294623432</v>
      </c>
      <c r="AL123" s="7">
        <f t="shared" si="56"/>
        <v>1384.2271070537658</v>
      </c>
      <c r="AM123" s="42">
        <f t="shared" si="57"/>
        <v>58.708531338052005</v>
      </c>
    </row>
    <row r="124" spans="1:39" s="16" customFormat="1" ht="15.95" customHeight="1" x14ac:dyDescent="0.25">
      <c r="A124" s="10">
        <v>46106</v>
      </c>
      <c r="B124" s="20">
        <v>1658.19</v>
      </c>
      <c r="C124" s="18">
        <v>7823941.6286437903</v>
      </c>
      <c r="E124" s="14"/>
      <c r="F124" s="4">
        <v>128700</v>
      </c>
      <c r="G124" s="4">
        <v>7706031024</v>
      </c>
      <c r="H124" s="4">
        <v>104200</v>
      </c>
      <c r="I124" s="4">
        <v>4107412004</v>
      </c>
      <c r="J124" s="4">
        <v>26350</v>
      </c>
      <c r="K124" s="4">
        <v>2272318410</v>
      </c>
      <c r="L124" s="4">
        <v>82500</v>
      </c>
      <c r="M124" s="4">
        <v>1793300377</v>
      </c>
      <c r="N124" s="4">
        <v>153000</v>
      </c>
      <c r="O124" s="4">
        <v>591611334</v>
      </c>
      <c r="Q124" s="17"/>
      <c r="R124" s="3">
        <f t="shared" si="58"/>
        <v>36218345812800</v>
      </c>
      <c r="S124" s="3">
        <f t="shared" si="40"/>
        <v>21358542420800</v>
      </c>
      <c r="T124" s="3">
        <f t="shared" si="41"/>
        <v>2385934330500</v>
      </c>
      <c r="U124" s="3">
        <f t="shared" si="42"/>
        <v>5738561206400</v>
      </c>
      <c r="V124" s="3">
        <f t="shared" si="43"/>
        <v>0</v>
      </c>
      <c r="W124" s="3"/>
      <c r="X124" s="2">
        <f t="shared" si="44"/>
        <v>36218.345812799998</v>
      </c>
      <c r="Y124" s="2">
        <f t="shared" si="45"/>
        <v>21358.5424208</v>
      </c>
      <c r="Z124" s="2">
        <f t="shared" si="46"/>
        <v>2385.9343305000002</v>
      </c>
      <c r="AA124" s="2">
        <f t="shared" si="47"/>
        <v>5738.5612063999997</v>
      </c>
      <c r="AB124" s="2">
        <f t="shared" si="48"/>
        <v>0</v>
      </c>
      <c r="AC124" s="2"/>
      <c r="AD124" s="8">
        <f t="shared" si="49"/>
        <v>7.6761816811539996</v>
      </c>
      <c r="AE124" s="8">
        <f t="shared" si="50"/>
        <v>4.5267680891365538</v>
      </c>
      <c r="AF124" s="8">
        <f t="shared" si="51"/>
        <v>0.50567923490718447</v>
      </c>
      <c r="AG124" s="8">
        <f t="shared" si="52"/>
        <v>1.2162410353147821</v>
      </c>
      <c r="AH124" s="11">
        <f t="shared" si="53"/>
        <v>0</v>
      </c>
      <c r="AI124" s="8">
        <f t="shared" si="54"/>
        <v>13.92487004051252</v>
      </c>
      <c r="AJ124" s="9">
        <f t="shared" si="55"/>
        <v>261.6296536684535</v>
      </c>
      <c r="AL124" s="7">
        <f t="shared" si="56"/>
        <v>1396.5603463315465</v>
      </c>
      <c r="AM124" s="42">
        <f t="shared" si="57"/>
        <v>62.445306369904849</v>
      </c>
    </row>
    <row r="125" spans="1:39" s="16" customFormat="1" ht="15.95" customHeight="1" x14ac:dyDescent="0.25">
      <c r="A125" s="10">
        <v>46105</v>
      </c>
      <c r="B125" s="20">
        <v>1614.77</v>
      </c>
      <c r="C125" s="18">
        <v>7618930.9603916006</v>
      </c>
      <c r="E125" s="14"/>
      <c r="F125" s="4">
        <v>124000</v>
      </c>
      <c r="G125" s="4">
        <v>7706031024</v>
      </c>
      <c r="H125" s="4">
        <v>99000</v>
      </c>
      <c r="I125" s="4">
        <v>4107412004</v>
      </c>
      <c r="J125" s="4">
        <v>25300</v>
      </c>
      <c r="K125" s="4">
        <v>2272318410</v>
      </c>
      <c r="L125" s="4">
        <v>79300</v>
      </c>
      <c r="M125" s="4">
        <v>1793300377</v>
      </c>
      <c r="N125" s="4">
        <v>153000</v>
      </c>
      <c r="O125" s="4">
        <v>591611334</v>
      </c>
      <c r="Q125" s="17"/>
      <c r="R125" s="3">
        <f t="shared" si="58"/>
        <v>-12329649638400</v>
      </c>
      <c r="S125" s="3">
        <f t="shared" si="40"/>
        <v>4107412004000</v>
      </c>
      <c r="T125" s="3">
        <f t="shared" si="41"/>
        <v>-113615920500</v>
      </c>
      <c r="U125" s="3">
        <f t="shared" si="42"/>
        <v>1793300377000</v>
      </c>
      <c r="V125" s="3">
        <f t="shared" si="43"/>
        <v>709933600800</v>
      </c>
      <c r="W125" s="3"/>
      <c r="X125" s="2">
        <f t="shared" si="44"/>
        <v>-12329.6496384</v>
      </c>
      <c r="Y125" s="2">
        <f t="shared" si="45"/>
        <v>4107.4120039999998</v>
      </c>
      <c r="Z125" s="2">
        <f t="shared" si="46"/>
        <v>-113.6159205</v>
      </c>
      <c r="AA125" s="2">
        <f t="shared" si="47"/>
        <v>1793.300377</v>
      </c>
      <c r="AB125" s="2">
        <f t="shared" si="48"/>
        <v>709.93360080000002</v>
      </c>
      <c r="AC125" s="2"/>
      <c r="AD125" s="8">
        <f t="shared" si="49"/>
        <v>-2.6130333435070425</v>
      </c>
      <c r="AE125" s="8">
        <f t="shared" si="50"/>
        <v>0.87048738907765588</v>
      </c>
      <c r="AF125" s="8">
        <f t="shared" si="51"/>
        <v>-2.4078720590333925E-2</v>
      </c>
      <c r="AG125" s="8">
        <f t="shared" si="52"/>
        <v>0.38005570453767074</v>
      </c>
      <c r="AH125" s="11">
        <f t="shared" si="53"/>
        <v>0.15045684386593397</v>
      </c>
      <c r="AI125" s="8">
        <f t="shared" si="54"/>
        <v>-1.3865689704820499</v>
      </c>
      <c r="AJ125" s="9">
        <f t="shared" si="55"/>
        <v>247.70478362794097</v>
      </c>
      <c r="AL125" s="7">
        <f t="shared" si="56"/>
        <v>1367.065216372059</v>
      </c>
      <c r="AM125" s="42">
        <f t="shared" si="57"/>
        <v>65.539823383506629</v>
      </c>
    </row>
    <row r="126" spans="1:39" s="16" customFormat="1" ht="15.95" customHeight="1" x14ac:dyDescent="0.25">
      <c r="A126" s="10">
        <v>46104</v>
      </c>
      <c r="B126" s="20">
        <v>1591.17</v>
      </c>
      <c r="C126" s="18">
        <v>7507967.1921836901</v>
      </c>
      <c r="E126" s="14"/>
      <c r="F126" s="4">
        <v>125600</v>
      </c>
      <c r="G126" s="4">
        <v>7706031024</v>
      </c>
      <c r="H126" s="4">
        <v>98000</v>
      </c>
      <c r="I126" s="4">
        <v>4107412004</v>
      </c>
      <c r="J126" s="4">
        <v>25350</v>
      </c>
      <c r="K126" s="4">
        <v>2272318410</v>
      </c>
      <c r="L126" s="4">
        <v>78300</v>
      </c>
      <c r="M126" s="4">
        <v>1793300377</v>
      </c>
      <c r="N126" s="4">
        <v>151800</v>
      </c>
      <c r="O126" s="4">
        <v>591611334</v>
      </c>
      <c r="Q126" s="17"/>
      <c r="R126" s="3">
        <f t="shared" si="58"/>
        <v>-72436691625600</v>
      </c>
      <c r="S126" s="3">
        <f t="shared" si="40"/>
        <v>-8214824008000</v>
      </c>
      <c r="T126" s="3">
        <f t="shared" si="41"/>
        <v>-1817854728000</v>
      </c>
      <c r="U126" s="3">
        <f t="shared" si="42"/>
        <v>-1255310263900</v>
      </c>
      <c r="V126" s="3">
        <f t="shared" si="43"/>
        <v>-3253862337000</v>
      </c>
      <c r="W126" s="3"/>
      <c r="X126" s="2">
        <f t="shared" si="44"/>
        <v>-72436.691625599997</v>
      </c>
      <c r="Y126" s="2">
        <f t="shared" si="45"/>
        <v>-8214.8240079999996</v>
      </c>
      <c r="Z126" s="2">
        <f t="shared" si="46"/>
        <v>-1817.854728</v>
      </c>
      <c r="AA126" s="2">
        <f t="shared" si="47"/>
        <v>-1255.3102639000001</v>
      </c>
      <c r="AB126" s="2">
        <f t="shared" si="48"/>
        <v>-3253.862337</v>
      </c>
      <c r="AC126" s="2"/>
      <c r="AD126" s="8">
        <f t="shared" si="49"/>
        <v>-15.351796548492048</v>
      </c>
      <c r="AE126" s="8">
        <f t="shared" si="50"/>
        <v>-1.741000369043834</v>
      </c>
      <c r="AF126" s="8">
        <f t="shared" si="51"/>
        <v>-0.38526519244161012</v>
      </c>
      <c r="AG126" s="8">
        <f t="shared" si="52"/>
        <v>-0.26604290372941281</v>
      </c>
      <c r="AH126" s="11">
        <f t="shared" si="53"/>
        <v>-0.68960400417805678</v>
      </c>
      <c r="AI126" s="8">
        <f t="shared" si="54"/>
        <v>-17.744105013706907</v>
      </c>
      <c r="AJ126" s="9">
        <f t="shared" si="55"/>
        <v>249.09135259842301</v>
      </c>
      <c r="AL126" s="7">
        <f t="shared" si="56"/>
        <v>1342.078647401577</v>
      </c>
      <c r="AM126" s="42">
        <f t="shared" si="57"/>
        <v>65.36245500295496</v>
      </c>
    </row>
    <row r="127" spans="1:39" s="16" customFormat="1" ht="15.95" customHeight="1" x14ac:dyDescent="0.25">
      <c r="A127" s="10">
        <v>46101</v>
      </c>
      <c r="B127" s="20">
        <v>1647.81</v>
      </c>
      <c r="C127" s="18">
        <v>7775109.8674704898</v>
      </c>
      <c r="E127" s="14"/>
      <c r="F127" s="4">
        <v>135000</v>
      </c>
      <c r="G127" s="4">
        <v>7706031024</v>
      </c>
      <c r="H127" s="4">
        <v>100000</v>
      </c>
      <c r="I127" s="4">
        <v>4107412004</v>
      </c>
      <c r="J127" s="4">
        <v>26150</v>
      </c>
      <c r="K127" s="4">
        <v>2272318410</v>
      </c>
      <c r="L127" s="4">
        <v>79000</v>
      </c>
      <c r="M127" s="4">
        <v>1793300377</v>
      </c>
      <c r="N127" s="4">
        <v>157300</v>
      </c>
      <c r="O127" s="4">
        <v>591611334</v>
      </c>
      <c r="Q127" s="17"/>
      <c r="R127" s="3">
        <f t="shared" si="58"/>
        <v>-77060310240000</v>
      </c>
      <c r="S127" s="3">
        <f t="shared" si="40"/>
        <v>-9447047609200</v>
      </c>
      <c r="T127" s="3">
        <f t="shared" si="41"/>
        <v>227231841000</v>
      </c>
      <c r="U127" s="3">
        <f t="shared" si="42"/>
        <v>-3586600754000</v>
      </c>
      <c r="V127" s="3">
        <f t="shared" si="43"/>
        <v>-828255867600</v>
      </c>
      <c r="W127" s="3"/>
      <c r="X127" s="2">
        <f t="shared" si="44"/>
        <v>-77060.310240000006</v>
      </c>
      <c r="Y127" s="2">
        <f t="shared" si="45"/>
        <v>-9447.0476092000008</v>
      </c>
      <c r="Z127" s="2">
        <f t="shared" si="46"/>
        <v>227.231841</v>
      </c>
      <c r="AA127" s="2">
        <f t="shared" si="47"/>
        <v>-3586.6007540000001</v>
      </c>
      <c r="AB127" s="2">
        <f t="shared" si="48"/>
        <v>-828.25586759999999</v>
      </c>
      <c r="AC127" s="2"/>
      <c r="AD127" s="8">
        <f t="shared" si="49"/>
        <v>-16.332638466342903</v>
      </c>
      <c r="AE127" s="8">
        <f t="shared" si="50"/>
        <v>-2.0022656630222344</v>
      </c>
      <c r="AF127" s="8">
        <f t="shared" si="51"/>
        <v>4.8160920914228009E-2</v>
      </c>
      <c r="AG127" s="8">
        <f t="shared" si="52"/>
        <v>-0.76016633278214096</v>
      </c>
      <c r="AH127" s="11">
        <f t="shared" si="53"/>
        <v>-0.17554566807487557</v>
      </c>
      <c r="AI127" s="8">
        <f t="shared" si="54"/>
        <v>-19.046909541233052</v>
      </c>
      <c r="AJ127" s="9">
        <f t="shared" si="55"/>
        <v>266.83545761212991</v>
      </c>
      <c r="AL127" s="7">
        <f t="shared" si="56"/>
        <v>1380.9745423878701</v>
      </c>
      <c r="AM127" s="42">
        <f t="shared" si="57"/>
        <v>61.111025431122954</v>
      </c>
    </row>
    <row r="128" spans="1:39" s="16" customFormat="1" ht="15.95" customHeight="1" x14ac:dyDescent="0.25">
      <c r="A128" s="10">
        <v>46100</v>
      </c>
      <c r="B128" s="20">
        <v>1699.13</v>
      </c>
      <c r="C128" s="18">
        <v>8016799.3192228796</v>
      </c>
      <c r="E128" s="14"/>
      <c r="F128" s="4">
        <v>145000</v>
      </c>
      <c r="G128" s="4">
        <v>7706031024</v>
      </c>
      <c r="H128" s="4">
        <v>102300</v>
      </c>
      <c r="I128" s="4">
        <v>4107412004</v>
      </c>
      <c r="J128" s="4">
        <v>26050</v>
      </c>
      <c r="K128" s="4">
        <v>2272318410</v>
      </c>
      <c r="L128" s="4">
        <v>81000</v>
      </c>
      <c r="M128" s="4">
        <v>1793300377</v>
      </c>
      <c r="N128" s="4">
        <v>158700</v>
      </c>
      <c r="O128" s="4">
        <v>591611334</v>
      </c>
      <c r="Q128" s="17"/>
      <c r="R128" s="3">
        <f t="shared" si="58"/>
        <v>-7706031024000</v>
      </c>
      <c r="S128" s="3">
        <f t="shared" si="40"/>
        <v>1232223601200</v>
      </c>
      <c r="T128" s="3">
        <f t="shared" si="41"/>
        <v>-113615920500</v>
      </c>
      <c r="U128" s="3">
        <f t="shared" si="42"/>
        <v>5738561206400</v>
      </c>
      <c r="V128" s="3">
        <f t="shared" si="43"/>
        <v>-769094734200</v>
      </c>
      <c r="W128" s="3"/>
      <c r="X128" s="2">
        <f t="shared" si="44"/>
        <v>-7706.0310239999999</v>
      </c>
      <c r="Y128" s="2">
        <f t="shared" si="45"/>
        <v>1232.2236012000001</v>
      </c>
      <c r="Z128" s="2">
        <f t="shared" si="46"/>
        <v>-113.6159205</v>
      </c>
      <c r="AA128" s="2">
        <f t="shared" si="47"/>
        <v>5738.5612063999997</v>
      </c>
      <c r="AB128" s="2">
        <f t="shared" si="48"/>
        <v>-769.09473419999995</v>
      </c>
      <c r="AC128" s="2"/>
      <c r="AD128" s="8">
        <f t="shared" si="49"/>
        <v>-1.6332719787042884</v>
      </c>
      <c r="AE128" s="8">
        <f t="shared" si="50"/>
        <v>0.26116638683001081</v>
      </c>
      <c r="AF128" s="8">
        <f t="shared" si="51"/>
        <v>-2.4080580354453571E-2</v>
      </c>
      <c r="AG128" s="8">
        <f t="shared" si="52"/>
        <v>1.2162721882772161</v>
      </c>
      <c r="AH128" s="11">
        <f t="shared" si="53"/>
        <v>-0.16300750339905232</v>
      </c>
      <c r="AI128" s="8">
        <f t="shared" si="54"/>
        <v>-0.17991398395151492</v>
      </c>
      <c r="AJ128" s="9">
        <f t="shared" si="55"/>
        <v>285.88236715336296</v>
      </c>
      <c r="AL128" s="7">
        <f t="shared" si="56"/>
        <v>1413.2476328466371</v>
      </c>
      <c r="AM128" s="42">
        <f t="shared" si="57"/>
        <v>57.789743197450221</v>
      </c>
    </row>
    <row r="129" spans="1:39" s="16" customFormat="1" ht="15.95" customHeight="1" x14ac:dyDescent="0.25">
      <c r="A129" s="10">
        <v>46099</v>
      </c>
      <c r="B129" s="20">
        <v>1713.83</v>
      </c>
      <c r="C129" s="18">
        <v>8086116.2880778704</v>
      </c>
      <c r="E129" s="14"/>
      <c r="F129" s="4">
        <v>146000</v>
      </c>
      <c r="G129" s="4">
        <v>7706031024</v>
      </c>
      <c r="H129" s="4">
        <v>102000</v>
      </c>
      <c r="I129" s="4">
        <v>4107412004</v>
      </c>
      <c r="J129" s="4">
        <v>26100</v>
      </c>
      <c r="K129" s="4">
        <v>2272318410</v>
      </c>
      <c r="L129" s="4">
        <v>77800</v>
      </c>
      <c r="M129" s="4">
        <v>1793300377</v>
      </c>
      <c r="N129" s="4">
        <v>160000</v>
      </c>
      <c r="O129" s="4">
        <v>591611334</v>
      </c>
      <c r="Q129" s="17"/>
      <c r="R129" s="3">
        <f t="shared" si="58"/>
        <v>-1541206204800</v>
      </c>
      <c r="S129" s="3">
        <f t="shared" si="40"/>
        <v>0</v>
      </c>
      <c r="T129" s="3">
        <f t="shared" si="41"/>
        <v>-795311443500</v>
      </c>
      <c r="U129" s="3">
        <f t="shared" si="42"/>
        <v>1613970339300</v>
      </c>
      <c r="V129" s="3">
        <f t="shared" si="43"/>
        <v>1774834002000</v>
      </c>
      <c r="W129" s="3"/>
      <c r="X129" s="2">
        <f t="shared" si="44"/>
        <v>-1541.2062048</v>
      </c>
      <c r="Y129" s="2">
        <f t="shared" si="45"/>
        <v>0</v>
      </c>
      <c r="Z129" s="2">
        <f t="shared" si="46"/>
        <v>-795.3114435</v>
      </c>
      <c r="AA129" s="2">
        <f t="shared" si="47"/>
        <v>1613.9703393</v>
      </c>
      <c r="AB129" s="2">
        <f t="shared" si="48"/>
        <v>1774.8340020000001</v>
      </c>
      <c r="AC129" s="2"/>
      <c r="AD129" s="8">
        <f t="shared" si="49"/>
        <v>-0.32665121844433304</v>
      </c>
      <c r="AE129" s="8">
        <f t="shared" si="50"/>
        <v>0</v>
      </c>
      <c r="AF129" s="8">
        <f t="shared" si="51"/>
        <v>-0.16856242289506537</v>
      </c>
      <c r="AG129" s="8">
        <f t="shared" si="52"/>
        <v>0.34207322564846099</v>
      </c>
      <c r="AH129" s="11">
        <f t="shared" si="53"/>
        <v>0.37616750275474348</v>
      </c>
      <c r="AI129" s="8">
        <f t="shared" si="54"/>
        <v>-0.15314041569093739</v>
      </c>
      <c r="AJ129" s="9">
        <f t="shared" si="55"/>
        <v>286.06228113731447</v>
      </c>
      <c r="AL129" s="7">
        <f t="shared" si="56"/>
        <v>1427.7677188626853</v>
      </c>
      <c r="AM129" s="42">
        <f t="shared" si="57"/>
        <v>55.983191987773196</v>
      </c>
    </row>
    <row r="130" spans="1:39" s="16" customFormat="1" ht="15.95" customHeight="1" x14ac:dyDescent="0.25">
      <c r="A130" s="10">
        <v>46098</v>
      </c>
      <c r="B130" s="20">
        <v>1710.29</v>
      </c>
      <c r="C130" s="18">
        <v>8069492.5081278896</v>
      </c>
      <c r="E130" s="14"/>
      <c r="F130" s="4">
        <v>146200</v>
      </c>
      <c r="G130" s="4">
        <v>7706031024</v>
      </c>
      <c r="H130" s="4">
        <v>102000</v>
      </c>
      <c r="I130" s="4">
        <v>4107412004</v>
      </c>
      <c r="J130" s="4">
        <v>26450</v>
      </c>
      <c r="K130" s="4">
        <v>2272318410</v>
      </c>
      <c r="L130" s="4">
        <v>76900</v>
      </c>
      <c r="M130" s="4">
        <v>1793300377</v>
      </c>
      <c r="N130" s="4">
        <v>157000</v>
      </c>
      <c r="O130" s="4">
        <v>591611334</v>
      </c>
      <c r="Q130" s="17"/>
      <c r="R130" s="3">
        <f t="shared" si="58"/>
        <v>11559046536000</v>
      </c>
      <c r="S130" s="3">
        <f t="shared" si="40"/>
        <v>8214824008000</v>
      </c>
      <c r="T130" s="3">
        <f t="shared" si="41"/>
        <v>1249775125500</v>
      </c>
      <c r="U130" s="3">
        <f t="shared" si="42"/>
        <v>537990113100</v>
      </c>
      <c r="V130" s="3">
        <f t="shared" si="43"/>
        <v>1774834002000</v>
      </c>
      <c r="W130" s="3"/>
      <c r="X130" s="2">
        <f t="shared" si="44"/>
        <v>11559.046536</v>
      </c>
      <c r="Y130" s="2">
        <f t="shared" si="45"/>
        <v>8214.8240079999996</v>
      </c>
      <c r="Z130" s="2">
        <f t="shared" si="46"/>
        <v>1249.7751255000001</v>
      </c>
      <c r="AA130" s="2">
        <f t="shared" si="47"/>
        <v>537.99011310000003</v>
      </c>
      <c r="AB130" s="2">
        <f t="shared" si="48"/>
        <v>1774.8340020000001</v>
      </c>
      <c r="AC130" s="2"/>
      <c r="AD130" s="8">
        <f t="shared" si="49"/>
        <v>2.4501744531583269</v>
      </c>
      <c r="AE130" s="8">
        <f t="shared" si="50"/>
        <v>1.7412986321065966</v>
      </c>
      <c r="AF130" s="8">
        <f t="shared" si="51"/>
        <v>0.2649151965221262</v>
      </c>
      <c r="AG130" s="8">
        <f t="shared" si="52"/>
        <v>0.11403792060738002</v>
      </c>
      <c r="AH130" s="11">
        <f t="shared" si="53"/>
        <v>0.37621207914973964</v>
      </c>
      <c r="AI130" s="8">
        <f t="shared" si="54"/>
        <v>4.5704262023944295</v>
      </c>
      <c r="AJ130" s="9">
        <f t="shared" si="55"/>
        <v>286.2154215530054</v>
      </c>
      <c r="AL130" s="7">
        <f t="shared" si="56"/>
        <v>1424.0745784469946</v>
      </c>
      <c r="AM130" s="42">
        <f t="shared" si="57"/>
        <v>54.696152562818924</v>
      </c>
    </row>
    <row r="131" spans="1:39" s="16" customFormat="1" ht="15.95" customHeight="1" x14ac:dyDescent="0.25">
      <c r="A131" s="10">
        <v>46097</v>
      </c>
      <c r="B131" s="20">
        <v>1693.21</v>
      </c>
      <c r="C131" s="18">
        <v>7987959.0451169601</v>
      </c>
      <c r="E131" s="14"/>
      <c r="F131" s="4">
        <v>144700</v>
      </c>
      <c r="G131" s="4">
        <v>7706031024</v>
      </c>
      <c r="H131" s="4">
        <v>100000</v>
      </c>
      <c r="I131" s="4">
        <v>4107412004</v>
      </c>
      <c r="J131" s="4">
        <v>25900</v>
      </c>
      <c r="K131" s="4">
        <v>2272318410</v>
      </c>
      <c r="L131" s="4">
        <v>76600</v>
      </c>
      <c r="M131" s="4">
        <v>1793300377</v>
      </c>
      <c r="N131" s="4">
        <v>154000</v>
      </c>
      <c r="O131" s="4">
        <v>591611334</v>
      </c>
      <c r="Q131" s="17"/>
      <c r="R131" s="3">
        <f t="shared" si="58"/>
        <v>770603102400</v>
      </c>
      <c r="S131" s="3">
        <f t="shared" si="40"/>
        <v>8214824008000</v>
      </c>
      <c r="T131" s="3">
        <f t="shared" si="41"/>
        <v>1477006966500</v>
      </c>
      <c r="U131" s="3">
        <f t="shared" si="42"/>
        <v>-4841911017900</v>
      </c>
      <c r="V131" s="3">
        <f t="shared" si="43"/>
        <v>-1656511735200</v>
      </c>
      <c r="W131" s="3"/>
      <c r="X131" s="2">
        <f t="shared" si="44"/>
        <v>770.60310240000001</v>
      </c>
      <c r="Y131" s="2">
        <f t="shared" si="45"/>
        <v>8214.8240079999996</v>
      </c>
      <c r="Z131" s="2">
        <f t="shared" si="46"/>
        <v>1477.0069665000001</v>
      </c>
      <c r="AA131" s="2">
        <f t="shared" si="47"/>
        <v>-4841.9110178999999</v>
      </c>
      <c r="AB131" s="2">
        <f t="shared" si="48"/>
        <v>-1656.5117352</v>
      </c>
      <c r="AC131" s="2"/>
      <c r="AD131" s="8">
        <f t="shared" si="49"/>
        <v>0.16334873766737409</v>
      </c>
      <c r="AE131" s="8">
        <f t="shared" si="50"/>
        <v>1.7413388652176787</v>
      </c>
      <c r="AF131" s="8">
        <f t="shared" si="51"/>
        <v>0.31308882971309004</v>
      </c>
      <c r="AG131" s="8">
        <f t="shared" si="52"/>
        <v>-1.0263649993212323</v>
      </c>
      <c r="AH131" s="11">
        <f t="shared" si="53"/>
        <v>-0.35113938684308033</v>
      </c>
      <c r="AI131" s="8">
        <f t="shared" si="54"/>
        <v>1.1914114332769106</v>
      </c>
      <c r="AJ131" s="9">
        <f t="shared" si="55"/>
        <v>281.644995350611</v>
      </c>
      <c r="AL131" s="7">
        <f t="shared" si="56"/>
        <v>1411.565004649389</v>
      </c>
      <c r="AM131" s="42">
        <f t="shared" si="57"/>
        <v>52.966316719917437</v>
      </c>
    </row>
    <row r="132" spans="1:39" s="16" customFormat="1" ht="15.95" customHeight="1" x14ac:dyDescent="0.25">
      <c r="A132" s="10">
        <v>46094</v>
      </c>
      <c r="B132" s="20">
        <v>1696.24</v>
      </c>
      <c r="C132" s="18">
        <v>8002068.6114922501</v>
      </c>
      <c r="E132" s="14"/>
      <c r="F132" s="4">
        <v>144600</v>
      </c>
      <c r="G132" s="4">
        <v>7706031024</v>
      </c>
      <c r="H132" s="4">
        <v>98000</v>
      </c>
      <c r="I132" s="4">
        <v>4107412004</v>
      </c>
      <c r="J132" s="4">
        <v>25250</v>
      </c>
      <c r="K132" s="4">
        <v>2272318410</v>
      </c>
      <c r="L132" s="4">
        <v>79300</v>
      </c>
      <c r="M132" s="4">
        <v>1793300377</v>
      </c>
      <c r="N132" s="4">
        <v>156800</v>
      </c>
      <c r="O132" s="4">
        <v>591611334</v>
      </c>
      <c r="Q132" s="17"/>
      <c r="R132" s="3">
        <f t="shared" si="58"/>
        <v>-3082412409600</v>
      </c>
      <c r="S132" s="3">
        <f t="shared" si="40"/>
        <v>8625565208400</v>
      </c>
      <c r="T132" s="3">
        <f t="shared" si="41"/>
        <v>-1477006966500</v>
      </c>
      <c r="U132" s="3">
        <f t="shared" si="42"/>
        <v>-1793300377000</v>
      </c>
      <c r="V132" s="3">
        <f t="shared" si="43"/>
        <v>2366445336000</v>
      </c>
      <c r="W132" s="3"/>
      <c r="X132" s="2">
        <f t="shared" si="44"/>
        <v>-3082.4124096</v>
      </c>
      <c r="Y132" s="2">
        <f t="shared" si="45"/>
        <v>8625.5652083999994</v>
      </c>
      <c r="Z132" s="2">
        <f t="shared" si="46"/>
        <v>-1477.0069665000001</v>
      </c>
      <c r="AA132" s="2">
        <f t="shared" si="47"/>
        <v>-1793.300377</v>
      </c>
      <c r="AB132" s="2">
        <f t="shared" si="48"/>
        <v>2366.4453360000002</v>
      </c>
      <c r="AC132" s="2"/>
      <c r="AD132" s="8">
        <f t="shared" si="49"/>
        <v>-0.65341016706148114</v>
      </c>
      <c r="AE132" s="8">
        <f t="shared" si="50"/>
        <v>1.8284483887578569</v>
      </c>
      <c r="AF132" s="8">
        <f t="shared" si="51"/>
        <v>-0.31309612098822781</v>
      </c>
      <c r="AG132" s="8">
        <f t="shared" si="52"/>
        <v>-0.38014403759782572</v>
      </c>
      <c r="AH132" s="11">
        <f t="shared" si="53"/>
        <v>0.50163937749597842</v>
      </c>
      <c r="AI132" s="8">
        <f t="shared" si="54"/>
        <v>0.48179806311032219</v>
      </c>
      <c r="AJ132" s="9">
        <f t="shared" si="55"/>
        <v>280.45358391733407</v>
      </c>
      <c r="AL132" s="7">
        <f t="shared" si="56"/>
        <v>1415.7864160826659</v>
      </c>
      <c r="AM132" s="42">
        <f t="shared" si="57"/>
        <v>49.981447394344571</v>
      </c>
    </row>
    <row r="133" spans="1:39" s="16" customFormat="1" ht="15.95" customHeight="1" x14ac:dyDescent="0.25">
      <c r="A133" s="10">
        <v>46093</v>
      </c>
      <c r="B133" s="20">
        <v>1709.61</v>
      </c>
      <c r="C133" s="18">
        <v>8064954.2128725611</v>
      </c>
      <c r="E133" s="14"/>
      <c r="F133" s="4">
        <v>145000</v>
      </c>
      <c r="G133" s="4">
        <v>7706031024</v>
      </c>
      <c r="H133" s="4">
        <v>95900</v>
      </c>
      <c r="I133" s="4">
        <v>4107412004</v>
      </c>
      <c r="J133" s="4">
        <v>25900</v>
      </c>
      <c r="K133" s="4">
        <v>2272318410</v>
      </c>
      <c r="L133" s="4">
        <v>80300</v>
      </c>
      <c r="M133" s="4">
        <v>1793300377</v>
      </c>
      <c r="N133" s="4">
        <v>152800</v>
      </c>
      <c r="O133" s="4">
        <v>591611334</v>
      </c>
      <c r="Q133" s="17"/>
      <c r="R133" s="3">
        <f t="shared" si="58"/>
        <v>-7706031024000</v>
      </c>
      <c r="S133" s="3">
        <f t="shared" si="40"/>
        <v>0</v>
      </c>
      <c r="T133" s="3">
        <f t="shared" si="41"/>
        <v>681695523000</v>
      </c>
      <c r="U133" s="3">
        <f t="shared" si="42"/>
        <v>3945260829400</v>
      </c>
      <c r="V133" s="3">
        <f t="shared" si="43"/>
        <v>-4082118204600</v>
      </c>
      <c r="W133" s="3"/>
      <c r="X133" s="2">
        <f t="shared" si="44"/>
        <v>-7706.0310239999999</v>
      </c>
      <c r="Y133" s="2">
        <f t="shared" si="45"/>
        <v>0</v>
      </c>
      <c r="Z133" s="2">
        <f t="shared" si="46"/>
        <v>681.69552299999998</v>
      </c>
      <c r="AA133" s="2">
        <f t="shared" si="47"/>
        <v>3945.2608294000001</v>
      </c>
      <c r="AB133" s="2">
        <f t="shared" si="48"/>
        <v>-4082.1182045999999</v>
      </c>
      <c r="AC133" s="2"/>
      <c r="AD133" s="8">
        <f t="shared" si="49"/>
        <v>-1.6334816285912748</v>
      </c>
      <c r="AE133" s="8">
        <f t="shared" si="50"/>
        <v>0</v>
      </c>
      <c r="AF133" s="8">
        <f t="shared" si="51"/>
        <v>0.14450202830034969</v>
      </c>
      <c r="AG133" s="8">
        <f t="shared" si="52"/>
        <v>0.83629446400547947</v>
      </c>
      <c r="AH133" s="11">
        <f t="shared" si="53"/>
        <v>-0.86530472978694029</v>
      </c>
      <c r="AI133" s="8">
        <f t="shared" si="54"/>
        <v>-0.65268513628544556</v>
      </c>
      <c r="AJ133" s="9">
        <f t="shared" si="55"/>
        <v>279.97178585422375</v>
      </c>
      <c r="AL133" s="7">
        <f t="shared" si="56"/>
        <v>1429.6382141457761</v>
      </c>
      <c r="AM133" s="42">
        <f t="shared" si="57"/>
        <v>46.805013469774899</v>
      </c>
    </row>
    <row r="134" spans="1:39" s="16" customFormat="1" ht="15.95" customHeight="1" x14ac:dyDescent="0.25">
      <c r="A134" s="10">
        <v>46092</v>
      </c>
      <c r="B134" s="20">
        <v>1728.34</v>
      </c>
      <c r="C134" s="18">
        <v>8153530.1205109004</v>
      </c>
      <c r="E134" s="14"/>
      <c r="F134" s="4">
        <v>146000</v>
      </c>
      <c r="G134" s="4">
        <v>7706031024</v>
      </c>
      <c r="H134" s="4">
        <v>95900</v>
      </c>
      <c r="I134" s="4">
        <v>4107412004</v>
      </c>
      <c r="J134" s="4">
        <v>25600</v>
      </c>
      <c r="K134" s="4">
        <v>2272318410</v>
      </c>
      <c r="L134" s="4">
        <v>78100</v>
      </c>
      <c r="M134" s="4">
        <v>1793300377</v>
      </c>
      <c r="N134" s="4">
        <v>159700</v>
      </c>
      <c r="O134" s="4">
        <v>591611334</v>
      </c>
      <c r="Q134" s="17"/>
      <c r="R134" s="3">
        <f t="shared" si="58"/>
        <v>32365330300800</v>
      </c>
      <c r="S134" s="3">
        <f t="shared" si="40"/>
        <v>25055213224400</v>
      </c>
      <c r="T134" s="3">
        <f t="shared" si="41"/>
        <v>3522093535500</v>
      </c>
      <c r="U134" s="3">
        <f t="shared" si="42"/>
        <v>9145831922700</v>
      </c>
      <c r="V134" s="3">
        <f t="shared" si="43"/>
        <v>2780573269800</v>
      </c>
      <c r="W134" s="3"/>
      <c r="X134" s="2">
        <f t="shared" si="44"/>
        <v>32365.3303008</v>
      </c>
      <c r="Y134" s="2">
        <f t="shared" si="45"/>
        <v>25055.213224399999</v>
      </c>
      <c r="Z134" s="2">
        <f t="shared" si="46"/>
        <v>3522.0935355000001</v>
      </c>
      <c r="AA134" s="2">
        <f t="shared" si="47"/>
        <v>9145.8319226999993</v>
      </c>
      <c r="AB134" s="2">
        <f t="shared" si="48"/>
        <v>2780.5732698000002</v>
      </c>
      <c r="AC134" s="2"/>
      <c r="AD134" s="8">
        <f t="shared" si="49"/>
        <v>6.8602648185658008</v>
      </c>
      <c r="AE134" s="8">
        <f t="shared" si="50"/>
        <v>5.3107876918768007</v>
      </c>
      <c r="AF134" s="8">
        <f t="shared" si="51"/>
        <v>0.74655485189630355</v>
      </c>
      <c r="AG134" s="8">
        <f t="shared" si="52"/>
        <v>1.9385814509751491</v>
      </c>
      <c r="AH134" s="11">
        <f t="shared" si="53"/>
        <v>0.58937970973779663</v>
      </c>
      <c r="AI134" s="8">
        <f t="shared" si="54"/>
        <v>14.856188813314056</v>
      </c>
      <c r="AJ134" s="9">
        <f t="shared" si="55"/>
        <v>280.62447099050922</v>
      </c>
      <c r="AL134" s="7">
        <f t="shared" si="56"/>
        <v>1447.7155290094906</v>
      </c>
      <c r="AM134" s="42">
        <f t="shared" si="57"/>
        <v>44.597703278150554</v>
      </c>
    </row>
    <row r="135" spans="1:39" s="16" customFormat="1" ht="15.95" customHeight="1" x14ac:dyDescent="0.25">
      <c r="A135" s="10">
        <v>46091</v>
      </c>
      <c r="B135" s="20">
        <v>1676.73</v>
      </c>
      <c r="C135" s="18">
        <v>7910470.1801592503</v>
      </c>
      <c r="E135" s="14"/>
      <c r="F135" s="4">
        <v>141800</v>
      </c>
      <c r="G135" s="4">
        <v>7706031024</v>
      </c>
      <c r="H135" s="4">
        <v>89800</v>
      </c>
      <c r="I135" s="4">
        <v>4107412004</v>
      </c>
      <c r="J135" s="4">
        <v>24050</v>
      </c>
      <c r="K135" s="4">
        <v>2272318410</v>
      </c>
      <c r="L135" s="4">
        <v>73000</v>
      </c>
      <c r="M135" s="4">
        <v>1793300377</v>
      </c>
      <c r="N135" s="4">
        <v>155000</v>
      </c>
      <c r="O135" s="4">
        <v>591611334</v>
      </c>
      <c r="Q135" s="17"/>
      <c r="R135" s="3">
        <f t="shared" si="58"/>
        <v>-29282917891200</v>
      </c>
      <c r="S135" s="3">
        <f t="shared" si="40"/>
        <v>5750376805600</v>
      </c>
      <c r="T135" s="3">
        <f t="shared" si="41"/>
        <v>-908927364000</v>
      </c>
      <c r="U135" s="3">
        <f t="shared" si="42"/>
        <v>2869280603200</v>
      </c>
      <c r="V135" s="3">
        <f t="shared" si="43"/>
        <v>1183222668000</v>
      </c>
      <c r="W135" s="3"/>
      <c r="X135" s="2">
        <f t="shared" si="44"/>
        <v>-29282.917891199999</v>
      </c>
      <c r="Y135" s="2">
        <f t="shared" si="45"/>
        <v>5750.3768055999999</v>
      </c>
      <c r="Z135" s="2">
        <f t="shared" si="46"/>
        <v>-908.92736400000001</v>
      </c>
      <c r="AA135" s="2">
        <f t="shared" si="47"/>
        <v>2869.2806031999999</v>
      </c>
      <c r="AB135" s="2">
        <f t="shared" si="48"/>
        <v>1183.2226680000001</v>
      </c>
      <c r="AC135" s="2"/>
      <c r="AD135" s="8">
        <f t="shared" si="49"/>
        <v>-6.2074957123748185</v>
      </c>
      <c r="AE135" s="8">
        <f t="shared" si="50"/>
        <v>1.2189850580439825</v>
      </c>
      <c r="AF135" s="8">
        <f t="shared" si="51"/>
        <v>-0.19267761279301027</v>
      </c>
      <c r="AG135" s="8">
        <f t="shared" si="52"/>
        <v>0.60824017292746457</v>
      </c>
      <c r="AH135" s="11">
        <f t="shared" si="53"/>
        <v>0.25082369406233057</v>
      </c>
      <c r="AI135" s="8">
        <f t="shared" si="54"/>
        <v>-4.5729480941963816</v>
      </c>
      <c r="AJ135" s="9">
        <f t="shared" si="55"/>
        <v>265.76828217719515</v>
      </c>
      <c r="AL135" s="7">
        <f t="shared" si="56"/>
        <v>1410.961717822805</v>
      </c>
      <c r="AM135" s="42">
        <f t="shared" si="57"/>
        <v>44.329095303343692</v>
      </c>
    </row>
    <row r="136" spans="1:39" s="16" customFormat="1" ht="15.95" customHeight="1" x14ac:dyDescent="0.25">
      <c r="A136" s="10">
        <v>46090</v>
      </c>
      <c r="B136" s="20">
        <v>1652.79</v>
      </c>
      <c r="C136" s="18">
        <v>7796785.7093984997</v>
      </c>
      <c r="E136" s="14"/>
      <c r="F136" s="4">
        <v>145600</v>
      </c>
      <c r="G136" s="4">
        <v>7706031024</v>
      </c>
      <c r="H136" s="4">
        <v>88400</v>
      </c>
      <c r="I136" s="4">
        <v>4107412004</v>
      </c>
      <c r="J136" s="4">
        <v>24450</v>
      </c>
      <c r="K136" s="4">
        <v>2272318410</v>
      </c>
      <c r="L136" s="4">
        <v>71400</v>
      </c>
      <c r="M136" s="4">
        <v>1793300377</v>
      </c>
      <c r="N136" s="4">
        <v>153000</v>
      </c>
      <c r="O136" s="4">
        <v>591611334</v>
      </c>
      <c r="Q136" s="17"/>
      <c r="R136" s="3">
        <f t="shared" si="58"/>
        <v>-83995738161600</v>
      </c>
      <c r="S136" s="3">
        <f t="shared" ref="S136:S199" si="59">I136*H136-I137*H137</f>
        <v>-27108919226400</v>
      </c>
      <c r="T136" s="3">
        <f t="shared" ref="T136:T199" si="60">K136*J136-K137*J137</f>
        <v>-4090173138000</v>
      </c>
      <c r="U136" s="3">
        <f t="shared" ref="U136:U199" si="61">M136*L136-M137*L137</f>
        <v>-9504491998100</v>
      </c>
      <c r="V136" s="3">
        <f t="shared" ref="V136:V199" si="62">O136*N136-O137*N137</f>
        <v>-2011478535600</v>
      </c>
      <c r="W136" s="3"/>
      <c r="X136" s="2">
        <f t="shared" ref="X136:X199" si="63">R136/10^9</f>
        <v>-83995.738161600006</v>
      </c>
      <c r="Y136" s="2">
        <f t="shared" ref="Y136:Y199" si="64">S136/10^9</f>
        <v>-27108.919226400001</v>
      </c>
      <c r="Z136" s="2">
        <f t="shared" ref="Z136:Z199" si="65">T136/10^9</f>
        <v>-4090.1731380000001</v>
      </c>
      <c r="AA136" s="2">
        <f t="shared" ref="AA136:AA199" si="66">U136/10^9</f>
        <v>-9504.4919981000003</v>
      </c>
      <c r="AB136" s="2">
        <f t="shared" ref="AB136:AB199" si="67">V136/10^9</f>
        <v>-2011.4785356</v>
      </c>
      <c r="AC136" s="2"/>
      <c r="AD136" s="8">
        <f t="shared" ref="AD136:AD199" si="68">X136/$C137*$B137</f>
        <v>-17.805761000410385</v>
      </c>
      <c r="AE136" s="8">
        <f t="shared" ref="AE136:AE199" si="69">Y136/$C137*$B137</f>
        <v>-5.7466598578614567</v>
      </c>
      <c r="AF136" s="8">
        <f t="shared" ref="AF136:AF199" si="70">Z136/$C137*$B137</f>
        <v>-0.86705167356718749</v>
      </c>
      <c r="AG136" s="8">
        <f t="shared" ref="AG136:AG199" si="71">AA136/$C137*$B137</f>
        <v>-2.014801186970816</v>
      </c>
      <c r="AH136" s="11">
        <f t="shared" ref="AH136:AH199" si="72">AB136/$C137*$B137</f>
        <v>-0.42640146805356477</v>
      </c>
      <c r="AI136" s="8">
        <f t="shared" ref="AI136:AI199" si="73">SUM(AD136:AG136)</f>
        <v>-26.434273718809841</v>
      </c>
      <c r="AJ136" s="9">
        <f t="shared" ref="AJ136:AJ199" si="74">AI136+AJ137</f>
        <v>270.34123027139151</v>
      </c>
      <c r="AL136" s="7">
        <f t="shared" ref="AL136:AL199" si="75">B136-AJ136</f>
        <v>1382.4487697286086</v>
      </c>
      <c r="AM136" s="42">
        <f t="shared" ref="AM136:AM199" si="76">_xlfn.STDEV.S(AL136:AL155)</f>
        <v>39.725546349467997</v>
      </c>
    </row>
    <row r="137" spans="1:39" s="16" customFormat="1" ht="15.95" customHeight="1" x14ac:dyDescent="0.25">
      <c r="A137" s="10">
        <v>46087</v>
      </c>
      <c r="B137" s="20">
        <v>1767.84</v>
      </c>
      <c r="C137" s="18">
        <v>8339493.3666794999</v>
      </c>
      <c r="E137" s="14"/>
      <c r="F137" s="4">
        <v>156500</v>
      </c>
      <c r="G137" s="4">
        <v>7706031024</v>
      </c>
      <c r="H137" s="4">
        <v>95000</v>
      </c>
      <c r="I137" s="4">
        <v>4107412004</v>
      </c>
      <c r="J137" s="4">
        <v>26250</v>
      </c>
      <c r="K137" s="4">
        <v>2272318410</v>
      </c>
      <c r="L137" s="4">
        <v>76700</v>
      </c>
      <c r="M137" s="4">
        <v>1793300377</v>
      </c>
      <c r="N137" s="4">
        <v>156400</v>
      </c>
      <c r="O137" s="4">
        <v>591611334</v>
      </c>
      <c r="Q137" s="17"/>
      <c r="R137" s="3">
        <f t="shared" si="58"/>
        <v>-63960057499200</v>
      </c>
      <c r="S137" s="3">
        <f t="shared" si="59"/>
        <v>0</v>
      </c>
      <c r="T137" s="3">
        <f t="shared" si="60"/>
        <v>-1704238807500</v>
      </c>
      <c r="U137" s="3">
        <f t="shared" si="61"/>
        <v>2151960452400</v>
      </c>
      <c r="V137" s="3">
        <f t="shared" si="62"/>
        <v>0</v>
      </c>
      <c r="W137" s="3"/>
      <c r="X137" s="2">
        <f t="shared" si="63"/>
        <v>-63960.057499199997</v>
      </c>
      <c r="Y137" s="2">
        <f t="shared" si="64"/>
        <v>0</v>
      </c>
      <c r="Z137" s="2">
        <f t="shared" si="65"/>
        <v>-1704.2388074999999</v>
      </c>
      <c r="AA137" s="2">
        <f t="shared" si="66"/>
        <v>2151.9604524000001</v>
      </c>
      <c r="AB137" s="2">
        <f t="shared" si="67"/>
        <v>0</v>
      </c>
      <c r="AC137" s="2"/>
      <c r="AD137" s="8">
        <f t="shared" si="68"/>
        <v>-13.576243071248305</v>
      </c>
      <c r="AE137" s="8">
        <f t="shared" si="69"/>
        <v>0</v>
      </c>
      <c r="AF137" s="8">
        <f t="shared" si="70"/>
        <v>-0.36174389465431211</v>
      </c>
      <c r="AG137" s="8">
        <f t="shared" si="71"/>
        <v>0.45677785986764158</v>
      </c>
      <c r="AH137" s="11">
        <f t="shared" si="72"/>
        <v>0</v>
      </c>
      <c r="AI137" s="8">
        <f t="shared" si="73"/>
        <v>-13.481209106034976</v>
      </c>
      <c r="AJ137" s="9">
        <f t="shared" si="74"/>
        <v>296.77550399020134</v>
      </c>
      <c r="AL137" s="7">
        <f t="shared" si="75"/>
        <v>1471.0644960097986</v>
      </c>
      <c r="AM137" s="42">
        <f t="shared" si="76"/>
        <v>26.38348689686589</v>
      </c>
    </row>
    <row r="138" spans="1:39" s="16" customFormat="1" ht="15.95" customHeight="1" x14ac:dyDescent="0.25">
      <c r="A138" s="10">
        <v>46086</v>
      </c>
      <c r="B138" s="20">
        <v>1808.51</v>
      </c>
      <c r="C138" s="18">
        <v>8520207.1722513996</v>
      </c>
      <c r="E138" s="14"/>
      <c r="F138" s="4">
        <v>164800</v>
      </c>
      <c r="G138" s="4">
        <v>7706031024</v>
      </c>
      <c r="H138" s="4">
        <v>95000</v>
      </c>
      <c r="I138" s="4">
        <v>4107412004</v>
      </c>
      <c r="J138" s="4">
        <v>27000</v>
      </c>
      <c r="K138" s="4">
        <v>2272318410</v>
      </c>
      <c r="L138" s="4">
        <v>75500</v>
      </c>
      <c r="M138" s="4">
        <v>1793300377</v>
      </c>
      <c r="N138" s="4">
        <v>156400</v>
      </c>
      <c r="O138" s="4">
        <v>591611334</v>
      </c>
      <c r="Q138" s="17"/>
      <c r="R138" s="3">
        <f t="shared" si="58"/>
        <v>70895485420800</v>
      </c>
      <c r="S138" s="3">
        <f t="shared" si="59"/>
        <v>6161118006000</v>
      </c>
      <c r="T138" s="3">
        <f t="shared" si="60"/>
        <v>-2272318410000</v>
      </c>
      <c r="U138" s="3">
        <f t="shared" si="61"/>
        <v>2151960452400</v>
      </c>
      <c r="V138" s="3">
        <f t="shared" si="62"/>
        <v>-4022957071200</v>
      </c>
      <c r="W138" s="3"/>
      <c r="X138" s="2">
        <f t="shared" si="63"/>
        <v>70895.485420800003</v>
      </c>
      <c r="Y138" s="2">
        <f t="shared" si="64"/>
        <v>6161.1180059999997</v>
      </c>
      <c r="Z138" s="2">
        <f t="shared" si="65"/>
        <v>-2272.3184099999999</v>
      </c>
      <c r="AA138" s="2">
        <f t="shared" si="66"/>
        <v>2151.9604524000001</v>
      </c>
      <c r="AB138" s="2">
        <f t="shared" si="67"/>
        <v>-4022.9570712</v>
      </c>
      <c r="AC138" s="2"/>
      <c r="AD138" s="8">
        <f t="shared" si="68"/>
        <v>15.048411387407919</v>
      </c>
      <c r="AE138" s="8">
        <f t="shared" si="69"/>
        <v>1.3077706966860367</v>
      </c>
      <c r="AF138" s="8">
        <f t="shared" si="70"/>
        <v>-0.48232665357882237</v>
      </c>
      <c r="AG138" s="8">
        <f t="shared" si="71"/>
        <v>0.45677924320476754</v>
      </c>
      <c r="AH138" s="11">
        <f t="shared" si="72"/>
        <v>-0.85392056549115236</v>
      </c>
      <c r="AI138" s="8">
        <f t="shared" si="73"/>
        <v>16.330634673719903</v>
      </c>
      <c r="AJ138" s="9">
        <f t="shared" si="74"/>
        <v>310.2567130962363</v>
      </c>
      <c r="AL138" s="7">
        <f t="shared" si="75"/>
        <v>1498.2532869037636</v>
      </c>
      <c r="AM138" s="42">
        <f t="shared" si="76"/>
        <v>24.213804958189417</v>
      </c>
    </row>
    <row r="139" spans="1:39" s="16" customFormat="1" ht="15.95" customHeight="1" x14ac:dyDescent="0.25">
      <c r="A139" s="10">
        <v>46085</v>
      </c>
      <c r="B139" s="20">
        <v>1818.27</v>
      </c>
      <c r="C139" s="18">
        <v>8566162.29829707</v>
      </c>
      <c r="E139" s="14"/>
      <c r="F139" s="4">
        <v>155600</v>
      </c>
      <c r="G139" s="4">
        <v>7706031024</v>
      </c>
      <c r="H139" s="4">
        <v>93500</v>
      </c>
      <c r="I139" s="4">
        <v>4107412004</v>
      </c>
      <c r="J139" s="4">
        <v>28000</v>
      </c>
      <c r="K139" s="4">
        <v>2272318410</v>
      </c>
      <c r="L139" s="4">
        <v>74300</v>
      </c>
      <c r="M139" s="4">
        <v>1793300377</v>
      </c>
      <c r="N139" s="4">
        <v>163200</v>
      </c>
      <c r="O139" s="4">
        <v>591611334</v>
      </c>
      <c r="Q139" s="17"/>
      <c r="R139" s="3">
        <f t="shared" si="58"/>
        <v>770603102400</v>
      </c>
      <c r="S139" s="3">
        <f t="shared" si="59"/>
        <v>0</v>
      </c>
      <c r="T139" s="3">
        <f t="shared" si="60"/>
        <v>3749325376500</v>
      </c>
      <c r="U139" s="3">
        <f t="shared" si="61"/>
        <v>-2869280603200</v>
      </c>
      <c r="V139" s="3">
        <f t="shared" si="62"/>
        <v>-532450200600</v>
      </c>
      <c r="W139" s="3"/>
      <c r="X139" s="2">
        <f t="shared" si="63"/>
        <v>770.60310240000001</v>
      </c>
      <c r="Y139" s="2">
        <f t="shared" si="64"/>
        <v>0</v>
      </c>
      <c r="Z139" s="2">
        <f t="shared" si="65"/>
        <v>3749.3253764999999</v>
      </c>
      <c r="AA139" s="2">
        <f t="shared" si="66"/>
        <v>-2869.2806031999999</v>
      </c>
      <c r="AB139" s="2">
        <f t="shared" si="67"/>
        <v>-532.45020060000002</v>
      </c>
      <c r="AC139" s="2"/>
      <c r="AD139" s="8">
        <f t="shared" si="68"/>
        <v>0.16355926163496268</v>
      </c>
      <c r="AE139" s="8">
        <f t="shared" si="69"/>
        <v>0</v>
      </c>
      <c r="AF139" s="8">
        <f t="shared" si="70"/>
        <v>0.79578824468740994</v>
      </c>
      <c r="AG139" s="8">
        <f t="shared" si="71"/>
        <v>-0.60900016548247971</v>
      </c>
      <c r="AH139" s="11">
        <f t="shared" si="72"/>
        <v>-0.11301169356351629</v>
      </c>
      <c r="AI139" s="8">
        <f t="shared" si="73"/>
        <v>0.35034734083989294</v>
      </c>
      <c r="AJ139" s="9">
        <f t="shared" si="74"/>
        <v>293.92607842251641</v>
      </c>
      <c r="AL139" s="7">
        <f t="shared" si="75"/>
        <v>1524.3439215774836</v>
      </c>
      <c r="AM139" s="42">
        <f t="shared" si="76"/>
        <v>23.529856529410104</v>
      </c>
    </row>
    <row r="140" spans="1:39" s="16" customFormat="1" ht="15.95" customHeight="1" x14ac:dyDescent="0.25">
      <c r="A140" s="10">
        <v>46084</v>
      </c>
      <c r="B140" s="20">
        <v>1813.14</v>
      </c>
      <c r="C140" s="18">
        <v>8542538.6194508597</v>
      </c>
      <c r="E140" s="14"/>
      <c r="F140" s="4">
        <v>155500</v>
      </c>
      <c r="G140" s="4">
        <v>7706031024</v>
      </c>
      <c r="H140" s="4">
        <v>93500</v>
      </c>
      <c r="I140" s="4">
        <v>4107412004</v>
      </c>
      <c r="J140" s="4">
        <v>26350</v>
      </c>
      <c r="K140" s="4">
        <v>2272318410</v>
      </c>
      <c r="L140" s="4">
        <v>75900</v>
      </c>
      <c r="M140" s="4">
        <v>1793300377</v>
      </c>
      <c r="N140" s="4">
        <v>164100</v>
      </c>
      <c r="O140" s="4">
        <v>591611334</v>
      </c>
      <c r="Q140" s="17"/>
      <c r="R140" s="3">
        <f t="shared" si="58"/>
        <v>-90160562980800</v>
      </c>
      <c r="S140" s="3">
        <f t="shared" si="59"/>
        <v>-28751884028000</v>
      </c>
      <c r="T140" s="3">
        <f t="shared" si="60"/>
        <v>-3294861694500</v>
      </c>
      <c r="U140" s="3">
        <f t="shared" si="61"/>
        <v>-7531861583400</v>
      </c>
      <c r="V140" s="3">
        <f t="shared" si="62"/>
        <v>-2898895536600</v>
      </c>
      <c r="W140" s="3"/>
      <c r="X140" s="2">
        <f t="shared" si="63"/>
        <v>-90160.562980799994</v>
      </c>
      <c r="Y140" s="2">
        <f t="shared" si="64"/>
        <v>-28751.884028</v>
      </c>
      <c r="Z140" s="2">
        <f t="shared" si="65"/>
        <v>-3294.8616944999999</v>
      </c>
      <c r="AA140" s="2">
        <f t="shared" si="66"/>
        <v>-7531.8615834000002</v>
      </c>
      <c r="AB140" s="2">
        <f t="shared" si="67"/>
        <v>-2898.8955366</v>
      </c>
      <c r="AC140" s="2"/>
      <c r="AD140" s="8">
        <f t="shared" si="68"/>
        <v>-19.136406840273047</v>
      </c>
      <c r="AE140" s="8">
        <f t="shared" si="69"/>
        <v>-6.1025323267039173</v>
      </c>
      <c r="AF140" s="8">
        <f t="shared" si="70"/>
        <v>-0.69932808518299228</v>
      </c>
      <c r="AG140" s="8">
        <f t="shared" si="71"/>
        <v>-1.5986231979857881</v>
      </c>
      <c r="AH140" s="11">
        <f t="shared" si="72"/>
        <v>-0.61528502642161531</v>
      </c>
      <c r="AI140" s="8">
        <f t="shared" si="73"/>
        <v>-27.536890450145741</v>
      </c>
      <c r="AJ140" s="9">
        <f t="shared" si="74"/>
        <v>293.57573108167651</v>
      </c>
      <c r="AL140" s="7">
        <f t="shared" si="75"/>
        <v>1519.5642689183237</v>
      </c>
      <c r="AM140" s="42">
        <f t="shared" si="76"/>
        <v>23.57820945700557</v>
      </c>
    </row>
    <row r="141" spans="1:39" s="16" customFormat="1" ht="15.95" customHeight="1" x14ac:dyDescent="0.25">
      <c r="A141" s="10">
        <v>46083</v>
      </c>
      <c r="B141" s="20">
        <v>1846.1</v>
      </c>
      <c r="C141" s="18">
        <v>8697840.5459360499</v>
      </c>
      <c r="E141" s="14"/>
      <c r="F141" s="4">
        <v>167200</v>
      </c>
      <c r="G141" s="4">
        <v>7706031024</v>
      </c>
      <c r="H141" s="4">
        <v>100500</v>
      </c>
      <c r="I141" s="4">
        <v>4107412004</v>
      </c>
      <c r="J141" s="4">
        <v>27800</v>
      </c>
      <c r="K141" s="4">
        <v>2272318410</v>
      </c>
      <c r="L141" s="4">
        <v>80100</v>
      </c>
      <c r="M141" s="4">
        <v>1793300377</v>
      </c>
      <c r="N141" s="4">
        <v>169000</v>
      </c>
      <c r="O141" s="4">
        <v>591611334</v>
      </c>
      <c r="Q141" s="17"/>
      <c r="R141" s="3">
        <f t="shared" si="58"/>
        <v>-36988948915200</v>
      </c>
      <c r="S141" s="3">
        <f t="shared" si="59"/>
        <v>-30805590030000</v>
      </c>
      <c r="T141" s="3">
        <f t="shared" si="60"/>
        <v>-2840398012500</v>
      </c>
      <c r="U141" s="3">
        <f t="shared" si="61"/>
        <v>-6097221281800</v>
      </c>
      <c r="V141" s="3">
        <f t="shared" si="62"/>
        <v>-4022957071200</v>
      </c>
      <c r="W141" s="3"/>
      <c r="X141" s="2">
        <f t="shared" si="63"/>
        <v>-36988.948915200002</v>
      </c>
      <c r="Y141" s="2">
        <f t="shared" si="64"/>
        <v>-30805.590029999999</v>
      </c>
      <c r="Z141" s="2">
        <f t="shared" si="65"/>
        <v>-2840.3980124999998</v>
      </c>
      <c r="AA141" s="2">
        <f t="shared" si="66"/>
        <v>-6097.2212817999998</v>
      </c>
      <c r="AB141" s="2">
        <f t="shared" si="67"/>
        <v>-4022.9570712</v>
      </c>
      <c r="AC141" s="2"/>
      <c r="AD141" s="8">
        <f t="shared" si="68"/>
        <v>-7.8508629980663143</v>
      </c>
      <c r="AE141" s="8">
        <f t="shared" si="69"/>
        <v>-6.5384519969623422</v>
      </c>
      <c r="AF141" s="8">
        <f t="shared" si="70"/>
        <v>-0.60287129832320541</v>
      </c>
      <c r="AG141" s="8">
        <f t="shared" si="71"/>
        <v>-1.2941283912134989</v>
      </c>
      <c r="AH141" s="11">
        <f t="shared" si="72"/>
        <v>-0.8538681346556054</v>
      </c>
      <c r="AI141" s="8">
        <f t="shared" si="73"/>
        <v>-16.286314684565358</v>
      </c>
      <c r="AJ141" s="9">
        <f t="shared" si="74"/>
        <v>321.11262153182224</v>
      </c>
      <c r="AL141" s="7">
        <f t="shared" si="75"/>
        <v>1524.9873784681777</v>
      </c>
      <c r="AM141" s="42">
        <f t="shared" si="76"/>
        <v>23.568389876414763</v>
      </c>
    </row>
    <row r="142" spans="1:39" s="16" customFormat="1" ht="15.95" customHeight="1" x14ac:dyDescent="0.25">
      <c r="A142" s="10">
        <v>46080</v>
      </c>
      <c r="B142" s="20">
        <v>1880.33</v>
      </c>
      <c r="C142" s="18">
        <v>8859080.8845917583</v>
      </c>
      <c r="E142" s="14"/>
      <c r="F142" s="4">
        <v>172000</v>
      </c>
      <c r="G142" s="4">
        <v>7706031024</v>
      </c>
      <c r="H142" s="4">
        <v>108000</v>
      </c>
      <c r="I142" s="4">
        <v>4107412004</v>
      </c>
      <c r="J142" s="4">
        <v>29050</v>
      </c>
      <c r="K142" s="4">
        <v>2272318410</v>
      </c>
      <c r="L142" s="4">
        <v>83500</v>
      </c>
      <c r="M142" s="4">
        <v>1793300377</v>
      </c>
      <c r="N142" s="4">
        <v>175800</v>
      </c>
      <c r="O142" s="4">
        <v>591611334</v>
      </c>
      <c r="Q142" s="17"/>
      <c r="R142" s="3">
        <f t="shared" si="58"/>
        <v>23888696174400</v>
      </c>
      <c r="S142" s="3">
        <f t="shared" si="59"/>
        <v>1642964801600</v>
      </c>
      <c r="T142" s="3">
        <f t="shared" si="60"/>
        <v>-1590622887000</v>
      </c>
      <c r="U142" s="3">
        <f t="shared" si="61"/>
        <v>3227940678600</v>
      </c>
      <c r="V142" s="3">
        <f t="shared" si="62"/>
        <v>-1597350601800</v>
      </c>
      <c r="W142" s="3"/>
      <c r="X142" s="2">
        <f t="shared" si="63"/>
        <v>23888.6961744</v>
      </c>
      <c r="Y142" s="2">
        <f t="shared" si="64"/>
        <v>1642.9648016000001</v>
      </c>
      <c r="Z142" s="2">
        <f t="shared" si="65"/>
        <v>-1590.622887</v>
      </c>
      <c r="AA142" s="2">
        <f t="shared" si="66"/>
        <v>3227.9406786</v>
      </c>
      <c r="AB142" s="2">
        <f t="shared" si="67"/>
        <v>-1597.3506018</v>
      </c>
      <c r="AC142" s="2"/>
      <c r="AD142" s="8">
        <f t="shared" si="68"/>
        <v>5.0703089982734832</v>
      </c>
      <c r="AE142" s="8">
        <f t="shared" si="69"/>
        <v>0.34871468733928584</v>
      </c>
      <c r="AF142" s="8">
        <f t="shared" si="70"/>
        <v>-0.33760526225196591</v>
      </c>
      <c r="AG142" s="8">
        <f t="shared" si="71"/>
        <v>0.68512138750116058</v>
      </c>
      <c r="AH142" s="11">
        <f t="shared" si="72"/>
        <v>-0.3390332009154754</v>
      </c>
      <c r="AI142" s="8">
        <f t="shared" si="73"/>
        <v>5.7665398108619641</v>
      </c>
      <c r="AJ142" s="9">
        <f t="shared" si="74"/>
        <v>337.3989362163876</v>
      </c>
      <c r="AL142" s="7">
        <f t="shared" si="75"/>
        <v>1542.9310637836124</v>
      </c>
      <c r="AM142" s="42">
        <f t="shared" si="76"/>
        <v>23.723668069455165</v>
      </c>
    </row>
    <row r="143" spans="1:39" s="16" customFormat="1" ht="15.95" customHeight="1" x14ac:dyDescent="0.25">
      <c r="A143" s="10">
        <v>46079</v>
      </c>
      <c r="B143" s="20">
        <v>1879.64</v>
      </c>
      <c r="C143" s="18">
        <v>8855899.8854979202</v>
      </c>
      <c r="E143" s="14"/>
      <c r="F143" s="4">
        <v>168900</v>
      </c>
      <c r="G143" s="4">
        <v>7706031024</v>
      </c>
      <c r="H143" s="4">
        <v>107600</v>
      </c>
      <c r="I143" s="4">
        <v>4107412004</v>
      </c>
      <c r="J143" s="4">
        <v>29750</v>
      </c>
      <c r="K143" s="4">
        <v>2272318410</v>
      </c>
      <c r="L143" s="4">
        <v>81700</v>
      </c>
      <c r="M143" s="4">
        <v>1793300377</v>
      </c>
      <c r="N143" s="4">
        <v>178500</v>
      </c>
      <c r="O143" s="4">
        <v>591611334</v>
      </c>
      <c r="Q143" s="17"/>
      <c r="R143" s="3">
        <f t="shared" si="58"/>
        <v>83995738161600</v>
      </c>
      <c r="S143" s="3">
        <f t="shared" si="59"/>
        <v>2464447202400</v>
      </c>
      <c r="T143" s="3">
        <f t="shared" si="60"/>
        <v>2726782092000</v>
      </c>
      <c r="U143" s="3">
        <f t="shared" si="61"/>
        <v>1255310263900</v>
      </c>
      <c r="V143" s="3">
        <f t="shared" si="62"/>
        <v>0</v>
      </c>
      <c r="W143" s="3"/>
      <c r="X143" s="2">
        <f t="shared" si="63"/>
        <v>83995.738161600006</v>
      </c>
      <c r="Y143" s="2">
        <f t="shared" si="64"/>
        <v>2464.4472024000002</v>
      </c>
      <c r="Z143" s="2">
        <f t="shared" si="65"/>
        <v>2726.7820919999999</v>
      </c>
      <c r="AA143" s="2">
        <f t="shared" si="66"/>
        <v>1255.3102639000001</v>
      </c>
      <c r="AB143" s="2">
        <f t="shared" si="67"/>
        <v>0</v>
      </c>
      <c r="AC143" s="2"/>
      <c r="AD143" s="8">
        <f t="shared" si="68"/>
        <v>17.827848138286367</v>
      </c>
      <c r="AE143" s="8">
        <f t="shared" si="69"/>
        <v>0.52307166328705279</v>
      </c>
      <c r="AF143" s="8">
        <f t="shared" si="70"/>
        <v>0.57875147128118054</v>
      </c>
      <c r="AG143" s="8">
        <f t="shared" si="71"/>
        <v>0.26643590783362536</v>
      </c>
      <c r="AH143" s="11">
        <f t="shared" si="72"/>
        <v>0</v>
      </c>
      <c r="AI143" s="8">
        <f t="shared" si="73"/>
        <v>19.196107180688223</v>
      </c>
      <c r="AJ143" s="9">
        <f t="shared" si="74"/>
        <v>331.63239640552564</v>
      </c>
      <c r="AL143" s="7">
        <f t="shared" si="75"/>
        <v>1548.0076035944744</v>
      </c>
      <c r="AM143" s="42">
        <f t="shared" si="76"/>
        <v>23.270909234080406</v>
      </c>
    </row>
    <row r="144" spans="1:39" ht="15.95" customHeight="1" x14ac:dyDescent="0.25">
      <c r="A144" s="10">
        <v>46078</v>
      </c>
      <c r="B144" s="20">
        <v>1860.91</v>
      </c>
      <c r="C144" s="18">
        <v>8767659.89309844</v>
      </c>
      <c r="E144" s="14"/>
      <c r="F144" s="4">
        <v>158000</v>
      </c>
      <c r="G144" s="4">
        <v>7706031024</v>
      </c>
      <c r="H144" s="4">
        <v>107000</v>
      </c>
      <c r="I144" s="4">
        <v>4107412004</v>
      </c>
      <c r="J144" s="4">
        <v>28550</v>
      </c>
      <c r="K144" s="4">
        <v>2272318410</v>
      </c>
      <c r="L144" s="4">
        <v>81000</v>
      </c>
      <c r="M144" s="4">
        <v>1793300377</v>
      </c>
      <c r="N144" s="4">
        <v>178500</v>
      </c>
      <c r="O144" s="4">
        <v>591611334</v>
      </c>
      <c r="Q144" s="17"/>
      <c r="R144" s="3">
        <f t="shared" si="58"/>
        <v>-37759552017600</v>
      </c>
      <c r="S144" s="3">
        <f t="shared" si="59"/>
        <v>-16429648016000</v>
      </c>
      <c r="T144" s="3">
        <f t="shared" si="60"/>
        <v>-2158702489500</v>
      </c>
      <c r="U144" s="3">
        <f t="shared" si="61"/>
        <v>-4483250942500</v>
      </c>
      <c r="V144" s="3">
        <f t="shared" si="62"/>
        <v>-4792051805400</v>
      </c>
      <c r="X144" s="2">
        <f t="shared" si="63"/>
        <v>-37759.552017599999</v>
      </c>
      <c r="Y144" s="2">
        <f t="shared" si="64"/>
        <v>-16429.648015999999</v>
      </c>
      <c r="Z144" s="2">
        <f t="shared" si="65"/>
        <v>-2158.7024895</v>
      </c>
      <c r="AA144" s="2">
        <f t="shared" si="66"/>
        <v>-4483.2509424999998</v>
      </c>
      <c r="AB144" s="2">
        <f t="shared" si="67"/>
        <v>-4792.0518054000004</v>
      </c>
      <c r="AC144" s="2"/>
      <c r="AD144" s="8">
        <f t="shared" si="68"/>
        <v>-8.0144734303024627</v>
      </c>
      <c r="AE144" s="8">
        <f t="shared" si="69"/>
        <v>-3.4871964961893331</v>
      </c>
      <c r="AF144" s="8">
        <f t="shared" si="70"/>
        <v>-0.4581850901716597</v>
      </c>
      <c r="AG144" s="8">
        <f t="shared" si="71"/>
        <v>-0.95157102349352751</v>
      </c>
      <c r="AH144" s="11">
        <f t="shared" si="72"/>
        <v>-1.0171140762769126</v>
      </c>
      <c r="AI144" s="8">
        <f t="shared" si="73"/>
        <v>-12.911426040156982</v>
      </c>
      <c r="AJ144" s="9">
        <f t="shared" si="74"/>
        <v>312.43628922483742</v>
      </c>
      <c r="AL144" s="7">
        <f t="shared" si="75"/>
        <v>1548.4737107751625</v>
      </c>
      <c r="AM144" s="42">
        <f t="shared" si="76"/>
        <v>23.227846805869273</v>
      </c>
    </row>
    <row r="145" spans="1:39" ht="15.95" customHeight="1" x14ac:dyDescent="0.25">
      <c r="A145" s="10">
        <v>46077</v>
      </c>
      <c r="B145" s="20">
        <v>1867.62</v>
      </c>
      <c r="C145" s="18">
        <v>8799142.5952545311</v>
      </c>
      <c r="E145" s="14"/>
      <c r="F145" s="4">
        <v>162900</v>
      </c>
      <c r="G145" s="4">
        <v>7706031024</v>
      </c>
      <c r="H145" s="4">
        <v>111000</v>
      </c>
      <c r="I145" s="4">
        <v>4107412004</v>
      </c>
      <c r="J145" s="4">
        <v>29500</v>
      </c>
      <c r="K145" s="4">
        <v>2272318410</v>
      </c>
      <c r="L145" s="4">
        <v>83500</v>
      </c>
      <c r="M145" s="4">
        <v>1793300377</v>
      </c>
      <c r="N145" s="4">
        <v>186600</v>
      </c>
      <c r="O145" s="4">
        <v>591611334</v>
      </c>
      <c r="Q145" s="17"/>
      <c r="R145" s="3">
        <f t="shared" si="58"/>
        <v>4623618614400</v>
      </c>
      <c r="S145" s="3">
        <f t="shared" si="59"/>
        <v>1232223601200</v>
      </c>
      <c r="T145" s="3">
        <f t="shared" si="60"/>
        <v>-1136159205000</v>
      </c>
      <c r="U145" s="3">
        <f t="shared" si="61"/>
        <v>-2151960452400</v>
      </c>
      <c r="V145" s="3">
        <f t="shared" si="62"/>
        <v>6921852607800</v>
      </c>
      <c r="X145" s="2">
        <f t="shared" si="63"/>
        <v>4623.6186144000003</v>
      </c>
      <c r="Y145" s="2">
        <f t="shared" si="64"/>
        <v>1232.2236012000001</v>
      </c>
      <c r="Z145" s="2">
        <f t="shared" si="65"/>
        <v>-1136.1592049999999</v>
      </c>
      <c r="AA145" s="2">
        <f t="shared" si="66"/>
        <v>-2151.9604524000001</v>
      </c>
      <c r="AB145" s="2">
        <f t="shared" si="67"/>
        <v>6921.8526078000004</v>
      </c>
      <c r="AC145" s="2"/>
      <c r="AD145" s="8">
        <f t="shared" si="68"/>
        <v>0.98136991165007315</v>
      </c>
      <c r="AE145" s="8">
        <f t="shared" si="69"/>
        <v>0.26154128778627722</v>
      </c>
      <c r="AF145" s="8">
        <f t="shared" si="70"/>
        <v>-0.241151477147939</v>
      </c>
      <c r="AG145" s="8">
        <f t="shared" si="71"/>
        <v>-0.4567567992024561</v>
      </c>
      <c r="AH145" s="11">
        <f t="shared" si="72"/>
        <v>1.4691734869773676</v>
      </c>
      <c r="AI145" s="8">
        <f t="shared" si="73"/>
        <v>0.54500292308595522</v>
      </c>
      <c r="AJ145" s="9">
        <f t="shared" si="74"/>
        <v>325.34771526499441</v>
      </c>
      <c r="AL145" s="7">
        <f t="shared" si="75"/>
        <v>1542.2722847350055</v>
      </c>
      <c r="AM145" s="42">
        <f t="shared" si="76"/>
        <v>23.275352048323455</v>
      </c>
    </row>
    <row r="146" spans="1:39" ht="15.95" customHeight="1" x14ac:dyDescent="0.25">
      <c r="A146" s="10">
        <v>46076</v>
      </c>
      <c r="B146" s="20">
        <v>1860.14</v>
      </c>
      <c r="C146" s="18">
        <v>8763849.2145423796</v>
      </c>
      <c r="E146" s="14"/>
      <c r="F146" s="4">
        <v>162300</v>
      </c>
      <c r="G146" s="4">
        <v>7706031024</v>
      </c>
      <c r="H146" s="4">
        <v>110700</v>
      </c>
      <c r="I146" s="4">
        <v>4107412004</v>
      </c>
      <c r="J146" s="4">
        <v>30000</v>
      </c>
      <c r="K146" s="4">
        <v>2272318410</v>
      </c>
      <c r="L146" s="4">
        <v>84700</v>
      </c>
      <c r="M146" s="4">
        <v>1793300377</v>
      </c>
      <c r="N146" s="4">
        <v>174900</v>
      </c>
      <c r="O146" s="4">
        <v>591611334</v>
      </c>
      <c r="Q146" s="17"/>
      <c r="R146" s="3">
        <f t="shared" si="58"/>
        <v>17723871355200</v>
      </c>
      <c r="S146" s="3">
        <f t="shared" si="59"/>
        <v>6982600406800</v>
      </c>
      <c r="T146" s="3">
        <f t="shared" si="60"/>
        <v>454463682000</v>
      </c>
      <c r="U146" s="3">
        <f t="shared" si="61"/>
        <v>-1613970339300</v>
      </c>
      <c r="V146" s="3">
        <f t="shared" si="62"/>
        <v>3372184603800</v>
      </c>
      <c r="X146" s="2">
        <f t="shared" si="63"/>
        <v>17723.871355200001</v>
      </c>
      <c r="Y146" s="2">
        <f t="shared" si="64"/>
        <v>6982.6004068000002</v>
      </c>
      <c r="Z146" s="2">
        <f t="shared" si="65"/>
        <v>454.46368200000001</v>
      </c>
      <c r="AA146" s="2">
        <f t="shared" si="66"/>
        <v>-1613.9703393</v>
      </c>
      <c r="AB146" s="2">
        <f t="shared" si="67"/>
        <v>3372.1846037999999</v>
      </c>
      <c r="AC146" s="2"/>
      <c r="AD146" s="8">
        <f t="shared" si="68"/>
        <v>3.7615086286508657</v>
      </c>
      <c r="AE146" s="8">
        <f t="shared" si="69"/>
        <v>1.4819060212199819</v>
      </c>
      <c r="AF146" s="8">
        <f t="shared" si="70"/>
        <v>9.6450094169178366E-2</v>
      </c>
      <c r="AG146" s="8">
        <f t="shared" si="71"/>
        <v>-0.3425303217337084</v>
      </c>
      <c r="AH146" s="11">
        <f t="shared" si="72"/>
        <v>0.71567329904342813</v>
      </c>
      <c r="AI146" s="8">
        <f t="shared" si="73"/>
        <v>4.9973344223063174</v>
      </c>
      <c r="AJ146" s="9">
        <f t="shared" si="74"/>
        <v>324.80271234190843</v>
      </c>
      <c r="AL146" s="7">
        <f t="shared" si="75"/>
        <v>1535.3372876580916</v>
      </c>
      <c r="AM146" s="42">
        <f t="shared" si="76"/>
        <v>24.141244159630766</v>
      </c>
    </row>
    <row r="147" spans="1:39" ht="15.95" customHeight="1" x14ac:dyDescent="0.25">
      <c r="A147" s="10">
        <v>46066</v>
      </c>
      <c r="B147" s="20">
        <v>1824.09</v>
      </c>
      <c r="C147" s="18">
        <v>8594938.8110010792</v>
      </c>
      <c r="E147" s="14"/>
      <c r="F147" s="4">
        <v>160000</v>
      </c>
      <c r="G147" s="4">
        <v>7706031024</v>
      </c>
      <c r="H147" s="4">
        <v>109000</v>
      </c>
      <c r="I147" s="4">
        <v>4107412004</v>
      </c>
      <c r="J147" s="4">
        <v>29800</v>
      </c>
      <c r="K147" s="4">
        <v>2272318410</v>
      </c>
      <c r="L147" s="4">
        <v>85600</v>
      </c>
      <c r="M147" s="4">
        <v>1793300377</v>
      </c>
      <c r="N147" s="4">
        <v>169200</v>
      </c>
      <c r="O147" s="4">
        <v>591611334</v>
      </c>
      <c r="Q147" s="17"/>
      <c r="R147" s="3">
        <f t="shared" si="58"/>
        <v>7706031024000</v>
      </c>
      <c r="S147" s="3">
        <f t="shared" si="59"/>
        <v>0</v>
      </c>
      <c r="T147" s="3">
        <f t="shared" si="60"/>
        <v>-340847761500</v>
      </c>
      <c r="U147" s="3">
        <f t="shared" si="61"/>
        <v>358660075400</v>
      </c>
      <c r="V147" s="3">
        <f t="shared" si="62"/>
        <v>709933600800</v>
      </c>
      <c r="X147" s="2">
        <f t="shared" si="63"/>
        <v>7706.0310239999999</v>
      </c>
      <c r="Y147" s="2">
        <f t="shared" si="64"/>
        <v>0</v>
      </c>
      <c r="Z147" s="2">
        <f t="shared" si="65"/>
        <v>-340.84776149999999</v>
      </c>
      <c r="AA147" s="2">
        <f t="shared" si="66"/>
        <v>358.66007539999998</v>
      </c>
      <c r="AB147" s="2">
        <f t="shared" si="67"/>
        <v>709.93360080000002</v>
      </c>
      <c r="AC147" s="2"/>
      <c r="AD147" s="8">
        <f t="shared" si="68"/>
        <v>1.6356082959247435</v>
      </c>
      <c r="AE147" s="8">
        <f t="shared" si="69"/>
        <v>0</v>
      </c>
      <c r="AF147" s="8">
        <f t="shared" si="70"/>
        <v>-7.2345079408647137E-2</v>
      </c>
      <c r="AG147" s="8">
        <f t="shared" si="71"/>
        <v>7.6125750456261604E-2</v>
      </c>
      <c r="AH147" s="11">
        <f t="shared" si="72"/>
        <v>0.15068370259706926</v>
      </c>
      <c r="AI147" s="8">
        <f t="shared" si="73"/>
        <v>1.639388966972358</v>
      </c>
      <c r="AJ147" s="9">
        <f t="shared" si="74"/>
        <v>319.80537791960211</v>
      </c>
      <c r="AL147" s="7">
        <f t="shared" si="75"/>
        <v>1504.2846220803979</v>
      </c>
      <c r="AM147" s="42">
        <f t="shared" si="76"/>
        <v>25.060424204581231</v>
      </c>
    </row>
    <row r="148" spans="1:39" ht="15.95" customHeight="1" x14ac:dyDescent="0.25">
      <c r="A148" s="10">
        <v>46065</v>
      </c>
      <c r="B148" s="20">
        <v>1814.09</v>
      </c>
      <c r="C148" s="18">
        <v>8546932.5725230798</v>
      </c>
      <c r="E148" s="14"/>
      <c r="F148" s="4">
        <v>159000</v>
      </c>
      <c r="G148" s="4">
        <v>7706031024</v>
      </c>
      <c r="H148" s="4">
        <v>109000</v>
      </c>
      <c r="I148" s="4">
        <v>4107412004</v>
      </c>
      <c r="J148" s="4">
        <v>29950</v>
      </c>
      <c r="K148" s="4">
        <v>2272318410</v>
      </c>
      <c r="L148" s="4">
        <v>85400</v>
      </c>
      <c r="M148" s="4">
        <v>1793300377</v>
      </c>
      <c r="N148" s="4">
        <v>168000</v>
      </c>
      <c r="O148" s="4">
        <v>591611334</v>
      </c>
      <c r="Q148" s="17"/>
      <c r="R148" s="3">
        <f t="shared" si="58"/>
        <v>63189454396800</v>
      </c>
      <c r="S148" s="3">
        <f t="shared" si="59"/>
        <v>24644472024000</v>
      </c>
      <c r="T148" s="3">
        <f t="shared" si="60"/>
        <v>1249775125500</v>
      </c>
      <c r="U148" s="3">
        <f t="shared" si="61"/>
        <v>-1075980226200</v>
      </c>
      <c r="V148" s="3">
        <f t="shared" si="62"/>
        <v>0</v>
      </c>
      <c r="X148" s="2">
        <f t="shared" si="63"/>
        <v>63189.4543968</v>
      </c>
      <c r="Y148" s="2">
        <f t="shared" si="64"/>
        <v>24644.472023999999</v>
      </c>
      <c r="Z148" s="2">
        <f t="shared" si="65"/>
        <v>1249.7751255000001</v>
      </c>
      <c r="AA148" s="2">
        <f t="shared" si="66"/>
        <v>-1075.9802262000001</v>
      </c>
      <c r="AB148" s="2">
        <f t="shared" si="67"/>
        <v>0</v>
      </c>
      <c r="AC148" s="2"/>
      <c r="AD148" s="8">
        <f t="shared" si="68"/>
        <v>13.411026383235557</v>
      </c>
      <c r="AE148" s="8">
        <f t="shared" si="69"/>
        <v>5.2304244065685737</v>
      </c>
      <c r="AF148" s="8">
        <f t="shared" si="70"/>
        <v>0.26524627156839031</v>
      </c>
      <c r="AG148" s="8">
        <f t="shared" si="71"/>
        <v>-0.22836087665505653</v>
      </c>
      <c r="AH148" s="11">
        <f t="shared" si="72"/>
        <v>0</v>
      </c>
      <c r="AI148" s="8">
        <f t="shared" si="73"/>
        <v>18.678336184717466</v>
      </c>
      <c r="AJ148" s="9">
        <f t="shared" si="74"/>
        <v>318.16598895262973</v>
      </c>
      <c r="AL148" s="7">
        <f t="shared" si="75"/>
        <v>1495.9240110473702</v>
      </c>
      <c r="AM148" s="42">
        <f t="shared" si="76"/>
        <v>24.927041763680958</v>
      </c>
    </row>
    <row r="149" spans="1:39" ht="15.95" customHeight="1" x14ac:dyDescent="0.25">
      <c r="A149" s="10">
        <v>46064</v>
      </c>
      <c r="B149" s="20">
        <v>1796.85</v>
      </c>
      <c r="C149" s="18">
        <v>8466314.7986065503</v>
      </c>
      <c r="E149" s="14"/>
      <c r="F149" s="4">
        <v>150800</v>
      </c>
      <c r="G149" s="4">
        <v>7706031024</v>
      </c>
      <c r="H149" s="4">
        <v>103000</v>
      </c>
      <c r="I149" s="4">
        <v>4107412004</v>
      </c>
      <c r="J149" s="4">
        <v>29400</v>
      </c>
      <c r="K149" s="4">
        <v>2272318410</v>
      </c>
      <c r="L149" s="4">
        <v>86000</v>
      </c>
      <c r="M149" s="4">
        <v>1793300377</v>
      </c>
      <c r="N149" s="4">
        <v>168000</v>
      </c>
      <c r="O149" s="4">
        <v>591611334</v>
      </c>
      <c r="Q149" s="17"/>
      <c r="R149" s="3">
        <f t="shared" si="58"/>
        <v>71666088523200</v>
      </c>
      <c r="S149" s="3">
        <f t="shared" si="59"/>
        <v>6982600406800</v>
      </c>
      <c r="T149" s="3">
        <f t="shared" si="60"/>
        <v>1022543284500</v>
      </c>
      <c r="U149" s="3">
        <f t="shared" si="61"/>
        <v>2689950565500</v>
      </c>
      <c r="V149" s="3">
        <f t="shared" si="62"/>
        <v>2958056670000</v>
      </c>
      <c r="X149" s="2">
        <f t="shared" si="63"/>
        <v>71666.0885232</v>
      </c>
      <c r="Y149" s="2">
        <f t="shared" si="64"/>
        <v>6982.6004068000002</v>
      </c>
      <c r="Z149" s="2">
        <f t="shared" si="65"/>
        <v>1022.5432845</v>
      </c>
      <c r="AA149" s="2">
        <f t="shared" si="66"/>
        <v>2689.9505654999998</v>
      </c>
      <c r="AB149" s="2">
        <f t="shared" si="67"/>
        <v>2958.0566699999999</v>
      </c>
      <c r="AC149" s="2"/>
      <c r="AD149" s="8">
        <f t="shared" si="68"/>
        <v>15.209462921926685</v>
      </c>
      <c r="AE149" s="8">
        <f t="shared" si="69"/>
        <v>1.4818947730274805</v>
      </c>
      <c r="AF149" s="8">
        <f t="shared" si="70"/>
        <v>0.21701106467716907</v>
      </c>
      <c r="AG149" s="8">
        <f t="shared" si="71"/>
        <v>0.57087953634505328</v>
      </c>
      <c r="AH149" s="11">
        <f t="shared" si="72"/>
        <v>0.62777883055189276</v>
      </c>
      <c r="AI149" s="8">
        <f t="shared" si="73"/>
        <v>17.479248295976387</v>
      </c>
      <c r="AJ149" s="9">
        <f t="shared" si="74"/>
        <v>299.48765276791227</v>
      </c>
      <c r="AL149" s="7">
        <f t="shared" si="75"/>
        <v>1497.3623472320876</v>
      </c>
      <c r="AM149" s="42">
        <f t="shared" si="76"/>
        <v>24.176525965991008</v>
      </c>
    </row>
    <row r="150" spans="1:39" ht="15.95" customHeight="1" x14ac:dyDescent="0.25">
      <c r="A150" s="10">
        <v>46063</v>
      </c>
      <c r="B150" s="20">
        <v>1754.03</v>
      </c>
      <c r="C150" s="18">
        <v>8264885.4793634405</v>
      </c>
      <c r="E150" s="14"/>
      <c r="F150" s="4">
        <v>141500</v>
      </c>
      <c r="G150" s="4">
        <v>7706031024</v>
      </c>
      <c r="H150" s="4">
        <v>101300</v>
      </c>
      <c r="I150" s="4">
        <v>4107412004</v>
      </c>
      <c r="J150" s="4">
        <v>28950</v>
      </c>
      <c r="K150" s="4">
        <v>2272318410</v>
      </c>
      <c r="L150" s="4">
        <v>84500</v>
      </c>
      <c r="M150" s="4">
        <v>1793300377</v>
      </c>
      <c r="N150" s="4">
        <v>163000</v>
      </c>
      <c r="O150" s="4">
        <v>591611334</v>
      </c>
      <c r="Q150" s="17"/>
      <c r="R150" s="3">
        <f t="shared" si="58"/>
        <v>70895485420800</v>
      </c>
      <c r="S150" s="3">
        <f t="shared" si="59"/>
        <v>25876695625200</v>
      </c>
      <c r="T150" s="3">
        <f t="shared" si="60"/>
        <v>1704238807500</v>
      </c>
      <c r="U150" s="3">
        <f t="shared" si="61"/>
        <v>2689950565500</v>
      </c>
      <c r="V150" s="3">
        <f t="shared" si="62"/>
        <v>-1183222668000</v>
      </c>
      <c r="X150" s="2">
        <f t="shared" si="63"/>
        <v>70895.485420800003</v>
      </c>
      <c r="Y150" s="2">
        <f t="shared" si="64"/>
        <v>25876.695625200002</v>
      </c>
      <c r="Z150" s="2">
        <f t="shared" si="65"/>
        <v>1704.2388074999999</v>
      </c>
      <c r="AA150" s="2">
        <f t="shared" si="66"/>
        <v>2689.9505654999998</v>
      </c>
      <c r="AB150" s="2">
        <f t="shared" si="67"/>
        <v>-1183.2226680000001</v>
      </c>
      <c r="AC150" s="2"/>
      <c r="AD150" s="8">
        <f t="shared" si="68"/>
        <v>15.046337470726021</v>
      </c>
      <c r="AE150" s="8">
        <f t="shared" si="69"/>
        <v>5.4918799510721428</v>
      </c>
      <c r="AF150" s="8">
        <f t="shared" si="70"/>
        <v>0.36169513582072771</v>
      </c>
      <c r="AG150" s="8">
        <f t="shared" si="71"/>
        <v>0.57089536446292066</v>
      </c>
      <c r="AH150" s="11">
        <f t="shared" si="72"/>
        <v>-0.25111849450032186</v>
      </c>
      <c r="AI150" s="8">
        <f t="shared" si="73"/>
        <v>21.470807922081814</v>
      </c>
      <c r="AJ150" s="9">
        <f t="shared" si="74"/>
        <v>282.00840447193588</v>
      </c>
      <c r="AL150" s="7">
        <f t="shared" si="75"/>
        <v>1472.0215955280642</v>
      </c>
      <c r="AM150" s="42">
        <f t="shared" si="76"/>
        <v>23.755908539062663</v>
      </c>
    </row>
    <row r="151" spans="1:39" ht="15.95" customHeight="1" x14ac:dyDescent="0.25">
      <c r="A151" s="10">
        <v>46062</v>
      </c>
      <c r="B151" s="20">
        <v>1754.82</v>
      </c>
      <c r="C151" s="18">
        <v>8268378.6647864701</v>
      </c>
      <c r="E151" s="14"/>
      <c r="F151" s="4">
        <v>132300</v>
      </c>
      <c r="G151" s="4">
        <v>7706031024</v>
      </c>
      <c r="H151" s="4">
        <v>95000</v>
      </c>
      <c r="I151" s="4">
        <v>4107412004</v>
      </c>
      <c r="J151" s="4">
        <v>28200</v>
      </c>
      <c r="K151" s="4">
        <v>2272318410</v>
      </c>
      <c r="L151" s="4">
        <v>83000</v>
      </c>
      <c r="M151" s="4">
        <v>1793300377</v>
      </c>
      <c r="N151" s="4">
        <v>165000</v>
      </c>
      <c r="O151" s="4">
        <v>591611334</v>
      </c>
      <c r="Q151" s="17"/>
      <c r="R151" s="3">
        <f t="shared" si="58"/>
        <v>10017840331200</v>
      </c>
      <c r="S151" s="3">
        <f t="shared" si="59"/>
        <v>-10268530010000</v>
      </c>
      <c r="T151" s="3">
        <f t="shared" si="60"/>
        <v>340847761500</v>
      </c>
      <c r="U151" s="3">
        <f t="shared" si="61"/>
        <v>0</v>
      </c>
      <c r="V151" s="3">
        <f t="shared" si="62"/>
        <v>-591611334000</v>
      </c>
      <c r="X151" s="2">
        <f t="shared" si="63"/>
        <v>10017.840331199999</v>
      </c>
      <c r="Y151" s="2">
        <f t="shared" si="64"/>
        <v>-10268.53001</v>
      </c>
      <c r="Z151" s="2">
        <f t="shared" si="65"/>
        <v>340.84776149999999</v>
      </c>
      <c r="AA151" s="2">
        <f t="shared" si="66"/>
        <v>0</v>
      </c>
      <c r="AB151" s="2">
        <f t="shared" si="67"/>
        <v>-591.61133400000006</v>
      </c>
      <c r="AC151" s="2"/>
      <c r="AD151" s="8">
        <f t="shared" si="68"/>
        <v>2.1260696280023756</v>
      </c>
      <c r="AE151" s="8">
        <f t="shared" si="69"/>
        <v>-2.1792730824925028</v>
      </c>
      <c r="AF151" s="8">
        <f t="shared" si="70"/>
        <v>7.2337554756269754E-2</v>
      </c>
      <c r="AG151" s="8">
        <f t="shared" si="71"/>
        <v>0</v>
      </c>
      <c r="AH151" s="11">
        <f t="shared" si="72"/>
        <v>-0.12555669158371399</v>
      </c>
      <c r="AI151" s="8">
        <f t="shared" si="73"/>
        <v>1.9134100266142554E-2</v>
      </c>
      <c r="AJ151" s="9">
        <f t="shared" si="74"/>
        <v>260.53759654985407</v>
      </c>
      <c r="AL151" s="7">
        <f t="shared" si="75"/>
        <v>1494.2824034501459</v>
      </c>
      <c r="AM151" s="42">
        <f t="shared" si="76"/>
        <v>19.36266953451161</v>
      </c>
    </row>
    <row r="152" spans="1:39" ht="15.95" customHeight="1" x14ac:dyDescent="0.25">
      <c r="A152" s="10">
        <v>46059</v>
      </c>
      <c r="B152" s="20">
        <v>1755.49</v>
      </c>
      <c r="C152" s="18">
        <v>8271703.9420491802</v>
      </c>
      <c r="E152" s="14"/>
      <c r="F152" s="4">
        <v>131000</v>
      </c>
      <c r="G152" s="4">
        <v>7706031024</v>
      </c>
      <c r="H152" s="4">
        <v>97500</v>
      </c>
      <c r="I152" s="4">
        <v>4107412004</v>
      </c>
      <c r="J152" s="4">
        <v>28050</v>
      </c>
      <c r="K152" s="4">
        <v>2272318410</v>
      </c>
      <c r="L152" s="4">
        <v>83000</v>
      </c>
      <c r="M152" s="4">
        <v>1793300377</v>
      </c>
      <c r="N152" s="4">
        <v>166000</v>
      </c>
      <c r="O152" s="4">
        <v>591611334</v>
      </c>
      <c r="Q152" s="17"/>
      <c r="R152" s="3">
        <f t="shared" si="58"/>
        <v>6935427921600</v>
      </c>
      <c r="S152" s="3">
        <f t="shared" si="59"/>
        <v>-410741200400</v>
      </c>
      <c r="T152" s="3">
        <f t="shared" si="60"/>
        <v>-1704238807500</v>
      </c>
      <c r="U152" s="3">
        <f t="shared" si="61"/>
        <v>-5379901131000</v>
      </c>
      <c r="V152" s="3">
        <f t="shared" si="62"/>
        <v>-295805667000</v>
      </c>
      <c r="X152" s="2">
        <f t="shared" si="63"/>
        <v>6935.4279216000004</v>
      </c>
      <c r="Y152" s="2">
        <f t="shared" si="64"/>
        <v>-410.74120040000003</v>
      </c>
      <c r="Z152" s="2">
        <f t="shared" si="65"/>
        <v>-1704.2388074999999</v>
      </c>
      <c r="AA152" s="2">
        <f t="shared" si="66"/>
        <v>-5379.9011309999996</v>
      </c>
      <c r="AB152" s="2">
        <f t="shared" si="67"/>
        <v>-295.80566700000003</v>
      </c>
      <c r="AC152" s="2"/>
      <c r="AD152" s="8">
        <f t="shared" si="68"/>
        <v>1.4795665691386366</v>
      </c>
      <c r="AE152" s="8">
        <f t="shared" si="69"/>
        <v>-8.762529948397367E-2</v>
      </c>
      <c r="AF152" s="8">
        <f t="shared" si="70"/>
        <v>-0.36357306195231553</v>
      </c>
      <c r="AG152" s="8">
        <f t="shared" si="71"/>
        <v>-1.1477189221313959</v>
      </c>
      <c r="AH152" s="11">
        <f t="shared" si="72"/>
        <v>-6.310557629643522E-2</v>
      </c>
      <c r="AI152" s="8">
        <f t="shared" si="73"/>
        <v>-0.11935071442904865</v>
      </c>
      <c r="AJ152" s="9">
        <f t="shared" si="74"/>
        <v>260.51846244958796</v>
      </c>
      <c r="AL152" s="7">
        <f t="shared" si="75"/>
        <v>1494.971537550412</v>
      </c>
      <c r="AM152" s="42">
        <f t="shared" si="76"/>
        <v>16.988486827260477</v>
      </c>
    </row>
    <row r="153" spans="1:39" ht="15.95" customHeight="1" x14ac:dyDescent="0.25">
      <c r="A153" s="10">
        <v>46058</v>
      </c>
      <c r="B153" s="20">
        <v>1782.56</v>
      </c>
      <c r="C153" s="18">
        <v>8355701.3613281306</v>
      </c>
      <c r="E153" s="14"/>
      <c r="F153" s="4">
        <v>130100</v>
      </c>
      <c r="G153" s="4">
        <v>7706031024</v>
      </c>
      <c r="H153" s="4">
        <v>97600</v>
      </c>
      <c r="I153" s="4">
        <v>4107412004</v>
      </c>
      <c r="J153" s="4">
        <v>28800</v>
      </c>
      <c r="K153" s="4">
        <v>2272318410</v>
      </c>
      <c r="L153" s="4">
        <v>86000</v>
      </c>
      <c r="M153" s="4">
        <v>1793300377</v>
      </c>
      <c r="N153" s="4">
        <v>166500</v>
      </c>
      <c r="O153" s="4">
        <v>591611334</v>
      </c>
      <c r="Q153" s="17"/>
      <c r="R153" s="3">
        <f t="shared" si="58"/>
        <v>65501263704000</v>
      </c>
      <c r="S153" s="3">
        <f t="shared" si="59"/>
        <v>25876695625200</v>
      </c>
      <c r="T153" s="3">
        <f t="shared" si="60"/>
        <v>1249775125500</v>
      </c>
      <c r="U153" s="3">
        <f t="shared" si="61"/>
        <v>896650188500</v>
      </c>
      <c r="V153" s="3">
        <f t="shared" si="62"/>
        <v>887417001000</v>
      </c>
      <c r="X153" s="2">
        <f t="shared" si="63"/>
        <v>65501.263703999997</v>
      </c>
      <c r="Y153" s="2">
        <f t="shared" si="64"/>
        <v>25876.695625200002</v>
      </c>
      <c r="Z153" s="2">
        <f t="shared" si="65"/>
        <v>1249.7751255000001</v>
      </c>
      <c r="AA153" s="2">
        <f t="shared" si="66"/>
        <v>896.65018850000001</v>
      </c>
      <c r="AB153" s="2">
        <f t="shared" si="67"/>
        <v>887.41700100000003</v>
      </c>
      <c r="AC153" s="2"/>
      <c r="AD153" s="8">
        <f t="shared" si="68"/>
        <v>13.973468741431574</v>
      </c>
      <c r="AE153" s="8">
        <f t="shared" si="69"/>
        <v>5.5203087238787152</v>
      </c>
      <c r="AF153" s="8">
        <f t="shared" si="70"/>
        <v>0.26661613322319017</v>
      </c>
      <c r="AG153" s="8">
        <f t="shared" si="71"/>
        <v>0.19128353672111437</v>
      </c>
      <c r="AH153" s="11">
        <f t="shared" si="72"/>
        <v>0.18931380896901992</v>
      </c>
      <c r="AI153" s="8">
        <f t="shared" si="73"/>
        <v>19.951677135254595</v>
      </c>
      <c r="AJ153" s="9">
        <f t="shared" si="74"/>
        <v>260.63781316401702</v>
      </c>
      <c r="AL153" s="7">
        <f t="shared" si="75"/>
        <v>1521.922186835983</v>
      </c>
      <c r="AM153" s="42">
        <f t="shared" si="76"/>
        <v>17.811230196004139</v>
      </c>
    </row>
    <row r="154" spans="1:39" ht="15.95" customHeight="1" x14ac:dyDescent="0.25">
      <c r="A154" s="10">
        <v>46057</v>
      </c>
      <c r="B154" s="20">
        <v>1791.43</v>
      </c>
      <c r="C154" s="18">
        <v>8397408.7614579797</v>
      </c>
      <c r="E154" s="14"/>
      <c r="F154" s="4">
        <v>121600</v>
      </c>
      <c r="G154" s="4">
        <v>7706031024</v>
      </c>
      <c r="H154" s="4">
        <v>91300</v>
      </c>
      <c r="I154" s="4">
        <v>4107412004</v>
      </c>
      <c r="J154" s="4">
        <v>28250</v>
      </c>
      <c r="K154" s="4">
        <v>2272318410</v>
      </c>
      <c r="L154" s="4">
        <v>85500</v>
      </c>
      <c r="M154" s="4">
        <v>1793300377</v>
      </c>
      <c r="N154" s="4">
        <v>165000</v>
      </c>
      <c r="O154" s="4">
        <v>591611334</v>
      </c>
      <c r="Q154" s="17"/>
      <c r="R154" s="3">
        <f t="shared" si="58"/>
        <v>-70124882318400</v>
      </c>
      <c r="S154" s="3">
        <f t="shared" si="59"/>
        <v>-24644472024000</v>
      </c>
      <c r="T154" s="3">
        <f t="shared" si="60"/>
        <v>-340847761500</v>
      </c>
      <c r="U154" s="3">
        <f t="shared" si="61"/>
        <v>-2151960452400</v>
      </c>
      <c r="V154" s="3">
        <f t="shared" si="62"/>
        <v>-1774834002000</v>
      </c>
      <c r="X154" s="2">
        <f t="shared" si="63"/>
        <v>-70124.882318400007</v>
      </c>
      <c r="Y154" s="2">
        <f t="shared" si="64"/>
        <v>-24644.472023999999</v>
      </c>
      <c r="Z154" s="2">
        <f t="shared" si="65"/>
        <v>-340.84776149999999</v>
      </c>
      <c r="AA154" s="2">
        <f t="shared" si="66"/>
        <v>-2151.9604524000001</v>
      </c>
      <c r="AB154" s="2">
        <f t="shared" si="67"/>
        <v>-1774.8340020000001</v>
      </c>
      <c r="AC154" s="2"/>
      <c r="AD154" s="8">
        <f t="shared" si="68"/>
        <v>-14.961747031986061</v>
      </c>
      <c r="AE154" s="8">
        <f t="shared" si="69"/>
        <v>-5.2581101596115793</v>
      </c>
      <c r="AF154" s="8">
        <f t="shared" si="70"/>
        <v>-7.2722802739643502E-2</v>
      </c>
      <c r="AG154" s="8">
        <f t="shared" si="71"/>
        <v>-0.45913927905728424</v>
      </c>
      <c r="AH154" s="11">
        <f t="shared" si="72"/>
        <v>-0.3786761058809478</v>
      </c>
      <c r="AI154" s="8">
        <f t="shared" si="73"/>
        <v>-20.751719273394567</v>
      </c>
      <c r="AJ154" s="9">
        <f t="shared" si="74"/>
        <v>240.68613602876243</v>
      </c>
      <c r="AL154" s="7">
        <f t="shared" si="75"/>
        <v>1550.7438639712377</v>
      </c>
      <c r="AM154" s="42">
        <f t="shared" si="76"/>
        <v>22.220462033209049</v>
      </c>
    </row>
    <row r="155" spans="1:39" s="16" customFormat="1" ht="15.95" customHeight="1" x14ac:dyDescent="0.25">
      <c r="A155" s="10">
        <v>46056</v>
      </c>
      <c r="B155" s="20">
        <v>1813.4</v>
      </c>
      <c r="C155" s="18">
        <v>8499305.6843112819</v>
      </c>
      <c r="E155" s="14"/>
      <c r="F155" s="4">
        <v>130700</v>
      </c>
      <c r="G155" s="4">
        <v>7706031024</v>
      </c>
      <c r="H155" s="4">
        <v>97300</v>
      </c>
      <c r="I155" s="4">
        <v>4107412004</v>
      </c>
      <c r="J155" s="4">
        <v>28400</v>
      </c>
      <c r="K155" s="4">
        <v>2272318410</v>
      </c>
      <c r="L155" s="4">
        <v>86700</v>
      </c>
      <c r="M155" s="4">
        <v>1793300377</v>
      </c>
      <c r="N155" s="4">
        <v>168000</v>
      </c>
      <c r="O155" s="4">
        <v>591611334</v>
      </c>
      <c r="Q155" s="17"/>
      <c r="R155" s="3">
        <f t="shared" si="58"/>
        <v>0</v>
      </c>
      <c r="S155" s="3">
        <f t="shared" si="59"/>
        <v>-5339635605200</v>
      </c>
      <c r="T155" s="3">
        <f t="shared" si="60"/>
        <v>681695523000</v>
      </c>
      <c r="U155" s="3">
        <f t="shared" si="61"/>
        <v>-179330037700</v>
      </c>
      <c r="V155" s="3">
        <f t="shared" si="62"/>
        <v>-1183222668000</v>
      </c>
      <c r="X155" s="2">
        <f t="shared" si="63"/>
        <v>0</v>
      </c>
      <c r="Y155" s="2">
        <f t="shared" si="64"/>
        <v>-5339.6356052000001</v>
      </c>
      <c r="Z155" s="2">
        <f t="shared" si="65"/>
        <v>681.69552299999998</v>
      </c>
      <c r="AA155" s="2">
        <f t="shared" si="66"/>
        <v>-179.33003769999999</v>
      </c>
      <c r="AB155" s="2">
        <f t="shared" si="67"/>
        <v>-1183.2226680000001</v>
      </c>
      <c r="AC155" s="2"/>
      <c r="AD155" s="8">
        <f t="shared" si="68"/>
        <v>0</v>
      </c>
      <c r="AE155" s="8">
        <f t="shared" si="69"/>
        <v>-1.1392474398289862</v>
      </c>
      <c r="AF155" s="8">
        <f t="shared" si="70"/>
        <v>0.14544435926757271</v>
      </c>
      <c r="AG155" s="8">
        <f t="shared" si="71"/>
        <v>-3.8261278753778986E-2</v>
      </c>
      <c r="AH155" s="11">
        <f t="shared" si="72"/>
        <v>-0.25244857419743966</v>
      </c>
      <c r="AI155" s="8">
        <f t="shared" si="73"/>
        <v>-1.0320643593151926</v>
      </c>
      <c r="AJ155" s="9">
        <f t="shared" si="74"/>
        <v>261.437855302157</v>
      </c>
      <c r="AL155" s="7">
        <f t="shared" si="75"/>
        <v>1551.9621446978431</v>
      </c>
      <c r="AM155" s="42">
        <f t="shared" si="76"/>
        <v>26.629238123658105</v>
      </c>
    </row>
    <row r="156" spans="1:39" s="16" customFormat="1" ht="15.95" customHeight="1" x14ac:dyDescent="0.25">
      <c r="A156" s="10">
        <v>46055</v>
      </c>
      <c r="B156" s="20">
        <v>1806.5</v>
      </c>
      <c r="C156" s="18">
        <v>8467038.3128021602</v>
      </c>
      <c r="E156" s="14"/>
      <c r="F156" s="4">
        <v>130700</v>
      </c>
      <c r="G156" s="4">
        <v>7706031024</v>
      </c>
      <c r="H156" s="4">
        <v>98600</v>
      </c>
      <c r="I156" s="4">
        <v>4107412004</v>
      </c>
      <c r="J156" s="4">
        <v>28100</v>
      </c>
      <c r="K156" s="4">
        <v>2272318410</v>
      </c>
      <c r="L156" s="4">
        <v>86800</v>
      </c>
      <c r="M156" s="4">
        <v>1793300377</v>
      </c>
      <c r="N156" s="4">
        <v>170000</v>
      </c>
      <c r="O156" s="4">
        <v>591611334</v>
      </c>
      <c r="Q156" s="17"/>
      <c r="R156" s="3">
        <f t="shared" si="58"/>
        <v>-75519104035200</v>
      </c>
      <c r="S156" s="3">
        <f t="shared" si="59"/>
        <v>-30394848829600</v>
      </c>
      <c r="T156" s="3">
        <f t="shared" si="60"/>
        <v>-4771868661000</v>
      </c>
      <c r="U156" s="3">
        <f t="shared" si="61"/>
        <v>-10221812148900</v>
      </c>
      <c r="V156" s="3">
        <f t="shared" si="62"/>
        <v>-295805667000</v>
      </c>
      <c r="X156" s="2">
        <f t="shared" si="63"/>
        <v>-75519.104035199998</v>
      </c>
      <c r="Y156" s="2">
        <f t="shared" si="64"/>
        <v>-30394.8488296</v>
      </c>
      <c r="Z156" s="2">
        <f t="shared" si="65"/>
        <v>-4771.8686610000004</v>
      </c>
      <c r="AA156" s="2">
        <f t="shared" si="66"/>
        <v>-10221.8121489</v>
      </c>
      <c r="AB156" s="2">
        <f t="shared" si="67"/>
        <v>-295.80566700000003</v>
      </c>
      <c r="AC156" s="2"/>
      <c r="AD156" s="8">
        <f t="shared" si="68"/>
        <v>-16.11301850896556</v>
      </c>
      <c r="AE156" s="8">
        <f t="shared" si="69"/>
        <v>-6.4851505857415592</v>
      </c>
      <c r="AF156" s="8">
        <f t="shared" si="70"/>
        <v>-1.0181424824797591</v>
      </c>
      <c r="AG156" s="8">
        <f t="shared" si="71"/>
        <v>-2.1809613667241723</v>
      </c>
      <c r="AH156" s="11">
        <f t="shared" si="72"/>
        <v>-6.3114125204746685E-2</v>
      </c>
      <c r="AI156" s="8">
        <f t="shared" si="73"/>
        <v>-25.79727294391105</v>
      </c>
      <c r="AJ156" s="9">
        <f t="shared" si="74"/>
        <v>262.4699196614722</v>
      </c>
      <c r="AL156" s="7">
        <f t="shared" si="75"/>
        <v>1544.0300803385278</v>
      </c>
      <c r="AM156" s="42">
        <f t="shared" si="76"/>
        <v>33.360552549047668</v>
      </c>
    </row>
    <row r="157" spans="1:39" ht="15.95" customHeight="1" x14ac:dyDescent="0.25">
      <c r="A157" s="10">
        <v>46052</v>
      </c>
      <c r="B157" s="20">
        <v>1829.04</v>
      </c>
      <c r="C157" s="18">
        <v>8572413.7887439094</v>
      </c>
      <c r="E157" s="14"/>
      <c r="F157" s="4">
        <v>140500</v>
      </c>
      <c r="G157" s="4">
        <v>7706031024</v>
      </c>
      <c r="H157" s="4">
        <v>106000</v>
      </c>
      <c r="I157" s="4">
        <v>4107412004</v>
      </c>
      <c r="J157" s="4">
        <v>30200</v>
      </c>
      <c r="K157" s="4">
        <v>2272318410</v>
      </c>
      <c r="L157" s="4">
        <v>92500</v>
      </c>
      <c r="M157" s="4">
        <v>1793300377</v>
      </c>
      <c r="N157" s="4">
        <v>170500</v>
      </c>
      <c r="O157" s="4">
        <v>591611334</v>
      </c>
      <c r="Q157" s="17"/>
      <c r="R157" s="3">
        <f t="shared" si="58"/>
        <v>0</v>
      </c>
      <c r="S157" s="3">
        <f t="shared" si="59"/>
        <v>-4107412004000</v>
      </c>
      <c r="T157" s="3">
        <f t="shared" si="60"/>
        <v>454463682000</v>
      </c>
      <c r="U157" s="3">
        <f t="shared" si="61"/>
        <v>896650188500</v>
      </c>
      <c r="V157" s="3">
        <f t="shared" si="62"/>
        <v>3845473671000</v>
      </c>
      <c r="X157" s="2">
        <f t="shared" si="63"/>
        <v>0</v>
      </c>
      <c r="Y157" s="2">
        <f t="shared" si="64"/>
        <v>-4107.4120039999998</v>
      </c>
      <c r="Z157" s="2">
        <f t="shared" si="65"/>
        <v>454.46368200000001</v>
      </c>
      <c r="AA157" s="2">
        <f t="shared" si="66"/>
        <v>896.65018850000001</v>
      </c>
      <c r="AB157" s="2">
        <f t="shared" si="67"/>
        <v>3845.4736710000002</v>
      </c>
      <c r="AC157" s="2"/>
      <c r="AD157" s="8">
        <f t="shared" si="68"/>
        <v>0</v>
      </c>
      <c r="AE157" s="8">
        <f t="shared" si="69"/>
        <v>-0.87651934901856499</v>
      </c>
      <c r="AF157" s="8">
        <f t="shared" si="70"/>
        <v>9.6982287219127508E-2</v>
      </c>
      <c r="AG157" s="8">
        <f t="shared" si="71"/>
        <v>0.19134463227843107</v>
      </c>
      <c r="AH157" s="11">
        <f t="shared" si="72"/>
        <v>0.82062186006430915</v>
      </c>
      <c r="AI157" s="8">
        <f t="shared" si="73"/>
        <v>-0.58819242952100637</v>
      </c>
      <c r="AJ157" s="9">
        <f t="shared" si="74"/>
        <v>288.26719260538323</v>
      </c>
      <c r="AL157" s="7">
        <f t="shared" si="75"/>
        <v>1540.7728073946168</v>
      </c>
      <c r="AM157" s="42">
        <f t="shared" si="76"/>
        <v>40.472025042797767</v>
      </c>
    </row>
    <row r="158" spans="1:39" ht="15.95" customHeight="1" x14ac:dyDescent="0.25">
      <c r="A158" s="10">
        <v>46051</v>
      </c>
      <c r="B158" s="20">
        <v>1814.98</v>
      </c>
      <c r="C158" s="18">
        <v>8505083.9406649806</v>
      </c>
      <c r="E158" s="14"/>
      <c r="F158" s="4">
        <v>140500</v>
      </c>
      <c r="G158" s="4">
        <v>7706031024</v>
      </c>
      <c r="H158" s="4">
        <v>107000</v>
      </c>
      <c r="I158" s="4">
        <v>4107412004</v>
      </c>
      <c r="J158" s="4">
        <v>30000</v>
      </c>
      <c r="K158" s="4">
        <v>2272318410</v>
      </c>
      <c r="L158" s="4">
        <v>92000</v>
      </c>
      <c r="M158" s="4">
        <v>1793300377</v>
      </c>
      <c r="N158" s="4">
        <v>164000</v>
      </c>
      <c r="O158" s="4">
        <v>591611334</v>
      </c>
      <c r="Q158" s="17"/>
      <c r="R158" s="3">
        <f t="shared" si="58"/>
        <v>0</v>
      </c>
      <c r="S158" s="3">
        <f t="shared" si="59"/>
        <v>11090012410800</v>
      </c>
      <c r="T158" s="3">
        <f t="shared" si="60"/>
        <v>2045086569000</v>
      </c>
      <c r="U158" s="3">
        <f t="shared" si="61"/>
        <v>1793300377000</v>
      </c>
      <c r="V158" s="3">
        <f t="shared" si="62"/>
        <v>-4437085005000</v>
      </c>
      <c r="X158" s="2">
        <f t="shared" si="63"/>
        <v>0</v>
      </c>
      <c r="Y158" s="2">
        <f t="shared" si="64"/>
        <v>11090.0124108</v>
      </c>
      <c r="Z158" s="2">
        <f t="shared" si="65"/>
        <v>2045.0865690000001</v>
      </c>
      <c r="AA158" s="2">
        <f t="shared" si="66"/>
        <v>1793.300377</v>
      </c>
      <c r="AB158" s="2">
        <f t="shared" si="67"/>
        <v>-4437.0850049999999</v>
      </c>
      <c r="AC158" s="2"/>
      <c r="AD158" s="8">
        <f t="shared" si="68"/>
        <v>0</v>
      </c>
      <c r="AE158" s="8">
        <f t="shared" si="69"/>
        <v>2.3666328214740147</v>
      </c>
      <c r="AF158" s="8">
        <f t="shared" si="70"/>
        <v>0.43642593151993969</v>
      </c>
      <c r="AG158" s="8">
        <f t="shared" si="71"/>
        <v>0.38269420932629672</v>
      </c>
      <c r="AH158" s="11">
        <f t="shared" si="72"/>
        <v>-0.9468836116248931</v>
      </c>
      <c r="AI158" s="8">
        <f t="shared" si="73"/>
        <v>3.185752962320251</v>
      </c>
      <c r="AJ158" s="9">
        <f t="shared" si="74"/>
        <v>288.85538503490426</v>
      </c>
      <c r="AL158" s="7">
        <f t="shared" si="75"/>
        <v>1526.1246149650958</v>
      </c>
      <c r="AM158" s="42">
        <f t="shared" si="76"/>
        <v>44.42987989063456</v>
      </c>
    </row>
    <row r="159" spans="1:39" ht="15.95" customHeight="1" x14ac:dyDescent="0.25">
      <c r="A159" s="10">
        <v>46050</v>
      </c>
      <c r="B159" s="20">
        <v>1802.91</v>
      </c>
      <c r="C159" s="18">
        <v>8448414.1748284996</v>
      </c>
      <c r="E159" s="14"/>
      <c r="F159" s="4">
        <v>140500</v>
      </c>
      <c r="G159" s="4">
        <v>7706031024</v>
      </c>
      <c r="H159" s="4">
        <v>104300</v>
      </c>
      <c r="I159" s="4">
        <v>4107412004</v>
      </c>
      <c r="J159" s="4">
        <v>29100</v>
      </c>
      <c r="K159" s="4">
        <v>2272318410</v>
      </c>
      <c r="L159" s="4">
        <v>91000</v>
      </c>
      <c r="M159" s="4">
        <v>1793300377</v>
      </c>
      <c r="N159" s="4">
        <v>171500</v>
      </c>
      <c r="O159" s="4">
        <v>591611334</v>
      </c>
      <c r="Q159" s="17"/>
      <c r="R159" s="3">
        <f t="shared" si="58"/>
        <v>-80913325752000</v>
      </c>
      <c r="S159" s="3">
        <f t="shared" si="59"/>
        <v>-25876695625200</v>
      </c>
      <c r="T159" s="3">
        <f t="shared" si="60"/>
        <v>-4090173138000</v>
      </c>
      <c r="U159" s="3">
        <f t="shared" si="61"/>
        <v>-1613970339300</v>
      </c>
      <c r="V159" s="3">
        <f t="shared" si="62"/>
        <v>-4318762738200</v>
      </c>
      <c r="X159" s="2">
        <f t="shared" si="63"/>
        <v>-80913.325752000004</v>
      </c>
      <c r="Y159" s="2">
        <f t="shared" si="64"/>
        <v>-25876.695625200002</v>
      </c>
      <c r="Z159" s="2">
        <f t="shared" si="65"/>
        <v>-4090.1731380000001</v>
      </c>
      <c r="AA159" s="2">
        <f t="shared" si="66"/>
        <v>-1613.9703393</v>
      </c>
      <c r="AB159" s="2">
        <f t="shared" si="67"/>
        <v>-4318.7627382000001</v>
      </c>
      <c r="AC159" s="2"/>
      <c r="AD159" s="8">
        <f t="shared" si="68"/>
        <v>-17.269125237694663</v>
      </c>
      <c r="AE159" s="8">
        <f t="shared" si="69"/>
        <v>-5.522797306082043</v>
      </c>
      <c r="AF159" s="8">
        <f t="shared" si="70"/>
        <v>-0.87295524572144623</v>
      </c>
      <c r="AG159" s="8">
        <f t="shared" si="71"/>
        <v>-0.34446558289698426</v>
      </c>
      <c r="AH159" s="11">
        <f t="shared" si="72"/>
        <v>-0.92174254246398291</v>
      </c>
      <c r="AI159" s="8">
        <f t="shared" si="73"/>
        <v>-24.009343372395136</v>
      </c>
      <c r="AJ159" s="9">
        <f t="shared" si="74"/>
        <v>285.66963207258402</v>
      </c>
      <c r="AL159" s="7">
        <f t="shared" si="75"/>
        <v>1517.2403679274162</v>
      </c>
      <c r="AM159" s="42">
        <f t="shared" si="76"/>
        <v>47.772323613696017</v>
      </c>
    </row>
    <row r="160" spans="1:39" ht="15.95" customHeight="1" x14ac:dyDescent="0.25">
      <c r="A160" s="10">
        <v>46049</v>
      </c>
      <c r="B160" s="20">
        <v>1830.5</v>
      </c>
      <c r="C160" s="18">
        <v>8576684.7336158492</v>
      </c>
      <c r="E160" s="14"/>
      <c r="F160" s="4">
        <v>151000</v>
      </c>
      <c r="G160" s="4">
        <v>7706031024</v>
      </c>
      <c r="H160" s="4">
        <v>110600</v>
      </c>
      <c r="I160" s="4">
        <v>4107412004</v>
      </c>
      <c r="J160" s="4">
        <v>30900</v>
      </c>
      <c r="K160" s="4">
        <v>2272318410</v>
      </c>
      <c r="L160" s="4">
        <v>91900</v>
      </c>
      <c r="M160" s="4">
        <v>1793300377</v>
      </c>
      <c r="N160" s="4">
        <v>178800</v>
      </c>
      <c r="O160" s="4">
        <v>591611334</v>
      </c>
      <c r="Q160" s="17"/>
      <c r="R160" s="3">
        <f t="shared" si="58"/>
        <v>-68583676113600</v>
      </c>
      <c r="S160" s="3">
        <f t="shared" si="59"/>
        <v>-34091519633200</v>
      </c>
      <c r="T160" s="3">
        <f t="shared" si="60"/>
        <v>-227231841000</v>
      </c>
      <c r="U160" s="3">
        <f t="shared" si="61"/>
        <v>-2869280603200</v>
      </c>
      <c r="V160" s="3">
        <f t="shared" si="62"/>
        <v>-1893156268800</v>
      </c>
      <c r="X160" s="2">
        <f t="shared" si="63"/>
        <v>-68583.676113599999</v>
      </c>
      <c r="Y160" s="2">
        <f t="shared" si="64"/>
        <v>-34091.519633199998</v>
      </c>
      <c r="Z160" s="2">
        <f t="shared" si="65"/>
        <v>-227.231841</v>
      </c>
      <c r="AA160" s="2">
        <f t="shared" si="66"/>
        <v>-2869.2806031999999</v>
      </c>
      <c r="AB160" s="2">
        <f t="shared" si="67"/>
        <v>-1893.1562687999999</v>
      </c>
      <c r="AC160" s="2"/>
      <c r="AD160" s="8">
        <f t="shared" si="68"/>
        <v>-14.638303532684251</v>
      </c>
      <c r="AE160" s="8">
        <f t="shared" si="69"/>
        <v>-7.276396375351001</v>
      </c>
      <c r="AF160" s="8">
        <f t="shared" si="70"/>
        <v>-4.8499713770651175E-2</v>
      </c>
      <c r="AG160" s="8">
        <f t="shared" si="71"/>
        <v>-0.61241103962574217</v>
      </c>
      <c r="AH160" s="11">
        <f t="shared" si="72"/>
        <v>-0.40406985550899949</v>
      </c>
      <c r="AI160" s="8">
        <f t="shared" si="73"/>
        <v>-22.575610661431647</v>
      </c>
      <c r="AJ160" s="9">
        <f t="shared" si="74"/>
        <v>309.67897544497919</v>
      </c>
      <c r="AL160" s="7">
        <f t="shared" si="75"/>
        <v>1520.8210245550208</v>
      </c>
      <c r="AM160" s="42">
        <f t="shared" si="76"/>
        <v>51.239283331780669</v>
      </c>
    </row>
    <row r="161" spans="1:39" ht="15.95" customHeight="1" x14ac:dyDescent="0.25">
      <c r="A161" s="10">
        <v>46048</v>
      </c>
      <c r="B161" s="20">
        <v>1843.72</v>
      </c>
      <c r="C161" s="18">
        <v>8638234.2763854004</v>
      </c>
      <c r="E161" s="14"/>
      <c r="F161" s="4">
        <v>159900</v>
      </c>
      <c r="G161" s="4">
        <v>7706031024</v>
      </c>
      <c r="H161" s="4">
        <v>118900</v>
      </c>
      <c r="I161" s="4">
        <v>4107412004</v>
      </c>
      <c r="J161" s="4">
        <v>31000</v>
      </c>
      <c r="K161" s="4">
        <v>2272318410</v>
      </c>
      <c r="L161" s="4">
        <v>93500</v>
      </c>
      <c r="M161" s="4">
        <v>1793300377</v>
      </c>
      <c r="N161" s="4">
        <v>182000</v>
      </c>
      <c r="O161" s="4">
        <v>591611334</v>
      </c>
      <c r="Q161" s="17"/>
      <c r="R161" s="3">
        <f t="shared" si="58"/>
        <v>-42383170632000</v>
      </c>
      <c r="S161" s="3">
        <f t="shared" si="59"/>
        <v>-14786683214400</v>
      </c>
      <c r="T161" s="3">
        <f t="shared" si="60"/>
        <v>-3181245774000</v>
      </c>
      <c r="U161" s="3">
        <f t="shared" si="61"/>
        <v>-537990113100</v>
      </c>
      <c r="V161" s="3">
        <f t="shared" si="62"/>
        <v>-6862691474400</v>
      </c>
      <c r="X161" s="2">
        <f t="shared" si="63"/>
        <v>-42383.170632000001</v>
      </c>
      <c r="Y161" s="2">
        <f t="shared" si="64"/>
        <v>-14786.6832144</v>
      </c>
      <c r="Z161" s="2">
        <f t="shared" si="65"/>
        <v>-3181.245774</v>
      </c>
      <c r="AA161" s="2">
        <f t="shared" si="66"/>
        <v>-537.99011310000003</v>
      </c>
      <c r="AB161" s="2">
        <f t="shared" si="67"/>
        <v>-6862.6914743999996</v>
      </c>
      <c r="AC161" s="2"/>
      <c r="AD161" s="8">
        <f t="shared" si="68"/>
        <v>-9.0460164033850994</v>
      </c>
      <c r="AE161" s="8">
        <f t="shared" si="69"/>
        <v>-3.1559833045649972</v>
      </c>
      <c r="AF161" s="8">
        <f t="shared" si="70"/>
        <v>-0.67898651813170285</v>
      </c>
      <c r="AG161" s="8">
        <f t="shared" si="71"/>
        <v>-0.11482546764180002</v>
      </c>
      <c r="AH161" s="11">
        <f t="shared" si="72"/>
        <v>-1.4647327871672258</v>
      </c>
      <c r="AI161" s="8">
        <f t="shared" si="73"/>
        <v>-12.995811693723601</v>
      </c>
      <c r="AJ161" s="9">
        <f t="shared" si="74"/>
        <v>332.25458610641084</v>
      </c>
      <c r="AL161" s="7">
        <f t="shared" si="75"/>
        <v>1511.4654138935891</v>
      </c>
      <c r="AM161" s="42">
        <f t="shared" si="76"/>
        <v>54.681487170503921</v>
      </c>
    </row>
    <row r="162" spans="1:39" ht="15.95" customHeight="1" x14ac:dyDescent="0.25">
      <c r="A162" s="10">
        <v>46045</v>
      </c>
      <c r="B162" s="20">
        <v>1870.79</v>
      </c>
      <c r="C162" s="18">
        <v>8765185.4972281791</v>
      </c>
      <c r="E162" s="14"/>
      <c r="F162" s="4">
        <v>165400</v>
      </c>
      <c r="G162" s="4">
        <v>7706031024</v>
      </c>
      <c r="H162" s="4">
        <v>122500</v>
      </c>
      <c r="I162" s="4">
        <v>4107412004</v>
      </c>
      <c r="J162" s="4">
        <v>32400</v>
      </c>
      <c r="K162" s="4">
        <v>2272318410</v>
      </c>
      <c r="L162" s="4">
        <v>93800</v>
      </c>
      <c r="M162" s="4">
        <v>1793300377</v>
      </c>
      <c r="N162" s="4">
        <v>193600</v>
      </c>
      <c r="O162" s="4">
        <v>591611334</v>
      </c>
      <c r="Q162" s="17"/>
      <c r="R162" s="3">
        <f t="shared" si="58"/>
        <v>33135933403200</v>
      </c>
      <c r="S162" s="3">
        <f t="shared" si="59"/>
        <v>8214824008000</v>
      </c>
      <c r="T162" s="3">
        <f t="shared" si="60"/>
        <v>1249775125500</v>
      </c>
      <c r="U162" s="3">
        <f t="shared" si="61"/>
        <v>3227940678600</v>
      </c>
      <c r="V162" s="3">
        <f t="shared" si="62"/>
        <v>7454302808400</v>
      </c>
      <c r="X162" s="2">
        <f t="shared" si="63"/>
        <v>33135.933403199997</v>
      </c>
      <c r="Y162" s="2">
        <f t="shared" si="64"/>
        <v>8214.8240079999996</v>
      </c>
      <c r="Z162" s="2">
        <f t="shared" si="65"/>
        <v>1249.7751255000001</v>
      </c>
      <c r="AA162" s="2">
        <f t="shared" si="66"/>
        <v>3227.9406786</v>
      </c>
      <c r="AB162" s="2">
        <f t="shared" si="67"/>
        <v>7454.3028083999998</v>
      </c>
      <c r="AC162" s="2"/>
      <c r="AD162" s="8">
        <f t="shared" si="68"/>
        <v>7.072291427393715</v>
      </c>
      <c r="AE162" s="8">
        <f t="shared" si="69"/>
        <v>1.753311992222796</v>
      </c>
      <c r="AF162" s="8">
        <f t="shared" si="70"/>
        <v>0.2667428678918693</v>
      </c>
      <c r="AG162" s="8">
        <f t="shared" si="71"/>
        <v>0.68894806467692871</v>
      </c>
      <c r="AH162" s="11">
        <f t="shared" si="72"/>
        <v>1.5909919062051545</v>
      </c>
      <c r="AI162" s="8">
        <f t="shared" si="73"/>
        <v>9.7812943521853093</v>
      </c>
      <c r="AJ162" s="9">
        <f t="shared" si="74"/>
        <v>345.25039780013446</v>
      </c>
      <c r="AL162" s="7">
        <f t="shared" si="75"/>
        <v>1525.5396021998654</v>
      </c>
      <c r="AM162" s="42">
        <f t="shared" si="76"/>
        <v>57.493271794536028</v>
      </c>
    </row>
    <row r="163" spans="1:39" ht="15.95" customHeight="1" x14ac:dyDescent="0.25">
      <c r="A163" s="10">
        <v>46044</v>
      </c>
      <c r="B163" s="20">
        <v>1882.73</v>
      </c>
      <c r="C163" s="18">
        <v>8821188.5124758296</v>
      </c>
      <c r="E163" s="14"/>
      <c r="F163" s="4">
        <v>161100</v>
      </c>
      <c r="G163" s="4">
        <v>7706031024</v>
      </c>
      <c r="H163" s="4">
        <v>120500</v>
      </c>
      <c r="I163" s="4">
        <v>4107412004</v>
      </c>
      <c r="J163" s="4">
        <v>31850</v>
      </c>
      <c r="K163" s="4">
        <v>2272318410</v>
      </c>
      <c r="L163" s="4">
        <v>92000</v>
      </c>
      <c r="M163" s="4">
        <v>1793300377</v>
      </c>
      <c r="N163" s="4">
        <v>181000</v>
      </c>
      <c r="O163" s="4">
        <v>591611334</v>
      </c>
      <c r="Q163" s="17"/>
      <c r="R163" s="3">
        <f t="shared" si="58"/>
        <v>4623618614400</v>
      </c>
      <c r="S163" s="3">
        <f t="shared" si="59"/>
        <v>-9857788809600</v>
      </c>
      <c r="T163" s="3">
        <f t="shared" si="60"/>
        <v>1363391046000</v>
      </c>
      <c r="U163" s="3">
        <f t="shared" si="61"/>
        <v>537990113100</v>
      </c>
      <c r="V163" s="3">
        <f t="shared" si="62"/>
        <v>-473289067200</v>
      </c>
      <c r="X163" s="2">
        <f t="shared" si="63"/>
        <v>4623.6186144000003</v>
      </c>
      <c r="Y163" s="2">
        <f t="shared" si="64"/>
        <v>-9857.7888096000006</v>
      </c>
      <c r="Z163" s="2">
        <f t="shared" si="65"/>
        <v>1363.391046</v>
      </c>
      <c r="AA163" s="2">
        <f t="shared" si="66"/>
        <v>537.99011310000003</v>
      </c>
      <c r="AB163" s="2">
        <f t="shared" si="67"/>
        <v>-473.28906719999998</v>
      </c>
      <c r="AC163" s="2"/>
      <c r="AD163" s="8">
        <f t="shared" si="68"/>
        <v>0.98686011946653651</v>
      </c>
      <c r="AE163" s="8">
        <f t="shared" si="69"/>
        <v>-2.1040357031221451</v>
      </c>
      <c r="AF163" s="8">
        <f t="shared" si="70"/>
        <v>0.29100069939695195</v>
      </c>
      <c r="AG163" s="8">
        <f t="shared" si="71"/>
        <v>0.11482802358139098</v>
      </c>
      <c r="AH163" s="11">
        <f t="shared" si="72"/>
        <v>-0.10101830283850272</v>
      </c>
      <c r="AI163" s="8">
        <f t="shared" si="73"/>
        <v>-0.7113468606772656</v>
      </c>
      <c r="AJ163" s="9">
        <f t="shared" si="74"/>
        <v>335.46910344794918</v>
      </c>
      <c r="AL163" s="7">
        <f t="shared" si="75"/>
        <v>1547.2608965520508</v>
      </c>
      <c r="AM163" s="42">
        <f t="shared" si="76"/>
        <v>58.786564790779444</v>
      </c>
    </row>
    <row r="164" spans="1:39" ht="15.95" customHeight="1" x14ac:dyDescent="0.25">
      <c r="A164" s="10">
        <v>46043</v>
      </c>
      <c r="B164" s="20">
        <v>1885.44</v>
      </c>
      <c r="C164" s="18">
        <v>8833628.3008849882</v>
      </c>
      <c r="E164" s="14"/>
      <c r="F164" s="4">
        <v>160500</v>
      </c>
      <c r="G164" s="4">
        <v>7706031024</v>
      </c>
      <c r="H164" s="4">
        <v>122900</v>
      </c>
      <c r="I164" s="4">
        <v>4107412004</v>
      </c>
      <c r="J164" s="4">
        <v>31250</v>
      </c>
      <c r="K164" s="4">
        <v>2272318410</v>
      </c>
      <c r="L164" s="4">
        <v>91700</v>
      </c>
      <c r="M164" s="4">
        <v>1793300377</v>
      </c>
      <c r="N164" s="4">
        <v>181800</v>
      </c>
      <c r="O164" s="4">
        <v>591611334</v>
      </c>
      <c r="Q164" s="17"/>
      <c r="R164" s="3">
        <f t="shared" si="58"/>
        <v>-3853015512000</v>
      </c>
      <c r="S164" s="3">
        <f t="shared" si="59"/>
        <v>-410741200400</v>
      </c>
      <c r="T164" s="3">
        <f t="shared" si="60"/>
        <v>227231841000</v>
      </c>
      <c r="U164" s="3">
        <f t="shared" si="61"/>
        <v>0</v>
      </c>
      <c r="V164" s="3">
        <f t="shared" si="62"/>
        <v>0</v>
      </c>
      <c r="X164" s="2">
        <f t="shared" si="63"/>
        <v>-3853.0155119999999</v>
      </c>
      <c r="Y164" s="2">
        <f t="shared" si="64"/>
        <v>-410.74120040000003</v>
      </c>
      <c r="Z164" s="2">
        <f t="shared" si="65"/>
        <v>227.231841</v>
      </c>
      <c r="AA164" s="2">
        <f t="shared" si="66"/>
        <v>0</v>
      </c>
      <c r="AB164" s="2">
        <f t="shared" si="67"/>
        <v>0</v>
      </c>
      <c r="AC164" s="2"/>
      <c r="AD164" s="8">
        <f t="shared" si="68"/>
        <v>-0.8223690504891531</v>
      </c>
      <c r="AE164" s="8">
        <f t="shared" si="69"/>
        <v>-8.7666621096573194E-2</v>
      </c>
      <c r="AF164" s="8">
        <f t="shared" si="70"/>
        <v>4.8499268363203049E-2</v>
      </c>
      <c r="AG164" s="8">
        <f t="shared" si="71"/>
        <v>0</v>
      </c>
      <c r="AH164" s="11">
        <f t="shared" si="72"/>
        <v>0</v>
      </c>
      <c r="AI164" s="8">
        <f t="shared" si="73"/>
        <v>-0.86153640322252323</v>
      </c>
      <c r="AJ164" s="9">
        <f t="shared" si="74"/>
        <v>336.18045030862646</v>
      </c>
      <c r="AL164" s="7">
        <f t="shared" si="75"/>
        <v>1549.2595496913736</v>
      </c>
      <c r="AM164" s="42">
        <f t="shared" si="76"/>
        <v>58.742932148585524</v>
      </c>
    </row>
    <row r="165" spans="1:39" ht="15.95" customHeight="1" x14ac:dyDescent="0.25">
      <c r="A165" s="10">
        <v>46042</v>
      </c>
      <c r="B165" s="20">
        <v>1893.78</v>
      </c>
      <c r="C165" s="18">
        <v>8872857.8878000993</v>
      </c>
      <c r="E165" s="14"/>
      <c r="F165" s="4">
        <v>161000</v>
      </c>
      <c r="G165" s="4">
        <v>7706031024</v>
      </c>
      <c r="H165" s="4">
        <v>123000</v>
      </c>
      <c r="I165" s="4">
        <v>4107412004</v>
      </c>
      <c r="J165" s="4">
        <v>31150</v>
      </c>
      <c r="K165" s="4">
        <v>2272318410</v>
      </c>
      <c r="L165" s="4">
        <v>91700</v>
      </c>
      <c r="M165" s="4">
        <v>1793300377</v>
      </c>
      <c r="N165" s="4">
        <v>181800</v>
      </c>
      <c r="O165" s="4">
        <v>591611334</v>
      </c>
      <c r="Q165" s="17"/>
      <c r="R165" s="3">
        <f t="shared" si="58"/>
        <v>-7706031024000</v>
      </c>
      <c r="S165" s="3">
        <f t="shared" si="59"/>
        <v>-8214824008000</v>
      </c>
      <c r="T165" s="3">
        <f t="shared" si="60"/>
        <v>-1931470648500</v>
      </c>
      <c r="U165" s="3">
        <f t="shared" si="61"/>
        <v>-3227940678600</v>
      </c>
      <c r="V165" s="3">
        <f t="shared" si="62"/>
        <v>-1893156268800</v>
      </c>
      <c r="X165" s="2">
        <f t="shared" si="63"/>
        <v>-7706.0310239999999</v>
      </c>
      <c r="Y165" s="2">
        <f t="shared" si="64"/>
        <v>-8214.8240079999996</v>
      </c>
      <c r="Z165" s="2">
        <f t="shared" si="65"/>
        <v>-1931.4706484999999</v>
      </c>
      <c r="AA165" s="2">
        <f t="shared" si="66"/>
        <v>-3227.9406786</v>
      </c>
      <c r="AB165" s="2">
        <f t="shared" si="67"/>
        <v>-1893.1562687999999</v>
      </c>
      <c r="AC165" s="2"/>
      <c r="AD165" s="8">
        <f t="shared" si="68"/>
        <v>-1.644872689780623</v>
      </c>
      <c r="AE165" s="8">
        <f t="shared" si="69"/>
        <v>-1.7534758969993729</v>
      </c>
      <c r="AF165" s="8">
        <f t="shared" si="70"/>
        <v>-0.41227751496663567</v>
      </c>
      <c r="AG165" s="8">
        <f t="shared" si="71"/>
        <v>-0.68901246957412599</v>
      </c>
      <c r="AH165" s="11">
        <f t="shared" si="72"/>
        <v>-0.40409920935144472</v>
      </c>
      <c r="AI165" s="8">
        <f t="shared" si="73"/>
        <v>-4.499638571320757</v>
      </c>
      <c r="AJ165" s="9">
        <f t="shared" si="74"/>
        <v>337.04198671184901</v>
      </c>
      <c r="AL165" s="7">
        <f t="shared" si="75"/>
        <v>1556.738013288151</v>
      </c>
      <c r="AM165" s="42">
        <f t="shared" si="76"/>
        <v>57.52331853493903</v>
      </c>
    </row>
    <row r="166" spans="1:39" ht="15.95" customHeight="1" x14ac:dyDescent="0.25">
      <c r="A166" s="10">
        <v>46041</v>
      </c>
      <c r="B166" s="20">
        <v>1896.59</v>
      </c>
      <c r="C166" s="18">
        <v>8885296.3944324404</v>
      </c>
      <c r="E166" s="14"/>
      <c r="F166" s="4">
        <v>162000</v>
      </c>
      <c r="G166" s="4">
        <v>7706031024</v>
      </c>
      <c r="H166" s="4">
        <v>125000</v>
      </c>
      <c r="I166" s="4">
        <v>4107412004</v>
      </c>
      <c r="J166" s="4">
        <v>32000</v>
      </c>
      <c r="K166" s="4">
        <v>2272318410</v>
      </c>
      <c r="L166" s="4">
        <v>93500</v>
      </c>
      <c r="M166" s="4">
        <v>1793300377</v>
      </c>
      <c r="N166" s="4">
        <v>185000</v>
      </c>
      <c r="O166" s="4">
        <v>591611334</v>
      </c>
      <c r="Q166" s="17"/>
      <c r="R166" s="3">
        <f t="shared" si="58"/>
        <v>16182665150400</v>
      </c>
      <c r="S166" s="3">
        <f t="shared" si="59"/>
        <v>3696670803600</v>
      </c>
      <c r="T166" s="3">
        <f t="shared" si="60"/>
        <v>0</v>
      </c>
      <c r="U166" s="3">
        <f t="shared" si="61"/>
        <v>896650188500</v>
      </c>
      <c r="V166" s="3">
        <f t="shared" si="62"/>
        <v>591611334000</v>
      </c>
      <c r="X166" s="2">
        <f t="shared" si="63"/>
        <v>16182.6651504</v>
      </c>
      <c r="Y166" s="2">
        <f t="shared" si="64"/>
        <v>3696.6708036</v>
      </c>
      <c r="Z166" s="2">
        <f t="shared" si="65"/>
        <v>0</v>
      </c>
      <c r="AA166" s="2">
        <f t="shared" si="66"/>
        <v>896.65018850000001</v>
      </c>
      <c r="AB166" s="2">
        <f t="shared" si="67"/>
        <v>591.61133400000006</v>
      </c>
      <c r="AC166" s="2"/>
      <c r="AD166" s="8">
        <f t="shared" si="68"/>
        <v>3.4541886665407691</v>
      </c>
      <c r="AE166" s="8">
        <f t="shared" si="69"/>
        <v>0.78905410666620979</v>
      </c>
      <c r="AF166" s="8">
        <f t="shared" si="70"/>
        <v>0</v>
      </c>
      <c r="AG166" s="8">
        <f t="shared" si="71"/>
        <v>0.19138991570197497</v>
      </c>
      <c r="AH166" s="11">
        <f t="shared" si="72"/>
        <v>0.12627939501358054</v>
      </c>
      <c r="AI166" s="8">
        <f t="shared" si="73"/>
        <v>4.4346326889089536</v>
      </c>
      <c r="AJ166" s="9">
        <f t="shared" si="74"/>
        <v>341.54162528316976</v>
      </c>
      <c r="AL166" s="7">
        <f t="shared" si="75"/>
        <v>1555.04837471683</v>
      </c>
      <c r="AM166" s="42">
        <f t="shared" si="76"/>
        <v>56.012370148931986</v>
      </c>
    </row>
    <row r="167" spans="1:39" ht="15.95" customHeight="1" x14ac:dyDescent="0.25">
      <c r="A167" s="10">
        <v>46038</v>
      </c>
      <c r="B167" s="20">
        <v>1879.13</v>
      </c>
      <c r="C167" s="18">
        <v>8803610.4856208898</v>
      </c>
      <c r="E167" s="14"/>
      <c r="F167" s="4">
        <v>159900</v>
      </c>
      <c r="G167" s="4">
        <v>7706031024</v>
      </c>
      <c r="H167" s="4">
        <v>124100</v>
      </c>
      <c r="I167" s="4">
        <v>4107412004</v>
      </c>
      <c r="J167" s="4">
        <v>32000</v>
      </c>
      <c r="K167" s="4">
        <v>2272318410</v>
      </c>
      <c r="L167" s="4">
        <v>93000</v>
      </c>
      <c r="M167" s="4">
        <v>1793300377</v>
      </c>
      <c r="N167" s="4">
        <v>184000</v>
      </c>
      <c r="O167" s="4">
        <v>591611334</v>
      </c>
      <c r="Q167" s="17"/>
      <c r="R167" s="3">
        <f t="shared" si="58"/>
        <v>53171614065600</v>
      </c>
      <c r="S167" s="3">
        <f t="shared" si="59"/>
        <v>16840389216400</v>
      </c>
      <c r="T167" s="3">
        <f t="shared" si="60"/>
        <v>1249775125500</v>
      </c>
      <c r="U167" s="3">
        <f t="shared" si="61"/>
        <v>1255310263900</v>
      </c>
      <c r="V167" s="3">
        <f t="shared" si="62"/>
        <v>2070639669000</v>
      </c>
      <c r="X167" s="2">
        <f t="shared" si="63"/>
        <v>53171.614065599999</v>
      </c>
      <c r="Y167" s="2">
        <f t="shared" si="64"/>
        <v>16840.389216399999</v>
      </c>
      <c r="Z167" s="2">
        <f t="shared" si="65"/>
        <v>1249.7751255000001</v>
      </c>
      <c r="AA167" s="2">
        <f t="shared" si="66"/>
        <v>1255.3102639000001</v>
      </c>
      <c r="AB167" s="2">
        <f t="shared" si="67"/>
        <v>2070.6396690000001</v>
      </c>
      <c r="AC167" s="2"/>
      <c r="AD167" s="8">
        <f t="shared" si="68"/>
        <v>11.347274220038072</v>
      </c>
      <c r="AE167" s="8">
        <f t="shared" si="69"/>
        <v>3.5938821449900726</v>
      </c>
      <c r="AF167" s="8">
        <f t="shared" si="70"/>
        <v>0.26671263063285322</v>
      </c>
      <c r="AG167" s="8">
        <f t="shared" si="71"/>
        <v>0.26789387619732252</v>
      </c>
      <c r="AH167" s="11">
        <f t="shared" si="72"/>
        <v>0.44189209878119828</v>
      </c>
      <c r="AI167" s="8">
        <f t="shared" si="73"/>
        <v>15.475762871858318</v>
      </c>
      <c r="AJ167" s="9">
        <f t="shared" si="74"/>
        <v>337.10699259426082</v>
      </c>
      <c r="AL167" s="7">
        <f t="shared" si="75"/>
        <v>1542.0230074057392</v>
      </c>
      <c r="AM167" s="42">
        <f t="shared" si="76"/>
        <v>54.015774588155857</v>
      </c>
    </row>
    <row r="168" spans="1:39" ht="15.95" customHeight="1" x14ac:dyDescent="0.25">
      <c r="A168" s="10">
        <v>46037</v>
      </c>
      <c r="B168" s="20">
        <v>1864.8</v>
      </c>
      <c r="C168" s="18">
        <v>8738171.2988335807</v>
      </c>
      <c r="E168" s="14"/>
      <c r="F168" s="4">
        <v>153000</v>
      </c>
      <c r="G168" s="4">
        <v>7706031024</v>
      </c>
      <c r="H168" s="4">
        <v>120000</v>
      </c>
      <c r="I168" s="4">
        <v>4107412004</v>
      </c>
      <c r="J168" s="4">
        <v>31450</v>
      </c>
      <c r="K168" s="4">
        <v>2272318410</v>
      </c>
      <c r="L168" s="4">
        <v>92300</v>
      </c>
      <c r="M168" s="4">
        <v>1793300377</v>
      </c>
      <c r="N168" s="4">
        <v>180500</v>
      </c>
      <c r="O168" s="4">
        <v>591611334</v>
      </c>
      <c r="Q168" s="17"/>
      <c r="R168" s="3">
        <f t="shared" si="58"/>
        <v>-55483423372800</v>
      </c>
      <c r="S168" s="3">
        <f t="shared" si="59"/>
        <v>-25876695625200</v>
      </c>
      <c r="T168" s="3">
        <f t="shared" si="60"/>
        <v>-795311443500</v>
      </c>
      <c r="U168" s="3">
        <f t="shared" si="61"/>
        <v>-358660075400</v>
      </c>
      <c r="V168" s="3">
        <f t="shared" si="62"/>
        <v>-5265340872600</v>
      </c>
      <c r="X168" s="2">
        <f t="shared" si="63"/>
        <v>-55483.423372800004</v>
      </c>
      <c r="Y168" s="2">
        <f t="shared" si="64"/>
        <v>-25876.695625200002</v>
      </c>
      <c r="Z168" s="2">
        <f t="shared" si="65"/>
        <v>-795.3114435</v>
      </c>
      <c r="AA168" s="2">
        <f t="shared" si="66"/>
        <v>-358.66007539999998</v>
      </c>
      <c r="AB168" s="2">
        <f t="shared" si="67"/>
        <v>-5265.3408725999998</v>
      </c>
      <c r="AC168" s="2"/>
      <c r="AD168" s="8">
        <f t="shared" si="68"/>
        <v>-11.854569128066267</v>
      </c>
      <c r="AE168" s="8">
        <f t="shared" si="69"/>
        <v>-5.5288058747515363</v>
      </c>
      <c r="AF168" s="8">
        <f t="shared" si="70"/>
        <v>-0.16992596909467025</v>
      </c>
      <c r="AG168" s="8">
        <f t="shared" si="71"/>
        <v>-7.663118817919097E-2</v>
      </c>
      <c r="AH168" s="11">
        <f t="shared" si="72"/>
        <v>-1.1249909173353063</v>
      </c>
      <c r="AI168" s="8">
        <f t="shared" si="73"/>
        <v>-17.629932160091666</v>
      </c>
      <c r="AJ168" s="9">
        <f t="shared" si="74"/>
        <v>321.63122972240251</v>
      </c>
      <c r="AL168" s="7">
        <f t="shared" si="75"/>
        <v>1543.1687702775976</v>
      </c>
      <c r="AM168" s="42">
        <f t="shared" si="76"/>
        <v>52.134999746966223</v>
      </c>
    </row>
    <row r="169" spans="1:39" ht="15.95" customHeight="1" x14ac:dyDescent="0.25">
      <c r="A169" s="10">
        <v>46036</v>
      </c>
      <c r="B169" s="20">
        <v>1894.44</v>
      </c>
      <c r="C169" s="18">
        <v>8866624.7957940698</v>
      </c>
      <c r="E169" s="14"/>
      <c r="F169" s="4">
        <v>160200</v>
      </c>
      <c r="G169" s="4">
        <v>7706031024</v>
      </c>
      <c r="H169" s="4">
        <v>126300</v>
      </c>
      <c r="I169" s="4">
        <v>4107412004</v>
      </c>
      <c r="J169" s="4">
        <v>31800</v>
      </c>
      <c r="K169" s="4">
        <v>2272318410</v>
      </c>
      <c r="L169" s="4">
        <v>92500</v>
      </c>
      <c r="M169" s="4">
        <v>1793300377</v>
      </c>
      <c r="N169" s="4">
        <v>189400</v>
      </c>
      <c r="O169" s="4">
        <v>591611334</v>
      </c>
      <c r="Q169" s="17"/>
      <c r="R169" s="3">
        <f t="shared" si="58"/>
        <v>-59336438884800</v>
      </c>
      <c r="S169" s="3">
        <f t="shared" si="59"/>
        <v>-31627072430800</v>
      </c>
      <c r="T169" s="3">
        <f t="shared" si="60"/>
        <v>-3976557217500</v>
      </c>
      <c r="U169" s="3">
        <f t="shared" si="61"/>
        <v>-4303920904800</v>
      </c>
      <c r="V169" s="3">
        <f t="shared" si="62"/>
        <v>-3313023470400</v>
      </c>
      <c r="X169" s="2">
        <f t="shared" si="63"/>
        <v>-59336.438884800002</v>
      </c>
      <c r="Y169" s="2">
        <f t="shared" si="64"/>
        <v>-31627.072430799999</v>
      </c>
      <c r="Z169" s="2">
        <f t="shared" si="65"/>
        <v>-3976.5572175000002</v>
      </c>
      <c r="AA169" s="2">
        <f t="shared" si="66"/>
        <v>-4303.9209048000002</v>
      </c>
      <c r="AB169" s="2">
        <f t="shared" si="67"/>
        <v>-3313.0234704</v>
      </c>
      <c r="AC169" s="2"/>
      <c r="AD169" s="8">
        <f t="shared" si="68"/>
        <v>-12.677572838595337</v>
      </c>
      <c r="AE169" s="8">
        <f t="shared" si="69"/>
        <v>-6.7573066727418407</v>
      </c>
      <c r="AF169" s="8">
        <f t="shared" si="70"/>
        <v>-0.84961441433271434</v>
      </c>
      <c r="AG169" s="8">
        <f t="shared" si="71"/>
        <v>-0.91955755666578143</v>
      </c>
      <c r="AH169" s="11">
        <f t="shared" si="72"/>
        <v>-0.70784659732472033</v>
      </c>
      <c r="AI169" s="8">
        <f t="shared" si="73"/>
        <v>-21.204051482335675</v>
      </c>
      <c r="AJ169" s="9">
        <f t="shared" si="74"/>
        <v>339.26116188249415</v>
      </c>
      <c r="AL169" s="7">
        <f t="shared" si="75"/>
        <v>1555.1788381175058</v>
      </c>
      <c r="AM169" s="42">
        <f t="shared" si="76"/>
        <v>48.566831226880389</v>
      </c>
    </row>
    <row r="170" spans="1:39" ht="15.95" customHeight="1" x14ac:dyDescent="0.25">
      <c r="A170" s="10">
        <v>46035</v>
      </c>
      <c r="B170" s="20">
        <v>1902.93</v>
      </c>
      <c r="C170" s="18">
        <v>8906522.6510316096</v>
      </c>
      <c r="E170" s="14"/>
      <c r="F170" s="4">
        <v>167900</v>
      </c>
      <c r="G170" s="4">
        <v>7706031024</v>
      </c>
      <c r="H170" s="4">
        <v>134000</v>
      </c>
      <c r="I170" s="4">
        <v>4107412004</v>
      </c>
      <c r="J170" s="4">
        <v>33550</v>
      </c>
      <c r="K170" s="4">
        <v>2272318410</v>
      </c>
      <c r="L170" s="4">
        <v>94900</v>
      </c>
      <c r="M170" s="4">
        <v>1793300377</v>
      </c>
      <c r="N170" s="4">
        <v>195000</v>
      </c>
      <c r="O170" s="4">
        <v>591611334</v>
      </c>
      <c r="Q170" s="17"/>
      <c r="R170" s="3">
        <f t="shared" si="58"/>
        <v>32365330300800</v>
      </c>
      <c r="S170" s="3">
        <f t="shared" si="59"/>
        <v>15608165615200</v>
      </c>
      <c r="T170" s="3">
        <f t="shared" si="60"/>
        <v>2158702489500</v>
      </c>
      <c r="U170" s="3">
        <f t="shared" si="61"/>
        <v>3227940678600</v>
      </c>
      <c r="V170" s="3">
        <f t="shared" si="62"/>
        <v>0</v>
      </c>
      <c r="X170" s="2">
        <f t="shared" si="63"/>
        <v>32365.3303008</v>
      </c>
      <c r="Y170" s="2">
        <f t="shared" si="64"/>
        <v>15608.1656152</v>
      </c>
      <c r="Z170" s="2">
        <f t="shared" si="65"/>
        <v>2158.7024895</v>
      </c>
      <c r="AA170" s="2">
        <f t="shared" si="66"/>
        <v>3227.9406786</v>
      </c>
      <c r="AB170" s="2">
        <f t="shared" si="67"/>
        <v>0</v>
      </c>
      <c r="AC170" s="2"/>
      <c r="AD170" s="8">
        <f t="shared" si="68"/>
        <v>6.9147572512740618</v>
      </c>
      <c r="AE170" s="8">
        <f t="shared" si="69"/>
        <v>3.3346384963085938</v>
      </c>
      <c r="AF170" s="8">
        <f t="shared" si="70"/>
        <v>0.46120041272202106</v>
      </c>
      <c r="AG170" s="8">
        <f t="shared" si="71"/>
        <v>0.68963999460497261</v>
      </c>
      <c r="AH170" s="11">
        <f t="shared" si="72"/>
        <v>0</v>
      </c>
      <c r="AI170" s="8">
        <f t="shared" si="73"/>
        <v>11.400236154909649</v>
      </c>
      <c r="AJ170" s="9">
        <f t="shared" si="74"/>
        <v>360.46521336482982</v>
      </c>
      <c r="AL170" s="7">
        <f t="shared" si="75"/>
        <v>1542.4647866351702</v>
      </c>
      <c r="AM170" s="42">
        <f t="shared" si="76"/>
        <v>43.571353202447852</v>
      </c>
    </row>
    <row r="171" spans="1:39" ht="15.95" customHeight="1" x14ac:dyDescent="0.25">
      <c r="A171" s="10">
        <v>46034</v>
      </c>
      <c r="B171" s="20">
        <v>1877.33</v>
      </c>
      <c r="C171" s="18">
        <v>8787062.7016451806</v>
      </c>
      <c r="E171" s="14"/>
      <c r="F171" s="4">
        <v>163700</v>
      </c>
      <c r="G171" s="4">
        <v>7706031024</v>
      </c>
      <c r="H171" s="4">
        <v>130200</v>
      </c>
      <c r="I171" s="4">
        <v>4107412004</v>
      </c>
      <c r="J171" s="4">
        <v>32600</v>
      </c>
      <c r="K171" s="4">
        <v>2272318410</v>
      </c>
      <c r="L171" s="4">
        <v>93100</v>
      </c>
      <c r="M171" s="4">
        <v>1793300377</v>
      </c>
      <c r="N171" s="4">
        <v>195000</v>
      </c>
      <c r="O171" s="4">
        <v>591611334</v>
      </c>
      <c r="Q171" s="17"/>
      <c r="R171" s="3">
        <f t="shared" si="58"/>
        <v>-94784181595200</v>
      </c>
      <c r="S171" s="3">
        <f t="shared" si="59"/>
        <v>-40252637639200</v>
      </c>
      <c r="T171" s="3">
        <f t="shared" si="60"/>
        <v>-5453564184000</v>
      </c>
      <c r="U171" s="3">
        <f t="shared" si="61"/>
        <v>0</v>
      </c>
      <c r="V171" s="3">
        <f t="shared" si="62"/>
        <v>-2188961935800</v>
      </c>
      <c r="X171" s="2">
        <f t="shared" si="63"/>
        <v>-94784.181595200003</v>
      </c>
      <c r="Y171" s="2">
        <f t="shared" si="64"/>
        <v>-40252.637639200002</v>
      </c>
      <c r="Z171" s="2">
        <f t="shared" si="65"/>
        <v>-5453.5641839999998</v>
      </c>
      <c r="AA171" s="2">
        <f t="shared" si="66"/>
        <v>0</v>
      </c>
      <c r="AB171" s="2">
        <f t="shared" si="67"/>
        <v>-2188.9619358</v>
      </c>
      <c r="AC171" s="2"/>
      <c r="AD171" s="8">
        <f t="shared" si="68"/>
        <v>-20.251507344999858</v>
      </c>
      <c r="AE171" s="8">
        <f t="shared" si="69"/>
        <v>-8.6003442039231395</v>
      </c>
      <c r="AF171" s="8">
        <f t="shared" si="70"/>
        <v>-1.1652038691474773</v>
      </c>
      <c r="AG171" s="8">
        <f t="shared" si="71"/>
        <v>0</v>
      </c>
      <c r="AH171" s="11">
        <f t="shared" si="72"/>
        <v>-0.46769173900873479</v>
      </c>
      <c r="AI171" s="8">
        <f t="shared" si="73"/>
        <v>-30.017055418070473</v>
      </c>
      <c r="AJ171" s="9">
        <f t="shared" si="74"/>
        <v>349.06497720992019</v>
      </c>
      <c r="AL171" s="7">
        <f t="shared" si="75"/>
        <v>1528.2650227900797</v>
      </c>
      <c r="AM171" s="42">
        <f t="shared" si="76"/>
        <v>38.096809820518295</v>
      </c>
    </row>
    <row r="172" spans="1:39" ht="15.95" customHeight="1" x14ac:dyDescent="0.25">
      <c r="A172" s="10">
        <v>46031</v>
      </c>
      <c r="B172" s="20">
        <v>1867.9</v>
      </c>
      <c r="C172" s="18">
        <v>8742429.3799734116</v>
      </c>
      <c r="E172" s="14"/>
      <c r="F172" s="4">
        <v>176000</v>
      </c>
      <c r="G172" s="4">
        <v>7706031024</v>
      </c>
      <c r="H172" s="4">
        <v>140000</v>
      </c>
      <c r="I172" s="4">
        <v>4107412004</v>
      </c>
      <c r="J172" s="4">
        <v>35000</v>
      </c>
      <c r="K172" s="4">
        <v>2272318410</v>
      </c>
      <c r="L172" s="4">
        <v>93100</v>
      </c>
      <c r="M172" s="4">
        <v>1793300377</v>
      </c>
      <c r="N172" s="4">
        <v>198700</v>
      </c>
      <c r="O172" s="4">
        <v>591611334</v>
      </c>
      <c r="Q172" s="17"/>
      <c r="R172" s="3">
        <f t="shared" si="58"/>
        <v>-4623618614400</v>
      </c>
      <c r="S172" s="3">
        <f t="shared" si="59"/>
        <v>3696670803600</v>
      </c>
      <c r="T172" s="3">
        <f t="shared" si="60"/>
        <v>-2045086569000</v>
      </c>
      <c r="U172" s="3">
        <f t="shared" si="61"/>
        <v>-1793300377000</v>
      </c>
      <c r="V172" s="3">
        <f t="shared" si="62"/>
        <v>-2543928736200</v>
      </c>
      <c r="X172" s="2">
        <f t="shared" si="63"/>
        <v>-4623.6186144000003</v>
      </c>
      <c r="Y172" s="2">
        <f t="shared" si="64"/>
        <v>3696.6708036</v>
      </c>
      <c r="Z172" s="2">
        <f t="shared" si="65"/>
        <v>-2045.0865690000001</v>
      </c>
      <c r="AA172" s="2">
        <f t="shared" si="66"/>
        <v>-1793.300377</v>
      </c>
      <c r="AB172" s="2">
        <f t="shared" si="67"/>
        <v>-2543.9287362</v>
      </c>
      <c r="AC172" s="2"/>
      <c r="AD172" s="8">
        <f t="shared" si="68"/>
        <v>-0.98816727365419044</v>
      </c>
      <c r="AE172" s="8">
        <f t="shared" si="69"/>
        <v>0.79005848324375527</v>
      </c>
      <c r="AF172" s="8">
        <f t="shared" si="70"/>
        <v>-0.43707922037115943</v>
      </c>
      <c r="AG172" s="8">
        <f t="shared" si="71"/>
        <v>-0.3832670668086845</v>
      </c>
      <c r="AH172" s="11">
        <f t="shared" si="72"/>
        <v>-0.54369257788523717</v>
      </c>
      <c r="AI172" s="8">
        <f t="shared" si="73"/>
        <v>-1.018455077590279</v>
      </c>
      <c r="AJ172" s="9">
        <f t="shared" si="74"/>
        <v>379.08203262799066</v>
      </c>
      <c r="AL172" s="7">
        <f t="shared" si="75"/>
        <v>1488.8179673720094</v>
      </c>
      <c r="AM172" s="42">
        <f t="shared" si="76"/>
        <v>29.879463076295277</v>
      </c>
    </row>
    <row r="173" spans="1:39" ht="15.95" customHeight="1" x14ac:dyDescent="0.25">
      <c r="A173" s="10">
        <v>46030</v>
      </c>
      <c r="B173" s="20">
        <v>1855.56</v>
      </c>
      <c r="C173" s="18">
        <v>8682135.0846905597</v>
      </c>
      <c r="E173" s="14"/>
      <c r="F173" s="4">
        <v>176600</v>
      </c>
      <c r="G173" s="4">
        <v>7706031024</v>
      </c>
      <c r="H173" s="4">
        <v>139100</v>
      </c>
      <c r="I173" s="4">
        <v>4107412004</v>
      </c>
      <c r="J173" s="4">
        <v>35900</v>
      </c>
      <c r="K173" s="4">
        <v>2272318410</v>
      </c>
      <c r="L173" s="4">
        <v>94100</v>
      </c>
      <c r="M173" s="4">
        <v>1793300377</v>
      </c>
      <c r="N173" s="4">
        <v>203000</v>
      </c>
      <c r="O173" s="4">
        <v>591611334</v>
      </c>
      <c r="Q173" s="17"/>
      <c r="R173" s="3">
        <f t="shared" si="58"/>
        <v>-18494474457600</v>
      </c>
      <c r="S173" s="3">
        <f t="shared" si="59"/>
        <v>-42717084841600</v>
      </c>
      <c r="T173" s="3">
        <f t="shared" si="60"/>
        <v>-6021643786500</v>
      </c>
      <c r="U173" s="3">
        <f t="shared" si="61"/>
        <v>-11477122412800</v>
      </c>
      <c r="V173" s="3">
        <f t="shared" si="62"/>
        <v>-3904634804400</v>
      </c>
      <c r="X173" s="2">
        <f t="shared" si="63"/>
        <v>-18494.474457600001</v>
      </c>
      <c r="Y173" s="2">
        <f t="shared" si="64"/>
        <v>-42717.084841600001</v>
      </c>
      <c r="Z173" s="2">
        <f t="shared" si="65"/>
        <v>-6021.6437864999998</v>
      </c>
      <c r="AA173" s="2">
        <f t="shared" si="66"/>
        <v>-11477.122412799999</v>
      </c>
      <c r="AB173" s="2">
        <f t="shared" si="67"/>
        <v>-3904.6348044000001</v>
      </c>
      <c r="AC173" s="2"/>
      <c r="AD173" s="8">
        <f t="shared" si="68"/>
        <v>-3.9527503924827179</v>
      </c>
      <c r="AE173" s="8">
        <f t="shared" si="69"/>
        <v>-9.1297524706881212</v>
      </c>
      <c r="AF173" s="8">
        <f t="shared" si="70"/>
        <v>-1.2869819520985593</v>
      </c>
      <c r="AG173" s="8">
        <f t="shared" si="71"/>
        <v>-2.4529596786203838</v>
      </c>
      <c r="AH173" s="11">
        <f t="shared" si="72"/>
        <v>-0.83452205094973175</v>
      </c>
      <c r="AI173" s="8">
        <f t="shared" si="73"/>
        <v>-16.822444493889783</v>
      </c>
      <c r="AJ173" s="9">
        <f t="shared" si="74"/>
        <v>380.10048770558092</v>
      </c>
      <c r="AL173" s="7">
        <f t="shared" si="75"/>
        <v>1475.459512294419</v>
      </c>
      <c r="AM173" s="42">
        <f t="shared" si="76"/>
        <v>25.256745858979162</v>
      </c>
    </row>
    <row r="174" spans="1:39" ht="15.75" customHeight="1" x14ac:dyDescent="0.25">
      <c r="A174" s="10">
        <v>46029</v>
      </c>
      <c r="B174" s="20">
        <v>1861.58</v>
      </c>
      <c r="C174" s="18">
        <v>8710123.4184317496</v>
      </c>
      <c r="E174" s="14"/>
      <c r="F174" s="4">
        <v>179000</v>
      </c>
      <c r="G174" s="4">
        <v>7706031024</v>
      </c>
      <c r="H174" s="4">
        <v>149500</v>
      </c>
      <c r="I174" s="4">
        <v>4107412004</v>
      </c>
      <c r="J174" s="4">
        <v>38550</v>
      </c>
      <c r="K174" s="4">
        <v>2272318410</v>
      </c>
      <c r="L174" s="4">
        <v>100500</v>
      </c>
      <c r="M174" s="4">
        <v>1793300377</v>
      </c>
      <c r="N174" s="4">
        <v>209600</v>
      </c>
      <c r="O174" s="4">
        <v>591611334</v>
      </c>
      <c r="Q174" s="17"/>
      <c r="R174" s="3">
        <f t="shared" si="58"/>
        <v>45465583041600</v>
      </c>
      <c r="S174" s="3">
        <f t="shared" si="59"/>
        <v>31627072430800</v>
      </c>
      <c r="T174" s="3">
        <f t="shared" si="60"/>
        <v>1136159205000</v>
      </c>
      <c r="U174" s="3">
        <f t="shared" si="61"/>
        <v>-4303920904800</v>
      </c>
      <c r="V174" s="3">
        <f t="shared" si="62"/>
        <v>-1538189468400</v>
      </c>
      <c r="X174" s="2">
        <f t="shared" si="63"/>
        <v>45465.583041600003</v>
      </c>
      <c r="Y174" s="2">
        <f t="shared" si="64"/>
        <v>31627.072430799999</v>
      </c>
      <c r="Z174" s="2">
        <f t="shared" si="65"/>
        <v>1136.1592049999999</v>
      </c>
      <c r="AA174" s="2">
        <f t="shared" si="66"/>
        <v>-4303.9209048000002</v>
      </c>
      <c r="AB174" s="2">
        <f t="shared" si="67"/>
        <v>-1538.1894683999999</v>
      </c>
      <c r="AC174" s="2"/>
      <c r="AD174" s="8">
        <f t="shared" si="68"/>
        <v>9.7173807452251673</v>
      </c>
      <c r="AE174" s="8">
        <f t="shared" si="69"/>
        <v>6.7596692730344046</v>
      </c>
      <c r="AF174" s="8">
        <f t="shared" si="70"/>
        <v>0.24283184869916935</v>
      </c>
      <c r="AG174" s="8">
        <f t="shared" si="71"/>
        <v>-0.91987906744775771</v>
      </c>
      <c r="AH174" s="11">
        <f t="shared" si="72"/>
        <v>-0.32875796861687584</v>
      </c>
      <c r="AI174" s="8">
        <f t="shared" si="73"/>
        <v>15.800002799510983</v>
      </c>
      <c r="AJ174" s="9">
        <f t="shared" si="74"/>
        <v>396.92293219947072</v>
      </c>
      <c r="AL174" s="7">
        <f t="shared" si="75"/>
        <v>1464.6570678005291</v>
      </c>
      <c r="AM174" s="42">
        <f t="shared" si="76"/>
        <v>21.284966142882237</v>
      </c>
    </row>
    <row r="175" spans="1:39" ht="15.75" customHeight="1" x14ac:dyDescent="0.25">
      <c r="A175" s="10">
        <v>46028</v>
      </c>
      <c r="B175" s="20">
        <v>1816.27</v>
      </c>
      <c r="C175" s="18">
        <v>8497945.7609030195</v>
      </c>
      <c r="E175" s="14"/>
      <c r="F175" s="4">
        <v>173100</v>
      </c>
      <c r="G175" s="4">
        <v>7706031024</v>
      </c>
      <c r="H175" s="4">
        <v>141800</v>
      </c>
      <c r="I175" s="4">
        <v>4107412004</v>
      </c>
      <c r="J175" s="4">
        <v>38050</v>
      </c>
      <c r="K175" s="4">
        <v>2272318410</v>
      </c>
      <c r="L175" s="4">
        <v>102900</v>
      </c>
      <c r="M175" s="4">
        <v>1793300377</v>
      </c>
      <c r="N175" s="4">
        <v>212200</v>
      </c>
      <c r="O175" s="4">
        <v>591611334</v>
      </c>
      <c r="Q175" s="17"/>
      <c r="R175" s="3">
        <f t="shared" si="58"/>
        <v>0</v>
      </c>
      <c r="S175" s="3">
        <f t="shared" si="59"/>
        <v>37788190436800</v>
      </c>
      <c r="T175" s="3">
        <f t="shared" si="60"/>
        <v>5567180104500</v>
      </c>
      <c r="U175" s="3">
        <f t="shared" si="61"/>
        <v>5200571093300</v>
      </c>
      <c r="V175" s="3">
        <f t="shared" si="62"/>
        <v>2780573269800</v>
      </c>
      <c r="X175" s="2">
        <f t="shared" si="63"/>
        <v>0</v>
      </c>
      <c r="Y175" s="2">
        <f t="shared" si="64"/>
        <v>37788.190436800003</v>
      </c>
      <c r="Z175" s="2">
        <f t="shared" si="65"/>
        <v>5567.1801045000002</v>
      </c>
      <c r="AA175" s="2">
        <f t="shared" si="66"/>
        <v>5200.5710933</v>
      </c>
      <c r="AB175" s="2">
        <f t="shared" si="67"/>
        <v>2780.5732698000002</v>
      </c>
      <c r="AC175" s="2"/>
      <c r="AD175" s="8">
        <f t="shared" si="68"/>
        <v>0</v>
      </c>
      <c r="AE175" s="8">
        <f t="shared" si="69"/>
        <v>8.0784859567232274</v>
      </c>
      <c r="AF175" s="8">
        <f t="shared" si="70"/>
        <v>1.1901704149599588</v>
      </c>
      <c r="AG175" s="8">
        <f t="shared" si="71"/>
        <v>1.1117955122627607</v>
      </c>
      <c r="AH175" s="11">
        <f t="shared" si="72"/>
        <v>0.59444026962042307</v>
      </c>
      <c r="AI175" s="8">
        <f t="shared" si="73"/>
        <v>10.380451883945947</v>
      </c>
      <c r="AJ175" s="9">
        <f t="shared" si="74"/>
        <v>381.12292939995973</v>
      </c>
      <c r="AL175" s="7">
        <f t="shared" si="75"/>
        <v>1435.1470706000403</v>
      </c>
      <c r="AM175" s="42">
        <f t="shared" si="76"/>
        <v>18.460229831291521</v>
      </c>
    </row>
    <row r="176" spans="1:39" ht="15.75" customHeight="1" x14ac:dyDescent="0.25">
      <c r="A176" s="10">
        <v>46027</v>
      </c>
      <c r="B176" s="20">
        <v>1788.4</v>
      </c>
      <c r="C176" s="18">
        <v>8365478.4001858803</v>
      </c>
      <c r="E176" s="14"/>
      <c r="F176" s="4">
        <v>173100</v>
      </c>
      <c r="G176" s="4">
        <v>7706031024</v>
      </c>
      <c r="H176" s="4">
        <v>132600</v>
      </c>
      <c r="I176" s="4">
        <v>4107412004</v>
      </c>
      <c r="J176" s="4">
        <v>35600</v>
      </c>
      <c r="K176" s="4">
        <v>2272318410</v>
      </c>
      <c r="L176" s="4">
        <v>100000</v>
      </c>
      <c r="M176" s="4">
        <v>1793300377</v>
      </c>
      <c r="N176" s="4">
        <v>207500</v>
      </c>
      <c r="O176" s="4">
        <v>591611334</v>
      </c>
      <c r="Q176" s="17"/>
      <c r="R176" s="3">
        <f t="shared" si="58"/>
        <v>26971108584000</v>
      </c>
      <c r="S176" s="3">
        <f t="shared" si="59"/>
        <v>35323743234400</v>
      </c>
      <c r="T176" s="3">
        <f t="shared" si="60"/>
        <v>4431020899500</v>
      </c>
      <c r="U176" s="3">
        <f t="shared" si="61"/>
        <v>10401142186600</v>
      </c>
      <c r="V176" s="3">
        <f t="shared" si="62"/>
        <v>-887417001000</v>
      </c>
      <c r="X176" s="2">
        <f t="shared" si="63"/>
        <v>26971.108584000001</v>
      </c>
      <c r="Y176" s="2">
        <f t="shared" si="64"/>
        <v>35323.743234399997</v>
      </c>
      <c r="Z176" s="2">
        <f t="shared" si="65"/>
        <v>4431.0208995000003</v>
      </c>
      <c r="AA176" s="2">
        <f t="shared" si="66"/>
        <v>10401.1421866</v>
      </c>
      <c r="AB176" s="2">
        <f t="shared" si="67"/>
        <v>-887.41700100000003</v>
      </c>
      <c r="AC176" s="2"/>
      <c r="AD176" s="8">
        <f t="shared" si="68"/>
        <v>5.7697283739050471</v>
      </c>
      <c r="AE176" s="8">
        <f t="shared" si="69"/>
        <v>7.5565452928011583</v>
      </c>
      <c r="AF176" s="8">
        <f t="shared" si="70"/>
        <v>0.94789529802188932</v>
      </c>
      <c r="AG176" s="8">
        <f t="shared" si="71"/>
        <v>2.2250388784778181</v>
      </c>
      <c r="AH176" s="11">
        <f t="shared" si="72"/>
        <v>-0.18983850938900004</v>
      </c>
      <c r="AI176" s="8">
        <f t="shared" si="73"/>
        <v>16.499207843205912</v>
      </c>
      <c r="AJ176" s="9">
        <f t="shared" si="74"/>
        <v>370.74247751601376</v>
      </c>
      <c r="AL176" s="7">
        <f t="shared" si="75"/>
        <v>1417.6575224839862</v>
      </c>
      <c r="AM176" s="42">
        <f t="shared" si="76"/>
        <v>19.021952110769003</v>
      </c>
    </row>
    <row r="177" spans="1:48" ht="15.75" customHeight="1" x14ac:dyDescent="0.25">
      <c r="A177" s="1">
        <v>46022</v>
      </c>
      <c r="B177" s="20">
        <v>1784.49</v>
      </c>
      <c r="C177" s="19">
        <v>8341757.261007281</v>
      </c>
      <c r="E177" s="1">
        <v>46022</v>
      </c>
      <c r="F177" s="4">
        <v>169600</v>
      </c>
      <c r="G177" s="4">
        <v>7706031024</v>
      </c>
      <c r="H177" s="4">
        <v>124000</v>
      </c>
      <c r="I177" s="4">
        <v>4107412004</v>
      </c>
      <c r="J177" s="4">
        <v>33650</v>
      </c>
      <c r="K177" s="4">
        <v>2272318410</v>
      </c>
      <c r="L177" s="4">
        <v>94200</v>
      </c>
      <c r="M177" s="4">
        <v>1793300377</v>
      </c>
      <c r="N177" s="4">
        <v>209000</v>
      </c>
      <c r="O177" s="4">
        <v>591611334</v>
      </c>
      <c r="Q177" s="12"/>
      <c r="R177" s="3">
        <f t="shared" si="58"/>
        <v>50859804758400</v>
      </c>
      <c r="S177" s="3">
        <f t="shared" si="59"/>
        <v>26698178026000</v>
      </c>
      <c r="T177" s="3">
        <f t="shared" si="60"/>
        <v>1931470648500</v>
      </c>
      <c r="U177" s="3">
        <f t="shared" si="61"/>
        <v>5738561206400</v>
      </c>
      <c r="V177" s="3">
        <f t="shared" si="62"/>
        <v>2129800802400</v>
      </c>
      <c r="X177" s="2">
        <f t="shared" si="63"/>
        <v>50859.804758400001</v>
      </c>
      <c r="Y177" s="2">
        <f t="shared" si="64"/>
        <v>26698.178026000001</v>
      </c>
      <c r="Z177" s="2">
        <f t="shared" si="65"/>
        <v>1931.4706484999999</v>
      </c>
      <c r="AA177" s="2">
        <f t="shared" si="66"/>
        <v>5738.5612063999997</v>
      </c>
      <c r="AB177" s="2">
        <f t="shared" si="67"/>
        <v>2129.8008024000001</v>
      </c>
      <c r="AC177" s="2"/>
      <c r="AD177" s="8">
        <f t="shared" si="68"/>
        <v>10.879869852944211</v>
      </c>
      <c r="AE177" s="8">
        <f t="shared" si="69"/>
        <v>5.7112429670827733</v>
      </c>
      <c r="AF177" s="8">
        <f t="shared" si="70"/>
        <v>0.41317793845818995</v>
      </c>
      <c r="AG177" s="8">
        <f t="shared" si="71"/>
        <v>1.2275862906940238</v>
      </c>
      <c r="AH177" s="11">
        <f t="shared" si="72"/>
        <v>0.45560449264172742</v>
      </c>
      <c r="AI177" s="8">
        <f t="shared" si="73"/>
        <v>18.2318770491792</v>
      </c>
      <c r="AJ177" s="9">
        <f t="shared" si="74"/>
        <v>354.24326967280786</v>
      </c>
      <c r="AK177" s="16"/>
      <c r="AL177" s="7">
        <f t="shared" si="75"/>
        <v>1430.2467303271922</v>
      </c>
      <c r="AM177" s="42">
        <f t="shared" si="76"/>
        <v>21.375745786999495</v>
      </c>
      <c r="AO177" s="7"/>
      <c r="AP177" s="7"/>
    </row>
    <row r="178" spans="1:48" ht="15.75" customHeight="1" x14ac:dyDescent="0.25">
      <c r="A178" s="1">
        <v>46021</v>
      </c>
      <c r="B178" s="7">
        <v>1766.9</v>
      </c>
      <c r="C178" s="19">
        <v>8259675</v>
      </c>
      <c r="E178" s="1">
        <v>46011</v>
      </c>
      <c r="F178" s="4">
        <v>163000</v>
      </c>
      <c r="G178" s="4">
        <v>7706031024</v>
      </c>
      <c r="H178" s="4">
        <v>117500</v>
      </c>
      <c r="I178" s="4">
        <v>4107412004</v>
      </c>
      <c r="J178" s="4">
        <v>32800</v>
      </c>
      <c r="K178" s="4">
        <v>2272318410</v>
      </c>
      <c r="L178" s="4">
        <v>91000</v>
      </c>
      <c r="M178" s="4">
        <v>1793300377</v>
      </c>
      <c r="N178" s="4">
        <v>205400</v>
      </c>
      <c r="O178" s="4">
        <v>591611334</v>
      </c>
      <c r="Q178" s="12"/>
      <c r="R178" s="3">
        <f t="shared" si="58"/>
        <v>25429902379200</v>
      </c>
      <c r="S178" s="3">
        <f t="shared" si="59"/>
        <v>-821482400800</v>
      </c>
      <c r="T178" s="3">
        <f t="shared" si="60"/>
        <v>-908927364000</v>
      </c>
      <c r="U178" s="3">
        <f t="shared" si="61"/>
        <v>-5379901131000</v>
      </c>
      <c r="V178" s="3">
        <f t="shared" si="62"/>
        <v>-1656511735200</v>
      </c>
      <c r="X178" s="2">
        <f t="shared" si="63"/>
        <v>25429.902379200001</v>
      </c>
      <c r="Y178" s="2">
        <f t="shared" si="64"/>
        <v>-821.48240080000005</v>
      </c>
      <c r="Z178" s="2">
        <f t="shared" si="65"/>
        <v>-908.92736400000001</v>
      </c>
      <c r="AA178" s="2">
        <f t="shared" si="66"/>
        <v>-5379.9011309999996</v>
      </c>
      <c r="AB178" s="2">
        <f t="shared" si="67"/>
        <v>-1656.5117352</v>
      </c>
      <c r="AC178" s="2"/>
      <c r="AD178" s="8">
        <f t="shared" si="68"/>
        <v>5.4399133585022135</v>
      </c>
      <c r="AE178" s="8">
        <f t="shared" si="69"/>
        <v>-0.17572985610599792</v>
      </c>
      <c r="AF178" s="8">
        <f t="shared" si="70"/>
        <v>-0.19443590602911914</v>
      </c>
      <c r="AG178" s="8">
        <f t="shared" si="71"/>
        <v>-1.1508575846475095</v>
      </c>
      <c r="AH178" s="11">
        <f t="shared" si="72"/>
        <v>-0.3543576448882006</v>
      </c>
      <c r="AI178" s="8">
        <f t="shared" si="73"/>
        <v>3.9188900117195873</v>
      </c>
      <c r="AJ178" s="9">
        <f t="shared" si="74"/>
        <v>336.01139262362864</v>
      </c>
      <c r="AK178" s="16"/>
      <c r="AL178" s="7">
        <f t="shared" si="75"/>
        <v>1430.8886073763715</v>
      </c>
      <c r="AM178" s="42">
        <f t="shared" si="76"/>
        <v>22.43199828515586</v>
      </c>
    </row>
    <row r="179" spans="1:48" ht="15.75" customHeight="1" x14ac:dyDescent="0.25">
      <c r="A179" s="1">
        <v>46020</v>
      </c>
      <c r="B179" s="7">
        <v>1754.84</v>
      </c>
      <c r="C179" s="19">
        <v>8203331</v>
      </c>
      <c r="E179" s="1">
        <v>46020</v>
      </c>
      <c r="F179" s="4">
        <v>159700</v>
      </c>
      <c r="G179" s="4">
        <v>7706031024</v>
      </c>
      <c r="H179" s="4">
        <v>117700</v>
      </c>
      <c r="I179" s="4">
        <v>4107412004</v>
      </c>
      <c r="J179" s="4">
        <v>33200</v>
      </c>
      <c r="K179" s="4">
        <v>2272318410</v>
      </c>
      <c r="L179" s="4">
        <v>94000</v>
      </c>
      <c r="M179" s="4">
        <v>1793300377</v>
      </c>
      <c r="N179" s="4">
        <v>208200</v>
      </c>
      <c r="O179" s="4">
        <v>591611334</v>
      </c>
      <c r="Q179" s="12"/>
      <c r="R179" s="3">
        <f t="shared" ref="R179:R242" si="77">G179*F179-G180*F180</f>
        <v>36218345812800</v>
      </c>
      <c r="S179" s="3">
        <f t="shared" si="59"/>
        <v>31627072430800</v>
      </c>
      <c r="T179" s="3">
        <f t="shared" si="60"/>
        <v>2726782092000</v>
      </c>
      <c r="U179" s="3">
        <f t="shared" si="61"/>
        <v>3407270716300</v>
      </c>
      <c r="V179" s="3">
        <f t="shared" si="62"/>
        <v>177483400200</v>
      </c>
      <c r="X179" s="2">
        <f t="shared" si="63"/>
        <v>36218.345812799998</v>
      </c>
      <c r="Y179" s="2">
        <f t="shared" si="64"/>
        <v>31627.072430799999</v>
      </c>
      <c r="Z179" s="2">
        <f t="shared" si="65"/>
        <v>2726.7820919999999</v>
      </c>
      <c r="AA179" s="2">
        <f t="shared" si="66"/>
        <v>3407.2707163</v>
      </c>
      <c r="AB179" s="2">
        <f t="shared" si="67"/>
        <v>177.48340020000001</v>
      </c>
      <c r="AC179" s="2"/>
      <c r="AD179" s="8">
        <f t="shared" si="68"/>
        <v>7.7473259678029649</v>
      </c>
      <c r="AE179" s="8">
        <f t="shared" si="69"/>
        <v>6.7652244747778409</v>
      </c>
      <c r="AF179" s="8">
        <f t="shared" si="70"/>
        <v>0.58327538808870094</v>
      </c>
      <c r="AG179" s="8">
        <f t="shared" si="71"/>
        <v>0.72883607208798862</v>
      </c>
      <c r="AH179" s="11">
        <f t="shared" si="72"/>
        <v>3.7964786197868729E-2</v>
      </c>
      <c r="AI179" s="8">
        <f t="shared" si="73"/>
        <v>15.824661902757496</v>
      </c>
      <c r="AJ179" s="9">
        <f t="shared" si="74"/>
        <v>332.09250261190903</v>
      </c>
      <c r="AK179" s="16"/>
      <c r="AL179" s="7">
        <f t="shared" si="75"/>
        <v>1422.7474973880908</v>
      </c>
      <c r="AM179" s="42">
        <f t="shared" si="76"/>
        <v>22.332740211546493</v>
      </c>
    </row>
    <row r="180" spans="1:48" ht="15.75" customHeight="1" x14ac:dyDescent="0.25">
      <c r="A180" s="1">
        <v>46017</v>
      </c>
      <c r="B180" s="7">
        <v>1729.8</v>
      </c>
      <c r="C180" s="19">
        <v>8086725</v>
      </c>
      <c r="E180" s="1">
        <v>46017</v>
      </c>
      <c r="F180" s="4">
        <v>155000</v>
      </c>
      <c r="G180" s="4">
        <v>7706031024</v>
      </c>
      <c r="H180" s="4">
        <v>110000</v>
      </c>
      <c r="I180" s="4">
        <v>4107412004</v>
      </c>
      <c r="J180" s="4">
        <v>32000</v>
      </c>
      <c r="K180" s="4">
        <v>2272318410</v>
      </c>
      <c r="L180" s="4">
        <v>92100</v>
      </c>
      <c r="M180" s="4">
        <v>1793300377</v>
      </c>
      <c r="N180" s="4">
        <v>207900</v>
      </c>
      <c r="O180" s="4">
        <v>591611334</v>
      </c>
      <c r="Q180" s="12"/>
      <c r="R180" s="3">
        <f t="shared" si="77"/>
        <v>-23118093072000</v>
      </c>
      <c r="S180" s="3">
        <f t="shared" si="59"/>
        <v>-17661871617200</v>
      </c>
      <c r="T180" s="3">
        <f t="shared" si="60"/>
        <v>-568079602500</v>
      </c>
      <c r="U180" s="3">
        <f t="shared" si="61"/>
        <v>-12373772601300</v>
      </c>
      <c r="V180" s="3">
        <f t="shared" si="62"/>
        <v>-2425606469400</v>
      </c>
      <c r="X180" s="2">
        <f t="shared" si="63"/>
        <v>-23118.093072</v>
      </c>
      <c r="Y180" s="2">
        <f t="shared" si="64"/>
        <v>-17661.871617199999</v>
      </c>
      <c r="Z180" s="2">
        <f t="shared" si="65"/>
        <v>-568.07960249999996</v>
      </c>
      <c r="AA180" s="2">
        <f t="shared" si="66"/>
        <v>-12373.772601299999</v>
      </c>
      <c r="AB180" s="2">
        <f t="shared" si="67"/>
        <v>-2425.6064694000002</v>
      </c>
      <c r="AC180" s="2"/>
      <c r="AD180" s="8">
        <f t="shared" si="68"/>
        <v>-4.9452886661166193</v>
      </c>
      <c r="AE180" s="8">
        <f t="shared" si="69"/>
        <v>-3.7781253522477365</v>
      </c>
      <c r="AF180" s="8">
        <f t="shared" si="70"/>
        <v>-0.12152030061241742</v>
      </c>
      <c r="AG180" s="8">
        <f t="shared" si="71"/>
        <v>-2.6469258174424071</v>
      </c>
      <c r="AH180" s="11">
        <f t="shared" si="72"/>
        <v>-0.51887169690961132</v>
      </c>
      <c r="AI180" s="8">
        <f t="shared" si="73"/>
        <v>-11.491860136419179</v>
      </c>
      <c r="AJ180" s="9">
        <f t="shared" si="74"/>
        <v>316.26784070915153</v>
      </c>
      <c r="AK180" s="16"/>
      <c r="AL180" s="7">
        <f t="shared" si="75"/>
        <v>1413.5321592908485</v>
      </c>
      <c r="AM180" s="42">
        <f t="shared" si="76"/>
        <v>22.288976069606608</v>
      </c>
    </row>
    <row r="181" spans="1:48" ht="15.75" customHeight="1" x14ac:dyDescent="0.25">
      <c r="A181" s="1">
        <v>46016</v>
      </c>
      <c r="B181" s="7">
        <v>1742.85</v>
      </c>
      <c r="C181" s="19">
        <v>8147425</v>
      </c>
      <c r="E181" s="1">
        <v>46016</v>
      </c>
      <c r="F181" s="4">
        <v>158000</v>
      </c>
      <c r="G181" s="4">
        <v>7706031024</v>
      </c>
      <c r="H181" s="4">
        <v>114300</v>
      </c>
      <c r="I181" s="4">
        <v>4107412004</v>
      </c>
      <c r="J181" s="4">
        <v>32250</v>
      </c>
      <c r="K181" s="4">
        <v>2272318410</v>
      </c>
      <c r="L181" s="4">
        <v>99000</v>
      </c>
      <c r="M181" s="4">
        <v>1793300377</v>
      </c>
      <c r="N181" s="4">
        <v>212000</v>
      </c>
      <c r="O181" s="4">
        <v>591611334</v>
      </c>
      <c r="Q181" s="12"/>
      <c r="R181" s="3">
        <f t="shared" si="77"/>
        <v>-90931166083200</v>
      </c>
      <c r="S181" s="3">
        <f t="shared" si="59"/>
        <v>-34913002034000</v>
      </c>
      <c r="T181" s="3">
        <f t="shared" si="60"/>
        <v>-5453564184000</v>
      </c>
      <c r="U181" s="3">
        <f t="shared" si="61"/>
        <v>-5379901131000</v>
      </c>
      <c r="V181" s="3">
        <f t="shared" si="62"/>
        <v>7690947342000</v>
      </c>
      <c r="X181" s="2">
        <f t="shared" si="63"/>
        <v>-90931.166083200005</v>
      </c>
      <c r="Y181" s="2">
        <f t="shared" si="64"/>
        <v>-34913.002033999997</v>
      </c>
      <c r="Z181" s="2">
        <f t="shared" si="65"/>
        <v>-5453.5641839999998</v>
      </c>
      <c r="AA181" s="2">
        <f t="shared" si="66"/>
        <v>-5379.9011309999996</v>
      </c>
      <c r="AB181" s="2">
        <f t="shared" si="67"/>
        <v>7690.9473420000004</v>
      </c>
      <c r="AC181" s="2"/>
      <c r="AD181" s="8">
        <f t="shared" si="68"/>
        <v>-20.035202764750736</v>
      </c>
      <c r="AE181" s="8">
        <f t="shared" si="69"/>
        <v>-7.692511874722114</v>
      </c>
      <c r="AF181" s="8">
        <f t="shared" si="70"/>
        <v>-1.2016041245643865</v>
      </c>
      <c r="AG181" s="8">
        <f t="shared" si="71"/>
        <v>-1.1853736695213355</v>
      </c>
      <c r="AH181" s="11">
        <f t="shared" si="72"/>
        <v>1.6945750955068812</v>
      </c>
      <c r="AI181" s="8">
        <f t="shared" si="73"/>
        <v>-30.114692433558574</v>
      </c>
      <c r="AJ181" s="9">
        <f t="shared" si="74"/>
        <v>327.75970084557071</v>
      </c>
      <c r="AK181" s="16"/>
      <c r="AL181" s="7">
        <f t="shared" si="75"/>
        <v>1415.0902991544292</v>
      </c>
      <c r="AM181" s="42">
        <f t="shared" si="76"/>
        <v>22.313988453828422</v>
      </c>
    </row>
    <row r="182" spans="1:48" ht="15.75" customHeight="1" x14ac:dyDescent="0.25">
      <c r="A182" s="1">
        <v>46015</v>
      </c>
      <c r="B182" s="7">
        <v>1782.82</v>
      </c>
      <c r="C182" s="19">
        <v>8091453</v>
      </c>
      <c r="E182" s="1">
        <v>46015</v>
      </c>
      <c r="F182" s="4">
        <v>169800</v>
      </c>
      <c r="G182" s="4">
        <v>7706031024</v>
      </c>
      <c r="H182" s="4">
        <v>122800</v>
      </c>
      <c r="I182" s="4">
        <v>4107412004</v>
      </c>
      <c r="J182" s="4">
        <v>34650</v>
      </c>
      <c r="K182" s="4">
        <v>2272318410</v>
      </c>
      <c r="L182" s="4">
        <v>102000</v>
      </c>
      <c r="M182" s="4">
        <v>1793300377</v>
      </c>
      <c r="N182" s="4">
        <v>199000</v>
      </c>
      <c r="O182" s="4">
        <v>591611334</v>
      </c>
      <c r="Q182" s="12"/>
      <c r="R182" s="3">
        <f t="shared" si="77"/>
        <v>-770603102400</v>
      </c>
      <c r="S182" s="3">
        <f t="shared" si="59"/>
        <v>32448554831600</v>
      </c>
      <c r="T182" s="3">
        <f t="shared" si="60"/>
        <v>908927364000</v>
      </c>
      <c r="U182" s="3">
        <f t="shared" si="61"/>
        <v>-1793300377000</v>
      </c>
      <c r="V182" s="3">
        <f t="shared" si="62"/>
        <v>-4437085005000</v>
      </c>
      <c r="X182" s="2">
        <f t="shared" si="63"/>
        <v>-770.60310240000001</v>
      </c>
      <c r="Y182" s="2">
        <f t="shared" si="64"/>
        <v>32448.554831599999</v>
      </c>
      <c r="Z182" s="2">
        <f t="shared" si="65"/>
        <v>908.92736400000001</v>
      </c>
      <c r="AA182" s="2">
        <f t="shared" si="66"/>
        <v>-1793.300377</v>
      </c>
      <c r="AB182" s="2">
        <f t="shared" si="67"/>
        <v>-4437.0850049999999</v>
      </c>
      <c r="AC182" s="2"/>
      <c r="AD182" s="8">
        <f t="shared" si="68"/>
        <v>-0.16980050386161955</v>
      </c>
      <c r="AE182" s="8">
        <f t="shared" si="69"/>
        <v>7.1499594834580424</v>
      </c>
      <c r="AF182" s="8">
        <f t="shared" si="70"/>
        <v>0.20027991569219208</v>
      </c>
      <c r="AG182" s="8">
        <f t="shared" si="71"/>
        <v>-0.39514934035624028</v>
      </c>
      <c r="AH182" s="11">
        <f t="shared" si="72"/>
        <v>-0.97770079977533797</v>
      </c>
      <c r="AI182" s="8">
        <f t="shared" si="73"/>
        <v>6.7852895549323753</v>
      </c>
      <c r="AJ182" s="9">
        <f t="shared" si="74"/>
        <v>357.87439327912927</v>
      </c>
      <c r="AL182" s="7">
        <f t="shared" si="75"/>
        <v>1424.9456067208707</v>
      </c>
      <c r="AM182" s="42">
        <f t="shared" si="76"/>
        <v>22.475212769775766</v>
      </c>
    </row>
    <row r="183" spans="1:48" ht="15.75" customHeight="1" x14ac:dyDescent="0.25">
      <c r="A183" s="1">
        <v>46014</v>
      </c>
      <c r="B183" s="7">
        <v>1772.15</v>
      </c>
      <c r="C183" s="19">
        <v>8042522</v>
      </c>
      <c r="E183" s="1">
        <v>46014</v>
      </c>
      <c r="F183" s="4">
        <v>169900</v>
      </c>
      <c r="G183" s="4">
        <v>7706031024</v>
      </c>
      <c r="H183" s="4">
        <v>114900</v>
      </c>
      <c r="I183" s="4">
        <v>4107412004</v>
      </c>
      <c r="J183" s="4">
        <v>34250</v>
      </c>
      <c r="K183" s="4">
        <v>2272318410</v>
      </c>
      <c r="L183" s="4">
        <v>103000</v>
      </c>
      <c r="M183" s="4">
        <v>1793300377</v>
      </c>
      <c r="N183" s="4">
        <v>206500</v>
      </c>
      <c r="O183" s="4">
        <v>591611334</v>
      </c>
      <c r="Q183" s="12"/>
      <c r="R183" s="3">
        <f t="shared" si="77"/>
        <v>85536944366400</v>
      </c>
      <c r="S183" s="3">
        <f t="shared" si="59"/>
        <v>30805590030000</v>
      </c>
      <c r="T183" s="3">
        <f t="shared" si="60"/>
        <v>2840398012500</v>
      </c>
      <c r="U183" s="3">
        <f t="shared" si="61"/>
        <v>8966501885000</v>
      </c>
      <c r="V183" s="3">
        <f t="shared" si="62"/>
        <v>295805667000</v>
      </c>
      <c r="X183" s="2">
        <f t="shared" si="63"/>
        <v>85536.944366399999</v>
      </c>
      <c r="Y183" s="2">
        <f t="shared" si="64"/>
        <v>30805.590029999999</v>
      </c>
      <c r="Z183" s="2">
        <f t="shared" si="65"/>
        <v>2840.3980124999998</v>
      </c>
      <c r="AA183" s="2">
        <f t="shared" si="66"/>
        <v>8966.5018849999997</v>
      </c>
      <c r="AB183" s="2">
        <f t="shared" si="67"/>
        <v>295.80566700000003</v>
      </c>
      <c r="AC183" s="2"/>
      <c r="AD183" s="8">
        <f t="shared" si="68"/>
        <v>18.846958053615023</v>
      </c>
      <c r="AE183" s="8">
        <f t="shared" si="69"/>
        <v>6.7876128544560794</v>
      </c>
      <c r="AF183" s="8">
        <f t="shared" si="70"/>
        <v>0.62584492108870993</v>
      </c>
      <c r="AG183" s="8">
        <f t="shared" si="71"/>
        <v>1.9756525810692507</v>
      </c>
      <c r="AH183" s="11">
        <f t="shared" si="72"/>
        <v>6.5176948267987922E-2</v>
      </c>
      <c r="AI183" s="8">
        <f t="shared" si="73"/>
        <v>28.236068410229063</v>
      </c>
      <c r="AJ183" s="9">
        <f t="shared" si="74"/>
        <v>351.08910372419689</v>
      </c>
      <c r="AL183" s="7">
        <f t="shared" si="75"/>
        <v>1421.0608962758033</v>
      </c>
      <c r="AM183" s="42">
        <f t="shared" si="76"/>
        <v>22.555258746862251</v>
      </c>
    </row>
    <row r="184" spans="1:48" ht="15.75" x14ac:dyDescent="0.25">
      <c r="A184" s="1">
        <v>46013</v>
      </c>
      <c r="B184" s="7">
        <v>1751.03</v>
      </c>
      <c r="C184" s="19">
        <v>7947052</v>
      </c>
      <c r="E184" s="1">
        <v>46013</v>
      </c>
      <c r="F184" s="4">
        <v>158800</v>
      </c>
      <c r="G184" s="4">
        <v>7706031024</v>
      </c>
      <c r="H184" s="4">
        <v>107400</v>
      </c>
      <c r="I184" s="4">
        <v>4107412004</v>
      </c>
      <c r="J184" s="4">
        <v>33000</v>
      </c>
      <c r="K184" s="4">
        <v>2272318410</v>
      </c>
      <c r="L184" s="4">
        <v>98000</v>
      </c>
      <c r="M184" s="4">
        <v>1793300377</v>
      </c>
      <c r="N184" s="4">
        <v>206000</v>
      </c>
      <c r="O184" s="4">
        <v>591611334</v>
      </c>
      <c r="Q184" s="12"/>
      <c r="R184" s="3">
        <f t="shared" si="77"/>
        <v>79372119547200</v>
      </c>
      <c r="S184" s="3">
        <f t="shared" si="59"/>
        <v>24233730823600</v>
      </c>
      <c r="T184" s="3">
        <f t="shared" si="60"/>
        <v>2954013933000</v>
      </c>
      <c r="U184" s="3">
        <f t="shared" si="61"/>
        <v>7531861583400</v>
      </c>
      <c r="V184" s="3">
        <f t="shared" si="62"/>
        <v>3608829137400</v>
      </c>
      <c r="X184" s="2">
        <f t="shared" si="63"/>
        <v>79372.119547199996</v>
      </c>
      <c r="Y184" s="2">
        <f t="shared" si="64"/>
        <v>24233.730823599999</v>
      </c>
      <c r="Z184" s="2">
        <f t="shared" si="65"/>
        <v>2954.0139330000002</v>
      </c>
      <c r="AA184" s="2">
        <f t="shared" si="66"/>
        <v>7531.8615834000002</v>
      </c>
      <c r="AB184" s="2">
        <f t="shared" si="67"/>
        <v>3608.8291374</v>
      </c>
      <c r="AC184" s="2"/>
      <c r="AD184" s="8">
        <f t="shared" si="68"/>
        <v>17.488065306352862</v>
      </c>
      <c r="AE184" s="8">
        <f t="shared" si="69"/>
        <v>5.3394198073250712</v>
      </c>
      <c r="AF184" s="8">
        <f t="shared" si="70"/>
        <v>0.65085812084758254</v>
      </c>
      <c r="AG184" s="8">
        <f t="shared" si="71"/>
        <v>1.6594956516258998</v>
      </c>
      <c r="AH184" s="11">
        <f t="shared" si="72"/>
        <v>0.79513360603643657</v>
      </c>
      <c r="AI184" s="8">
        <f t="shared" si="73"/>
        <v>25.137838886151417</v>
      </c>
      <c r="AJ184" s="9">
        <f t="shared" si="74"/>
        <v>322.85303531396784</v>
      </c>
      <c r="AK184" s="16"/>
      <c r="AL184" s="7">
        <f t="shared" si="75"/>
        <v>1428.1769646860321</v>
      </c>
      <c r="AM184" s="42">
        <f t="shared" si="76"/>
        <v>22.564576553505951</v>
      </c>
    </row>
    <row r="185" spans="1:48" ht="15.75" x14ac:dyDescent="0.25">
      <c r="A185" s="1">
        <v>46010</v>
      </c>
      <c r="B185" s="7">
        <v>1704.31</v>
      </c>
      <c r="C185" s="19">
        <v>7735258</v>
      </c>
      <c r="E185" s="1">
        <v>46010</v>
      </c>
      <c r="F185" s="4">
        <v>148500</v>
      </c>
      <c r="G185" s="4">
        <v>7706031024</v>
      </c>
      <c r="H185" s="4">
        <v>101500</v>
      </c>
      <c r="I185" s="4">
        <v>4107412004</v>
      </c>
      <c r="J185" s="4">
        <v>31700</v>
      </c>
      <c r="K185" s="4">
        <v>2272318410</v>
      </c>
      <c r="L185" s="4">
        <v>93800</v>
      </c>
      <c r="M185" s="4">
        <v>1793300377</v>
      </c>
      <c r="N185" s="4">
        <v>199900</v>
      </c>
      <c r="O185" s="4">
        <v>591611334</v>
      </c>
      <c r="Q185" s="12"/>
      <c r="R185" s="3">
        <f t="shared" si="77"/>
        <v>44694979939200</v>
      </c>
      <c r="S185" s="3">
        <f t="shared" si="59"/>
        <v>27108919226400</v>
      </c>
      <c r="T185" s="3">
        <f t="shared" si="60"/>
        <v>3067629853500</v>
      </c>
      <c r="U185" s="3">
        <f t="shared" si="61"/>
        <v>8966501885000</v>
      </c>
      <c r="V185" s="3">
        <f t="shared" si="62"/>
        <v>4969535205600</v>
      </c>
      <c r="X185" s="2">
        <f t="shared" si="63"/>
        <v>44694.979939199999</v>
      </c>
      <c r="Y185" s="2">
        <f t="shared" si="64"/>
        <v>27108.919226400001</v>
      </c>
      <c r="Z185" s="2">
        <f t="shared" si="65"/>
        <v>3067.6298535000001</v>
      </c>
      <c r="AA185" s="2">
        <f t="shared" si="66"/>
        <v>8966.5018849999997</v>
      </c>
      <c r="AB185" s="2">
        <f t="shared" si="67"/>
        <v>4969.5352056000002</v>
      </c>
      <c r="AC185" s="2"/>
      <c r="AD185" s="8">
        <f t="shared" si="68"/>
        <v>9.8472329059435317</v>
      </c>
      <c r="AE185" s="8">
        <f t="shared" si="69"/>
        <v>5.9726582675259952</v>
      </c>
      <c r="AF185" s="8">
        <f t="shared" si="70"/>
        <v>0.67586260644332719</v>
      </c>
      <c r="AG185" s="8">
        <f t="shared" si="71"/>
        <v>1.975506701944771</v>
      </c>
      <c r="AH185" s="11">
        <f t="shared" si="72"/>
        <v>1.0948918798128693</v>
      </c>
      <c r="AI185" s="8">
        <f t="shared" si="73"/>
        <v>18.471260481857623</v>
      </c>
      <c r="AJ185" s="9">
        <f t="shared" si="74"/>
        <v>297.71519642781641</v>
      </c>
      <c r="AK185" s="16"/>
      <c r="AL185" s="7">
        <f t="shared" si="75"/>
        <v>1406.5948035721835</v>
      </c>
      <c r="AM185" s="42">
        <f t="shared" si="76"/>
        <v>22.472241278124951</v>
      </c>
    </row>
    <row r="186" spans="1:48" ht="15.75" x14ac:dyDescent="0.25">
      <c r="A186" s="1">
        <v>46009</v>
      </c>
      <c r="B186" s="7">
        <v>1676.98</v>
      </c>
      <c r="C186" s="19">
        <v>7611538</v>
      </c>
      <c r="E186" s="1">
        <v>46009</v>
      </c>
      <c r="F186" s="4">
        <v>142700</v>
      </c>
      <c r="G186" s="4">
        <v>7706031024</v>
      </c>
      <c r="H186" s="4">
        <v>94900</v>
      </c>
      <c r="I186" s="4">
        <v>4107412004</v>
      </c>
      <c r="J186" s="4">
        <v>30350</v>
      </c>
      <c r="K186" s="4">
        <v>2272318410</v>
      </c>
      <c r="L186" s="4">
        <v>88800</v>
      </c>
      <c r="M186" s="4">
        <v>1793300377</v>
      </c>
      <c r="N186" s="4">
        <v>191500</v>
      </c>
      <c r="O186" s="4">
        <v>591611334</v>
      </c>
      <c r="Q186" s="12"/>
      <c r="R186" s="3">
        <f t="shared" si="77"/>
        <v>-1541206204800</v>
      </c>
      <c r="S186" s="3">
        <f t="shared" si="59"/>
        <v>0</v>
      </c>
      <c r="T186" s="3">
        <f t="shared" si="60"/>
        <v>1477006966500</v>
      </c>
      <c r="U186" s="3">
        <f t="shared" si="61"/>
        <v>1613970339300</v>
      </c>
      <c r="V186" s="3">
        <f t="shared" si="62"/>
        <v>0</v>
      </c>
      <c r="X186" s="2">
        <f t="shared" si="63"/>
        <v>-1541.2062048</v>
      </c>
      <c r="Y186" s="2">
        <f t="shared" si="64"/>
        <v>0</v>
      </c>
      <c r="Z186" s="2">
        <f t="shared" si="65"/>
        <v>1477.0069665000001</v>
      </c>
      <c r="AA186" s="2">
        <f t="shared" si="66"/>
        <v>1613.9703393</v>
      </c>
      <c r="AB186" s="2">
        <f t="shared" si="67"/>
        <v>0</v>
      </c>
      <c r="AC186" s="2"/>
      <c r="AD186" s="8">
        <f t="shared" si="68"/>
        <v>-0.33975458172521511</v>
      </c>
      <c r="AE186" s="8">
        <f t="shared" si="69"/>
        <v>0</v>
      </c>
      <c r="AF186" s="8">
        <f t="shared" si="70"/>
        <v>0.32560203984745617</v>
      </c>
      <c r="AG186" s="8">
        <f t="shared" si="71"/>
        <v>0.35579523092883863</v>
      </c>
      <c r="AH186" s="11">
        <f t="shared" si="72"/>
        <v>0</v>
      </c>
      <c r="AI186" s="8">
        <f t="shared" si="73"/>
        <v>0.3416426890510797</v>
      </c>
      <c r="AJ186" s="9">
        <f t="shared" si="74"/>
        <v>279.24393594595881</v>
      </c>
      <c r="AK186" s="16"/>
      <c r="AL186" s="7">
        <f t="shared" si="75"/>
        <v>1397.7360640540412</v>
      </c>
      <c r="AM186" s="42">
        <f t="shared" si="76"/>
        <v>22.41154958175478</v>
      </c>
      <c r="AO186" s="16"/>
      <c r="AP186" s="16"/>
      <c r="AQ186" s="16"/>
      <c r="AR186" s="16"/>
      <c r="AS186" s="16"/>
      <c r="AT186" s="16"/>
      <c r="AU186" s="16"/>
      <c r="AV186" s="16"/>
    </row>
    <row r="187" spans="1:48" ht="15.75" x14ac:dyDescent="0.25">
      <c r="A187" s="1">
        <v>46008</v>
      </c>
      <c r="B187" s="7">
        <v>1673.66</v>
      </c>
      <c r="C187" s="19">
        <v>7592113</v>
      </c>
      <c r="E187" s="1">
        <v>46008</v>
      </c>
      <c r="F187" s="4">
        <v>142900</v>
      </c>
      <c r="G187" s="4">
        <v>7706031024</v>
      </c>
      <c r="H187" s="4">
        <v>94900</v>
      </c>
      <c r="I187" s="4">
        <v>4107412004</v>
      </c>
      <c r="J187" s="4">
        <v>29700</v>
      </c>
      <c r="K187" s="4">
        <v>2272318410</v>
      </c>
      <c r="L187" s="4">
        <v>87900</v>
      </c>
      <c r="M187" s="4">
        <v>1793300377</v>
      </c>
      <c r="N187" s="4">
        <v>191500</v>
      </c>
      <c r="O187" s="4">
        <v>591611334</v>
      </c>
      <c r="Q187" s="12"/>
      <c r="R187" s="3">
        <f t="shared" si="77"/>
        <v>0</v>
      </c>
      <c r="S187" s="3">
        <f t="shared" si="59"/>
        <v>-410741200400</v>
      </c>
      <c r="T187" s="3">
        <f t="shared" si="60"/>
        <v>227231841000</v>
      </c>
      <c r="U187" s="3">
        <f t="shared" si="61"/>
        <v>6455881357200</v>
      </c>
      <c r="V187" s="3">
        <f t="shared" si="62"/>
        <v>0</v>
      </c>
      <c r="X187" s="2">
        <f t="shared" si="63"/>
        <v>0</v>
      </c>
      <c r="Y187" s="2">
        <f t="shared" si="64"/>
        <v>-410.74120040000003</v>
      </c>
      <c r="Z187" s="2">
        <f t="shared" si="65"/>
        <v>227.231841</v>
      </c>
      <c r="AA187" s="2">
        <f t="shared" si="66"/>
        <v>6455.8813571999999</v>
      </c>
      <c r="AB187" s="2">
        <f t="shared" si="67"/>
        <v>0</v>
      </c>
      <c r="AC187" s="2"/>
      <c r="AD187" s="8">
        <f t="shared" si="68"/>
        <v>0</v>
      </c>
      <c r="AE187" s="8">
        <f t="shared" si="69"/>
        <v>-9.0545627427819006E-2</v>
      </c>
      <c r="AF187" s="8">
        <f t="shared" si="70"/>
        <v>5.0092003419395487E-2</v>
      </c>
      <c r="AG187" s="8">
        <f t="shared" si="71"/>
        <v>1.4231633630080653</v>
      </c>
      <c r="AH187" s="11">
        <f t="shared" si="72"/>
        <v>0</v>
      </c>
      <c r="AI187" s="8">
        <f t="shared" si="73"/>
        <v>1.3827097389996419</v>
      </c>
      <c r="AJ187" s="9">
        <f t="shared" si="74"/>
        <v>278.90229325690774</v>
      </c>
      <c r="AL187" s="7">
        <f t="shared" si="75"/>
        <v>1394.7577067430923</v>
      </c>
      <c r="AM187" s="42">
        <f t="shared" si="76"/>
        <v>22.061029879637015</v>
      </c>
    </row>
    <row r="188" spans="1:48" ht="15.75" x14ac:dyDescent="0.25">
      <c r="A188" s="14">
        <v>46007</v>
      </c>
      <c r="B188" s="15">
        <v>1679.18</v>
      </c>
      <c r="C188" s="18">
        <v>7617247</v>
      </c>
      <c r="E188" s="14">
        <v>46007</v>
      </c>
      <c r="F188" s="4">
        <v>142900</v>
      </c>
      <c r="G188" s="4">
        <v>7706031024</v>
      </c>
      <c r="H188" s="4">
        <v>95000</v>
      </c>
      <c r="I188" s="4">
        <v>4107412004</v>
      </c>
      <c r="J188" s="4">
        <v>29600</v>
      </c>
      <c r="K188" s="4">
        <v>2272318410</v>
      </c>
      <c r="L188" s="4">
        <v>84300</v>
      </c>
      <c r="M188" s="4">
        <v>1793300377</v>
      </c>
      <c r="N188" s="4">
        <v>191500</v>
      </c>
      <c r="O188" s="4">
        <v>591611334</v>
      </c>
      <c r="Q188" s="17"/>
      <c r="R188" s="3">
        <f t="shared" si="77"/>
        <v>0</v>
      </c>
      <c r="S188" s="3">
        <f t="shared" si="59"/>
        <v>10268530010000</v>
      </c>
      <c r="T188" s="3">
        <f t="shared" si="60"/>
        <v>1590622887000</v>
      </c>
      <c r="U188" s="3">
        <f t="shared" si="61"/>
        <v>9863152073500</v>
      </c>
      <c r="V188" s="3">
        <f t="shared" si="62"/>
        <v>3253862337000</v>
      </c>
      <c r="X188" s="2">
        <f t="shared" si="63"/>
        <v>0</v>
      </c>
      <c r="Y188" s="2">
        <f t="shared" si="64"/>
        <v>10268.53001</v>
      </c>
      <c r="Z188" s="2">
        <f t="shared" si="65"/>
        <v>1590.622887</v>
      </c>
      <c r="AA188" s="2">
        <f t="shared" si="66"/>
        <v>9863.1520734999995</v>
      </c>
      <c r="AB188" s="2">
        <f t="shared" si="67"/>
        <v>3253.862337</v>
      </c>
      <c r="AC188" s="2"/>
      <c r="AD188" s="8">
        <f t="shared" si="68"/>
        <v>0</v>
      </c>
      <c r="AE188" s="8">
        <f t="shared" si="69"/>
        <v>2.2862612500505688</v>
      </c>
      <c r="AF188" s="8">
        <f t="shared" si="70"/>
        <v>0.35414801012902375</v>
      </c>
      <c r="AG188" s="8">
        <f t="shared" si="71"/>
        <v>2.1960049166763809</v>
      </c>
      <c r="AH188" s="11">
        <f t="shared" si="72"/>
        <v>0.7244639073788991</v>
      </c>
      <c r="AI188" s="8">
        <f t="shared" si="73"/>
        <v>4.836414176855973</v>
      </c>
      <c r="AJ188" s="9">
        <f t="shared" si="74"/>
        <v>277.51958351790807</v>
      </c>
      <c r="AL188" s="7">
        <f t="shared" si="75"/>
        <v>1401.6604164820919</v>
      </c>
      <c r="AM188" s="42">
        <f t="shared" si="76"/>
        <v>21.410402310662587</v>
      </c>
    </row>
    <row r="189" spans="1:48" ht="15.75" x14ac:dyDescent="0.25">
      <c r="A189" s="14">
        <v>46006</v>
      </c>
      <c r="B189" s="15">
        <v>1646.01</v>
      </c>
      <c r="C189" s="18">
        <v>7392901</v>
      </c>
      <c r="E189" s="14">
        <v>46006</v>
      </c>
      <c r="F189" s="4">
        <v>142900</v>
      </c>
      <c r="G189" s="4">
        <v>7706031024</v>
      </c>
      <c r="H189" s="4">
        <v>92500</v>
      </c>
      <c r="I189" s="4">
        <v>4107412004</v>
      </c>
      <c r="J189" s="4">
        <v>28900</v>
      </c>
      <c r="K189" s="4">
        <v>2272318410</v>
      </c>
      <c r="L189" s="4">
        <v>78800</v>
      </c>
      <c r="M189" s="4">
        <v>1793300377</v>
      </c>
      <c r="N189" s="4">
        <v>186000</v>
      </c>
      <c r="O189" s="4">
        <v>591611334</v>
      </c>
      <c r="Q189" s="17"/>
      <c r="R189" s="3">
        <f t="shared" si="77"/>
        <v>-8476634126400</v>
      </c>
      <c r="S189" s="3">
        <f t="shared" si="59"/>
        <v>-6571859206400</v>
      </c>
      <c r="T189" s="3">
        <f t="shared" si="60"/>
        <v>3294861694500</v>
      </c>
      <c r="U189" s="3">
        <f t="shared" si="61"/>
        <v>-10580472224300</v>
      </c>
      <c r="V189" s="3">
        <f t="shared" si="62"/>
        <v>591611334000</v>
      </c>
      <c r="X189" s="2">
        <f t="shared" si="63"/>
        <v>-8476.6341264000002</v>
      </c>
      <c r="Y189" s="2">
        <f t="shared" si="64"/>
        <v>-6571.8592064000004</v>
      </c>
      <c r="Z189" s="2">
        <f t="shared" si="65"/>
        <v>3294.8616944999999</v>
      </c>
      <c r="AA189" s="2">
        <f t="shared" si="66"/>
        <v>-10580.4722243</v>
      </c>
      <c r="AB189" s="2">
        <f t="shared" si="67"/>
        <v>591.61133400000006</v>
      </c>
      <c r="AC189" s="2"/>
      <c r="AD189" s="8">
        <f t="shared" si="68"/>
        <v>-1.887019314990007</v>
      </c>
      <c r="AE189" s="8">
        <f t="shared" si="69"/>
        <v>-1.4629893272435555</v>
      </c>
      <c r="AF189" s="8">
        <f t="shared" si="70"/>
        <v>0.73348307418132508</v>
      </c>
      <c r="AG189" s="8">
        <f t="shared" si="71"/>
        <v>-2.3553635973018796</v>
      </c>
      <c r="AH189" s="11">
        <f t="shared" si="72"/>
        <v>0.13170109710741146</v>
      </c>
      <c r="AI189" s="8">
        <f t="shared" si="73"/>
        <v>-4.9718891653541171</v>
      </c>
      <c r="AJ189" s="9">
        <f t="shared" si="74"/>
        <v>272.68316934105212</v>
      </c>
      <c r="AL189" s="7">
        <f t="shared" si="75"/>
        <v>1373.326830658948</v>
      </c>
      <c r="AM189" s="42">
        <f t="shared" si="76"/>
        <v>21.361893226170388</v>
      </c>
    </row>
    <row r="190" spans="1:48" ht="15.75" x14ac:dyDescent="0.25">
      <c r="A190" s="1">
        <v>46003</v>
      </c>
      <c r="B190" s="7">
        <v>1646.89</v>
      </c>
      <c r="C190" s="19">
        <v>7397955</v>
      </c>
      <c r="E190" s="1">
        <v>46003</v>
      </c>
      <c r="F190" s="4">
        <v>144000</v>
      </c>
      <c r="G190" s="4">
        <v>7706031024</v>
      </c>
      <c r="H190" s="4">
        <v>94100</v>
      </c>
      <c r="I190" s="4">
        <v>4107412004</v>
      </c>
      <c r="J190" s="4">
        <v>27450</v>
      </c>
      <c r="K190" s="4">
        <v>2272318410</v>
      </c>
      <c r="L190" s="4">
        <v>84700</v>
      </c>
      <c r="M190" s="4">
        <v>1793300377</v>
      </c>
      <c r="N190" s="4">
        <v>185000</v>
      </c>
      <c r="O190" s="4">
        <v>591611334</v>
      </c>
      <c r="Q190" s="12"/>
      <c r="R190" s="3">
        <f t="shared" si="77"/>
        <v>-15412062048000</v>
      </c>
      <c r="S190" s="3">
        <f t="shared" si="59"/>
        <v>-28751884028000</v>
      </c>
      <c r="T190" s="3">
        <f t="shared" si="60"/>
        <v>-4658252740500</v>
      </c>
      <c r="U190" s="3">
        <f t="shared" si="61"/>
        <v>-11297792375100</v>
      </c>
      <c r="V190" s="3">
        <f t="shared" si="62"/>
        <v>-1774834002000</v>
      </c>
      <c r="X190" s="2">
        <f t="shared" si="63"/>
        <v>-15412.062048</v>
      </c>
      <c r="Y190" s="2">
        <f t="shared" si="64"/>
        <v>-28751.884028</v>
      </c>
      <c r="Z190" s="2">
        <f t="shared" si="65"/>
        <v>-4658.2527405000001</v>
      </c>
      <c r="AA190" s="2">
        <f t="shared" si="66"/>
        <v>-11297.7923751</v>
      </c>
      <c r="AB190" s="2">
        <f t="shared" si="67"/>
        <v>-1774.8340020000001</v>
      </c>
      <c r="AC190" s="2"/>
      <c r="AD190" s="8">
        <f t="shared" si="68"/>
        <v>-3.4311194930792261</v>
      </c>
      <c r="AE190" s="8">
        <f t="shared" si="69"/>
        <v>-6.4009053067643125</v>
      </c>
      <c r="AF190" s="8">
        <f t="shared" si="70"/>
        <v>-1.0370462908753579</v>
      </c>
      <c r="AG190" s="8">
        <f t="shared" si="71"/>
        <v>-2.5151777566323652</v>
      </c>
      <c r="AH190" s="11">
        <f t="shared" si="72"/>
        <v>-0.39512347681160942</v>
      </c>
      <c r="AI190" s="8">
        <f t="shared" si="73"/>
        <v>-13.384248847351261</v>
      </c>
      <c r="AJ190" s="9">
        <f t="shared" si="74"/>
        <v>277.65505850640625</v>
      </c>
      <c r="AK190" s="9"/>
      <c r="AL190" s="7">
        <f t="shared" si="75"/>
        <v>1369.2349414935939</v>
      </c>
      <c r="AM190" s="42">
        <f t="shared" si="76"/>
        <v>18.174962821385275</v>
      </c>
    </row>
    <row r="191" spans="1:48" x14ac:dyDescent="0.25">
      <c r="A191" s="1">
        <v>46002</v>
      </c>
      <c r="B191" s="7">
        <v>1698.9</v>
      </c>
      <c r="C191" s="19">
        <v>7631198</v>
      </c>
      <c r="E191" s="10">
        <v>46002</v>
      </c>
      <c r="F191" s="4">
        <v>146000</v>
      </c>
      <c r="G191" s="4">
        <v>7706031024</v>
      </c>
      <c r="H191" s="4">
        <v>101100</v>
      </c>
      <c r="I191" s="4">
        <v>4107412004</v>
      </c>
      <c r="J191" s="4">
        <v>29500</v>
      </c>
      <c r="K191" s="4">
        <v>2272318410</v>
      </c>
      <c r="L191" s="4">
        <v>91000</v>
      </c>
      <c r="M191" s="4">
        <v>1793300377</v>
      </c>
      <c r="N191" s="4">
        <v>188000</v>
      </c>
      <c r="O191" s="4">
        <v>591611334</v>
      </c>
      <c r="Q191" s="3"/>
      <c r="R191" s="3">
        <f t="shared" si="77"/>
        <v>-21576886867200</v>
      </c>
      <c r="S191" s="3">
        <f t="shared" si="59"/>
        <v>-9857788809600</v>
      </c>
      <c r="T191" s="3">
        <f t="shared" si="60"/>
        <v>-1136159205000</v>
      </c>
      <c r="U191" s="3">
        <f t="shared" si="61"/>
        <v>-8607841809600</v>
      </c>
      <c r="V191" s="3">
        <f t="shared" si="62"/>
        <v>-5087857472400</v>
      </c>
      <c r="X191" s="2">
        <f t="shared" si="63"/>
        <v>-21576.886867199999</v>
      </c>
      <c r="Y191" s="2">
        <f t="shared" si="64"/>
        <v>-9857.7888096000006</v>
      </c>
      <c r="Z191" s="2">
        <f t="shared" si="65"/>
        <v>-1136.1592049999999</v>
      </c>
      <c r="AA191" s="2">
        <f t="shared" si="66"/>
        <v>-8607.8418096000005</v>
      </c>
      <c r="AB191" s="2">
        <f t="shared" si="67"/>
        <v>-5087.8574724</v>
      </c>
      <c r="AC191" s="2"/>
      <c r="AD191" s="8">
        <f t="shared" si="68"/>
        <v>-4.8593969450121</v>
      </c>
      <c r="AE191" s="8">
        <f t="shared" si="69"/>
        <v>-2.220102886981536</v>
      </c>
      <c r="AF191" s="8">
        <f t="shared" si="70"/>
        <v>-0.25587790323066351</v>
      </c>
      <c r="AG191" s="8">
        <f t="shared" si="71"/>
        <v>-1.938598485043906</v>
      </c>
      <c r="AH191" s="11">
        <f t="shared" si="72"/>
        <v>-1.1458520040544631</v>
      </c>
      <c r="AI191" s="8">
        <f t="shared" si="73"/>
        <v>-9.2739762202682048</v>
      </c>
      <c r="AJ191" s="9">
        <f t="shared" si="74"/>
        <v>291.03930735375752</v>
      </c>
      <c r="AK191" s="9"/>
      <c r="AL191" s="7">
        <f t="shared" si="75"/>
        <v>1407.8606926462426</v>
      </c>
      <c r="AM191" s="42">
        <f t="shared" si="76"/>
        <v>12.21502365511785</v>
      </c>
    </row>
    <row r="192" spans="1:48" x14ac:dyDescent="0.25">
      <c r="A192" s="1">
        <v>46001</v>
      </c>
      <c r="B192" s="7">
        <v>1718.98</v>
      </c>
      <c r="C192" s="3">
        <v>7632683.1100000003</v>
      </c>
      <c r="E192" s="10">
        <v>46001</v>
      </c>
      <c r="F192" s="4">
        <v>148800</v>
      </c>
      <c r="G192" s="4">
        <v>7706031024</v>
      </c>
      <c r="H192" s="4">
        <v>103500</v>
      </c>
      <c r="I192" s="4">
        <v>4107412004</v>
      </c>
      <c r="J192" s="4">
        <v>30000</v>
      </c>
      <c r="K192" s="4">
        <v>2272318410</v>
      </c>
      <c r="L192" s="4">
        <v>95800</v>
      </c>
      <c r="M192" s="4">
        <v>1793300377</v>
      </c>
      <c r="N192" s="4">
        <v>196600</v>
      </c>
      <c r="O192" s="4">
        <v>591611334</v>
      </c>
      <c r="Q192" s="3"/>
      <c r="R192" s="3">
        <f t="shared" si="77"/>
        <v>-86307547468800</v>
      </c>
      <c r="S192" s="3">
        <f t="shared" si="59"/>
        <v>-16429648016000</v>
      </c>
      <c r="T192" s="3">
        <f t="shared" si="60"/>
        <v>-4544636820000</v>
      </c>
      <c r="U192" s="3">
        <f t="shared" si="61"/>
        <v>-12911762714400</v>
      </c>
      <c r="V192" s="3">
        <f t="shared" si="62"/>
        <v>-2011478535600</v>
      </c>
      <c r="X192" s="2">
        <f t="shared" si="63"/>
        <v>-86307.547468799996</v>
      </c>
      <c r="Y192" s="2">
        <f t="shared" si="64"/>
        <v>-16429.648015999999</v>
      </c>
      <c r="Z192" s="2">
        <f t="shared" si="65"/>
        <v>-4544.6368199999997</v>
      </c>
      <c r="AA192" s="2">
        <f t="shared" si="66"/>
        <v>-12911.7627144</v>
      </c>
      <c r="AB192" s="2">
        <f t="shared" si="67"/>
        <v>-2011.4785356</v>
      </c>
      <c r="AC192" s="2"/>
      <c r="AD192" s="8">
        <f t="shared" si="68"/>
        <v>-19.444780818095943</v>
      </c>
      <c r="AE192" s="8">
        <f t="shared" si="69"/>
        <v>-3.7015407569665095</v>
      </c>
      <c r="AF192" s="8">
        <f t="shared" si="70"/>
        <v>-1.0238903717510215</v>
      </c>
      <c r="AG192" s="8">
        <f t="shared" si="71"/>
        <v>-2.9089738188601819</v>
      </c>
      <c r="AH192" s="11">
        <f t="shared" si="72"/>
        <v>-0.45317889793109678</v>
      </c>
      <c r="AI192" s="8">
        <f t="shared" si="73"/>
        <v>-27.079185765673657</v>
      </c>
      <c r="AJ192" s="9">
        <f t="shared" si="74"/>
        <v>300.31328357402572</v>
      </c>
      <c r="AK192" s="9"/>
      <c r="AL192" s="7">
        <f t="shared" si="75"/>
        <v>1418.6667164259743</v>
      </c>
      <c r="AM192" s="42">
        <f t="shared" si="76"/>
        <v>11.213498134989738</v>
      </c>
    </row>
    <row r="193" spans="1:39" x14ac:dyDescent="0.25">
      <c r="A193" s="1">
        <v>46000</v>
      </c>
      <c r="B193" s="7">
        <v>1747.17</v>
      </c>
      <c r="C193" s="3">
        <v>7754983.6699999999</v>
      </c>
      <c r="E193" s="10">
        <v>46000</v>
      </c>
      <c r="F193" s="4">
        <v>160000</v>
      </c>
      <c r="G193" s="4">
        <v>7706031024</v>
      </c>
      <c r="H193" s="4">
        <v>107500</v>
      </c>
      <c r="I193" s="4">
        <v>4107412004</v>
      </c>
      <c r="J193" s="4">
        <v>32000</v>
      </c>
      <c r="K193" s="4">
        <v>2272318410</v>
      </c>
      <c r="L193" s="4">
        <v>103000</v>
      </c>
      <c r="M193" s="4">
        <v>1793300377</v>
      </c>
      <c r="N193" s="4">
        <v>200000</v>
      </c>
      <c r="O193" s="4">
        <v>591611334</v>
      </c>
      <c r="Q193" s="3"/>
      <c r="R193" s="3">
        <f t="shared" si="77"/>
        <v>56254026475200</v>
      </c>
      <c r="S193" s="3">
        <f t="shared" si="59"/>
        <v>-10268530010000</v>
      </c>
      <c r="T193" s="3">
        <f t="shared" si="60"/>
        <v>-2158702489500</v>
      </c>
      <c r="U193" s="3">
        <f t="shared" si="61"/>
        <v>-5917891244100</v>
      </c>
      <c r="V193" s="3">
        <f t="shared" si="62"/>
        <v>-3786312537600</v>
      </c>
      <c r="X193" s="2">
        <f t="shared" si="63"/>
        <v>56254.0264752</v>
      </c>
      <c r="Y193" s="2">
        <f t="shared" si="64"/>
        <v>-10268.53001</v>
      </c>
      <c r="Z193" s="2">
        <f t="shared" si="65"/>
        <v>-2158.7024895</v>
      </c>
      <c r="AA193" s="2">
        <f t="shared" si="66"/>
        <v>-5917.8912441000002</v>
      </c>
      <c r="AB193" s="2">
        <f t="shared" si="67"/>
        <v>-3786.3125375999998</v>
      </c>
      <c r="AC193" s="2"/>
      <c r="AD193" s="8">
        <f t="shared" si="68"/>
        <v>12.674630015179124</v>
      </c>
      <c r="AE193" s="8">
        <f t="shared" si="69"/>
        <v>-2.3136089419997536</v>
      </c>
      <c r="AF193" s="8">
        <f t="shared" si="70"/>
        <v>-0.4863786129037499</v>
      </c>
      <c r="AG193" s="8">
        <f t="shared" si="71"/>
        <v>-1.3333637908053215</v>
      </c>
      <c r="AH193" s="11">
        <f t="shared" si="72"/>
        <v>-0.85309645447461058</v>
      </c>
      <c r="AI193" s="8">
        <f t="shared" si="73"/>
        <v>8.5412786694702998</v>
      </c>
      <c r="AJ193" s="9">
        <f t="shared" si="74"/>
        <v>327.3924693396994</v>
      </c>
      <c r="AK193" s="9"/>
      <c r="AL193" s="7">
        <f t="shared" si="75"/>
        <v>1419.7775306603007</v>
      </c>
      <c r="AM193" s="42">
        <f t="shared" si="76"/>
        <v>11.018858990667397</v>
      </c>
    </row>
    <row r="194" spans="1:39" x14ac:dyDescent="0.25">
      <c r="A194" s="1">
        <v>45999</v>
      </c>
      <c r="B194" s="7">
        <v>1753.74</v>
      </c>
      <c r="C194" s="3">
        <v>7783654.1399999997</v>
      </c>
      <c r="E194" s="10">
        <v>45999</v>
      </c>
      <c r="F194" s="4">
        <v>152700</v>
      </c>
      <c r="G194" s="4">
        <v>7706031024</v>
      </c>
      <c r="H194" s="4">
        <v>110000</v>
      </c>
      <c r="I194" s="4">
        <v>4107412004</v>
      </c>
      <c r="J194" s="4">
        <v>32950</v>
      </c>
      <c r="K194" s="4">
        <v>2272318410</v>
      </c>
      <c r="L194" s="4">
        <v>106300</v>
      </c>
      <c r="M194" s="4">
        <v>1793300377</v>
      </c>
      <c r="N194" s="4">
        <v>206400</v>
      </c>
      <c r="O194" s="4">
        <v>591611334</v>
      </c>
      <c r="Q194" s="3"/>
      <c r="R194" s="3">
        <f t="shared" si="77"/>
        <v>76289707137600</v>
      </c>
      <c r="S194" s="3">
        <f t="shared" si="59"/>
        <v>12322236012000</v>
      </c>
      <c r="T194" s="3">
        <f t="shared" si="60"/>
        <v>-1931470648500</v>
      </c>
      <c r="U194" s="3">
        <f t="shared" si="61"/>
        <v>4124590867100</v>
      </c>
      <c r="V194" s="3">
        <f t="shared" si="62"/>
        <v>-650772467400</v>
      </c>
      <c r="X194" s="2">
        <f t="shared" si="63"/>
        <v>76289.707137599995</v>
      </c>
      <c r="Y194" s="2">
        <f t="shared" si="64"/>
        <v>12322.236011999999</v>
      </c>
      <c r="Z194" s="2">
        <f t="shared" si="65"/>
        <v>-1931.4706484999999</v>
      </c>
      <c r="AA194" s="2">
        <f t="shared" si="66"/>
        <v>4124.5908670999997</v>
      </c>
      <c r="AB194" s="2">
        <f t="shared" si="67"/>
        <v>-650.77246739999998</v>
      </c>
      <c r="AC194" s="2"/>
      <c r="AD194" s="8">
        <f t="shared" si="68"/>
        <v>17.202813036662285</v>
      </c>
      <c r="AE194" s="8">
        <f t="shared" si="69"/>
        <v>2.7785808893686061</v>
      </c>
      <c r="AF194" s="8">
        <f t="shared" si="70"/>
        <v>-0.43553356931908177</v>
      </c>
      <c r="AG194" s="8">
        <f t="shared" si="71"/>
        <v>0.93006734724343376</v>
      </c>
      <c r="AH194" s="11">
        <f t="shared" si="72"/>
        <v>-0.14674479043283675</v>
      </c>
      <c r="AI194" s="8">
        <f t="shared" si="73"/>
        <v>20.475927703955243</v>
      </c>
      <c r="AJ194" s="9">
        <f t="shared" si="74"/>
        <v>318.85119067022913</v>
      </c>
      <c r="AK194" s="9"/>
      <c r="AL194" s="7">
        <f t="shared" si="75"/>
        <v>1434.888809329771</v>
      </c>
      <c r="AM194" s="42">
        <f t="shared" si="76"/>
        <v>12.907765806713696</v>
      </c>
    </row>
    <row r="195" spans="1:39" x14ac:dyDescent="0.25">
      <c r="A195" s="1">
        <v>45996</v>
      </c>
      <c r="B195" s="7">
        <v>1741.32</v>
      </c>
      <c r="C195" s="3">
        <v>7722271.5</v>
      </c>
      <c r="E195" s="10">
        <v>45996</v>
      </c>
      <c r="F195" s="4">
        <v>142800</v>
      </c>
      <c r="G195" s="4">
        <v>7706031024</v>
      </c>
      <c r="H195" s="4">
        <v>107000</v>
      </c>
      <c r="I195" s="4">
        <v>4107412004</v>
      </c>
      <c r="J195" s="4">
        <v>33800</v>
      </c>
      <c r="K195" s="4">
        <v>2272318410</v>
      </c>
      <c r="L195" s="4">
        <v>104000</v>
      </c>
      <c r="M195" s="4">
        <v>1793300377</v>
      </c>
      <c r="N195" s="4">
        <v>207500</v>
      </c>
      <c r="O195" s="4">
        <v>591611334</v>
      </c>
      <c r="Q195" s="3"/>
      <c r="R195" s="3">
        <f t="shared" si="77"/>
        <v>71666088523200</v>
      </c>
      <c r="S195" s="3">
        <f t="shared" si="59"/>
        <v>7393341607200</v>
      </c>
      <c r="T195" s="3">
        <f t="shared" si="60"/>
        <v>-1363391046000</v>
      </c>
      <c r="U195" s="3">
        <f t="shared" si="61"/>
        <v>3586600754000</v>
      </c>
      <c r="V195" s="3">
        <f t="shared" si="62"/>
        <v>887417001000</v>
      </c>
      <c r="X195" s="2">
        <f t="shared" si="63"/>
        <v>71666.0885232</v>
      </c>
      <c r="Y195" s="2">
        <f t="shared" si="64"/>
        <v>7393.3416072</v>
      </c>
      <c r="Z195" s="2">
        <f t="shared" si="65"/>
        <v>-1363.391046</v>
      </c>
      <c r="AA195" s="2">
        <f t="shared" si="66"/>
        <v>3586.6007540000001</v>
      </c>
      <c r="AB195" s="2">
        <f t="shared" si="67"/>
        <v>887.41700100000003</v>
      </c>
      <c r="AC195" s="2"/>
      <c r="AD195" s="8">
        <f t="shared" si="68"/>
        <v>16.161193181771523</v>
      </c>
      <c r="AE195" s="8">
        <f t="shared" si="69"/>
        <v>1.6672491053297569</v>
      </c>
      <c r="AF195" s="8">
        <f t="shared" si="70"/>
        <v>-0.30745400691947372</v>
      </c>
      <c r="AG195" s="8">
        <f t="shared" si="71"/>
        <v>0.80880300356447077</v>
      </c>
      <c r="AH195" s="11">
        <f t="shared" si="72"/>
        <v>0.20011860395180606</v>
      </c>
      <c r="AI195" s="8">
        <f t="shared" si="73"/>
        <v>18.329791283746275</v>
      </c>
      <c r="AJ195" s="9">
        <f t="shared" si="74"/>
        <v>298.37526296627391</v>
      </c>
      <c r="AK195" s="9"/>
      <c r="AL195" s="7">
        <f t="shared" si="75"/>
        <v>1442.9447370337261</v>
      </c>
      <c r="AM195" s="42">
        <f t="shared" si="76"/>
        <v>15.322050586220664</v>
      </c>
    </row>
    <row r="196" spans="1:39" x14ac:dyDescent="0.25">
      <c r="A196" s="1">
        <v>45995</v>
      </c>
      <c r="B196" s="7">
        <v>1737.24</v>
      </c>
      <c r="C196" s="3">
        <v>7703713.0999999996</v>
      </c>
      <c r="E196" s="10">
        <v>45995</v>
      </c>
      <c r="F196" s="4">
        <v>267000</v>
      </c>
      <c r="G196" s="4">
        <v>3853015512</v>
      </c>
      <c r="H196" s="4">
        <v>105200</v>
      </c>
      <c r="I196" s="4">
        <v>4107412004</v>
      </c>
      <c r="J196" s="4">
        <v>34400</v>
      </c>
      <c r="K196" s="4">
        <v>2272318410</v>
      </c>
      <c r="L196" s="4">
        <v>102000</v>
      </c>
      <c r="M196" s="4">
        <v>1793300377</v>
      </c>
      <c r="N196" s="4">
        <v>206000</v>
      </c>
      <c r="O196" s="4">
        <v>591611334</v>
      </c>
      <c r="Q196" s="3"/>
      <c r="R196" s="3">
        <f t="shared" si="77"/>
        <v>-9247237228800</v>
      </c>
      <c r="S196" s="3">
        <f t="shared" si="59"/>
        <v>-6571859206400</v>
      </c>
      <c r="T196" s="3">
        <f t="shared" si="60"/>
        <v>-227231841000</v>
      </c>
      <c r="U196" s="3">
        <f t="shared" si="61"/>
        <v>3586600754000</v>
      </c>
      <c r="V196" s="3">
        <f t="shared" si="62"/>
        <v>-4732890672000</v>
      </c>
      <c r="X196" s="2">
        <f t="shared" si="63"/>
        <v>-9247.2372288000006</v>
      </c>
      <c r="Y196" s="2">
        <f t="shared" si="64"/>
        <v>-6571.8592064000004</v>
      </c>
      <c r="Z196" s="2">
        <f t="shared" si="65"/>
        <v>-227.231841</v>
      </c>
      <c r="AA196" s="2">
        <f t="shared" si="66"/>
        <v>3586.6007540000001</v>
      </c>
      <c r="AB196" s="2">
        <f t="shared" si="67"/>
        <v>-4732.8906720000004</v>
      </c>
      <c r="AC196" s="2"/>
      <c r="AD196" s="8">
        <f t="shared" si="68"/>
        <v>-2.0853149721737152</v>
      </c>
      <c r="AE196" s="8">
        <f t="shared" si="69"/>
        <v>-1.4819990078163043</v>
      </c>
      <c r="AF196" s="8">
        <f t="shared" si="70"/>
        <v>-5.1242327677732548E-2</v>
      </c>
      <c r="AG196" s="8">
        <f t="shared" si="71"/>
        <v>0.80880289609443701</v>
      </c>
      <c r="AH196" s="11">
        <f t="shared" si="72"/>
        <v>-1.0672990792584736</v>
      </c>
      <c r="AI196" s="8">
        <f t="shared" si="73"/>
        <v>-2.8097534115733152</v>
      </c>
      <c r="AJ196" s="9">
        <f t="shared" si="74"/>
        <v>280.04547168252765</v>
      </c>
      <c r="AK196" s="9"/>
      <c r="AL196" s="7">
        <f t="shared" si="75"/>
        <v>1457.1945283174723</v>
      </c>
      <c r="AM196" s="42">
        <f t="shared" si="76"/>
        <v>15.705874233942831</v>
      </c>
    </row>
    <row r="197" spans="1:39" x14ac:dyDescent="0.25">
      <c r="A197" s="1">
        <v>45994</v>
      </c>
      <c r="B197" s="7">
        <v>1731.77</v>
      </c>
      <c r="C197" s="3">
        <v>7679457.6500000004</v>
      </c>
      <c r="E197" s="10">
        <v>45994</v>
      </c>
      <c r="F197" s="4">
        <v>269400</v>
      </c>
      <c r="G197" s="4">
        <v>3853015512</v>
      </c>
      <c r="H197" s="4">
        <v>106800</v>
      </c>
      <c r="I197" s="4">
        <v>4107412004</v>
      </c>
      <c r="J197" s="4">
        <v>34500</v>
      </c>
      <c r="K197" s="4">
        <v>2272318410</v>
      </c>
      <c r="L197" s="4">
        <v>100000</v>
      </c>
      <c r="M197" s="4">
        <v>1793300377</v>
      </c>
      <c r="N197" s="4">
        <v>214000</v>
      </c>
      <c r="O197" s="4">
        <v>591611334</v>
      </c>
      <c r="Q197" s="3"/>
      <c r="R197" s="3">
        <f t="shared" si="77"/>
        <v>-21576886867200</v>
      </c>
      <c r="S197" s="3">
        <f t="shared" si="59"/>
        <v>0</v>
      </c>
      <c r="T197" s="3">
        <f t="shared" si="60"/>
        <v>-908927364000</v>
      </c>
      <c r="U197" s="3">
        <f t="shared" si="61"/>
        <v>-6814541432600</v>
      </c>
      <c r="V197" s="3">
        <f t="shared" si="62"/>
        <v>-2307284202600</v>
      </c>
      <c r="X197" s="2">
        <f t="shared" si="63"/>
        <v>-21576.886867199999</v>
      </c>
      <c r="Y197" s="2">
        <f t="shared" si="64"/>
        <v>0</v>
      </c>
      <c r="Z197" s="2">
        <f t="shared" si="65"/>
        <v>-908.92736400000001</v>
      </c>
      <c r="AA197" s="2">
        <f t="shared" si="66"/>
        <v>-6814.5414326</v>
      </c>
      <c r="AB197" s="2">
        <f t="shared" si="67"/>
        <v>-2307.2842025999998</v>
      </c>
      <c r="AC197" s="2"/>
      <c r="AD197" s="8">
        <f t="shared" si="68"/>
        <v>-4.8657215755585694</v>
      </c>
      <c r="AE197" s="8">
        <f t="shared" si="69"/>
        <v>0</v>
      </c>
      <c r="AF197" s="8">
        <f t="shared" si="70"/>
        <v>-0.20496874794080477</v>
      </c>
      <c r="AG197" s="8">
        <f t="shared" si="71"/>
        <v>-1.5367212832980128</v>
      </c>
      <c r="AH197" s="11">
        <f t="shared" si="72"/>
        <v>-0.52030687256382357</v>
      </c>
      <c r="AI197" s="8">
        <f t="shared" si="73"/>
        <v>-6.6074116067973865</v>
      </c>
      <c r="AJ197" s="9">
        <f t="shared" si="74"/>
        <v>282.85522509410094</v>
      </c>
      <c r="AK197" s="9"/>
      <c r="AL197" s="7">
        <f t="shared" si="75"/>
        <v>1448.9147749058991</v>
      </c>
      <c r="AM197" s="42">
        <f t="shared" si="76"/>
        <v>13.929982835331581</v>
      </c>
    </row>
    <row r="198" spans="1:39" x14ac:dyDescent="0.25">
      <c r="A198" s="1">
        <v>45993</v>
      </c>
      <c r="B198" s="7">
        <v>1717.06</v>
      </c>
      <c r="C198" s="3">
        <v>7614247.71</v>
      </c>
      <c r="E198" s="10">
        <v>45993</v>
      </c>
      <c r="F198" s="4">
        <v>275000</v>
      </c>
      <c r="G198" s="4">
        <v>3853015512</v>
      </c>
      <c r="H198" s="4">
        <v>106800</v>
      </c>
      <c r="I198" s="4">
        <v>4107412004</v>
      </c>
      <c r="J198" s="4">
        <v>34900</v>
      </c>
      <c r="K198" s="4">
        <v>2272318410</v>
      </c>
      <c r="L198" s="4">
        <v>103800</v>
      </c>
      <c r="M198" s="4">
        <v>1793300377</v>
      </c>
      <c r="N198" s="4">
        <v>217900</v>
      </c>
      <c r="O198" s="4">
        <v>591611334</v>
      </c>
      <c r="Q198" s="3"/>
      <c r="R198" s="3">
        <f t="shared" si="77"/>
        <v>19650379111200</v>
      </c>
      <c r="S198" s="3">
        <f t="shared" si="59"/>
        <v>4518153204400</v>
      </c>
      <c r="T198" s="3">
        <f t="shared" si="60"/>
        <v>0</v>
      </c>
      <c r="U198" s="3">
        <f t="shared" si="61"/>
        <v>3945260829400</v>
      </c>
      <c r="V198" s="3">
        <f t="shared" si="62"/>
        <v>8282558676000</v>
      </c>
      <c r="X198" s="2">
        <f t="shared" si="63"/>
        <v>19650.3791112</v>
      </c>
      <c r="Y198" s="2">
        <f t="shared" si="64"/>
        <v>4518.1532043999996</v>
      </c>
      <c r="Z198" s="2">
        <f t="shared" si="65"/>
        <v>0</v>
      </c>
      <c r="AA198" s="2">
        <f t="shared" si="66"/>
        <v>3945.2608294000001</v>
      </c>
      <c r="AB198" s="2">
        <f t="shared" si="67"/>
        <v>8282.5586760000006</v>
      </c>
      <c r="AC198" s="2"/>
      <c r="AD198" s="8">
        <f t="shared" si="68"/>
        <v>4.4313854444240093</v>
      </c>
      <c r="AE198" s="8">
        <f t="shared" si="69"/>
        <v>1.0188952707911996</v>
      </c>
      <c r="AF198" s="8">
        <f t="shared" si="70"/>
        <v>0</v>
      </c>
      <c r="AG198" s="8">
        <f t="shared" si="71"/>
        <v>0.88970148183526399</v>
      </c>
      <c r="AH198" s="11">
        <f t="shared" si="72"/>
        <v>1.8678117990352008</v>
      </c>
      <c r="AI198" s="8">
        <f t="shared" si="73"/>
        <v>6.3399821970504728</v>
      </c>
      <c r="AJ198" s="9">
        <f t="shared" si="74"/>
        <v>289.46263670089832</v>
      </c>
      <c r="AK198" s="9"/>
      <c r="AL198" s="7">
        <f t="shared" si="75"/>
        <v>1427.5973632991017</v>
      </c>
      <c r="AM198" s="42">
        <f t="shared" si="76"/>
        <v>13.556386867759853</v>
      </c>
    </row>
    <row r="199" spans="1:39" x14ac:dyDescent="0.25">
      <c r="A199" s="1">
        <v>45992</v>
      </c>
      <c r="B199" s="7">
        <v>1701.67</v>
      </c>
      <c r="C199" s="3">
        <v>7545825.3499999996</v>
      </c>
      <c r="E199" s="10">
        <v>45992</v>
      </c>
      <c r="F199" s="4">
        <v>269900</v>
      </c>
      <c r="G199" s="4">
        <v>3853015512</v>
      </c>
      <c r="H199" s="4">
        <v>105700</v>
      </c>
      <c r="I199" s="4">
        <v>4107412004</v>
      </c>
      <c r="J199" s="4">
        <v>34900</v>
      </c>
      <c r="K199" s="4">
        <v>2272318410</v>
      </c>
      <c r="L199" s="4">
        <v>101600</v>
      </c>
      <c r="M199" s="4">
        <v>1793300377</v>
      </c>
      <c r="N199" s="4">
        <v>203900</v>
      </c>
      <c r="O199" s="4">
        <v>591611334</v>
      </c>
      <c r="Q199" s="3"/>
      <c r="R199" s="3">
        <f t="shared" si="77"/>
        <v>36603647364000</v>
      </c>
      <c r="S199" s="3">
        <f t="shared" si="59"/>
        <v>11500753611200</v>
      </c>
      <c r="T199" s="3">
        <f t="shared" si="60"/>
        <v>1477006966500</v>
      </c>
      <c r="U199" s="3">
        <f t="shared" si="61"/>
        <v>11835782488200</v>
      </c>
      <c r="V199" s="3">
        <f t="shared" si="62"/>
        <v>236644533600</v>
      </c>
      <c r="X199" s="2">
        <f t="shared" si="63"/>
        <v>36603.647363999997</v>
      </c>
      <c r="Y199" s="2">
        <f t="shared" si="64"/>
        <v>11500.7536112</v>
      </c>
      <c r="Z199" s="2">
        <f t="shared" si="65"/>
        <v>1477.0069665000001</v>
      </c>
      <c r="AA199" s="2">
        <f t="shared" si="66"/>
        <v>11835.7824882</v>
      </c>
      <c r="AB199" s="2">
        <f t="shared" si="67"/>
        <v>236.64453359999999</v>
      </c>
      <c r="AC199" s="2"/>
      <c r="AD199" s="8">
        <f t="shared" si="68"/>
        <v>8.2545348488040986</v>
      </c>
      <c r="AE199" s="8">
        <f t="shared" si="69"/>
        <v>2.5935495041548173</v>
      </c>
      <c r="AF199" s="8">
        <f t="shared" si="70"/>
        <v>0.33308171056449476</v>
      </c>
      <c r="AG199" s="8">
        <f t="shared" si="71"/>
        <v>2.669102290276129</v>
      </c>
      <c r="AH199" s="11">
        <f t="shared" si="72"/>
        <v>5.3366008309362327E-2</v>
      </c>
      <c r="AI199" s="8">
        <f t="shared" si="73"/>
        <v>13.850268353799539</v>
      </c>
      <c r="AJ199" s="9">
        <f t="shared" si="74"/>
        <v>283.12265450384785</v>
      </c>
      <c r="AK199" s="9"/>
      <c r="AL199" s="7">
        <f t="shared" si="75"/>
        <v>1418.5473454961523</v>
      </c>
      <c r="AM199" s="42">
        <f t="shared" si="76"/>
        <v>14.388467654889421</v>
      </c>
    </row>
    <row r="200" spans="1:39" x14ac:dyDescent="0.25">
      <c r="A200" s="1">
        <v>45989</v>
      </c>
      <c r="B200" s="7">
        <v>1690.99</v>
      </c>
      <c r="C200" s="3">
        <v>7498472.3899999997</v>
      </c>
      <c r="E200" s="10">
        <v>45989</v>
      </c>
      <c r="F200" s="4">
        <v>260400</v>
      </c>
      <c r="G200" s="4">
        <v>3853015512</v>
      </c>
      <c r="H200" s="4">
        <v>102900</v>
      </c>
      <c r="I200" s="4">
        <v>4107412004</v>
      </c>
      <c r="J200" s="4">
        <v>34250</v>
      </c>
      <c r="K200" s="4">
        <v>2272318410</v>
      </c>
      <c r="L200" s="4">
        <v>95000</v>
      </c>
      <c r="M200" s="4">
        <v>1793300377</v>
      </c>
      <c r="N200" s="4">
        <v>203500</v>
      </c>
      <c r="O200" s="4">
        <v>591611334</v>
      </c>
      <c r="Q200" s="3"/>
      <c r="R200" s="3">
        <f t="shared" si="77"/>
        <v>47777392348800</v>
      </c>
      <c r="S200" s="3">
        <f t="shared" ref="S200:S263" si="78">I200*H200-I201*H201</f>
        <v>1642964801600</v>
      </c>
      <c r="T200" s="3">
        <f t="shared" ref="T200:T263" si="79">K200*J200-K201*J201</f>
        <v>1363391046000</v>
      </c>
      <c r="U200" s="3">
        <f t="shared" ref="U200:U263" si="80">M200*L200-M201*L201</f>
        <v>9863152073500</v>
      </c>
      <c r="V200" s="3">
        <f t="shared" ref="V200:V263" si="81">O200*N200-O201*N201</f>
        <v>887417001000</v>
      </c>
      <c r="X200" s="2">
        <f t="shared" ref="X200:X263" si="82">R200/10^9</f>
        <v>47777.3923488</v>
      </c>
      <c r="Y200" s="2">
        <f t="shared" ref="Y200:Y263" si="83">S200/10^9</f>
        <v>1642.9648016000001</v>
      </c>
      <c r="Z200" s="2">
        <f t="shared" ref="Z200:Z263" si="84">T200/10^9</f>
        <v>1363.391046</v>
      </c>
      <c r="AA200" s="2">
        <f t="shared" ref="AA200:AA263" si="85">U200/10^9</f>
        <v>9863.1520734999995</v>
      </c>
      <c r="AB200" s="2">
        <f t="shared" ref="AB200:AB263" si="86">V200/10^9</f>
        <v>887.41700100000003</v>
      </c>
      <c r="AC200" s="2"/>
      <c r="AD200" s="8">
        <f t="shared" ref="AD200:AD263" si="87">X200/$C201*$B201</f>
        <v>10.774309372712688</v>
      </c>
      <c r="AE200" s="8">
        <f t="shared" ref="AE200:AE263" si="88">Y200/$C201*$B201</f>
        <v>0.37050601112098008</v>
      </c>
      <c r="AF200" s="8">
        <f t="shared" ref="AF200:AF263" si="89">Z200/$C201*$B201</f>
        <v>0.30745916014730562</v>
      </c>
      <c r="AG200" s="8">
        <f t="shared" ref="AG200:AG263" si="90">AA200/$C201*$B201</f>
        <v>2.2242455396934342</v>
      </c>
      <c r="AH200" s="11">
        <f t="shared" ref="AH200:AH263" si="91">AB200/$C201*$B201</f>
        <v>0.20012195813401337</v>
      </c>
      <c r="AI200" s="8">
        <f t="shared" ref="AI200:AI263" si="92">SUM(AD200:AG200)</f>
        <v>13.676520083674408</v>
      </c>
      <c r="AJ200" s="9">
        <f t="shared" ref="AJ200:AJ263" si="93">AI200+AJ201</f>
        <v>269.27238615004831</v>
      </c>
      <c r="AK200" s="9"/>
      <c r="AL200" s="7">
        <f t="shared" ref="AL200:AL263" si="94">B200-AJ200</f>
        <v>1421.7176138499517</v>
      </c>
      <c r="AM200" s="42">
        <f t="shared" ref="AM200:AM263" si="95">_xlfn.STDEV.S(AL200:AL219)</f>
        <v>14.40921811814189</v>
      </c>
    </row>
    <row r="201" spans="1:39" x14ac:dyDescent="0.25">
      <c r="A201" s="1">
        <v>45988</v>
      </c>
      <c r="B201" s="7">
        <v>1684.32</v>
      </c>
      <c r="C201" s="3">
        <v>7468916.54</v>
      </c>
      <c r="E201" s="10">
        <v>45988</v>
      </c>
      <c r="F201" s="4">
        <v>248000</v>
      </c>
      <c r="G201" s="4">
        <v>3853015512</v>
      </c>
      <c r="H201" s="4">
        <v>102500</v>
      </c>
      <c r="I201" s="4">
        <v>4107412004</v>
      </c>
      <c r="J201" s="4">
        <v>33650</v>
      </c>
      <c r="K201" s="4">
        <v>2272318410</v>
      </c>
      <c r="L201" s="4">
        <v>89500</v>
      </c>
      <c r="M201" s="4">
        <v>1793300377</v>
      </c>
      <c r="N201" s="4">
        <v>202000</v>
      </c>
      <c r="O201" s="4">
        <v>591611334</v>
      </c>
      <c r="Q201" s="3"/>
      <c r="R201" s="3">
        <f t="shared" si="77"/>
        <v>11559046536000</v>
      </c>
      <c r="S201" s="3">
        <f t="shared" si="78"/>
        <v>1642964801600</v>
      </c>
      <c r="T201" s="3">
        <f t="shared" si="79"/>
        <v>-454463682000</v>
      </c>
      <c r="U201" s="3">
        <f t="shared" si="80"/>
        <v>4124590867100</v>
      </c>
      <c r="V201" s="3">
        <f t="shared" si="81"/>
        <v>-3431345737200</v>
      </c>
      <c r="X201" s="2">
        <f t="shared" si="82"/>
        <v>11559.046536</v>
      </c>
      <c r="Y201" s="2">
        <f t="shared" si="83"/>
        <v>1642.9648016000001</v>
      </c>
      <c r="Z201" s="2">
        <f t="shared" si="84"/>
        <v>-454.46368200000001</v>
      </c>
      <c r="AA201" s="2">
        <f t="shared" si="85"/>
        <v>4124.5908670999997</v>
      </c>
      <c r="AB201" s="2">
        <f t="shared" si="86"/>
        <v>-3431.3457371999998</v>
      </c>
      <c r="AC201" s="2"/>
      <c r="AD201" s="8">
        <f t="shared" si="87"/>
        <v>2.6067436835366671</v>
      </c>
      <c r="AE201" s="8">
        <f t="shared" si="88"/>
        <v>0.37051396112173884</v>
      </c>
      <c r="AF201" s="8">
        <f t="shared" si="89"/>
        <v>-0.10248858578090567</v>
      </c>
      <c r="AG201" s="8">
        <f t="shared" si="90"/>
        <v>0.93015900199901647</v>
      </c>
      <c r="AH201" s="11">
        <f t="shared" si="91"/>
        <v>-0.77382150842796538</v>
      </c>
      <c r="AI201" s="8">
        <f t="shared" si="92"/>
        <v>3.8049280608765166</v>
      </c>
      <c r="AJ201" s="9">
        <f t="shared" si="93"/>
        <v>255.5958660663739</v>
      </c>
      <c r="AK201" s="9"/>
      <c r="AL201" s="7">
        <f t="shared" si="94"/>
        <v>1428.724133933626</v>
      </c>
      <c r="AM201" s="42">
        <f t="shared" si="95"/>
        <v>14.89147707878764</v>
      </c>
    </row>
    <row r="202" spans="1:39" x14ac:dyDescent="0.25">
      <c r="A202" s="1">
        <v>45987</v>
      </c>
      <c r="B202" s="7">
        <v>1680.36</v>
      </c>
      <c r="C202" s="3">
        <v>7451196.5099999998</v>
      </c>
      <c r="E202" s="10">
        <v>45987</v>
      </c>
      <c r="F202" s="4">
        <v>245000</v>
      </c>
      <c r="G202" s="4">
        <v>3853015512</v>
      </c>
      <c r="H202" s="4">
        <v>102100</v>
      </c>
      <c r="I202" s="4">
        <v>4107412004</v>
      </c>
      <c r="J202" s="4">
        <v>33850</v>
      </c>
      <c r="K202" s="4">
        <v>2272318410</v>
      </c>
      <c r="L202" s="4">
        <v>87200</v>
      </c>
      <c r="M202" s="4">
        <v>1793300377</v>
      </c>
      <c r="N202" s="4">
        <v>207800</v>
      </c>
      <c r="O202" s="4">
        <v>591611334</v>
      </c>
      <c r="Q202" s="3"/>
      <c r="R202" s="3">
        <f t="shared" si="77"/>
        <v>7706031024000</v>
      </c>
      <c r="S202" s="3">
        <f t="shared" si="78"/>
        <v>-2053706002000</v>
      </c>
      <c r="T202" s="3">
        <f t="shared" si="79"/>
        <v>1022543284500</v>
      </c>
      <c r="U202" s="3">
        <f t="shared" si="80"/>
        <v>10221812148900</v>
      </c>
      <c r="V202" s="3">
        <f t="shared" si="81"/>
        <v>-6685208074200</v>
      </c>
      <c r="X202" s="2">
        <f t="shared" si="82"/>
        <v>7706.0310239999999</v>
      </c>
      <c r="Y202" s="2">
        <f t="shared" si="83"/>
        <v>-2053.7060019999999</v>
      </c>
      <c r="Z202" s="2">
        <f t="shared" si="84"/>
        <v>1022.5432845</v>
      </c>
      <c r="AA202" s="2">
        <f t="shared" si="85"/>
        <v>10221.8121489</v>
      </c>
      <c r="AB202" s="2">
        <f t="shared" si="86"/>
        <v>-6685.2080741999998</v>
      </c>
      <c r="AC202" s="2"/>
      <c r="AD202" s="8">
        <f t="shared" si="87"/>
        <v>1.7380793944994295</v>
      </c>
      <c r="AE202" s="8">
        <f t="shared" si="88"/>
        <v>-0.46320915051068245</v>
      </c>
      <c r="AF202" s="8">
        <f t="shared" si="89"/>
        <v>0.23063252759274361</v>
      </c>
      <c r="AG202" s="8">
        <f t="shared" si="90"/>
        <v>2.3055086353941245</v>
      </c>
      <c r="AH202" s="11">
        <f t="shared" si="91"/>
        <v>-1.5078348848480103</v>
      </c>
      <c r="AI202" s="8">
        <f t="shared" si="92"/>
        <v>3.8110114069756151</v>
      </c>
      <c r="AJ202" s="9">
        <f t="shared" si="93"/>
        <v>251.7909380054974</v>
      </c>
      <c r="AK202" s="9"/>
      <c r="AL202" s="7">
        <f t="shared" si="94"/>
        <v>1428.5690619945026</v>
      </c>
      <c r="AM202" s="42">
        <f t="shared" si="95"/>
        <v>16.281858125500744</v>
      </c>
    </row>
    <row r="203" spans="1:39" x14ac:dyDescent="0.25">
      <c r="A203" s="1">
        <v>45986</v>
      </c>
      <c r="B203" s="7">
        <v>1660.36</v>
      </c>
      <c r="C203" s="3">
        <v>7361450.6399999997</v>
      </c>
      <c r="E203" s="10">
        <v>45986</v>
      </c>
      <c r="F203" s="4">
        <v>243000</v>
      </c>
      <c r="G203" s="4">
        <v>3853015512</v>
      </c>
      <c r="H203" s="4">
        <v>102600</v>
      </c>
      <c r="I203" s="4">
        <v>4107412004</v>
      </c>
      <c r="J203" s="4">
        <v>33400</v>
      </c>
      <c r="K203" s="4">
        <v>2272318410</v>
      </c>
      <c r="L203" s="4">
        <v>81500</v>
      </c>
      <c r="M203" s="4">
        <v>1793300377</v>
      </c>
      <c r="N203" s="4">
        <v>219100</v>
      </c>
      <c r="O203" s="4">
        <v>591611334</v>
      </c>
      <c r="Q203" s="3"/>
      <c r="R203" s="3">
        <f t="shared" si="77"/>
        <v>13485554292000</v>
      </c>
      <c r="S203" s="3">
        <f t="shared" si="78"/>
        <v>-410741200400</v>
      </c>
      <c r="T203" s="3">
        <f t="shared" si="79"/>
        <v>-2385934330500</v>
      </c>
      <c r="U203" s="3">
        <f t="shared" si="80"/>
        <v>6455881357200</v>
      </c>
      <c r="V203" s="3">
        <f t="shared" si="81"/>
        <v>8460042076200</v>
      </c>
      <c r="X203" s="2">
        <f t="shared" si="82"/>
        <v>13485.554292000001</v>
      </c>
      <c r="Y203" s="2">
        <f t="shared" si="83"/>
        <v>-410.74120040000003</v>
      </c>
      <c r="Z203" s="2">
        <f t="shared" si="84"/>
        <v>-2385.9343305000002</v>
      </c>
      <c r="AA203" s="2">
        <f t="shared" si="85"/>
        <v>6455.8813571999999</v>
      </c>
      <c r="AB203" s="2">
        <f t="shared" si="86"/>
        <v>8460.0420761999994</v>
      </c>
      <c r="AC203" s="2"/>
      <c r="AD203" s="8">
        <f t="shared" si="87"/>
        <v>3.04163820928003</v>
      </c>
      <c r="AE203" s="8">
        <f t="shared" si="88"/>
        <v>-9.2641807834574541E-2</v>
      </c>
      <c r="AF203" s="8">
        <f t="shared" si="89"/>
        <v>-0.5381424350341244</v>
      </c>
      <c r="AG203" s="8">
        <f t="shared" si="90"/>
        <v>1.4561103670975557</v>
      </c>
      <c r="AH203" s="11">
        <f t="shared" si="91"/>
        <v>1.9081445726225603</v>
      </c>
      <c r="AI203" s="8">
        <f t="shared" si="92"/>
        <v>3.866964333508887</v>
      </c>
      <c r="AJ203" s="9">
        <f t="shared" si="93"/>
        <v>247.97992659852179</v>
      </c>
      <c r="AK203" s="9"/>
      <c r="AL203" s="7">
        <f t="shared" si="94"/>
        <v>1412.3800734014781</v>
      </c>
      <c r="AM203" s="42">
        <f t="shared" si="95"/>
        <v>18.200001316650781</v>
      </c>
    </row>
    <row r="204" spans="1:39" x14ac:dyDescent="0.25">
      <c r="A204" s="1">
        <v>45985</v>
      </c>
      <c r="B204" s="7">
        <v>1667.98</v>
      </c>
      <c r="C204" s="3">
        <v>7395236.8099999996</v>
      </c>
      <c r="E204" s="1">
        <v>45985</v>
      </c>
      <c r="F204" s="4">
        <v>239500</v>
      </c>
      <c r="G204" s="4">
        <v>3853015512</v>
      </c>
      <c r="H204" s="4">
        <v>102700</v>
      </c>
      <c r="I204" s="4">
        <v>4107412004</v>
      </c>
      <c r="J204" s="4">
        <v>34450</v>
      </c>
      <c r="K204" s="4">
        <v>2272318410</v>
      </c>
      <c r="L204" s="4">
        <v>77900</v>
      </c>
      <c r="M204" s="4">
        <v>1793300377</v>
      </c>
      <c r="N204" s="4">
        <v>204800</v>
      </c>
      <c r="O204" s="4">
        <v>591611334</v>
      </c>
      <c r="Q204" s="3"/>
      <c r="R204" s="3">
        <f t="shared" si="77"/>
        <v>37759552017600</v>
      </c>
      <c r="S204" s="3">
        <f t="shared" si="78"/>
        <v>13965200813600</v>
      </c>
      <c r="T204" s="3">
        <f t="shared" si="79"/>
        <v>5112716422500</v>
      </c>
      <c r="U204" s="3">
        <f t="shared" si="80"/>
        <v>6097221281800</v>
      </c>
      <c r="V204" s="3">
        <f t="shared" si="81"/>
        <v>6034435606800</v>
      </c>
      <c r="X204" s="2">
        <f t="shared" si="82"/>
        <v>37759.552017599999</v>
      </c>
      <c r="Y204" s="2">
        <f t="shared" si="83"/>
        <v>13965.2008136</v>
      </c>
      <c r="Z204" s="2">
        <f t="shared" si="84"/>
        <v>5112.7164224999997</v>
      </c>
      <c r="AA204" s="2">
        <f t="shared" si="85"/>
        <v>6097.2212817999998</v>
      </c>
      <c r="AB204" s="2">
        <f t="shared" si="86"/>
        <v>6034.4356067999997</v>
      </c>
      <c r="AC204" s="2"/>
      <c r="AD204" s="8">
        <f t="shared" si="87"/>
        <v>8.5166166640671737</v>
      </c>
      <c r="AE204" s="8">
        <f t="shared" si="88"/>
        <v>3.1498324426813427</v>
      </c>
      <c r="AF204" s="8">
        <f t="shared" si="89"/>
        <v>1.1531663792572981</v>
      </c>
      <c r="AG204" s="8">
        <f t="shared" si="90"/>
        <v>1.3752201389698431</v>
      </c>
      <c r="AH204" s="11">
        <f t="shared" si="91"/>
        <v>1.3610589136004194</v>
      </c>
      <c r="AI204" s="8">
        <f t="shared" si="92"/>
        <v>14.194835624975656</v>
      </c>
      <c r="AJ204" s="9">
        <f t="shared" si="93"/>
        <v>244.1129622650129</v>
      </c>
      <c r="AK204" s="9"/>
      <c r="AL204" s="7">
        <f t="shared" si="94"/>
        <v>1423.8670377349872</v>
      </c>
      <c r="AM204" s="42">
        <f t="shared" si="95"/>
        <v>18.221634790782531</v>
      </c>
    </row>
    <row r="205" spans="1:39" x14ac:dyDescent="0.25">
      <c r="A205" s="1">
        <v>45982</v>
      </c>
      <c r="B205" s="7">
        <v>1654.93</v>
      </c>
      <c r="C205" s="3">
        <v>7337352.1299999999</v>
      </c>
      <c r="E205" s="1">
        <v>45982</v>
      </c>
      <c r="F205" s="4">
        <v>229700</v>
      </c>
      <c r="G205" s="4">
        <v>3853015512</v>
      </c>
      <c r="H205" s="4">
        <v>99300</v>
      </c>
      <c r="I205" s="4">
        <v>4107412004</v>
      </c>
      <c r="J205" s="4">
        <v>32200</v>
      </c>
      <c r="K205" s="4">
        <v>2272318410</v>
      </c>
      <c r="L205" s="4">
        <v>74500</v>
      </c>
      <c r="M205" s="4">
        <v>1793300377</v>
      </c>
      <c r="N205" s="4">
        <v>194600</v>
      </c>
      <c r="O205" s="4">
        <v>591611334</v>
      </c>
      <c r="Q205" s="3"/>
      <c r="R205" s="3">
        <f t="shared" si="77"/>
        <v>6550126370400</v>
      </c>
      <c r="S205" s="3">
        <f t="shared" si="78"/>
        <v>6161118006000</v>
      </c>
      <c r="T205" s="3">
        <f t="shared" si="79"/>
        <v>454463682000</v>
      </c>
      <c r="U205" s="3">
        <f t="shared" si="80"/>
        <v>4483250942500</v>
      </c>
      <c r="V205" s="3">
        <f t="shared" si="81"/>
        <v>2484767602800</v>
      </c>
      <c r="X205" s="2">
        <f t="shared" si="82"/>
        <v>6550.1263704000003</v>
      </c>
      <c r="Y205" s="2">
        <f t="shared" si="83"/>
        <v>6161.1180059999997</v>
      </c>
      <c r="Z205" s="2">
        <f t="shared" si="84"/>
        <v>454.46368200000001</v>
      </c>
      <c r="AA205" s="2">
        <f t="shared" si="85"/>
        <v>4483.2509424999998</v>
      </c>
      <c r="AB205" s="2">
        <f t="shared" si="86"/>
        <v>2484.7676028000001</v>
      </c>
      <c r="AC205" s="2"/>
      <c r="AD205" s="8">
        <f t="shared" si="87"/>
        <v>1.4773630064525858</v>
      </c>
      <c r="AE205" s="8">
        <f t="shared" si="88"/>
        <v>1.3896232386578322</v>
      </c>
      <c r="AF205" s="8">
        <f t="shared" si="89"/>
        <v>0.10250303484175843</v>
      </c>
      <c r="AG205" s="8">
        <f t="shared" si="90"/>
        <v>1.011184932404398</v>
      </c>
      <c r="AH205" s="11">
        <f t="shared" si="91"/>
        <v>0.56043250594330429</v>
      </c>
      <c r="AI205" s="8">
        <f t="shared" si="92"/>
        <v>3.9806742123565746</v>
      </c>
      <c r="AJ205" s="9">
        <f t="shared" si="93"/>
        <v>229.91812664003723</v>
      </c>
      <c r="AK205" s="9"/>
      <c r="AL205" s="7">
        <f t="shared" si="94"/>
        <v>1425.0118733599629</v>
      </c>
      <c r="AM205" s="42">
        <f t="shared" si="95"/>
        <v>18.203156634816935</v>
      </c>
    </row>
    <row r="206" spans="1:39" x14ac:dyDescent="0.25">
      <c r="A206" s="1">
        <v>45981</v>
      </c>
      <c r="B206" s="7">
        <v>1655.99</v>
      </c>
      <c r="C206" s="3">
        <v>7342097.8600000003</v>
      </c>
      <c r="E206" s="1">
        <v>45981</v>
      </c>
      <c r="F206" s="4">
        <v>228000</v>
      </c>
      <c r="G206" s="4">
        <v>3853015512</v>
      </c>
      <c r="H206" s="4">
        <v>97800</v>
      </c>
      <c r="I206" s="4">
        <v>4107412004</v>
      </c>
      <c r="J206" s="4">
        <v>32000</v>
      </c>
      <c r="K206" s="4">
        <v>2272318410</v>
      </c>
      <c r="L206" s="4">
        <v>72000</v>
      </c>
      <c r="M206" s="4">
        <v>1793300377</v>
      </c>
      <c r="N206" s="4">
        <v>190400</v>
      </c>
      <c r="O206" s="4">
        <v>591611334</v>
      </c>
      <c r="Q206" s="3"/>
      <c r="R206" s="3">
        <f t="shared" si="77"/>
        <v>28897616340000</v>
      </c>
      <c r="S206" s="3">
        <f t="shared" si="78"/>
        <v>3696670803600</v>
      </c>
      <c r="T206" s="3">
        <f t="shared" si="79"/>
        <v>908927364000</v>
      </c>
      <c r="U206" s="3">
        <f t="shared" si="80"/>
        <v>0</v>
      </c>
      <c r="V206" s="3">
        <f t="shared" si="81"/>
        <v>7335980541600</v>
      </c>
      <c r="X206" s="2">
        <f t="shared" si="82"/>
        <v>28897.61634</v>
      </c>
      <c r="Y206" s="2">
        <f t="shared" si="83"/>
        <v>3696.6708036</v>
      </c>
      <c r="Z206" s="2">
        <f t="shared" si="84"/>
        <v>908.92736400000001</v>
      </c>
      <c r="AA206" s="2">
        <f t="shared" si="85"/>
        <v>0</v>
      </c>
      <c r="AB206" s="2">
        <f t="shared" si="86"/>
        <v>7335.9805415999999</v>
      </c>
      <c r="AC206" s="2"/>
      <c r="AD206" s="8">
        <f t="shared" si="87"/>
        <v>6.5186254065728839</v>
      </c>
      <c r="AE206" s="8">
        <f t="shared" si="88"/>
        <v>0.83388234989914589</v>
      </c>
      <c r="AF206" s="8">
        <f t="shared" si="89"/>
        <v>0.20503272442919143</v>
      </c>
      <c r="AG206" s="8">
        <f t="shared" si="90"/>
        <v>0</v>
      </c>
      <c r="AH206" s="11">
        <f t="shared" si="91"/>
        <v>1.6548253869093366</v>
      </c>
      <c r="AI206" s="8">
        <f t="shared" si="92"/>
        <v>7.5575404809012214</v>
      </c>
      <c r="AJ206" s="9">
        <f t="shared" si="93"/>
        <v>225.93745242768065</v>
      </c>
      <c r="AK206" s="9"/>
      <c r="AL206" s="7">
        <f t="shared" si="94"/>
        <v>1430.0525475723193</v>
      </c>
      <c r="AM206" s="42">
        <f t="shared" si="95"/>
        <v>18.327913468031841</v>
      </c>
    </row>
    <row r="207" spans="1:39" x14ac:dyDescent="0.25">
      <c r="A207" s="1">
        <v>45980</v>
      </c>
      <c r="B207" s="7">
        <v>1649</v>
      </c>
      <c r="C207" s="3">
        <v>7310156.1100000003</v>
      </c>
      <c r="E207" s="1">
        <v>45980</v>
      </c>
      <c r="F207" s="4">
        <v>220500</v>
      </c>
      <c r="G207" s="4">
        <v>3853015512</v>
      </c>
      <c r="H207" s="4">
        <v>96900</v>
      </c>
      <c r="I207" s="4">
        <v>4107412004</v>
      </c>
      <c r="J207" s="4">
        <v>31600</v>
      </c>
      <c r="K207" s="4">
        <v>2272318410</v>
      </c>
      <c r="L207" s="4">
        <v>72000</v>
      </c>
      <c r="M207" s="4">
        <v>1793300377</v>
      </c>
      <c r="N207" s="4">
        <v>178000</v>
      </c>
      <c r="O207" s="4">
        <v>591611334</v>
      </c>
      <c r="Q207" s="3"/>
      <c r="R207" s="3">
        <f t="shared" si="77"/>
        <v>1926507756000</v>
      </c>
      <c r="S207" s="3">
        <f t="shared" si="78"/>
        <v>-410741200400</v>
      </c>
      <c r="T207" s="3">
        <f t="shared" si="79"/>
        <v>-1704238807500</v>
      </c>
      <c r="U207" s="3">
        <f t="shared" si="80"/>
        <v>0</v>
      </c>
      <c r="V207" s="3">
        <f t="shared" si="81"/>
        <v>-650772467400</v>
      </c>
      <c r="X207" s="2">
        <f t="shared" si="82"/>
        <v>1926.507756</v>
      </c>
      <c r="Y207" s="2">
        <f t="shared" si="83"/>
        <v>-410.74120040000003</v>
      </c>
      <c r="Z207" s="2">
        <f t="shared" si="84"/>
        <v>-1704.2388074999999</v>
      </c>
      <c r="AA207" s="2">
        <f t="shared" si="85"/>
        <v>0</v>
      </c>
      <c r="AB207" s="2">
        <f t="shared" si="86"/>
        <v>-650.77246739999998</v>
      </c>
      <c r="AC207" s="2"/>
      <c r="AD207" s="8">
        <f t="shared" si="87"/>
        <v>0.4345761563499036</v>
      </c>
      <c r="AE207" s="8">
        <f t="shared" si="88"/>
        <v>-9.2653835193995199E-2</v>
      </c>
      <c r="AF207" s="8">
        <f t="shared" si="89"/>
        <v>-0.38443735726423583</v>
      </c>
      <c r="AG207" s="8">
        <f t="shared" si="90"/>
        <v>0</v>
      </c>
      <c r="AH207" s="11">
        <f t="shared" si="91"/>
        <v>-0.14679940771597649</v>
      </c>
      <c r="AI207" s="8">
        <f t="shared" si="92"/>
        <v>-4.2515036108327464E-2</v>
      </c>
      <c r="AJ207" s="9">
        <f t="shared" si="93"/>
        <v>218.37991194677943</v>
      </c>
      <c r="AK207" s="9"/>
      <c r="AL207" s="7">
        <f t="shared" si="94"/>
        <v>1430.6200880532206</v>
      </c>
      <c r="AM207" s="42">
        <f t="shared" si="95"/>
        <v>18.75092127982612</v>
      </c>
    </row>
    <row r="208" spans="1:39" x14ac:dyDescent="0.25">
      <c r="A208" s="1">
        <v>45979</v>
      </c>
      <c r="B208" s="7">
        <v>1659.92</v>
      </c>
      <c r="C208" s="3">
        <v>7358546.2699999996</v>
      </c>
      <c r="E208" s="1">
        <v>45979</v>
      </c>
      <c r="F208" s="4">
        <v>220000</v>
      </c>
      <c r="G208" s="4">
        <v>3853015512</v>
      </c>
      <c r="H208" s="4">
        <v>97000</v>
      </c>
      <c r="I208" s="4">
        <v>4107412004</v>
      </c>
      <c r="J208" s="4">
        <v>32350</v>
      </c>
      <c r="K208" s="4">
        <v>2272318410</v>
      </c>
      <c r="L208" s="4">
        <v>72000</v>
      </c>
      <c r="M208" s="4">
        <v>1793300377</v>
      </c>
      <c r="N208" s="4">
        <v>179100</v>
      </c>
      <c r="O208" s="4">
        <v>591611334</v>
      </c>
      <c r="Q208" s="3"/>
      <c r="R208" s="3">
        <f t="shared" si="77"/>
        <v>11559046536000</v>
      </c>
      <c r="S208" s="3">
        <f t="shared" si="78"/>
        <v>8214824008000</v>
      </c>
      <c r="T208" s="3">
        <f t="shared" si="79"/>
        <v>340847761500</v>
      </c>
      <c r="U208" s="3">
        <f t="shared" si="80"/>
        <v>179330037700</v>
      </c>
      <c r="V208" s="3">
        <f t="shared" si="81"/>
        <v>59161133400</v>
      </c>
      <c r="X208" s="2">
        <f t="shared" si="82"/>
        <v>11559.046536</v>
      </c>
      <c r="Y208" s="2">
        <f t="shared" si="83"/>
        <v>8214.8240079999996</v>
      </c>
      <c r="Z208" s="2">
        <f t="shared" si="84"/>
        <v>340.84776149999999</v>
      </c>
      <c r="AA208" s="2">
        <f t="shared" si="85"/>
        <v>179.33003769999999</v>
      </c>
      <c r="AB208" s="2">
        <f t="shared" si="86"/>
        <v>59.161133399999997</v>
      </c>
      <c r="AC208" s="2"/>
      <c r="AD208" s="8">
        <f t="shared" si="87"/>
        <v>2.6074482418376896</v>
      </c>
      <c r="AE208" s="8">
        <f t="shared" si="88"/>
        <v>1.8530705235899088</v>
      </c>
      <c r="AF208" s="8">
        <f t="shared" si="89"/>
        <v>7.6887215021545885E-2</v>
      </c>
      <c r="AG208" s="8">
        <f t="shared" si="90"/>
        <v>4.0452626438803319E-2</v>
      </c>
      <c r="AH208" s="11">
        <f t="shared" si="91"/>
        <v>1.3345356192530428E-2</v>
      </c>
      <c r="AI208" s="8">
        <f t="shared" si="92"/>
        <v>4.577858606887947</v>
      </c>
      <c r="AJ208" s="9">
        <f t="shared" si="93"/>
        <v>218.42242698288777</v>
      </c>
      <c r="AK208" s="9"/>
      <c r="AL208" s="7">
        <f t="shared" si="94"/>
        <v>1441.4975730171122</v>
      </c>
      <c r="AM208" s="42">
        <f t="shared" si="95"/>
        <v>19.347641536593148</v>
      </c>
    </row>
    <row r="209" spans="1:39" x14ac:dyDescent="0.25">
      <c r="A209" s="1">
        <v>45978</v>
      </c>
      <c r="B209" s="7">
        <v>1654.42</v>
      </c>
      <c r="C209" s="3">
        <v>7334188.8300000001</v>
      </c>
      <c r="E209" s="1">
        <v>45978</v>
      </c>
      <c r="F209" s="4">
        <v>217000</v>
      </c>
      <c r="G209" s="4">
        <v>3853015512</v>
      </c>
      <c r="H209" s="4">
        <v>95000</v>
      </c>
      <c r="I209" s="4">
        <v>4107412004</v>
      </c>
      <c r="J209" s="4">
        <v>32200</v>
      </c>
      <c r="K209" s="4">
        <v>2272318410</v>
      </c>
      <c r="L209" s="4">
        <v>71900</v>
      </c>
      <c r="M209" s="4">
        <v>1793300377</v>
      </c>
      <c r="N209" s="4">
        <v>179000</v>
      </c>
      <c r="O209" s="4">
        <v>591611334</v>
      </c>
      <c r="Q209" s="3"/>
      <c r="R209" s="3">
        <f t="shared" si="77"/>
        <v>23118093072000</v>
      </c>
      <c r="S209" s="3">
        <f t="shared" si="78"/>
        <v>4518153204400</v>
      </c>
      <c r="T209" s="3">
        <f t="shared" si="79"/>
        <v>227231841000</v>
      </c>
      <c r="U209" s="3">
        <f t="shared" si="80"/>
        <v>-179330037700</v>
      </c>
      <c r="V209" s="3">
        <f t="shared" si="81"/>
        <v>1538189468400</v>
      </c>
      <c r="X209" s="2">
        <f t="shared" si="82"/>
        <v>23118.093072</v>
      </c>
      <c r="Y209" s="2">
        <f t="shared" si="83"/>
        <v>4518.1532043999996</v>
      </c>
      <c r="Z209" s="2">
        <f t="shared" si="84"/>
        <v>227.231841</v>
      </c>
      <c r="AA209" s="2">
        <f t="shared" si="85"/>
        <v>-179.33003769999999</v>
      </c>
      <c r="AB209" s="2">
        <f t="shared" si="86"/>
        <v>1538.1894683999999</v>
      </c>
      <c r="AC209" s="2"/>
      <c r="AD209" s="8">
        <f t="shared" si="87"/>
        <v>5.2148774649200416</v>
      </c>
      <c r="AE209" s="8">
        <f t="shared" si="88"/>
        <v>1.0191850709874948</v>
      </c>
      <c r="AF209" s="8">
        <f t="shared" si="89"/>
        <v>5.1257956408974611E-2</v>
      </c>
      <c r="AG209" s="8">
        <f t="shared" si="90"/>
        <v>-4.0452478907858573E-2</v>
      </c>
      <c r="AH209" s="11">
        <f t="shared" si="91"/>
        <v>0.34697799557057241</v>
      </c>
      <c r="AI209" s="8">
        <f t="shared" si="92"/>
        <v>6.2448680134086532</v>
      </c>
      <c r="AJ209" s="9">
        <f t="shared" si="93"/>
        <v>213.84456837599981</v>
      </c>
      <c r="AK209" s="9"/>
      <c r="AL209" s="7">
        <f t="shared" si="94"/>
        <v>1440.5754316240002</v>
      </c>
      <c r="AM209" s="42">
        <f t="shared" si="95"/>
        <v>19.369267158332892</v>
      </c>
    </row>
    <row r="210" spans="1:39" x14ac:dyDescent="0.25">
      <c r="A210" s="1">
        <v>45975</v>
      </c>
      <c r="B210" s="7">
        <v>1635.46</v>
      </c>
      <c r="C210" s="3">
        <v>7250163.9299999997</v>
      </c>
      <c r="E210" s="1">
        <v>45975</v>
      </c>
      <c r="F210" s="4">
        <v>211000</v>
      </c>
      <c r="G210" s="4">
        <v>3853015512</v>
      </c>
      <c r="H210" s="4">
        <v>93900</v>
      </c>
      <c r="I210" s="4">
        <v>4107412004</v>
      </c>
      <c r="J210" s="4">
        <v>32100</v>
      </c>
      <c r="K210" s="4">
        <v>2272318410</v>
      </c>
      <c r="L210" s="4">
        <v>72000</v>
      </c>
      <c r="M210" s="4">
        <v>1793300377</v>
      </c>
      <c r="N210" s="4">
        <v>176400</v>
      </c>
      <c r="O210" s="4">
        <v>591611334</v>
      </c>
      <c r="Q210" s="3"/>
      <c r="R210" s="3">
        <f t="shared" si="77"/>
        <v>-770603102400</v>
      </c>
      <c r="S210" s="3">
        <f t="shared" si="78"/>
        <v>2464447202400</v>
      </c>
      <c r="T210" s="3">
        <f t="shared" si="79"/>
        <v>340847761500</v>
      </c>
      <c r="U210" s="3">
        <f t="shared" si="80"/>
        <v>-1613970339300</v>
      </c>
      <c r="V210" s="3">
        <f t="shared" si="81"/>
        <v>59161133400</v>
      </c>
      <c r="X210" s="2">
        <f t="shared" si="82"/>
        <v>-770.60310240000001</v>
      </c>
      <c r="Y210" s="2">
        <f t="shared" si="83"/>
        <v>2464.4472024000002</v>
      </c>
      <c r="Z210" s="2">
        <f t="shared" si="84"/>
        <v>340.84776149999999</v>
      </c>
      <c r="AA210" s="2">
        <f t="shared" si="85"/>
        <v>-1613.9703393</v>
      </c>
      <c r="AB210" s="2">
        <f t="shared" si="86"/>
        <v>59.161133399999997</v>
      </c>
      <c r="AC210" s="2"/>
      <c r="AD210" s="8">
        <f t="shared" si="87"/>
        <v>-0.17382987981740955</v>
      </c>
      <c r="AE210" s="8">
        <f t="shared" si="88"/>
        <v>0.55592114757302757</v>
      </c>
      <c r="AF210" s="8">
        <f t="shared" si="89"/>
        <v>7.6887213707093519E-2</v>
      </c>
      <c r="AG210" s="8">
        <f t="shared" si="90"/>
        <v>-0.36407363172508134</v>
      </c>
      <c r="AH210" s="11">
        <f t="shared" si="91"/>
        <v>1.3345355964380211E-2</v>
      </c>
      <c r="AI210" s="8">
        <f t="shared" si="92"/>
        <v>9.4904849737630192E-2</v>
      </c>
      <c r="AJ210" s="9">
        <f t="shared" si="93"/>
        <v>207.59970036259116</v>
      </c>
      <c r="AK210" s="9"/>
      <c r="AL210" s="7">
        <f t="shared" si="94"/>
        <v>1427.8602996374088</v>
      </c>
      <c r="AM210" s="42">
        <f t="shared" si="95"/>
        <v>19.357281470937821</v>
      </c>
    </row>
    <row r="211" spans="1:39" x14ac:dyDescent="0.25">
      <c r="A211" s="1">
        <v>45974</v>
      </c>
      <c r="B211" s="7">
        <v>1631.44</v>
      </c>
      <c r="C211" s="3">
        <v>7232316.5999999996</v>
      </c>
      <c r="E211" s="1">
        <v>45974</v>
      </c>
      <c r="F211" s="4">
        <v>211200</v>
      </c>
      <c r="G211" s="4">
        <v>3853015512</v>
      </c>
      <c r="H211" s="4">
        <v>93300</v>
      </c>
      <c r="I211" s="4">
        <v>4107412004</v>
      </c>
      <c r="J211" s="4">
        <v>31950</v>
      </c>
      <c r="K211" s="4">
        <v>2272318410</v>
      </c>
      <c r="L211" s="4">
        <v>72900</v>
      </c>
      <c r="M211" s="4">
        <v>1793300377</v>
      </c>
      <c r="N211" s="4">
        <v>176300</v>
      </c>
      <c r="O211" s="4">
        <v>591611334</v>
      </c>
      <c r="Q211" s="3"/>
      <c r="R211" s="3">
        <f t="shared" si="77"/>
        <v>0</v>
      </c>
      <c r="S211" s="3">
        <f t="shared" si="78"/>
        <v>-2875188402800</v>
      </c>
      <c r="T211" s="3">
        <f t="shared" si="79"/>
        <v>-1931470648500</v>
      </c>
      <c r="U211" s="3">
        <f t="shared" si="80"/>
        <v>-1075980226200</v>
      </c>
      <c r="V211" s="3">
        <f t="shared" si="81"/>
        <v>118322266800</v>
      </c>
      <c r="X211" s="2">
        <f t="shared" si="82"/>
        <v>0</v>
      </c>
      <c r="Y211" s="2">
        <f t="shared" si="83"/>
        <v>-2875.1884027999999</v>
      </c>
      <c r="Z211" s="2">
        <f t="shared" si="84"/>
        <v>-1931.4706484999999</v>
      </c>
      <c r="AA211" s="2">
        <f t="shared" si="85"/>
        <v>-1075.9802262000001</v>
      </c>
      <c r="AB211" s="2">
        <f t="shared" si="86"/>
        <v>118.32226679999999</v>
      </c>
      <c r="AC211" s="2"/>
      <c r="AD211" s="8">
        <f t="shared" si="87"/>
        <v>0</v>
      </c>
      <c r="AE211" s="8">
        <f t="shared" si="88"/>
        <v>-0.64951195808107864</v>
      </c>
      <c r="AF211" s="8">
        <f t="shared" si="89"/>
        <v>-0.43632385330354667</v>
      </c>
      <c r="AG211" s="8">
        <f t="shared" si="90"/>
        <v>-0.24306651449174521</v>
      </c>
      <c r="AH211" s="11">
        <f t="shared" si="91"/>
        <v>2.6729283938060483E-2</v>
      </c>
      <c r="AI211" s="8">
        <f t="shared" si="92"/>
        <v>-1.3289023258763706</v>
      </c>
      <c r="AJ211" s="9">
        <f t="shared" si="93"/>
        <v>207.50479551285355</v>
      </c>
      <c r="AK211" s="9"/>
      <c r="AL211" s="7">
        <f t="shared" si="94"/>
        <v>1423.9352044871466</v>
      </c>
      <c r="AM211" s="42">
        <f t="shared" si="95"/>
        <v>24.680401490578458</v>
      </c>
    </row>
    <row r="212" spans="1:39" x14ac:dyDescent="0.25">
      <c r="A212" s="1">
        <v>45973</v>
      </c>
      <c r="B212" s="7">
        <v>1631.86</v>
      </c>
      <c r="C212" s="3">
        <v>7223739.1299999999</v>
      </c>
      <c r="E212" s="1">
        <v>45973</v>
      </c>
      <c r="F212" s="4">
        <v>211200</v>
      </c>
      <c r="G212" s="4">
        <v>3853015512</v>
      </c>
      <c r="H212" s="4">
        <v>94000</v>
      </c>
      <c r="I212" s="4">
        <v>4107412004</v>
      </c>
      <c r="J212" s="4">
        <v>32800</v>
      </c>
      <c r="K212" s="4">
        <v>2272318410</v>
      </c>
      <c r="L212" s="4">
        <v>73500</v>
      </c>
      <c r="M212" s="4">
        <v>1793300377</v>
      </c>
      <c r="N212" s="4">
        <v>176100</v>
      </c>
      <c r="O212" s="4">
        <v>591611334</v>
      </c>
      <c r="Q212" s="3"/>
      <c r="R212" s="3">
        <f t="shared" si="77"/>
        <v>39300758222400</v>
      </c>
      <c r="S212" s="3">
        <f t="shared" si="78"/>
        <v>16429648016000</v>
      </c>
      <c r="T212" s="3">
        <f t="shared" si="79"/>
        <v>3976557217500</v>
      </c>
      <c r="U212" s="3">
        <f t="shared" si="80"/>
        <v>2689950565500</v>
      </c>
      <c r="V212" s="3">
        <f t="shared" si="81"/>
        <v>709933600800</v>
      </c>
      <c r="X212" s="2">
        <f t="shared" si="82"/>
        <v>39300.7582224</v>
      </c>
      <c r="Y212" s="2">
        <f t="shared" si="83"/>
        <v>16429.648015999999</v>
      </c>
      <c r="Z212" s="2">
        <f t="shared" si="84"/>
        <v>3976.5572175000002</v>
      </c>
      <c r="AA212" s="2">
        <f t="shared" si="85"/>
        <v>2689.9505654999998</v>
      </c>
      <c r="AB212" s="2">
        <f t="shared" si="86"/>
        <v>709.93360080000002</v>
      </c>
      <c r="AC212" s="2"/>
      <c r="AD212" s="8">
        <f t="shared" si="87"/>
        <v>8.8781421878651781</v>
      </c>
      <c r="AE212" s="8">
        <f t="shared" si="88"/>
        <v>3.7114996702401379</v>
      </c>
      <c r="AF212" s="8">
        <f t="shared" si="89"/>
        <v>0.8983144853175955</v>
      </c>
      <c r="AG212" s="8">
        <f t="shared" si="90"/>
        <v>0.60766673924437431</v>
      </c>
      <c r="AH212" s="11">
        <f t="shared" si="91"/>
        <v>0.16037582318839583</v>
      </c>
      <c r="AI212" s="8">
        <f t="shared" si="92"/>
        <v>14.095623082667286</v>
      </c>
      <c r="AJ212" s="9">
        <f t="shared" si="93"/>
        <v>208.83369783872993</v>
      </c>
      <c r="AK212" s="9"/>
      <c r="AL212" s="7">
        <f t="shared" si="94"/>
        <v>1423.02630216127</v>
      </c>
      <c r="AM212" s="42">
        <f t="shared" si="95"/>
        <v>30.872016372100912</v>
      </c>
    </row>
    <row r="213" spans="1:39" x14ac:dyDescent="0.25">
      <c r="A213" s="1">
        <v>45972</v>
      </c>
      <c r="B213" s="7">
        <v>1593.61</v>
      </c>
      <c r="C213" s="3">
        <v>7054412.96</v>
      </c>
      <c r="E213" s="1">
        <v>45972</v>
      </c>
      <c r="F213" s="4">
        <v>201000</v>
      </c>
      <c r="G213" s="4">
        <v>3853015512</v>
      </c>
      <c r="H213" s="4">
        <v>90000</v>
      </c>
      <c r="I213" s="4">
        <v>4107412004</v>
      </c>
      <c r="J213" s="4">
        <v>31050</v>
      </c>
      <c r="K213" s="4">
        <v>2272318410</v>
      </c>
      <c r="L213" s="4">
        <v>72000</v>
      </c>
      <c r="M213" s="4">
        <v>1793300377</v>
      </c>
      <c r="N213" s="4">
        <v>174900</v>
      </c>
      <c r="O213" s="4">
        <v>591611334</v>
      </c>
      <c r="Q213" s="3"/>
      <c r="R213" s="3">
        <f t="shared" si="77"/>
        <v>7706031024000</v>
      </c>
      <c r="S213" s="3">
        <f t="shared" si="78"/>
        <v>12732977212400</v>
      </c>
      <c r="T213" s="3">
        <f t="shared" si="79"/>
        <v>2840398012500</v>
      </c>
      <c r="U213" s="3">
        <f t="shared" si="80"/>
        <v>2689950565500</v>
      </c>
      <c r="V213" s="3">
        <f t="shared" si="81"/>
        <v>-946578134400</v>
      </c>
      <c r="X213" s="2">
        <f t="shared" si="82"/>
        <v>7706.0310239999999</v>
      </c>
      <c r="Y213" s="2">
        <f t="shared" si="83"/>
        <v>12732.977212399999</v>
      </c>
      <c r="Z213" s="2">
        <f t="shared" si="84"/>
        <v>2840.3980124999998</v>
      </c>
      <c r="AA213" s="2">
        <f t="shared" si="85"/>
        <v>2689.9505654999998</v>
      </c>
      <c r="AB213" s="2">
        <f t="shared" si="86"/>
        <v>-946.57813439999995</v>
      </c>
      <c r="AC213" s="2"/>
      <c r="AD213" s="8">
        <f t="shared" si="87"/>
        <v>1.7408095435128077</v>
      </c>
      <c r="AE213" s="8">
        <f t="shared" si="88"/>
        <v>2.8764078654294583</v>
      </c>
      <c r="AF213" s="8">
        <f t="shared" si="89"/>
        <v>0.6416522269551157</v>
      </c>
      <c r="AG213" s="8">
        <f t="shared" si="90"/>
        <v>0.60766581414168908</v>
      </c>
      <c r="AH213" s="11">
        <f t="shared" si="91"/>
        <v>-0.21383410537954628</v>
      </c>
      <c r="AI213" s="8">
        <f t="shared" si="92"/>
        <v>5.8665354500390707</v>
      </c>
      <c r="AJ213" s="9">
        <f t="shared" si="93"/>
        <v>194.73807475606264</v>
      </c>
      <c r="AK213" s="9"/>
      <c r="AL213" s="7">
        <f t="shared" si="94"/>
        <v>1398.8719252439373</v>
      </c>
      <c r="AM213" s="42">
        <f t="shared" si="95"/>
        <v>34.482694982044421</v>
      </c>
    </row>
    <row r="214" spans="1:39" x14ac:dyDescent="0.25">
      <c r="A214" s="1">
        <v>45971</v>
      </c>
      <c r="B214" s="7">
        <v>1580.54</v>
      </c>
      <c r="C214" s="3">
        <v>6996566.8099999996</v>
      </c>
      <c r="E214" s="1">
        <v>45971</v>
      </c>
      <c r="F214" s="4">
        <v>199000</v>
      </c>
      <c r="G214" s="4">
        <v>3853015512</v>
      </c>
      <c r="H214" s="4">
        <v>86900</v>
      </c>
      <c r="I214" s="4">
        <v>4107412004</v>
      </c>
      <c r="J214" s="4">
        <v>29800</v>
      </c>
      <c r="K214" s="4">
        <v>2272318410</v>
      </c>
      <c r="L214" s="4">
        <v>70500</v>
      </c>
      <c r="M214" s="4">
        <v>1793300377</v>
      </c>
      <c r="N214" s="4">
        <v>176500</v>
      </c>
      <c r="O214" s="4">
        <v>591611334</v>
      </c>
      <c r="Q214" s="3"/>
      <c r="R214" s="3">
        <f t="shared" si="77"/>
        <v>-2697110858400</v>
      </c>
      <c r="S214" s="3">
        <f t="shared" si="78"/>
        <v>-20947801220400</v>
      </c>
      <c r="T214" s="3">
        <f t="shared" si="79"/>
        <v>-3522093535500</v>
      </c>
      <c r="U214" s="3">
        <f t="shared" si="80"/>
        <v>-1793300377000</v>
      </c>
      <c r="V214" s="3">
        <f t="shared" si="81"/>
        <v>-887417001000</v>
      </c>
      <c r="X214" s="2">
        <f t="shared" si="82"/>
        <v>-2697.1108583999999</v>
      </c>
      <c r="Y214" s="2">
        <f t="shared" si="83"/>
        <v>-20947.801220400001</v>
      </c>
      <c r="Z214" s="2">
        <f t="shared" si="84"/>
        <v>-3522.0935355000001</v>
      </c>
      <c r="AA214" s="2">
        <f t="shared" si="85"/>
        <v>-1793.300377</v>
      </c>
      <c r="AB214" s="2">
        <f t="shared" si="86"/>
        <v>-887.41700100000003</v>
      </c>
      <c r="AC214" s="2"/>
      <c r="AD214" s="8">
        <f t="shared" si="87"/>
        <v>-0.60928587414205693</v>
      </c>
      <c r="AE214" s="8">
        <f t="shared" si="88"/>
        <v>-4.7321745556639598</v>
      </c>
      <c r="AF214" s="8">
        <f t="shared" si="89"/>
        <v>-0.7956520704010841</v>
      </c>
      <c r="AG214" s="8">
        <f t="shared" si="90"/>
        <v>-0.40511222755148624</v>
      </c>
      <c r="AH214" s="11">
        <f t="shared" si="91"/>
        <v>-0.2004703075140041</v>
      </c>
      <c r="AI214" s="8">
        <f t="shared" si="92"/>
        <v>-6.5422247277585868</v>
      </c>
      <c r="AJ214" s="9">
        <f t="shared" si="93"/>
        <v>188.87153930602358</v>
      </c>
      <c r="AK214" s="9"/>
      <c r="AL214" s="7">
        <f t="shared" si="94"/>
        <v>1391.6684606939764</v>
      </c>
      <c r="AM214" s="42">
        <f t="shared" si="95"/>
        <v>35.470807506817842</v>
      </c>
    </row>
    <row r="215" spans="1:39" x14ac:dyDescent="0.25">
      <c r="A215" s="1">
        <v>45968</v>
      </c>
      <c r="B215" s="7">
        <v>1599.1</v>
      </c>
      <c r="C215" s="3">
        <v>7078696.8099999996</v>
      </c>
      <c r="E215" s="1">
        <v>45968</v>
      </c>
      <c r="F215" s="4">
        <v>199700</v>
      </c>
      <c r="G215" s="4">
        <v>3853015512</v>
      </c>
      <c r="H215" s="4">
        <v>92000</v>
      </c>
      <c r="I215" s="4">
        <v>4107412004</v>
      </c>
      <c r="J215" s="4">
        <v>31350</v>
      </c>
      <c r="K215" s="4">
        <v>2272318410</v>
      </c>
      <c r="L215" s="4">
        <v>71500</v>
      </c>
      <c r="M215" s="4">
        <v>1793300377</v>
      </c>
      <c r="N215" s="4">
        <v>178000</v>
      </c>
      <c r="O215" s="4">
        <v>591611334</v>
      </c>
      <c r="Q215" s="3"/>
      <c r="R215" s="3">
        <f t="shared" si="77"/>
        <v>-31209425647200</v>
      </c>
      <c r="S215" s="3">
        <f t="shared" si="78"/>
        <v>-28341142827600</v>
      </c>
      <c r="T215" s="3">
        <f t="shared" si="79"/>
        <v>-1477006966500</v>
      </c>
      <c r="U215" s="3">
        <f t="shared" si="80"/>
        <v>-4124590867100</v>
      </c>
      <c r="V215" s="3">
        <f t="shared" si="81"/>
        <v>-1715672868600</v>
      </c>
      <c r="X215" s="2">
        <f t="shared" si="82"/>
        <v>-31209.425647200002</v>
      </c>
      <c r="Y215" s="2">
        <f t="shared" si="83"/>
        <v>-28341.142827600001</v>
      </c>
      <c r="Z215" s="2">
        <f t="shared" si="84"/>
        <v>-1477.0069665000001</v>
      </c>
      <c r="AA215" s="2">
        <f t="shared" si="85"/>
        <v>-4124.5908670999997</v>
      </c>
      <c r="AB215" s="2">
        <f t="shared" si="86"/>
        <v>-1715.6728685999999</v>
      </c>
      <c r="AC215" s="2"/>
      <c r="AD215" s="8">
        <f t="shared" si="87"/>
        <v>-7.0515545534090123</v>
      </c>
      <c r="AE215" s="8">
        <f t="shared" si="88"/>
        <v>-6.4034858255300104</v>
      </c>
      <c r="AF215" s="8">
        <f t="shared" si="89"/>
        <v>-0.3337195409417707</v>
      </c>
      <c r="AG215" s="8">
        <f t="shared" si="90"/>
        <v>-0.93192286966862581</v>
      </c>
      <c r="AH215" s="11">
        <f t="shared" si="91"/>
        <v>-0.38764445605303971</v>
      </c>
      <c r="AI215" s="8">
        <f t="shared" si="92"/>
        <v>-14.720682789549418</v>
      </c>
      <c r="AJ215" s="9">
        <f t="shared" si="93"/>
        <v>195.41376403378217</v>
      </c>
      <c r="AK215" s="9"/>
      <c r="AL215" s="7">
        <f t="shared" si="94"/>
        <v>1403.6862359662177</v>
      </c>
      <c r="AM215" s="42">
        <f t="shared" si="95"/>
        <v>35.831290729973382</v>
      </c>
    </row>
    <row r="216" spans="1:39" x14ac:dyDescent="0.25">
      <c r="A216" s="1">
        <v>45967</v>
      </c>
      <c r="B216" s="7">
        <v>1642.64</v>
      </c>
      <c r="C216" s="3">
        <v>7270148.8099999996</v>
      </c>
      <c r="E216" s="5">
        <v>45967</v>
      </c>
      <c r="F216" s="4">
        <v>207800</v>
      </c>
      <c r="G216" s="4">
        <v>3853015512</v>
      </c>
      <c r="H216" s="4">
        <v>98900</v>
      </c>
      <c r="I216" s="4">
        <v>4107412004</v>
      </c>
      <c r="J216" s="4">
        <v>32000</v>
      </c>
      <c r="K216" s="4">
        <v>2272318410</v>
      </c>
      <c r="L216" s="4">
        <v>73800</v>
      </c>
      <c r="M216" s="4">
        <v>1793300377</v>
      </c>
      <c r="N216" s="4">
        <v>180900</v>
      </c>
      <c r="O216" s="4">
        <v>591611334</v>
      </c>
      <c r="Q216" s="3"/>
      <c r="R216" s="3">
        <f t="shared" si="77"/>
        <v>5008920165600</v>
      </c>
      <c r="S216" s="3">
        <f t="shared" si="78"/>
        <v>-2875188402800</v>
      </c>
      <c r="T216" s="3">
        <f t="shared" si="79"/>
        <v>-1136159205000</v>
      </c>
      <c r="U216" s="3">
        <f t="shared" si="80"/>
        <v>-1434640301600</v>
      </c>
      <c r="V216" s="3">
        <f t="shared" si="81"/>
        <v>-2129800802400</v>
      </c>
      <c r="X216" s="2">
        <f t="shared" si="82"/>
        <v>5008.9201655999996</v>
      </c>
      <c r="Y216" s="2">
        <f t="shared" si="83"/>
        <v>-2875.1884027999999</v>
      </c>
      <c r="Z216" s="2">
        <f t="shared" si="84"/>
        <v>-1136.1592049999999</v>
      </c>
      <c r="AA216" s="2">
        <f t="shared" si="85"/>
        <v>-1434.6403015999999</v>
      </c>
      <c r="AB216" s="2">
        <f t="shared" si="86"/>
        <v>-2129.8008024000001</v>
      </c>
      <c r="AC216" s="2"/>
      <c r="AD216" s="8">
        <f t="shared" si="87"/>
        <v>1.1317358973214549</v>
      </c>
      <c r="AE216" s="8">
        <f t="shared" si="88"/>
        <v>-0.64963182071825243</v>
      </c>
      <c r="AF216" s="8">
        <f t="shared" si="89"/>
        <v>-0.25670845508807999</v>
      </c>
      <c r="AG216" s="8">
        <f t="shared" si="90"/>
        <v>-0.32414849416357377</v>
      </c>
      <c r="AH216" s="11">
        <f t="shared" si="91"/>
        <v>-0.48121589934172754</v>
      </c>
      <c r="AI216" s="8">
        <f t="shared" si="92"/>
        <v>-9.875287264845134E-2</v>
      </c>
      <c r="AJ216" s="9">
        <f t="shared" si="93"/>
        <v>210.13444682333159</v>
      </c>
      <c r="AK216" s="9"/>
      <c r="AL216" s="7">
        <f t="shared" si="94"/>
        <v>1432.5055531766684</v>
      </c>
      <c r="AM216" s="42">
        <f t="shared" si="95"/>
        <v>35.873878772622703</v>
      </c>
    </row>
    <row r="217" spans="1:39" x14ac:dyDescent="0.25">
      <c r="A217" s="1">
        <v>45966</v>
      </c>
      <c r="B217" s="7">
        <v>1654.89</v>
      </c>
      <c r="C217" s="3">
        <v>7324334.1600000001</v>
      </c>
      <c r="E217" s="5">
        <v>45966</v>
      </c>
      <c r="F217" s="4">
        <v>206500</v>
      </c>
      <c r="G217" s="4">
        <v>3853015512</v>
      </c>
      <c r="H217" s="4">
        <v>99600</v>
      </c>
      <c r="I217" s="4">
        <v>4107412004</v>
      </c>
      <c r="J217" s="4">
        <v>32500</v>
      </c>
      <c r="K217" s="4">
        <v>2272318410</v>
      </c>
      <c r="L217" s="4">
        <v>74600</v>
      </c>
      <c r="M217" s="4">
        <v>1793300377</v>
      </c>
      <c r="N217" s="4">
        <v>184500</v>
      </c>
      <c r="O217" s="4">
        <v>591611334</v>
      </c>
      <c r="Q217" s="3"/>
      <c r="R217" s="3">
        <f t="shared" si="77"/>
        <v>21191585316000</v>
      </c>
      <c r="S217" s="3">
        <f t="shared" si="78"/>
        <v>-2464447202400</v>
      </c>
      <c r="T217" s="3">
        <f t="shared" si="79"/>
        <v>-2272318410000</v>
      </c>
      <c r="U217" s="3">
        <f t="shared" si="80"/>
        <v>179330037700</v>
      </c>
      <c r="V217" s="3">
        <f t="shared" si="81"/>
        <v>-769094734200</v>
      </c>
      <c r="X217" s="2">
        <f t="shared" si="82"/>
        <v>21191.585316000001</v>
      </c>
      <c r="Y217" s="2">
        <f t="shared" si="83"/>
        <v>-2464.4472024000002</v>
      </c>
      <c r="Z217" s="2">
        <f t="shared" si="84"/>
        <v>-2272.3184099999999</v>
      </c>
      <c r="AA217" s="2">
        <f t="shared" si="85"/>
        <v>179.33003769999999</v>
      </c>
      <c r="AB217" s="2">
        <f t="shared" si="86"/>
        <v>-769.09473419999995</v>
      </c>
      <c r="AC217" s="2"/>
      <c r="AD217" s="8">
        <f t="shared" si="87"/>
        <v>4.7883550265483104</v>
      </c>
      <c r="AE217" s="8">
        <f t="shared" si="88"/>
        <v>-0.55685537317329803</v>
      </c>
      <c r="AF217" s="8">
        <f t="shared" si="89"/>
        <v>-0.51344281790124868</v>
      </c>
      <c r="AG217" s="8">
        <f t="shared" si="90"/>
        <v>4.0520606392932916E-2</v>
      </c>
      <c r="AH217" s="11">
        <f t="shared" si="91"/>
        <v>-0.17378117689090053</v>
      </c>
      <c r="AI217" s="8">
        <f t="shared" si="92"/>
        <v>3.7585774418666968</v>
      </c>
      <c r="AJ217" s="9">
        <f t="shared" si="93"/>
        <v>210.23319969598003</v>
      </c>
      <c r="AK217" s="9"/>
      <c r="AL217" s="7">
        <f t="shared" si="94"/>
        <v>1444.6568003040202</v>
      </c>
      <c r="AM217" s="42">
        <f t="shared" si="95"/>
        <v>36.390064403527504</v>
      </c>
    </row>
    <row r="218" spans="1:39" x14ac:dyDescent="0.25">
      <c r="A218" s="1">
        <v>45965</v>
      </c>
      <c r="B218" s="7">
        <v>1651.98</v>
      </c>
      <c r="C218" s="3">
        <v>7311085.9400000004</v>
      </c>
      <c r="E218" s="5">
        <v>45965</v>
      </c>
      <c r="F218" s="4">
        <v>201000</v>
      </c>
      <c r="G218" s="4">
        <v>3853015512</v>
      </c>
      <c r="H218" s="4">
        <v>100200</v>
      </c>
      <c r="I218" s="4">
        <v>4107412004</v>
      </c>
      <c r="J218" s="4">
        <v>33500</v>
      </c>
      <c r="K218" s="4">
        <v>2272318410</v>
      </c>
      <c r="L218" s="4">
        <v>74500</v>
      </c>
      <c r="M218" s="4">
        <v>1793300377</v>
      </c>
      <c r="N218" s="4">
        <v>185800</v>
      </c>
      <c r="O218" s="4">
        <v>591611334</v>
      </c>
      <c r="Q218" s="3"/>
      <c r="R218" s="3">
        <f t="shared" si="77"/>
        <v>21576886867200</v>
      </c>
      <c r="S218" s="3">
        <f t="shared" si="78"/>
        <v>6982600406800</v>
      </c>
      <c r="T218" s="3">
        <f t="shared" si="79"/>
        <v>4885484581500</v>
      </c>
      <c r="U218" s="3">
        <f t="shared" si="80"/>
        <v>-1793300377000</v>
      </c>
      <c r="V218" s="3">
        <f t="shared" si="81"/>
        <v>1360706068200</v>
      </c>
      <c r="X218" s="2">
        <f t="shared" si="82"/>
        <v>21576.886867199999</v>
      </c>
      <c r="Y218" s="2">
        <f t="shared" si="83"/>
        <v>6982.6004068000002</v>
      </c>
      <c r="Z218" s="2">
        <f t="shared" si="84"/>
        <v>4885.4845814999999</v>
      </c>
      <c r="AA218" s="2">
        <f t="shared" si="85"/>
        <v>-1793.300377</v>
      </c>
      <c r="AB218" s="2">
        <f t="shared" si="86"/>
        <v>1360.7060681999999</v>
      </c>
      <c r="AC218" s="2"/>
      <c r="AD218" s="8">
        <f t="shared" si="87"/>
        <v>4.8758859971003465</v>
      </c>
      <c r="AE218" s="8">
        <f t="shared" si="88"/>
        <v>1.5779089799380985</v>
      </c>
      <c r="AF218" s="8">
        <f t="shared" si="89"/>
        <v>1.1040084701096049</v>
      </c>
      <c r="AG218" s="8">
        <f t="shared" si="90"/>
        <v>-0.40524512412868574</v>
      </c>
      <c r="AH218" s="11">
        <f t="shared" si="91"/>
        <v>0.30748864305311235</v>
      </c>
      <c r="AI218" s="8">
        <f t="shared" si="92"/>
        <v>7.1525583230193641</v>
      </c>
      <c r="AJ218" s="9">
        <f t="shared" si="93"/>
        <v>206.47462225411334</v>
      </c>
      <c r="AK218" s="9"/>
      <c r="AL218" s="7">
        <f t="shared" si="94"/>
        <v>1445.5053777458866</v>
      </c>
      <c r="AM218" s="42">
        <f t="shared" si="95"/>
        <v>36.621058296794359</v>
      </c>
    </row>
    <row r="219" spans="1:39" x14ac:dyDescent="0.25">
      <c r="A219" s="1">
        <v>45964</v>
      </c>
      <c r="B219" s="7">
        <v>1617</v>
      </c>
      <c r="C219" s="3">
        <v>7155586.9199999999</v>
      </c>
      <c r="E219" s="5">
        <v>45964</v>
      </c>
      <c r="F219" s="4">
        <v>195400</v>
      </c>
      <c r="G219" s="4">
        <v>3853015512</v>
      </c>
      <c r="H219" s="4">
        <v>98500</v>
      </c>
      <c r="I219" s="4">
        <v>4107412004</v>
      </c>
      <c r="J219" s="4">
        <v>31350</v>
      </c>
      <c r="K219" s="4">
        <v>2272318410</v>
      </c>
      <c r="L219" s="4">
        <v>75500</v>
      </c>
      <c r="M219" s="4">
        <v>1793300377</v>
      </c>
      <c r="N219" s="4">
        <v>183500</v>
      </c>
      <c r="O219" s="4">
        <v>591611334</v>
      </c>
      <c r="Q219" s="3"/>
      <c r="R219" s="3">
        <f t="shared" si="77"/>
        <v>16953268252800</v>
      </c>
      <c r="S219" s="3">
        <f t="shared" si="78"/>
        <v>-2875188402800</v>
      </c>
      <c r="T219" s="3">
        <f t="shared" si="79"/>
        <v>-4431020899500</v>
      </c>
      <c r="U219" s="3">
        <f t="shared" si="80"/>
        <v>-2869280603200</v>
      </c>
      <c r="V219" s="3">
        <f t="shared" si="81"/>
        <v>-2070639669000</v>
      </c>
      <c r="X219" s="2">
        <f t="shared" si="82"/>
        <v>16953.2682528</v>
      </c>
      <c r="Y219" s="2">
        <f t="shared" si="83"/>
        <v>-2875.1884027999999</v>
      </c>
      <c r="Z219" s="2">
        <f t="shared" si="84"/>
        <v>-4431.0208995000003</v>
      </c>
      <c r="AA219" s="2">
        <f t="shared" si="85"/>
        <v>-2869.2806031999999</v>
      </c>
      <c r="AB219" s="2">
        <f t="shared" si="86"/>
        <v>-2070.6396690000001</v>
      </c>
      <c r="AC219" s="2"/>
      <c r="AD219" s="8">
        <f t="shared" si="87"/>
        <v>3.8314730026513106</v>
      </c>
      <c r="AE219" s="8">
        <f t="shared" si="88"/>
        <v>-0.64979840928576738</v>
      </c>
      <c r="AF219" s="8">
        <f t="shared" si="89"/>
        <v>-1.0014197084278427</v>
      </c>
      <c r="AG219" s="8">
        <f t="shared" si="90"/>
        <v>-0.64846323459644251</v>
      </c>
      <c r="AH219" s="11">
        <f t="shared" si="91"/>
        <v>-0.46796876399817683</v>
      </c>
      <c r="AI219" s="8">
        <f t="shared" si="92"/>
        <v>1.5317916503412581</v>
      </c>
      <c r="AJ219" s="9">
        <f t="shared" si="93"/>
        <v>199.32206393109396</v>
      </c>
      <c r="AK219" s="9"/>
      <c r="AL219" s="7">
        <f t="shared" si="94"/>
        <v>1417.6779360689061</v>
      </c>
      <c r="AM219" s="42">
        <f t="shared" si="95"/>
        <v>36.383934977603339</v>
      </c>
    </row>
    <row r="220" spans="1:39" x14ac:dyDescent="0.25">
      <c r="A220" s="1">
        <v>45961</v>
      </c>
      <c r="B220" s="7">
        <v>1639.65</v>
      </c>
      <c r="C220" s="3">
        <v>7255023.4000000004</v>
      </c>
      <c r="E220" s="5">
        <v>45961</v>
      </c>
      <c r="F220" s="4">
        <v>191000</v>
      </c>
      <c r="G220" s="4">
        <v>3853015512</v>
      </c>
      <c r="H220" s="4">
        <v>99200</v>
      </c>
      <c r="I220" s="4">
        <v>4107412004</v>
      </c>
      <c r="J220" s="4">
        <v>33300</v>
      </c>
      <c r="K220" s="4">
        <v>2272318410</v>
      </c>
      <c r="L220" s="4">
        <v>77100</v>
      </c>
      <c r="M220" s="4">
        <v>1793300377</v>
      </c>
      <c r="N220" s="4">
        <v>187000</v>
      </c>
      <c r="O220" s="4">
        <v>591611334</v>
      </c>
      <c r="Q220" s="3"/>
      <c r="R220" s="3">
        <f t="shared" si="77"/>
        <v>-50474503207200</v>
      </c>
      <c r="S220" s="3">
        <f t="shared" si="78"/>
        <v>-19715577619200</v>
      </c>
      <c r="T220" s="3">
        <f t="shared" si="79"/>
        <v>-2954013933000</v>
      </c>
      <c r="U220" s="3">
        <f t="shared" si="80"/>
        <v>-717320150800</v>
      </c>
      <c r="V220" s="3">
        <f t="shared" si="81"/>
        <v>-5028696339000</v>
      </c>
      <c r="X220" s="2">
        <f t="shared" si="82"/>
        <v>-50474.503207200003</v>
      </c>
      <c r="Y220" s="2">
        <f t="shared" si="83"/>
        <v>-19715.577619200001</v>
      </c>
      <c r="Z220" s="2">
        <f t="shared" si="84"/>
        <v>-2954.0139330000002</v>
      </c>
      <c r="AA220" s="2">
        <f t="shared" si="85"/>
        <v>-717.32015079999996</v>
      </c>
      <c r="AB220" s="2">
        <f t="shared" si="86"/>
        <v>-5028.6963390000001</v>
      </c>
      <c r="AC220" s="2"/>
      <c r="AD220" s="8">
        <f t="shared" si="87"/>
        <v>-11.407333085176864</v>
      </c>
      <c r="AE220" s="8">
        <f t="shared" si="88"/>
        <v>-4.4557577901389083</v>
      </c>
      <c r="AF220" s="8">
        <f t="shared" si="89"/>
        <v>-0.66761272981043474</v>
      </c>
      <c r="AG220" s="8">
        <f t="shared" si="90"/>
        <v>-0.1621157092977126</v>
      </c>
      <c r="AH220" s="11">
        <f t="shared" si="91"/>
        <v>-1.1364948732174882</v>
      </c>
      <c r="AI220" s="8">
        <f t="shared" si="92"/>
        <v>-16.692819314423922</v>
      </c>
      <c r="AJ220" s="9">
        <f t="shared" si="93"/>
        <v>197.7902722807527</v>
      </c>
      <c r="AK220" s="9"/>
      <c r="AL220" s="7">
        <f t="shared" si="94"/>
        <v>1441.8597277192473</v>
      </c>
      <c r="AM220" s="42">
        <f t="shared" si="95"/>
        <v>34.583895042229614</v>
      </c>
    </row>
    <row r="221" spans="1:39" x14ac:dyDescent="0.25">
      <c r="A221" s="1">
        <v>45960</v>
      </c>
      <c r="B221" s="7">
        <v>1669.57</v>
      </c>
      <c r="C221" s="3">
        <v>7387416.1200000001</v>
      </c>
      <c r="E221" s="5">
        <v>45960</v>
      </c>
      <c r="F221" s="4">
        <v>204100</v>
      </c>
      <c r="G221" s="4">
        <v>3853015512</v>
      </c>
      <c r="H221" s="4">
        <v>104000</v>
      </c>
      <c r="I221" s="4">
        <v>4107412004</v>
      </c>
      <c r="J221" s="4">
        <v>34600</v>
      </c>
      <c r="K221" s="4">
        <v>2272318410</v>
      </c>
      <c r="L221" s="4">
        <v>77500</v>
      </c>
      <c r="M221" s="4">
        <v>1793300377</v>
      </c>
      <c r="N221" s="4">
        <v>195500</v>
      </c>
      <c r="O221" s="4">
        <v>591611334</v>
      </c>
      <c r="Q221" s="3"/>
      <c r="R221" s="3">
        <f t="shared" si="77"/>
        <v>-30438822544800</v>
      </c>
      <c r="S221" s="3">
        <f t="shared" si="78"/>
        <v>821482400800</v>
      </c>
      <c r="T221" s="3">
        <f t="shared" si="79"/>
        <v>-3067629853500</v>
      </c>
      <c r="U221" s="3">
        <f t="shared" si="80"/>
        <v>-3048610640900</v>
      </c>
      <c r="V221" s="3">
        <f t="shared" si="81"/>
        <v>236644533600</v>
      </c>
      <c r="X221" s="2">
        <f t="shared" si="82"/>
        <v>-30438.822544800001</v>
      </c>
      <c r="Y221" s="2">
        <f t="shared" si="83"/>
        <v>821.48240080000005</v>
      </c>
      <c r="Z221" s="2">
        <f t="shared" si="84"/>
        <v>-3067.6298535000001</v>
      </c>
      <c r="AA221" s="2">
        <f t="shared" si="85"/>
        <v>-3048.6106408999999</v>
      </c>
      <c r="AB221" s="2">
        <f t="shared" si="86"/>
        <v>236.64453359999999</v>
      </c>
      <c r="AC221" s="2"/>
      <c r="AD221" s="8">
        <f t="shared" si="87"/>
        <v>-6.8792471553140588</v>
      </c>
      <c r="AE221" s="8">
        <f t="shared" si="88"/>
        <v>0.18565699972548316</v>
      </c>
      <c r="AF221" s="8">
        <f t="shared" si="89"/>
        <v>-0.69329173006567157</v>
      </c>
      <c r="AG221" s="8">
        <f t="shared" si="90"/>
        <v>-0.68899334224261111</v>
      </c>
      <c r="AH221" s="11">
        <f t="shared" si="91"/>
        <v>5.3482234149905702E-2</v>
      </c>
      <c r="AI221" s="8">
        <f t="shared" si="92"/>
        <v>-8.0758752278968586</v>
      </c>
      <c r="AJ221" s="9">
        <f t="shared" si="93"/>
        <v>214.48309159517663</v>
      </c>
      <c r="AK221" s="9"/>
      <c r="AL221" s="7">
        <f t="shared" si="94"/>
        <v>1455.0869084048234</v>
      </c>
      <c r="AM221" s="42">
        <f t="shared" si="95"/>
        <v>33.860727860090272</v>
      </c>
    </row>
    <row r="222" spans="1:39" x14ac:dyDescent="0.25">
      <c r="A222" s="1">
        <v>45959</v>
      </c>
      <c r="B222" s="7">
        <v>1685.83</v>
      </c>
      <c r="C222" s="3">
        <v>7459345.3399999999</v>
      </c>
      <c r="E222" s="5">
        <v>45959</v>
      </c>
      <c r="F222" s="4">
        <v>212000</v>
      </c>
      <c r="G222" s="4">
        <v>3853015512</v>
      </c>
      <c r="H222" s="4">
        <v>103800</v>
      </c>
      <c r="I222" s="4">
        <v>4107412004</v>
      </c>
      <c r="J222" s="4">
        <v>35950</v>
      </c>
      <c r="K222" s="4">
        <v>2272318410</v>
      </c>
      <c r="L222" s="4">
        <v>79200</v>
      </c>
      <c r="M222" s="4">
        <v>1793300377</v>
      </c>
      <c r="N222" s="4">
        <v>195100</v>
      </c>
      <c r="O222" s="4">
        <v>591611334</v>
      </c>
      <c r="Q222" s="3"/>
      <c r="R222" s="3">
        <f t="shared" si="77"/>
        <v>-31209425647200</v>
      </c>
      <c r="S222" s="3">
        <f t="shared" si="78"/>
        <v>-13143718412800</v>
      </c>
      <c r="T222" s="3">
        <f t="shared" si="79"/>
        <v>-1931470648500</v>
      </c>
      <c r="U222" s="3">
        <f t="shared" si="80"/>
        <v>-1434640301600</v>
      </c>
      <c r="V222" s="3">
        <f t="shared" si="81"/>
        <v>4496246138400</v>
      </c>
      <c r="X222" s="2">
        <f t="shared" si="82"/>
        <v>-31209.425647200002</v>
      </c>
      <c r="Y222" s="2">
        <f t="shared" si="83"/>
        <v>-13143.718412800001</v>
      </c>
      <c r="Z222" s="2">
        <f t="shared" si="84"/>
        <v>-1931.4706484999999</v>
      </c>
      <c r="AA222" s="2">
        <f t="shared" si="85"/>
        <v>-1434.6403015999999</v>
      </c>
      <c r="AB222" s="2">
        <f t="shared" si="86"/>
        <v>4496.2461383999998</v>
      </c>
      <c r="AC222" s="2"/>
      <c r="AD222" s="8">
        <f t="shared" si="87"/>
        <v>-7.0571453863218894</v>
      </c>
      <c r="AE222" s="8">
        <f t="shared" si="88"/>
        <v>-2.9720871125459958</v>
      </c>
      <c r="AF222" s="8">
        <f t="shared" si="89"/>
        <v>-0.43674847880774176</v>
      </c>
      <c r="AG222" s="8">
        <f t="shared" si="90"/>
        <v>-0.32440408548102245</v>
      </c>
      <c r="AH222" s="11">
        <f t="shared" si="91"/>
        <v>1.0167012699967433</v>
      </c>
      <c r="AI222" s="8">
        <f t="shared" si="92"/>
        <v>-10.790385063156648</v>
      </c>
      <c r="AJ222" s="9">
        <f t="shared" si="93"/>
        <v>222.55896682307349</v>
      </c>
      <c r="AK222" s="9"/>
      <c r="AL222" s="7">
        <f t="shared" si="94"/>
        <v>1463.2710331769265</v>
      </c>
      <c r="AM222" s="42">
        <f t="shared" si="95"/>
        <v>33.470280256009502</v>
      </c>
    </row>
    <row r="223" spans="1:39" x14ac:dyDescent="0.25">
      <c r="A223" s="1">
        <v>45958</v>
      </c>
      <c r="B223" s="7">
        <v>1680.5</v>
      </c>
      <c r="C223" s="3">
        <v>7431820.79</v>
      </c>
      <c r="E223" s="5">
        <v>45958</v>
      </c>
      <c r="F223" s="4">
        <v>220100</v>
      </c>
      <c r="G223" s="4">
        <v>3853015512</v>
      </c>
      <c r="H223" s="4">
        <v>107000</v>
      </c>
      <c r="I223" s="4">
        <v>4107412004</v>
      </c>
      <c r="J223" s="4">
        <v>36800</v>
      </c>
      <c r="K223" s="4">
        <v>2272318410</v>
      </c>
      <c r="L223" s="4">
        <v>80000</v>
      </c>
      <c r="M223" s="4">
        <v>1793300377</v>
      </c>
      <c r="N223" s="4">
        <v>187500</v>
      </c>
      <c r="O223" s="4">
        <v>591611334</v>
      </c>
      <c r="Q223" s="3"/>
      <c r="R223" s="3">
        <f t="shared" si="77"/>
        <v>23503394623200</v>
      </c>
      <c r="S223" s="3">
        <f t="shared" si="78"/>
        <v>2053706002000</v>
      </c>
      <c r="T223" s="3">
        <f t="shared" si="79"/>
        <v>1590622887000</v>
      </c>
      <c r="U223" s="3">
        <f t="shared" si="80"/>
        <v>-1793300377000</v>
      </c>
      <c r="V223" s="3">
        <f t="shared" si="81"/>
        <v>7217658274800</v>
      </c>
      <c r="X223" s="2">
        <f t="shared" si="82"/>
        <v>23503.394623200002</v>
      </c>
      <c r="Y223" s="2">
        <f t="shared" si="83"/>
        <v>2053.7060019999999</v>
      </c>
      <c r="Z223" s="2">
        <f t="shared" si="84"/>
        <v>1590.622887</v>
      </c>
      <c r="AA223" s="2">
        <f t="shared" si="85"/>
        <v>-1793.300377</v>
      </c>
      <c r="AB223" s="2">
        <f t="shared" si="86"/>
        <v>7217.6582748000001</v>
      </c>
      <c r="AC223" s="2"/>
      <c r="AD223" s="8">
        <f t="shared" si="87"/>
        <v>5.3146498056930218</v>
      </c>
      <c r="AE223" s="8">
        <f t="shared" si="88"/>
        <v>0.46438943733285476</v>
      </c>
      <c r="AF223" s="8">
        <f t="shared" si="89"/>
        <v>0.35967585758786275</v>
      </c>
      <c r="AG223" s="8">
        <f t="shared" si="90"/>
        <v>-0.40550582811406044</v>
      </c>
      <c r="AH223" s="11">
        <f t="shared" si="91"/>
        <v>1.6320759942421372</v>
      </c>
      <c r="AI223" s="8">
        <f t="shared" si="92"/>
        <v>5.7332092724996793</v>
      </c>
      <c r="AJ223" s="9">
        <f t="shared" si="93"/>
        <v>233.34935188623015</v>
      </c>
      <c r="AK223" s="9"/>
      <c r="AL223" s="7">
        <f t="shared" si="94"/>
        <v>1447.1506481137699</v>
      </c>
      <c r="AM223" s="42">
        <f t="shared" si="95"/>
        <v>33.295503755350097</v>
      </c>
    </row>
    <row r="224" spans="1:39" x14ac:dyDescent="0.25">
      <c r="A224" s="1">
        <v>45957</v>
      </c>
      <c r="B224" s="7">
        <v>1652.54</v>
      </c>
      <c r="C224" s="3">
        <v>7308157.8600000003</v>
      </c>
      <c r="E224" s="5">
        <v>45957</v>
      </c>
      <c r="F224" s="4">
        <v>214000</v>
      </c>
      <c r="G224" s="4">
        <v>3853015512</v>
      </c>
      <c r="H224" s="4">
        <v>106500</v>
      </c>
      <c r="I224" s="4">
        <v>4107412004</v>
      </c>
      <c r="J224" s="4">
        <v>36100</v>
      </c>
      <c r="K224" s="4">
        <v>2272318410</v>
      </c>
      <c r="L224" s="4">
        <v>81000</v>
      </c>
      <c r="M224" s="4">
        <v>1793300377</v>
      </c>
      <c r="N224" s="4">
        <v>175300</v>
      </c>
      <c r="O224" s="4">
        <v>591611334</v>
      </c>
      <c r="Q224" s="3"/>
      <c r="R224" s="3">
        <f t="shared" si="77"/>
        <v>-19265077560000</v>
      </c>
      <c r="S224" s="3">
        <f t="shared" si="78"/>
        <v>-32859296032000</v>
      </c>
      <c r="T224" s="3">
        <f t="shared" si="79"/>
        <v>-6135259707000</v>
      </c>
      <c r="U224" s="3">
        <f t="shared" si="80"/>
        <v>-2151960452400</v>
      </c>
      <c r="V224" s="3">
        <f t="shared" si="81"/>
        <v>-2780573269800</v>
      </c>
      <c r="X224" s="2">
        <f t="shared" si="82"/>
        <v>-19265.077560000002</v>
      </c>
      <c r="Y224" s="2">
        <f t="shared" si="83"/>
        <v>-32859.296031999998</v>
      </c>
      <c r="Z224" s="2">
        <f t="shared" si="84"/>
        <v>-6135.2597070000002</v>
      </c>
      <c r="AA224" s="2">
        <f t="shared" si="85"/>
        <v>-2151.9604524000001</v>
      </c>
      <c r="AB224" s="2">
        <f t="shared" si="86"/>
        <v>-2780.5732698000002</v>
      </c>
      <c r="AC224" s="2"/>
      <c r="AD224" s="8">
        <f t="shared" si="87"/>
        <v>-4.3562616982638271</v>
      </c>
      <c r="AE224" s="8">
        <f t="shared" si="88"/>
        <v>-7.4302162703628447</v>
      </c>
      <c r="AF224" s="8">
        <f t="shared" si="89"/>
        <v>-1.3873184152654638</v>
      </c>
      <c r="AG224" s="8">
        <f t="shared" si="90"/>
        <v>-0.48660602926576629</v>
      </c>
      <c r="AH224" s="11">
        <f t="shared" si="91"/>
        <v>-0.62874934174134467</v>
      </c>
      <c r="AI224" s="8">
        <f t="shared" si="92"/>
        <v>-13.660402413157902</v>
      </c>
      <c r="AJ224" s="9">
        <f t="shared" si="93"/>
        <v>227.61614261373046</v>
      </c>
      <c r="AK224" s="9"/>
      <c r="AL224" s="7">
        <f t="shared" si="94"/>
        <v>1424.9238573862694</v>
      </c>
      <c r="AM224" s="42">
        <f t="shared" si="95"/>
        <v>32.453447016634208</v>
      </c>
    </row>
    <row r="225" spans="1:39" x14ac:dyDescent="0.25">
      <c r="A225" s="1">
        <v>45954</v>
      </c>
      <c r="B225" s="7">
        <v>1683.18</v>
      </c>
      <c r="C225" s="3">
        <v>7443674.2999999998</v>
      </c>
      <c r="E225" s="5">
        <v>45954</v>
      </c>
      <c r="F225" s="4">
        <v>219000</v>
      </c>
      <c r="G225" s="4">
        <v>3853015512</v>
      </c>
      <c r="H225" s="4">
        <v>114500</v>
      </c>
      <c r="I225" s="4">
        <v>4107412004</v>
      </c>
      <c r="J225" s="4">
        <v>38800</v>
      </c>
      <c r="K225" s="4">
        <v>2272318410</v>
      </c>
      <c r="L225" s="4">
        <v>82200</v>
      </c>
      <c r="M225" s="4">
        <v>1793300377</v>
      </c>
      <c r="N225" s="4">
        <v>180000</v>
      </c>
      <c r="O225" s="4">
        <v>591611334</v>
      </c>
      <c r="Q225" s="3"/>
      <c r="R225" s="3">
        <f t="shared" si="77"/>
        <v>15412062048000</v>
      </c>
      <c r="S225" s="3">
        <f t="shared" si="78"/>
        <v>-2053706002000</v>
      </c>
      <c r="T225" s="3">
        <f t="shared" si="79"/>
        <v>-1363391046000</v>
      </c>
      <c r="U225" s="3">
        <f t="shared" si="80"/>
        <v>2869280603200</v>
      </c>
      <c r="V225" s="3">
        <f t="shared" si="81"/>
        <v>-2366445336000</v>
      </c>
      <c r="X225" s="2">
        <f t="shared" si="82"/>
        <v>15412.062048</v>
      </c>
      <c r="Y225" s="2">
        <f t="shared" si="83"/>
        <v>-2053.7060019999999</v>
      </c>
      <c r="Z225" s="2">
        <f t="shared" si="84"/>
        <v>-1363.391046</v>
      </c>
      <c r="AA225" s="2">
        <f t="shared" si="85"/>
        <v>2869.2806031999999</v>
      </c>
      <c r="AB225" s="2">
        <f t="shared" si="86"/>
        <v>-2366.4453360000002</v>
      </c>
      <c r="AC225" s="2"/>
      <c r="AD225" s="8">
        <f t="shared" si="87"/>
        <v>3.4850216359840802</v>
      </c>
      <c r="AE225" s="8">
        <f t="shared" si="88"/>
        <v>-0.46439015289645447</v>
      </c>
      <c r="AF225" s="8">
        <f t="shared" si="89"/>
        <v>-0.30829406725841424</v>
      </c>
      <c r="AG225" s="8">
        <f t="shared" si="90"/>
        <v>0.64881032471310818</v>
      </c>
      <c r="AH225" s="11">
        <f t="shared" si="91"/>
        <v>-0.53510770788804551</v>
      </c>
      <c r="AI225" s="8">
        <f t="shared" si="92"/>
        <v>3.3611477405423198</v>
      </c>
      <c r="AJ225" s="9">
        <f t="shared" si="93"/>
        <v>241.27654502688836</v>
      </c>
      <c r="AK225" s="9"/>
      <c r="AL225" s="7">
        <f t="shared" si="94"/>
        <v>1441.9034549731118</v>
      </c>
      <c r="AM225" s="42">
        <f t="shared" si="95"/>
        <v>29.676767485416313</v>
      </c>
    </row>
    <row r="226" spans="1:39" x14ac:dyDescent="0.25">
      <c r="A226" s="1">
        <v>45953</v>
      </c>
      <c r="B226" s="7">
        <v>1687.06</v>
      </c>
      <c r="C226" s="3">
        <v>7460806.8799999999</v>
      </c>
      <c r="E226" s="5">
        <v>45953</v>
      </c>
      <c r="F226" s="4">
        <v>215000</v>
      </c>
      <c r="G226" s="4">
        <v>3853015512</v>
      </c>
      <c r="H226" s="4">
        <v>115000</v>
      </c>
      <c r="I226" s="4">
        <v>4107412004</v>
      </c>
      <c r="J226" s="4">
        <v>39400</v>
      </c>
      <c r="K226" s="4">
        <v>2272318410</v>
      </c>
      <c r="L226" s="4">
        <v>80600</v>
      </c>
      <c r="M226" s="4">
        <v>1793300377</v>
      </c>
      <c r="N226" s="4">
        <v>184000</v>
      </c>
      <c r="O226" s="4">
        <v>591611334</v>
      </c>
      <c r="Q226" s="3"/>
      <c r="R226" s="3">
        <f t="shared" si="77"/>
        <v>46236186144000</v>
      </c>
      <c r="S226" s="3">
        <f t="shared" si="78"/>
        <v>8214824008000</v>
      </c>
      <c r="T226" s="3">
        <f t="shared" si="79"/>
        <v>908927364000</v>
      </c>
      <c r="U226" s="3">
        <f t="shared" si="80"/>
        <v>2869280603200</v>
      </c>
      <c r="V226" s="3">
        <f t="shared" si="81"/>
        <v>2248123069200</v>
      </c>
      <c r="X226" s="2">
        <f t="shared" si="82"/>
        <v>46236.186143999999</v>
      </c>
      <c r="Y226" s="2">
        <f t="shared" si="83"/>
        <v>8214.8240079999996</v>
      </c>
      <c r="Z226" s="2">
        <f t="shared" si="84"/>
        <v>908.92736400000001</v>
      </c>
      <c r="AA226" s="2">
        <f t="shared" si="85"/>
        <v>2869.2806031999999</v>
      </c>
      <c r="AB226" s="2">
        <f t="shared" si="86"/>
        <v>2248.1230691999999</v>
      </c>
      <c r="AC226" s="2"/>
      <c r="AD226" s="8">
        <f t="shared" si="87"/>
        <v>10.455663525462253</v>
      </c>
      <c r="AE226" s="8">
        <f t="shared" si="88"/>
        <v>1.8576669684872618</v>
      </c>
      <c r="AF226" s="8">
        <f t="shared" si="89"/>
        <v>0.20554114600783521</v>
      </c>
      <c r="AG226" s="8">
        <f t="shared" si="90"/>
        <v>0.64884747314063773</v>
      </c>
      <c r="AH226" s="11">
        <f t="shared" si="91"/>
        <v>0.50838142882671511</v>
      </c>
      <c r="AI226" s="8">
        <f t="shared" si="92"/>
        <v>13.167719113097988</v>
      </c>
      <c r="AJ226" s="9">
        <f t="shared" si="93"/>
        <v>237.91539728634604</v>
      </c>
      <c r="AK226" s="9"/>
      <c r="AL226" s="7">
        <f t="shared" si="94"/>
        <v>1449.144602713654</v>
      </c>
      <c r="AM226" s="42">
        <f t="shared" si="95"/>
        <v>28.008724378422762</v>
      </c>
    </row>
    <row r="227" spans="1:39" x14ac:dyDescent="0.25">
      <c r="A227" s="1">
        <v>45952</v>
      </c>
      <c r="B227" s="7">
        <v>1678.5</v>
      </c>
      <c r="C227" s="3">
        <v>7422526.3899999997</v>
      </c>
      <c r="E227" s="5">
        <v>45952</v>
      </c>
      <c r="F227" s="4">
        <v>203000</v>
      </c>
      <c r="G227" s="4">
        <v>3853015512</v>
      </c>
      <c r="H227" s="4">
        <v>113000</v>
      </c>
      <c r="I227" s="4">
        <v>4107412004</v>
      </c>
      <c r="J227" s="4">
        <v>39000</v>
      </c>
      <c r="K227" s="4">
        <v>2272318410</v>
      </c>
      <c r="L227" s="4">
        <v>79000</v>
      </c>
      <c r="M227" s="4">
        <v>1793300377</v>
      </c>
      <c r="N227" s="4">
        <v>180200</v>
      </c>
      <c r="O227" s="4">
        <v>591611334</v>
      </c>
      <c r="Q227" s="3"/>
      <c r="R227" s="3">
        <f t="shared" si="77"/>
        <v>-1541206204800</v>
      </c>
      <c r="S227" s="3">
        <f t="shared" si="78"/>
        <v>8625565208400</v>
      </c>
      <c r="T227" s="3">
        <f t="shared" si="79"/>
        <v>454463682000</v>
      </c>
      <c r="U227" s="3">
        <f t="shared" si="80"/>
        <v>8787171847300</v>
      </c>
      <c r="V227" s="3">
        <f t="shared" si="81"/>
        <v>118322266800</v>
      </c>
      <c r="X227" s="2">
        <f t="shared" si="82"/>
        <v>-1541.2062048</v>
      </c>
      <c r="Y227" s="2">
        <f t="shared" si="83"/>
        <v>8625.5652083999994</v>
      </c>
      <c r="Z227" s="2">
        <f t="shared" si="84"/>
        <v>454.46368200000001</v>
      </c>
      <c r="AA227" s="2">
        <f t="shared" si="85"/>
        <v>8787.1718473000001</v>
      </c>
      <c r="AB227" s="2">
        <f t="shared" si="86"/>
        <v>118.32226679999999</v>
      </c>
      <c r="AC227" s="2"/>
      <c r="AD227" s="8">
        <f t="shared" si="87"/>
        <v>-0.35396589927786093</v>
      </c>
      <c r="AE227" s="8">
        <f t="shared" si="88"/>
        <v>1.9810171645184489</v>
      </c>
      <c r="AF227" s="8">
        <f t="shared" si="89"/>
        <v>0.10437580992553361</v>
      </c>
      <c r="AG227" s="8">
        <f t="shared" si="90"/>
        <v>2.0181330540660998</v>
      </c>
      <c r="AH227" s="11">
        <f t="shared" si="91"/>
        <v>2.7174850089506326E-2</v>
      </c>
      <c r="AI227" s="8">
        <f t="shared" si="92"/>
        <v>3.7495601292322212</v>
      </c>
      <c r="AJ227" s="9">
        <f t="shared" si="93"/>
        <v>224.74767817324806</v>
      </c>
      <c r="AK227" s="9"/>
      <c r="AL227" s="7">
        <f t="shared" si="94"/>
        <v>1453.752321826752</v>
      </c>
      <c r="AM227" s="42">
        <f t="shared" si="95"/>
        <v>26.743075887705551</v>
      </c>
    </row>
    <row r="228" spans="1:39" x14ac:dyDescent="0.25">
      <c r="A228" s="1">
        <v>45951</v>
      </c>
      <c r="B228" s="7">
        <v>1663.43</v>
      </c>
      <c r="C228" s="3">
        <v>7242755.9900000002</v>
      </c>
      <c r="E228" s="5">
        <v>45951</v>
      </c>
      <c r="F228" s="4">
        <v>203400</v>
      </c>
      <c r="G228" s="4">
        <v>3853015512</v>
      </c>
      <c r="H228" s="4">
        <v>110900</v>
      </c>
      <c r="I228" s="4">
        <v>4107412004</v>
      </c>
      <c r="J228" s="4">
        <v>38800</v>
      </c>
      <c r="K228" s="4">
        <v>2272318410</v>
      </c>
      <c r="L228" s="4">
        <v>74100</v>
      </c>
      <c r="M228" s="4">
        <v>1793300377</v>
      </c>
      <c r="N228" s="4">
        <v>180000</v>
      </c>
      <c r="O228" s="4">
        <v>591611334</v>
      </c>
      <c r="Q228" s="3"/>
      <c r="R228" s="3">
        <f t="shared" si="77"/>
        <v>32750631852000</v>
      </c>
      <c r="S228" s="3">
        <f t="shared" si="78"/>
        <v>11911494811600</v>
      </c>
      <c r="T228" s="3">
        <f t="shared" si="79"/>
        <v>1477006966500</v>
      </c>
      <c r="U228" s="3">
        <f t="shared" si="80"/>
        <v>1075980226200</v>
      </c>
      <c r="V228" s="3">
        <f t="shared" si="81"/>
        <v>3253862337000</v>
      </c>
      <c r="X228" s="2">
        <f t="shared" si="82"/>
        <v>32750.631851999999</v>
      </c>
      <c r="Y228" s="2">
        <f t="shared" si="83"/>
        <v>11911.4948116</v>
      </c>
      <c r="Z228" s="2">
        <f t="shared" si="84"/>
        <v>1477.0069665000001</v>
      </c>
      <c r="AA228" s="2">
        <f t="shared" si="85"/>
        <v>1075.9802262000001</v>
      </c>
      <c r="AB228" s="2">
        <f t="shared" si="86"/>
        <v>3253.862337</v>
      </c>
      <c r="AC228" s="2"/>
      <c r="AD228" s="8">
        <f t="shared" si="87"/>
        <v>7.5217929043197715</v>
      </c>
      <c r="AE228" s="8">
        <f t="shared" si="88"/>
        <v>2.7356967510922465</v>
      </c>
      <c r="AF228" s="8">
        <f t="shared" si="89"/>
        <v>0.33922217349745964</v>
      </c>
      <c r="AG228" s="8">
        <f t="shared" si="90"/>
        <v>0.24711890955854357</v>
      </c>
      <c r="AH228" s="11">
        <f t="shared" si="91"/>
        <v>0.74731012057055413</v>
      </c>
      <c r="AI228" s="8">
        <f t="shared" si="92"/>
        <v>10.843830738468021</v>
      </c>
      <c r="AJ228" s="9">
        <f t="shared" si="93"/>
        <v>220.99811804401585</v>
      </c>
      <c r="AK228" s="9"/>
      <c r="AL228" s="7">
        <f t="shared" si="94"/>
        <v>1442.4318819559842</v>
      </c>
      <c r="AM228" s="42">
        <f t="shared" si="95"/>
        <v>25.552642245705865</v>
      </c>
    </row>
    <row r="229" spans="1:39" x14ac:dyDescent="0.25">
      <c r="A229" s="1">
        <v>45950</v>
      </c>
      <c r="B229" s="7">
        <v>1636.43</v>
      </c>
      <c r="C229" s="3">
        <v>7125178.4199999999</v>
      </c>
      <c r="E229" s="5">
        <v>45950</v>
      </c>
      <c r="F229" s="4">
        <v>194900</v>
      </c>
      <c r="G229" s="4">
        <v>3853015512</v>
      </c>
      <c r="H229" s="4">
        <v>108000</v>
      </c>
      <c r="I229" s="4">
        <v>4107412004</v>
      </c>
      <c r="J229" s="4">
        <v>38150</v>
      </c>
      <c r="K229" s="4">
        <v>2272318410</v>
      </c>
      <c r="L229" s="4">
        <v>73500</v>
      </c>
      <c r="M229" s="4">
        <v>1793300377</v>
      </c>
      <c r="N229" s="4">
        <v>174500</v>
      </c>
      <c r="O229" s="4">
        <v>591611334</v>
      </c>
      <c r="Q229" s="3"/>
      <c r="R229" s="3">
        <f t="shared" si="77"/>
        <v>-35062441159200</v>
      </c>
      <c r="S229" s="3">
        <f t="shared" si="78"/>
        <v>-32859296032000</v>
      </c>
      <c r="T229" s="3">
        <f t="shared" si="79"/>
        <v>-6476107468500</v>
      </c>
      <c r="U229" s="3">
        <f t="shared" si="80"/>
        <v>-9863152073500</v>
      </c>
      <c r="V229" s="3">
        <f t="shared" si="81"/>
        <v>-295805667000</v>
      </c>
      <c r="X229" s="2">
        <f t="shared" si="82"/>
        <v>-35062.441159200003</v>
      </c>
      <c r="Y229" s="2">
        <f t="shared" si="83"/>
        <v>-32859.296031999998</v>
      </c>
      <c r="Z229" s="2">
        <f t="shared" si="84"/>
        <v>-6476.1074685000003</v>
      </c>
      <c r="AA229" s="2">
        <f t="shared" si="85"/>
        <v>-9863.1520734999995</v>
      </c>
      <c r="AB229" s="2">
        <f t="shared" si="86"/>
        <v>-295.80566700000003</v>
      </c>
      <c r="AC229" s="2"/>
      <c r="AD229" s="8">
        <f t="shared" si="87"/>
        <v>-8.0529506807846829</v>
      </c>
      <c r="AE229" s="8">
        <f t="shared" si="88"/>
        <v>-7.5469442971619189</v>
      </c>
      <c r="AF229" s="8">
        <f t="shared" si="89"/>
        <v>-1.4873971213384207</v>
      </c>
      <c r="AG229" s="8">
        <f t="shared" si="90"/>
        <v>-2.2653150944150324</v>
      </c>
      <c r="AH229" s="11">
        <f t="shared" si="91"/>
        <v>-6.7939035865521247E-2</v>
      </c>
      <c r="AI229" s="8">
        <f t="shared" si="92"/>
        <v>-19.352607193700056</v>
      </c>
      <c r="AJ229" s="9">
        <f t="shared" si="93"/>
        <v>210.15428730554783</v>
      </c>
      <c r="AK229" s="9"/>
      <c r="AL229" s="7">
        <f t="shared" si="94"/>
        <v>1426.2757126944523</v>
      </c>
      <c r="AM229" s="42">
        <f t="shared" si="95"/>
        <v>23.167532849745871</v>
      </c>
    </row>
    <row r="230" spans="1:39" x14ac:dyDescent="0.25">
      <c r="A230" s="1">
        <v>45947</v>
      </c>
      <c r="B230" s="7">
        <v>1731.19</v>
      </c>
      <c r="C230" s="3">
        <v>7537578.4500000002</v>
      </c>
      <c r="E230" s="5">
        <v>45947</v>
      </c>
      <c r="F230" s="4">
        <v>204000</v>
      </c>
      <c r="G230" s="4">
        <v>3853015512</v>
      </c>
      <c r="H230" s="4">
        <v>116000</v>
      </c>
      <c r="I230" s="4">
        <v>4107412004</v>
      </c>
      <c r="J230" s="4">
        <v>41000</v>
      </c>
      <c r="K230" s="4">
        <v>2272318410</v>
      </c>
      <c r="L230" s="4">
        <v>79000</v>
      </c>
      <c r="M230" s="4">
        <v>1793300377</v>
      </c>
      <c r="N230" s="4">
        <v>175000</v>
      </c>
      <c r="O230" s="4">
        <v>591611334</v>
      </c>
      <c r="Q230" s="3"/>
      <c r="R230" s="3">
        <f t="shared" si="77"/>
        <v>-35062441159200</v>
      </c>
      <c r="S230" s="3">
        <f t="shared" si="78"/>
        <v>-24644472024000</v>
      </c>
      <c r="T230" s="3">
        <f t="shared" si="79"/>
        <v>-5453564184000</v>
      </c>
      <c r="U230" s="3">
        <f t="shared" si="80"/>
        <v>-5559231168700</v>
      </c>
      <c r="V230" s="3">
        <f t="shared" si="81"/>
        <v>887417001000</v>
      </c>
      <c r="X230" s="2">
        <f t="shared" si="82"/>
        <v>-35062.441159200003</v>
      </c>
      <c r="Y230" s="2">
        <f t="shared" si="83"/>
        <v>-24644.472023999999</v>
      </c>
      <c r="Z230" s="2">
        <f t="shared" si="84"/>
        <v>-5453.5641839999998</v>
      </c>
      <c r="AA230" s="2">
        <f t="shared" si="85"/>
        <v>-5559.2311687000001</v>
      </c>
      <c r="AB230" s="2">
        <f t="shared" si="86"/>
        <v>887.41700100000003</v>
      </c>
      <c r="AC230" s="2"/>
      <c r="AD230" s="8">
        <f t="shared" si="87"/>
        <v>-8.0580967190810426</v>
      </c>
      <c r="AE230" s="8">
        <f t="shared" si="88"/>
        <v>-5.6638252384766341</v>
      </c>
      <c r="AF230" s="8">
        <f t="shared" si="89"/>
        <v>-1.2533453520493822</v>
      </c>
      <c r="AG230" s="8">
        <f t="shared" si="90"/>
        <v>-1.2776298785847757</v>
      </c>
      <c r="AH230" s="11">
        <f t="shared" si="91"/>
        <v>0.20394735186139548</v>
      </c>
      <c r="AI230" s="8">
        <f t="shared" si="92"/>
        <v>-16.252897188191834</v>
      </c>
      <c r="AJ230" s="9">
        <f t="shared" si="93"/>
        <v>229.50689449924789</v>
      </c>
      <c r="AK230" s="9"/>
      <c r="AL230" s="7">
        <f t="shared" si="94"/>
        <v>1501.6831055007522</v>
      </c>
      <c r="AM230" s="42">
        <f t="shared" si="95"/>
        <v>17.737424957085679</v>
      </c>
    </row>
    <row r="231" spans="1:39" x14ac:dyDescent="0.25">
      <c r="A231" s="1">
        <v>45946</v>
      </c>
      <c r="B231" s="7">
        <v>1766.85</v>
      </c>
      <c r="C231" s="3">
        <v>7687928.8399999999</v>
      </c>
      <c r="E231" s="5">
        <v>45946</v>
      </c>
      <c r="F231" s="4">
        <v>213100</v>
      </c>
      <c r="G231" s="4">
        <v>3853015512</v>
      </c>
      <c r="H231" s="4">
        <v>122000</v>
      </c>
      <c r="I231" s="4">
        <v>4107412004</v>
      </c>
      <c r="J231" s="4">
        <v>43400</v>
      </c>
      <c r="K231" s="4">
        <v>2272318410</v>
      </c>
      <c r="L231" s="4">
        <v>82100</v>
      </c>
      <c r="M231" s="4">
        <v>1793300377</v>
      </c>
      <c r="N231" s="4">
        <v>173500</v>
      </c>
      <c r="O231" s="4">
        <v>591611334</v>
      </c>
      <c r="Q231" s="3"/>
      <c r="R231" s="3">
        <f t="shared" si="77"/>
        <v>13870855843200</v>
      </c>
      <c r="S231" s="3">
        <f t="shared" si="78"/>
        <v>-8214824008000</v>
      </c>
      <c r="T231" s="3">
        <f t="shared" si="79"/>
        <v>3408477615000</v>
      </c>
      <c r="U231" s="3">
        <f t="shared" si="80"/>
        <v>-2869280603200</v>
      </c>
      <c r="V231" s="3">
        <f t="shared" si="81"/>
        <v>6152757873600</v>
      </c>
      <c r="X231" s="2">
        <f t="shared" si="82"/>
        <v>13870.855843200001</v>
      </c>
      <c r="Y231" s="2">
        <f t="shared" si="83"/>
        <v>-8214.8240079999996</v>
      </c>
      <c r="Z231" s="2">
        <f t="shared" si="84"/>
        <v>3408.4776149999998</v>
      </c>
      <c r="AA231" s="2">
        <f t="shared" si="85"/>
        <v>-2869.2806031999999</v>
      </c>
      <c r="AB231" s="2">
        <f t="shared" si="86"/>
        <v>6152.7578735999996</v>
      </c>
      <c r="AC231" s="2"/>
      <c r="AD231" s="8">
        <f t="shared" si="87"/>
        <v>3.1878242476216623</v>
      </c>
      <c r="AE231" s="8">
        <f t="shared" si="88"/>
        <v>-1.8879451606070146</v>
      </c>
      <c r="AF231" s="8">
        <f t="shared" si="89"/>
        <v>0.78334226174655108</v>
      </c>
      <c r="AG231" s="8">
        <f t="shared" si="90"/>
        <v>-0.65942306541925066</v>
      </c>
      <c r="AH231" s="11">
        <f t="shared" si="91"/>
        <v>1.4140375302669324</v>
      </c>
      <c r="AI231" s="8">
        <f t="shared" si="92"/>
        <v>1.4237982833419478</v>
      </c>
      <c r="AJ231" s="9">
        <f t="shared" si="93"/>
        <v>245.75979168743973</v>
      </c>
      <c r="AK231" s="9"/>
      <c r="AL231" s="7">
        <f t="shared" si="94"/>
        <v>1521.0902083125602</v>
      </c>
      <c r="AM231" s="42">
        <f t="shared" si="95"/>
        <v>17.668431673466468</v>
      </c>
    </row>
    <row r="232" spans="1:39" x14ac:dyDescent="0.25">
      <c r="A232" s="1">
        <v>45945</v>
      </c>
      <c r="B232" s="7">
        <v>1757.95</v>
      </c>
      <c r="C232" s="3">
        <v>7649189.2699999996</v>
      </c>
      <c r="E232" s="5">
        <v>45945</v>
      </c>
      <c r="F232" s="4">
        <v>209500</v>
      </c>
      <c r="G232" s="4">
        <v>3853015512</v>
      </c>
      <c r="H232" s="4">
        <v>124000</v>
      </c>
      <c r="I232" s="4">
        <v>4107412004</v>
      </c>
      <c r="J232" s="4">
        <v>41900</v>
      </c>
      <c r="K232" s="4">
        <v>2272318410</v>
      </c>
      <c r="L232" s="4">
        <v>83700</v>
      </c>
      <c r="M232" s="4">
        <v>1793300377</v>
      </c>
      <c r="N232" s="4">
        <v>163100</v>
      </c>
      <c r="O232" s="4">
        <v>591611334</v>
      </c>
      <c r="Q232" s="3"/>
      <c r="R232" s="3">
        <f t="shared" si="77"/>
        <v>-9247237228800</v>
      </c>
      <c r="S232" s="3">
        <f t="shared" si="78"/>
        <v>-12322236012000</v>
      </c>
      <c r="T232" s="3">
        <f t="shared" si="79"/>
        <v>-1931470648500</v>
      </c>
      <c r="U232" s="3">
        <f t="shared" si="80"/>
        <v>-5021241055600</v>
      </c>
      <c r="V232" s="3">
        <f t="shared" si="81"/>
        <v>6271080140400</v>
      </c>
      <c r="X232" s="2">
        <f t="shared" si="82"/>
        <v>-9247.2372288000006</v>
      </c>
      <c r="Y232" s="2">
        <f t="shared" si="83"/>
        <v>-12322.236011999999</v>
      </c>
      <c r="Z232" s="2">
        <f t="shared" si="84"/>
        <v>-1931.4706484999999</v>
      </c>
      <c r="AA232" s="2">
        <f t="shared" si="85"/>
        <v>-5021.2410556000004</v>
      </c>
      <c r="AB232" s="2">
        <f t="shared" si="86"/>
        <v>6271.0801404000003</v>
      </c>
      <c r="AC232" s="2"/>
      <c r="AD232" s="8">
        <f t="shared" si="87"/>
        <v>-2.1252107976678514</v>
      </c>
      <c r="AE232" s="8">
        <f t="shared" si="88"/>
        <v>-2.8319105886626348</v>
      </c>
      <c r="AF232" s="8">
        <f t="shared" si="89"/>
        <v>-0.44389282723131762</v>
      </c>
      <c r="AG232" s="8">
        <f t="shared" si="90"/>
        <v>-1.1539874499833747</v>
      </c>
      <c r="AH232" s="11">
        <f t="shared" si="91"/>
        <v>1.4412269197454102</v>
      </c>
      <c r="AI232" s="8">
        <f t="shared" si="92"/>
        <v>-6.5550016635451795</v>
      </c>
      <c r="AJ232" s="9">
        <f t="shared" si="93"/>
        <v>244.33599340409779</v>
      </c>
      <c r="AK232" s="9"/>
      <c r="AL232" s="7">
        <f t="shared" si="94"/>
        <v>1513.6140065959023</v>
      </c>
      <c r="AM232" s="42">
        <f t="shared" si="95"/>
        <v>16.747067090905237</v>
      </c>
    </row>
    <row r="233" spans="1:39" x14ac:dyDescent="0.25">
      <c r="A233" s="1">
        <v>45944</v>
      </c>
      <c r="B233" s="7">
        <v>1761.06</v>
      </c>
      <c r="C233" s="3">
        <v>7662740.8499999996</v>
      </c>
      <c r="E233" s="5">
        <v>45944</v>
      </c>
      <c r="F233" s="4">
        <v>211900</v>
      </c>
      <c r="G233" s="4">
        <v>3853015512</v>
      </c>
      <c r="H233" s="4">
        <v>127000</v>
      </c>
      <c r="I233" s="4">
        <v>4107412004</v>
      </c>
      <c r="J233" s="4">
        <v>42750</v>
      </c>
      <c r="K233" s="4">
        <v>2272318410</v>
      </c>
      <c r="L233" s="4">
        <v>86500</v>
      </c>
      <c r="M233" s="4">
        <v>1793300377</v>
      </c>
      <c r="N233" s="4">
        <v>152500</v>
      </c>
      <c r="O233" s="4">
        <v>591611334</v>
      </c>
      <c r="Q233" s="3"/>
      <c r="R233" s="3">
        <f t="shared" si="77"/>
        <v>25044600828000</v>
      </c>
      <c r="S233" s="3">
        <f t="shared" si="78"/>
        <v>11500753611200</v>
      </c>
      <c r="T233" s="3">
        <f t="shared" si="79"/>
        <v>-568079602500</v>
      </c>
      <c r="U233" s="3">
        <f t="shared" si="80"/>
        <v>-4841911017900</v>
      </c>
      <c r="V233" s="3">
        <f t="shared" si="81"/>
        <v>5856952206600</v>
      </c>
      <c r="X233" s="2">
        <f t="shared" si="82"/>
        <v>25044.600827999999</v>
      </c>
      <c r="Y233" s="2">
        <f t="shared" si="83"/>
        <v>11500.7536112</v>
      </c>
      <c r="Z233" s="2">
        <f t="shared" si="84"/>
        <v>-568.07960249999996</v>
      </c>
      <c r="AA233" s="2">
        <f t="shared" si="85"/>
        <v>-4841.9110178999999</v>
      </c>
      <c r="AB233" s="2">
        <f t="shared" si="86"/>
        <v>5856.9522066</v>
      </c>
      <c r="AC233" s="2"/>
      <c r="AD233" s="8">
        <f t="shared" si="87"/>
        <v>5.7584928723693336</v>
      </c>
      <c r="AE233" s="8">
        <f t="shared" si="88"/>
        <v>2.6443626772812814</v>
      </c>
      <c r="AF233" s="8">
        <f t="shared" si="89"/>
        <v>-0.13061826636411561</v>
      </c>
      <c r="AG233" s="8">
        <f t="shared" si="90"/>
        <v>-1.11329824247194</v>
      </c>
      <c r="AH233" s="11">
        <f t="shared" si="91"/>
        <v>1.3466861686933629</v>
      </c>
      <c r="AI233" s="8">
        <f t="shared" si="92"/>
        <v>7.1589390408145608</v>
      </c>
      <c r="AJ233" s="9">
        <f t="shared" si="93"/>
        <v>250.89099506764296</v>
      </c>
      <c r="AK233" s="9"/>
      <c r="AL233" s="7">
        <f t="shared" si="94"/>
        <v>1510.169004932357</v>
      </c>
      <c r="AM233" s="42">
        <f t="shared" si="95"/>
        <v>16.719926316583702</v>
      </c>
    </row>
    <row r="234" spans="1:39" x14ac:dyDescent="0.25">
      <c r="A234" s="1">
        <v>45943</v>
      </c>
      <c r="B234" s="7">
        <v>1765.12</v>
      </c>
      <c r="C234" s="3">
        <v>7676787.4500000002</v>
      </c>
      <c r="E234" s="5">
        <v>45943</v>
      </c>
      <c r="F234" s="4">
        <v>205400</v>
      </c>
      <c r="G234" s="4">
        <v>3853015512</v>
      </c>
      <c r="H234" s="4">
        <v>124200</v>
      </c>
      <c r="I234" s="4">
        <v>4107412004</v>
      </c>
      <c r="J234" s="4">
        <v>43000</v>
      </c>
      <c r="K234" s="4">
        <v>2272318410</v>
      </c>
      <c r="L234" s="4">
        <v>89200</v>
      </c>
      <c r="M234" s="4">
        <v>1793300377</v>
      </c>
      <c r="N234" s="4">
        <v>142600</v>
      </c>
      <c r="O234" s="4">
        <v>591611334</v>
      </c>
      <c r="Q234" s="3"/>
      <c r="R234" s="3">
        <f t="shared" si="77"/>
        <v>51630407860800</v>
      </c>
      <c r="S234" s="3">
        <f t="shared" si="78"/>
        <v>4928894404800</v>
      </c>
      <c r="T234" s="3">
        <f t="shared" si="79"/>
        <v>6021643786500</v>
      </c>
      <c r="U234" s="3">
        <f t="shared" si="80"/>
        <v>358660075400</v>
      </c>
      <c r="V234" s="3">
        <f t="shared" si="81"/>
        <v>5501985406200</v>
      </c>
      <c r="X234" s="2">
        <f t="shared" si="82"/>
        <v>51630.407860799998</v>
      </c>
      <c r="Y234" s="2">
        <f t="shared" si="83"/>
        <v>4928.8944048000003</v>
      </c>
      <c r="Z234" s="2">
        <f t="shared" si="84"/>
        <v>6021.6437864999998</v>
      </c>
      <c r="AA234" s="2">
        <f t="shared" si="85"/>
        <v>358.66007539999998</v>
      </c>
      <c r="AB234" s="2">
        <f t="shared" si="86"/>
        <v>5501.9854062000004</v>
      </c>
      <c r="AC234" s="2"/>
      <c r="AD234" s="8">
        <f t="shared" si="87"/>
        <v>11.904215133338797</v>
      </c>
      <c r="AE234" s="8">
        <f t="shared" si="88"/>
        <v>1.1364353255244639</v>
      </c>
      <c r="AF234" s="8">
        <f t="shared" si="89"/>
        <v>1.3883861480252526</v>
      </c>
      <c r="AG234" s="8">
        <f t="shared" si="90"/>
        <v>8.2694808625417629E-2</v>
      </c>
      <c r="AH234" s="11">
        <f t="shared" si="91"/>
        <v>1.2685706088644559</v>
      </c>
      <c r="AI234" s="8">
        <f t="shared" si="92"/>
        <v>14.511731415513932</v>
      </c>
      <c r="AJ234" s="9">
        <f t="shared" si="93"/>
        <v>243.73205602682839</v>
      </c>
      <c r="AK234" s="9"/>
      <c r="AL234" s="7">
        <f t="shared" si="94"/>
        <v>1521.3879439731716</v>
      </c>
      <c r="AM234" s="42">
        <f t="shared" si="95"/>
        <v>18.297258730120369</v>
      </c>
    </row>
    <row r="235" spans="1:39" x14ac:dyDescent="0.25">
      <c r="A235" s="1">
        <v>45940</v>
      </c>
      <c r="B235" s="7">
        <v>1747.55</v>
      </c>
      <c r="C235" s="3">
        <v>7579392.5300000003</v>
      </c>
      <c r="E235" s="5">
        <v>45940</v>
      </c>
      <c r="F235" s="4">
        <v>192000</v>
      </c>
      <c r="G235" s="4">
        <v>3853015512</v>
      </c>
      <c r="H235" s="4">
        <v>123000</v>
      </c>
      <c r="I235" s="4">
        <v>4107412004</v>
      </c>
      <c r="J235" s="4">
        <v>40350</v>
      </c>
      <c r="K235" s="4">
        <v>2272318410</v>
      </c>
      <c r="L235" s="4">
        <v>89000</v>
      </c>
      <c r="M235" s="4">
        <v>1793300377</v>
      </c>
      <c r="N235" s="4">
        <v>133300</v>
      </c>
      <c r="O235" s="4">
        <v>591611334</v>
      </c>
      <c r="Q235" s="3"/>
      <c r="R235" s="3">
        <f t="shared" si="77"/>
        <v>48162693900000</v>
      </c>
      <c r="S235" s="3">
        <f t="shared" si="78"/>
        <v>32859296032000</v>
      </c>
      <c r="T235" s="3">
        <f t="shared" si="79"/>
        <v>5339948263500</v>
      </c>
      <c r="U235" s="3">
        <f t="shared" si="80"/>
        <v>3227940678600</v>
      </c>
      <c r="V235" s="3">
        <f t="shared" si="81"/>
        <v>118322266800</v>
      </c>
      <c r="X235" s="2">
        <f t="shared" si="82"/>
        <v>48162.693899999998</v>
      </c>
      <c r="Y235" s="2">
        <f t="shared" si="83"/>
        <v>32859.296031999998</v>
      </c>
      <c r="Z235" s="2">
        <f t="shared" si="84"/>
        <v>5339.9482635000004</v>
      </c>
      <c r="AA235" s="2">
        <f t="shared" si="85"/>
        <v>3227.9406786</v>
      </c>
      <c r="AB235" s="2">
        <f t="shared" si="86"/>
        <v>118.32226679999999</v>
      </c>
      <c r="AC235" s="2"/>
      <c r="AD235" s="8">
        <f t="shared" si="87"/>
        <v>11.104649537882095</v>
      </c>
      <c r="AE235" s="8">
        <f t="shared" si="88"/>
        <v>7.576215883075422</v>
      </c>
      <c r="AF235" s="8">
        <f t="shared" si="89"/>
        <v>1.2312071691776689</v>
      </c>
      <c r="AG235" s="8">
        <f t="shared" si="90"/>
        <v>0.74425135021208411</v>
      </c>
      <c r="AH235" s="11">
        <f t="shared" si="91"/>
        <v>2.7281017711963611E-2</v>
      </c>
      <c r="AI235" s="8">
        <f t="shared" si="92"/>
        <v>20.656323940347271</v>
      </c>
      <c r="AJ235" s="9">
        <f t="shared" si="93"/>
        <v>229.22032461131445</v>
      </c>
      <c r="AK235" s="9"/>
      <c r="AL235" s="7">
        <f t="shared" si="94"/>
        <v>1518.3296753886855</v>
      </c>
      <c r="AM235" s="42">
        <f t="shared" si="95"/>
        <v>19.04995251981126</v>
      </c>
    </row>
    <row r="236" spans="1:39" x14ac:dyDescent="0.25">
      <c r="A236" s="1">
        <v>45939</v>
      </c>
      <c r="B236" s="7">
        <v>1716.47</v>
      </c>
      <c r="C236" s="3">
        <v>7444613.0800000001</v>
      </c>
      <c r="E236" s="5">
        <v>45939</v>
      </c>
      <c r="F236" s="4">
        <v>179500</v>
      </c>
      <c r="G236" s="4">
        <v>3853015512</v>
      </c>
      <c r="H236" s="4">
        <v>115000</v>
      </c>
      <c r="I236" s="4">
        <v>4107412004</v>
      </c>
      <c r="J236" s="4">
        <v>38000</v>
      </c>
      <c r="K236" s="4">
        <v>2272318410</v>
      </c>
      <c r="L236" s="4">
        <v>87200</v>
      </c>
      <c r="M236" s="4">
        <v>1793300377</v>
      </c>
      <c r="N236" s="4">
        <v>133100</v>
      </c>
      <c r="O236" s="4">
        <v>591611334</v>
      </c>
      <c r="Q236" s="3"/>
      <c r="R236" s="3">
        <f t="shared" si="77"/>
        <v>5394221716800</v>
      </c>
      <c r="S236" s="3">
        <f t="shared" si="78"/>
        <v>30805590030000</v>
      </c>
      <c r="T236" s="3">
        <f t="shared" si="79"/>
        <v>3862941297000</v>
      </c>
      <c r="U236" s="3">
        <f t="shared" si="80"/>
        <v>1075980226200</v>
      </c>
      <c r="V236" s="3">
        <f t="shared" si="81"/>
        <v>-177483400200</v>
      </c>
      <c r="X236" s="2">
        <f t="shared" si="82"/>
        <v>5394.2217167999997</v>
      </c>
      <c r="Y236" s="2">
        <f t="shared" si="83"/>
        <v>30805.590029999999</v>
      </c>
      <c r="Z236" s="2">
        <f t="shared" si="84"/>
        <v>3862.9412969999998</v>
      </c>
      <c r="AA236" s="2">
        <f t="shared" si="85"/>
        <v>1075.9802262000001</v>
      </c>
      <c r="AB236" s="2">
        <f t="shared" si="86"/>
        <v>-177.48340020000001</v>
      </c>
      <c r="AC236" s="2"/>
      <c r="AD236" s="8">
        <f t="shared" si="87"/>
        <v>1.2440233541332681</v>
      </c>
      <c r="AE236" s="8">
        <f t="shared" si="88"/>
        <v>7.1044305271732773</v>
      </c>
      <c r="AF236" s="8">
        <f t="shared" si="89"/>
        <v>0.89087720924542635</v>
      </c>
      <c r="AG236" s="8">
        <f t="shared" si="90"/>
        <v>0.24814414391043194</v>
      </c>
      <c r="AH236" s="11">
        <f t="shared" si="91"/>
        <v>-4.0931483059387833E-2</v>
      </c>
      <c r="AI236" s="8">
        <f t="shared" si="92"/>
        <v>9.4874752344624032</v>
      </c>
      <c r="AJ236" s="9">
        <f t="shared" si="93"/>
        <v>208.56400067096718</v>
      </c>
      <c r="AK236" s="9"/>
      <c r="AL236" s="7">
        <f t="shared" si="94"/>
        <v>1507.905999329033</v>
      </c>
      <c r="AM236" s="42">
        <f t="shared" si="95"/>
        <v>18.667056095655536</v>
      </c>
    </row>
    <row r="237" spans="1:39" x14ac:dyDescent="0.25">
      <c r="A237" s="1">
        <v>45938</v>
      </c>
      <c r="B237" s="7">
        <v>1697.83</v>
      </c>
      <c r="C237" s="3">
        <v>7361977.1100000003</v>
      </c>
      <c r="E237" s="5">
        <v>45938</v>
      </c>
      <c r="F237" s="4">
        <v>178100</v>
      </c>
      <c r="G237" s="4">
        <v>3853015512</v>
      </c>
      <c r="H237" s="4">
        <v>107500</v>
      </c>
      <c r="I237" s="4">
        <v>4107412004</v>
      </c>
      <c r="J237" s="4">
        <v>36300</v>
      </c>
      <c r="K237" s="4">
        <v>2272318410</v>
      </c>
      <c r="L237" s="4">
        <v>86600</v>
      </c>
      <c r="M237" s="4">
        <v>1793300377</v>
      </c>
      <c r="N237" s="4">
        <v>133400</v>
      </c>
      <c r="O237" s="4">
        <v>591611334</v>
      </c>
      <c r="Q237" s="3"/>
      <c r="R237" s="3">
        <f t="shared" si="77"/>
        <v>-7320729472800</v>
      </c>
      <c r="S237" s="3">
        <f t="shared" si="78"/>
        <v>18072612817600</v>
      </c>
      <c r="T237" s="3">
        <f t="shared" si="79"/>
        <v>2954013933000</v>
      </c>
      <c r="U237" s="3">
        <f t="shared" si="80"/>
        <v>0</v>
      </c>
      <c r="V237" s="3">
        <f t="shared" si="81"/>
        <v>0</v>
      </c>
      <c r="X237" s="2">
        <f t="shared" si="82"/>
        <v>-7320.7294727999997</v>
      </c>
      <c r="Y237" s="2">
        <f t="shared" si="83"/>
        <v>18072.612817599998</v>
      </c>
      <c r="Z237" s="2">
        <f t="shared" si="84"/>
        <v>2954.0139330000002</v>
      </c>
      <c r="AA237" s="2">
        <f t="shared" si="85"/>
        <v>0</v>
      </c>
      <c r="AB237" s="2">
        <f t="shared" si="86"/>
        <v>0</v>
      </c>
      <c r="AC237" s="2"/>
      <c r="AD237" s="8">
        <f t="shared" si="87"/>
        <v>-1.6883218625238252</v>
      </c>
      <c r="AE237" s="8">
        <f t="shared" si="88"/>
        <v>4.1679435698656064</v>
      </c>
      <c r="AF237" s="8">
        <f t="shared" si="89"/>
        <v>0.6812608393486177</v>
      </c>
      <c r="AG237" s="8">
        <f t="shared" si="90"/>
        <v>0</v>
      </c>
      <c r="AH237" s="11">
        <f t="shared" si="91"/>
        <v>0</v>
      </c>
      <c r="AI237" s="8">
        <f t="shared" si="92"/>
        <v>3.1608825466903991</v>
      </c>
      <c r="AJ237" s="9">
        <f t="shared" si="93"/>
        <v>199.07652543650477</v>
      </c>
      <c r="AK237" s="9"/>
      <c r="AL237" s="7">
        <f t="shared" si="94"/>
        <v>1498.7534745634953</v>
      </c>
      <c r="AM237" s="42">
        <f t="shared" si="95"/>
        <v>18.516801721881244</v>
      </c>
    </row>
    <row r="238" spans="1:39" x14ac:dyDescent="0.25">
      <c r="A238" s="1">
        <v>45937</v>
      </c>
      <c r="B238" s="7">
        <v>1685.3</v>
      </c>
      <c r="C238" s="3">
        <v>7307626.3799999999</v>
      </c>
      <c r="E238" s="5">
        <v>45937</v>
      </c>
      <c r="F238" s="4">
        <v>180000</v>
      </c>
      <c r="G238" s="4">
        <v>3853015512</v>
      </c>
      <c r="H238" s="4">
        <v>103100</v>
      </c>
      <c r="I238" s="4">
        <v>4107412004</v>
      </c>
      <c r="J238" s="4">
        <v>35000</v>
      </c>
      <c r="K238" s="4">
        <v>2272318410</v>
      </c>
      <c r="L238" s="4">
        <v>86600</v>
      </c>
      <c r="M238" s="4">
        <v>1793300377</v>
      </c>
      <c r="N238" s="4">
        <v>133400</v>
      </c>
      <c r="O238" s="4">
        <v>591611334</v>
      </c>
      <c r="Q238" s="3"/>
      <c r="R238" s="3">
        <f t="shared" si="77"/>
        <v>1155904653600</v>
      </c>
      <c r="S238" s="3">
        <f t="shared" si="78"/>
        <v>1642964801600</v>
      </c>
      <c r="T238" s="3">
        <f t="shared" si="79"/>
        <v>0</v>
      </c>
      <c r="U238" s="3">
        <f t="shared" si="80"/>
        <v>10042482111200</v>
      </c>
      <c r="V238" s="3">
        <f t="shared" si="81"/>
        <v>-532450200600</v>
      </c>
      <c r="X238" s="2">
        <f t="shared" si="82"/>
        <v>1155.9046536000001</v>
      </c>
      <c r="Y238" s="2">
        <f t="shared" si="83"/>
        <v>1642.9648016000001</v>
      </c>
      <c r="Z238" s="2">
        <f t="shared" si="84"/>
        <v>0</v>
      </c>
      <c r="AA238" s="2">
        <f t="shared" si="85"/>
        <v>10042.482111200001</v>
      </c>
      <c r="AB238" s="2">
        <f t="shared" si="86"/>
        <v>-532.45020060000002</v>
      </c>
      <c r="AC238" s="2"/>
      <c r="AD238" s="8">
        <f t="shared" si="87"/>
        <v>0.26657733533249117</v>
      </c>
      <c r="AE238" s="8">
        <f t="shared" si="88"/>
        <v>0.37890424395433286</v>
      </c>
      <c r="AF238" s="8">
        <f t="shared" si="89"/>
        <v>0</v>
      </c>
      <c r="AG238" s="8">
        <f t="shared" si="90"/>
        <v>2.3160198490335993</v>
      </c>
      <c r="AH238" s="11">
        <f t="shared" si="91"/>
        <v>-0.12279486481098323</v>
      </c>
      <c r="AI238" s="8">
        <f t="shared" si="92"/>
        <v>2.9615014283204233</v>
      </c>
      <c r="AJ238" s="9">
        <f t="shared" si="93"/>
        <v>195.91564288981436</v>
      </c>
      <c r="AK238" s="9"/>
      <c r="AL238" s="7">
        <f t="shared" si="94"/>
        <v>1489.3843571101856</v>
      </c>
      <c r="AM238" s="42">
        <f t="shared" si="95"/>
        <v>18.501384716454574</v>
      </c>
    </row>
    <row r="239" spans="1:39" x14ac:dyDescent="0.25">
      <c r="A239" s="1">
        <v>45936</v>
      </c>
      <c r="B239" s="7">
        <v>1695.5</v>
      </c>
      <c r="C239" s="3">
        <v>7351849.0899999999</v>
      </c>
      <c r="E239" s="5">
        <v>45936</v>
      </c>
      <c r="F239" s="4">
        <v>179700</v>
      </c>
      <c r="G239" s="4">
        <v>3853015512</v>
      </c>
      <c r="H239" s="4">
        <v>102700</v>
      </c>
      <c r="I239" s="4">
        <v>4107412004</v>
      </c>
      <c r="J239" s="4">
        <v>35000</v>
      </c>
      <c r="K239" s="4">
        <v>2272318410</v>
      </c>
      <c r="L239" s="4">
        <v>81000</v>
      </c>
      <c r="M239" s="4">
        <v>1793300377</v>
      </c>
      <c r="N239" s="4">
        <v>134300</v>
      </c>
      <c r="O239" s="4">
        <v>591611334</v>
      </c>
      <c r="Q239" s="3"/>
      <c r="R239" s="3">
        <f t="shared" si="77"/>
        <v>12329649638400</v>
      </c>
      <c r="S239" s="3">
        <f t="shared" si="78"/>
        <v>11090012410800</v>
      </c>
      <c r="T239" s="3">
        <f t="shared" si="79"/>
        <v>5112716422500</v>
      </c>
      <c r="U239" s="3">
        <f t="shared" si="80"/>
        <v>1793300377000</v>
      </c>
      <c r="V239" s="3">
        <f t="shared" si="81"/>
        <v>2958056670000</v>
      </c>
      <c r="X239" s="2">
        <f t="shared" si="82"/>
        <v>12329.6496384</v>
      </c>
      <c r="Y239" s="2">
        <f t="shared" si="83"/>
        <v>11090.0124108</v>
      </c>
      <c r="Z239" s="2">
        <f t="shared" si="84"/>
        <v>5112.7164224999997</v>
      </c>
      <c r="AA239" s="2">
        <f t="shared" si="85"/>
        <v>1793.300377</v>
      </c>
      <c r="AB239" s="2">
        <f t="shared" si="86"/>
        <v>2958.0566699999999</v>
      </c>
      <c r="AC239" s="2"/>
      <c r="AD239" s="8">
        <f t="shared" si="87"/>
        <v>2.8434897997614019</v>
      </c>
      <c r="AE239" s="8">
        <f t="shared" si="88"/>
        <v>2.5576020482467912</v>
      </c>
      <c r="AF239" s="8">
        <f t="shared" si="89"/>
        <v>1.1791054427997454</v>
      </c>
      <c r="AG239" s="8">
        <f t="shared" si="90"/>
        <v>0.41357471456662542</v>
      </c>
      <c r="AH239" s="11">
        <f t="shared" si="91"/>
        <v>0.68219326703858296</v>
      </c>
      <c r="AI239" s="8">
        <f t="shared" si="92"/>
        <v>6.9937720053745629</v>
      </c>
      <c r="AJ239" s="9">
        <f t="shared" si="93"/>
        <v>192.95414146149395</v>
      </c>
      <c r="AK239" s="9"/>
      <c r="AL239" s="7">
        <f t="shared" si="94"/>
        <v>1502.5458585385061</v>
      </c>
      <c r="AM239" s="42">
        <f t="shared" si="95"/>
        <v>18.465108090878498</v>
      </c>
    </row>
    <row r="240" spans="1:39" x14ac:dyDescent="0.25">
      <c r="A240" s="1">
        <v>45933</v>
      </c>
      <c r="B240" s="7">
        <v>1645.82</v>
      </c>
      <c r="C240" s="3">
        <v>7136436.3499999996</v>
      </c>
      <c r="E240" s="5">
        <v>45933</v>
      </c>
      <c r="F240" s="4">
        <v>176500</v>
      </c>
      <c r="G240" s="4">
        <v>3853015512</v>
      </c>
      <c r="H240" s="4">
        <v>100000</v>
      </c>
      <c r="I240" s="4">
        <v>4107412004</v>
      </c>
      <c r="J240" s="4">
        <v>32750</v>
      </c>
      <c r="K240" s="4">
        <v>2272318410</v>
      </c>
      <c r="L240" s="4">
        <v>80000</v>
      </c>
      <c r="M240" s="4">
        <v>1793300377</v>
      </c>
      <c r="N240" s="4">
        <v>129300</v>
      </c>
      <c r="O240" s="4">
        <v>591611334</v>
      </c>
      <c r="Q240" s="3"/>
      <c r="R240" s="3">
        <f t="shared" si="77"/>
        <v>21191585316000</v>
      </c>
      <c r="S240" s="3">
        <f t="shared" si="78"/>
        <v>5750376805600</v>
      </c>
      <c r="T240" s="3">
        <f t="shared" si="79"/>
        <v>2272318410000</v>
      </c>
      <c r="U240" s="3">
        <f t="shared" si="80"/>
        <v>-537990113100</v>
      </c>
      <c r="V240" s="3">
        <f t="shared" si="81"/>
        <v>354966800400</v>
      </c>
      <c r="X240" s="2">
        <f t="shared" si="82"/>
        <v>21191.585316000001</v>
      </c>
      <c r="Y240" s="2">
        <f t="shared" si="83"/>
        <v>5750.3768055999999</v>
      </c>
      <c r="Z240" s="2">
        <f t="shared" si="84"/>
        <v>2272.3184099999999</v>
      </c>
      <c r="AA240" s="2">
        <f t="shared" si="85"/>
        <v>-537.99011310000003</v>
      </c>
      <c r="AB240" s="2">
        <f t="shared" si="86"/>
        <v>354.96680040000001</v>
      </c>
      <c r="AC240" s="2"/>
      <c r="AD240" s="8">
        <f t="shared" si="87"/>
        <v>4.8876033896458821</v>
      </c>
      <c r="AE240" s="8">
        <f t="shared" si="88"/>
        <v>1.3262604353422984</v>
      </c>
      <c r="AF240" s="8">
        <f t="shared" si="89"/>
        <v>0.52408496096256563</v>
      </c>
      <c r="AG240" s="8">
        <f t="shared" si="90"/>
        <v>-0.12408143426618623</v>
      </c>
      <c r="AH240" s="11">
        <f t="shared" si="91"/>
        <v>8.1869143387629753E-2</v>
      </c>
      <c r="AI240" s="8">
        <f t="shared" si="92"/>
        <v>6.6138673516845605</v>
      </c>
      <c r="AJ240" s="9">
        <f t="shared" si="93"/>
        <v>185.96036945611939</v>
      </c>
      <c r="AK240" s="9"/>
      <c r="AL240" s="7">
        <f t="shared" si="94"/>
        <v>1459.8596305438805</v>
      </c>
      <c r="AM240" s="42">
        <f t="shared" si="95"/>
        <v>18.475943519449782</v>
      </c>
    </row>
    <row r="241" spans="1:39" x14ac:dyDescent="0.25">
      <c r="A241" s="1">
        <v>45932</v>
      </c>
      <c r="B241" s="7">
        <v>1652.71</v>
      </c>
      <c r="C241" s="3">
        <v>7165791.1200000001</v>
      </c>
      <c r="E241" s="5">
        <v>45932</v>
      </c>
      <c r="F241" s="4">
        <v>171000</v>
      </c>
      <c r="G241" s="4">
        <v>3853015512</v>
      </c>
      <c r="H241" s="4">
        <v>98600</v>
      </c>
      <c r="I241" s="4">
        <v>4107412004</v>
      </c>
      <c r="J241" s="4">
        <v>31750</v>
      </c>
      <c r="K241" s="4">
        <v>2272318410</v>
      </c>
      <c r="L241" s="4">
        <v>80300</v>
      </c>
      <c r="M241" s="4">
        <v>1793300377</v>
      </c>
      <c r="N241" s="4">
        <v>128700</v>
      </c>
      <c r="O241" s="4">
        <v>591611334</v>
      </c>
      <c r="Q241" s="3"/>
      <c r="R241" s="3">
        <f t="shared" si="77"/>
        <v>3853015512000</v>
      </c>
      <c r="S241" s="3">
        <f t="shared" si="78"/>
        <v>-10679271210400</v>
      </c>
      <c r="T241" s="3">
        <f t="shared" si="79"/>
        <v>-3181245774000</v>
      </c>
      <c r="U241" s="3">
        <f t="shared" si="80"/>
        <v>179330037700</v>
      </c>
      <c r="V241" s="3">
        <f t="shared" si="81"/>
        <v>414127933800</v>
      </c>
      <c r="X241" s="2">
        <f t="shared" si="82"/>
        <v>3853.0155119999999</v>
      </c>
      <c r="Y241" s="2">
        <f t="shared" si="83"/>
        <v>-10679.2712104</v>
      </c>
      <c r="Z241" s="2">
        <f t="shared" si="84"/>
        <v>-3181.245774</v>
      </c>
      <c r="AA241" s="2">
        <f t="shared" si="85"/>
        <v>179.33003769999999</v>
      </c>
      <c r="AB241" s="2">
        <f t="shared" si="86"/>
        <v>414.12793379999999</v>
      </c>
      <c r="AC241" s="2"/>
      <c r="AD241" s="8">
        <f t="shared" si="87"/>
        <v>0.88865723051266887</v>
      </c>
      <c r="AE241" s="8">
        <f t="shared" si="88"/>
        <v>-2.4630608281152804</v>
      </c>
      <c r="AF241" s="8">
        <f t="shared" si="89"/>
        <v>-0.73372065342024295</v>
      </c>
      <c r="AG241" s="8">
        <f t="shared" si="90"/>
        <v>4.1360574374509421E-2</v>
      </c>
      <c r="AH241" s="11">
        <f t="shared" si="91"/>
        <v>9.5514222972233359E-2</v>
      </c>
      <c r="AI241" s="8">
        <f t="shared" si="92"/>
        <v>-2.266763676648345</v>
      </c>
      <c r="AJ241" s="9">
        <f t="shared" si="93"/>
        <v>179.34650210443485</v>
      </c>
      <c r="AK241" s="9"/>
      <c r="AL241" s="7">
        <f t="shared" si="94"/>
        <v>1473.3634978955652</v>
      </c>
      <c r="AM241" s="42">
        <f t="shared" si="95"/>
        <v>18.153944771357171</v>
      </c>
    </row>
    <row r="242" spans="1:39" x14ac:dyDescent="0.25">
      <c r="A242" s="1">
        <v>45931</v>
      </c>
      <c r="B242" s="7">
        <v>1665.05</v>
      </c>
      <c r="C242" s="3">
        <v>7219277.8700000001</v>
      </c>
      <c r="E242" s="5">
        <v>45931</v>
      </c>
      <c r="F242" s="4">
        <v>170000</v>
      </c>
      <c r="G242" s="4">
        <v>3853015512</v>
      </c>
      <c r="H242" s="4">
        <v>101200</v>
      </c>
      <c r="I242" s="4">
        <v>4107412004</v>
      </c>
      <c r="J242" s="4">
        <v>33150</v>
      </c>
      <c r="K242" s="4">
        <v>2272318410</v>
      </c>
      <c r="L242" s="4">
        <v>80200</v>
      </c>
      <c r="M242" s="4">
        <v>1793300377</v>
      </c>
      <c r="N242" s="4">
        <v>128000</v>
      </c>
      <c r="O242" s="4">
        <v>591611334</v>
      </c>
      <c r="Q242" s="3"/>
      <c r="R242" s="3">
        <f t="shared" si="77"/>
        <v>-18879776008800</v>
      </c>
      <c r="S242" s="3">
        <f t="shared" si="78"/>
        <v>-7393341607200</v>
      </c>
      <c r="T242" s="3">
        <f t="shared" si="79"/>
        <v>2385934330500</v>
      </c>
      <c r="U242" s="3">
        <f t="shared" si="80"/>
        <v>0</v>
      </c>
      <c r="V242" s="3">
        <f t="shared" si="81"/>
        <v>-946578134400</v>
      </c>
      <c r="X242" s="2">
        <f t="shared" si="82"/>
        <v>-18879.7760088</v>
      </c>
      <c r="Y242" s="2">
        <f t="shared" si="83"/>
        <v>-7393.3416072</v>
      </c>
      <c r="Z242" s="2">
        <f t="shared" si="84"/>
        <v>2385.9343305000002</v>
      </c>
      <c r="AA242" s="2">
        <f t="shared" si="85"/>
        <v>0</v>
      </c>
      <c r="AB242" s="2">
        <f t="shared" si="86"/>
        <v>-946.57813439999995</v>
      </c>
      <c r="AC242" s="2"/>
      <c r="AD242" s="8">
        <f t="shared" si="87"/>
        <v>-4.354423936372152</v>
      </c>
      <c r="AE242" s="8">
        <f t="shared" si="88"/>
        <v>-1.7051973312163291</v>
      </c>
      <c r="AF242" s="8">
        <f t="shared" si="89"/>
        <v>0.55029093324511402</v>
      </c>
      <c r="AG242" s="8">
        <f t="shared" si="90"/>
        <v>0</v>
      </c>
      <c r="AH242" s="11">
        <f t="shared" si="91"/>
        <v>-0.21831839976049788</v>
      </c>
      <c r="AI242" s="8">
        <f t="shared" si="92"/>
        <v>-5.5093303343433675</v>
      </c>
      <c r="AJ242" s="9">
        <f t="shared" si="93"/>
        <v>181.61326578108319</v>
      </c>
      <c r="AK242" s="9"/>
      <c r="AL242" s="7">
        <f t="shared" si="94"/>
        <v>1483.4367342189169</v>
      </c>
      <c r="AM242" s="42">
        <f t="shared" si="95"/>
        <v>21.417341933487183</v>
      </c>
    </row>
    <row r="243" spans="1:39" x14ac:dyDescent="0.25">
      <c r="A243" s="1">
        <v>45930</v>
      </c>
      <c r="B243" s="7">
        <v>1661.7</v>
      </c>
      <c r="C243" s="3">
        <v>7204747.2300000004</v>
      </c>
      <c r="E243" s="5">
        <v>45930</v>
      </c>
      <c r="F243" s="4">
        <v>174900</v>
      </c>
      <c r="G243" s="4">
        <v>3853015512</v>
      </c>
      <c r="H243" s="4">
        <v>103000</v>
      </c>
      <c r="I243" s="4">
        <v>4107412004</v>
      </c>
      <c r="J243" s="4">
        <v>32100</v>
      </c>
      <c r="K243" s="4">
        <v>2272318410</v>
      </c>
      <c r="L243" s="4">
        <v>80200</v>
      </c>
      <c r="M243" s="4">
        <v>1793300377</v>
      </c>
      <c r="N243" s="4">
        <v>129600</v>
      </c>
      <c r="O243" s="4">
        <v>591611334</v>
      </c>
      <c r="Q243" s="3"/>
      <c r="R243" s="3">
        <f t="shared" ref="R243:R268" si="96">G243*F243-G244*F244</f>
        <v>8091332575200</v>
      </c>
      <c r="S243" s="3">
        <f t="shared" si="78"/>
        <v>4518153204400</v>
      </c>
      <c r="T243" s="3">
        <f t="shared" si="79"/>
        <v>4771868661000</v>
      </c>
      <c r="U243" s="3">
        <f t="shared" si="80"/>
        <v>358660075400</v>
      </c>
      <c r="V243" s="3">
        <f t="shared" si="81"/>
        <v>-59161133400</v>
      </c>
      <c r="X243" s="2">
        <f t="shared" si="82"/>
        <v>8091.3325752000001</v>
      </c>
      <c r="Y243" s="2">
        <f t="shared" si="83"/>
        <v>4518.1532043999996</v>
      </c>
      <c r="Z243" s="2">
        <f t="shared" si="84"/>
        <v>4771.8686610000004</v>
      </c>
      <c r="AA243" s="2">
        <f t="shared" si="85"/>
        <v>358.66007539999998</v>
      </c>
      <c r="AB243" s="2">
        <f t="shared" si="86"/>
        <v>-59.161133399999997</v>
      </c>
      <c r="AC243" s="2"/>
      <c r="AD243" s="8">
        <f t="shared" si="87"/>
        <v>1.865844778913293</v>
      </c>
      <c r="AE243" s="8">
        <f t="shared" si="88"/>
        <v>1.0418769082114669</v>
      </c>
      <c r="AF243" s="8">
        <f t="shared" si="89"/>
        <v>1.1003831747166493</v>
      </c>
      <c r="AG243" s="8">
        <f t="shared" si="90"/>
        <v>8.2706281427716077E-2</v>
      </c>
      <c r="AH243" s="11">
        <f t="shared" si="91"/>
        <v>-1.3642436625002322E-2</v>
      </c>
      <c r="AI243" s="8">
        <f t="shared" si="92"/>
        <v>4.090811143269125</v>
      </c>
      <c r="AJ243" s="9">
        <f t="shared" si="93"/>
        <v>187.12259611542655</v>
      </c>
      <c r="AK243" s="9"/>
      <c r="AL243" s="7">
        <f t="shared" si="94"/>
        <v>1474.5774038845734</v>
      </c>
      <c r="AM243" s="42">
        <f t="shared" si="95"/>
        <v>22.618321946784601</v>
      </c>
    </row>
    <row r="244" spans="1:39" x14ac:dyDescent="0.25">
      <c r="A244" s="1">
        <v>45929</v>
      </c>
      <c r="B244" s="7">
        <v>1666.48</v>
      </c>
      <c r="C244" s="3">
        <v>7226776.8799999999</v>
      </c>
      <c r="E244" s="5">
        <v>45929</v>
      </c>
      <c r="F244" s="4">
        <v>172800</v>
      </c>
      <c r="G244" s="4">
        <v>3853015512</v>
      </c>
      <c r="H244" s="4">
        <v>101900</v>
      </c>
      <c r="I244" s="4">
        <v>4107412004</v>
      </c>
      <c r="J244" s="4">
        <v>30000</v>
      </c>
      <c r="K244" s="4">
        <v>2272318410</v>
      </c>
      <c r="L244" s="4">
        <v>80000</v>
      </c>
      <c r="M244" s="4">
        <v>1793300377</v>
      </c>
      <c r="N244" s="4">
        <v>129700</v>
      </c>
      <c r="O244" s="4">
        <v>591611334</v>
      </c>
      <c r="Q244" s="3"/>
      <c r="R244" s="3">
        <f t="shared" si="96"/>
        <v>33906536505600</v>
      </c>
      <c r="S244" s="3">
        <f t="shared" si="78"/>
        <v>11911494811600</v>
      </c>
      <c r="T244" s="3">
        <f t="shared" si="79"/>
        <v>1363391046000</v>
      </c>
      <c r="U244" s="3">
        <f t="shared" si="80"/>
        <v>-358660075400</v>
      </c>
      <c r="V244" s="3">
        <f t="shared" si="81"/>
        <v>-1656511735200</v>
      </c>
      <c r="X244" s="2">
        <f t="shared" si="82"/>
        <v>33906.536505600001</v>
      </c>
      <c r="Y244" s="2">
        <f t="shared" si="83"/>
        <v>11911.4948116</v>
      </c>
      <c r="Z244" s="2">
        <f t="shared" si="84"/>
        <v>1363.391046</v>
      </c>
      <c r="AA244" s="2">
        <f t="shared" si="85"/>
        <v>-358.66007539999998</v>
      </c>
      <c r="AB244" s="2">
        <f t="shared" si="86"/>
        <v>-1656.5117352</v>
      </c>
      <c r="AC244" s="2"/>
      <c r="AD244" s="8">
        <f t="shared" si="87"/>
        <v>7.8240765003385011</v>
      </c>
      <c r="AE244" s="8">
        <f t="shared" si="88"/>
        <v>2.7486277350666946</v>
      </c>
      <c r="AF244" s="8">
        <f t="shared" si="89"/>
        <v>0.31460824204261384</v>
      </c>
      <c r="AG244" s="8">
        <f t="shared" si="90"/>
        <v>-8.2762327172027902E-2</v>
      </c>
      <c r="AH244" s="11">
        <f t="shared" si="91"/>
        <v>-0.382247079048392</v>
      </c>
      <c r="AI244" s="8">
        <f t="shared" si="92"/>
        <v>10.804550150275782</v>
      </c>
      <c r="AJ244" s="9">
        <f t="shared" si="93"/>
        <v>183.03178497215742</v>
      </c>
      <c r="AK244" s="9"/>
      <c r="AL244" s="7">
        <f t="shared" si="94"/>
        <v>1483.4482150278427</v>
      </c>
      <c r="AM244" s="42">
        <f t="shared" si="95"/>
        <v>22.559401331843567</v>
      </c>
    </row>
    <row r="245" spans="1:39" x14ac:dyDescent="0.25">
      <c r="A245" s="1">
        <v>45926</v>
      </c>
      <c r="B245" s="7">
        <v>1660.7</v>
      </c>
      <c r="C245" s="3">
        <v>7196834.6900000004</v>
      </c>
      <c r="E245" s="5">
        <v>45926</v>
      </c>
      <c r="F245" s="4">
        <v>164000</v>
      </c>
      <c r="G245" s="4">
        <v>3853015512</v>
      </c>
      <c r="H245" s="4">
        <v>99000</v>
      </c>
      <c r="I245" s="4">
        <v>4107412004</v>
      </c>
      <c r="J245" s="4">
        <v>29400</v>
      </c>
      <c r="K245" s="4">
        <v>2272318410</v>
      </c>
      <c r="L245" s="4">
        <v>80200</v>
      </c>
      <c r="M245" s="4">
        <v>1793300377</v>
      </c>
      <c r="N245" s="4">
        <v>132500</v>
      </c>
      <c r="O245" s="4">
        <v>591611334</v>
      </c>
      <c r="Q245" s="3"/>
      <c r="R245" s="3">
        <f t="shared" si="96"/>
        <v>23118093072000</v>
      </c>
      <c r="S245" s="3">
        <f t="shared" si="78"/>
        <v>-2053706002000</v>
      </c>
      <c r="T245" s="3">
        <f t="shared" si="79"/>
        <v>0</v>
      </c>
      <c r="U245" s="3">
        <f t="shared" si="80"/>
        <v>179330037700</v>
      </c>
      <c r="V245" s="3">
        <f t="shared" si="81"/>
        <v>-2011478535600</v>
      </c>
      <c r="X245" s="2">
        <f t="shared" si="82"/>
        <v>23118.093072</v>
      </c>
      <c r="Y245" s="2">
        <f t="shared" si="83"/>
        <v>-2053.7060019999999</v>
      </c>
      <c r="Z245" s="2">
        <f t="shared" si="84"/>
        <v>0</v>
      </c>
      <c r="AA245" s="2">
        <f t="shared" si="85"/>
        <v>179.33003769999999</v>
      </c>
      <c r="AB245" s="2">
        <f t="shared" si="86"/>
        <v>-2011.4785356</v>
      </c>
      <c r="AC245" s="2"/>
      <c r="AD245" s="8">
        <f t="shared" si="87"/>
        <v>5.3345747509428971</v>
      </c>
      <c r="AE245" s="8">
        <f t="shared" si="88"/>
        <v>-0.47389930259422058</v>
      </c>
      <c r="AF245" s="8">
        <f t="shared" si="89"/>
        <v>0</v>
      </c>
      <c r="AG245" s="8">
        <f t="shared" si="90"/>
        <v>4.1380986235353703E-2</v>
      </c>
      <c r="AH245" s="11">
        <f t="shared" si="91"/>
        <v>-0.46415517813931201</v>
      </c>
      <c r="AI245" s="8">
        <f t="shared" si="92"/>
        <v>4.902056434584031</v>
      </c>
      <c r="AJ245" s="9">
        <f t="shared" si="93"/>
        <v>172.22723482188164</v>
      </c>
      <c r="AK245" s="9"/>
      <c r="AL245" s="7">
        <f t="shared" si="94"/>
        <v>1488.4727651781184</v>
      </c>
      <c r="AM245" s="42">
        <f t="shared" si="95"/>
        <v>22.51915313212718</v>
      </c>
    </row>
    <row r="246" spans="1:39" x14ac:dyDescent="0.25">
      <c r="A246" s="1">
        <v>45925</v>
      </c>
      <c r="B246" s="7">
        <v>1666.09</v>
      </c>
      <c r="C246" s="3">
        <v>7220223.8200000003</v>
      </c>
      <c r="E246" s="5">
        <v>45925</v>
      </c>
      <c r="F246" s="4">
        <v>158000</v>
      </c>
      <c r="G246" s="4">
        <v>3853015512</v>
      </c>
      <c r="H246" s="4">
        <v>99500</v>
      </c>
      <c r="I246" s="4">
        <v>4107412004</v>
      </c>
      <c r="J246" s="4">
        <v>29400</v>
      </c>
      <c r="K246" s="4">
        <v>2272318410</v>
      </c>
      <c r="L246" s="4">
        <v>80100</v>
      </c>
      <c r="M246" s="4">
        <v>1793300377</v>
      </c>
      <c r="N246" s="4">
        <v>135900</v>
      </c>
      <c r="O246" s="4">
        <v>591611334</v>
      </c>
      <c r="Q246" s="3"/>
      <c r="R246" s="3">
        <f t="shared" si="96"/>
        <v>34677139608000</v>
      </c>
      <c r="S246" s="3">
        <f t="shared" si="78"/>
        <v>6161118006000</v>
      </c>
      <c r="T246" s="3">
        <f t="shared" si="79"/>
        <v>908927364000</v>
      </c>
      <c r="U246" s="3">
        <f t="shared" si="80"/>
        <v>0</v>
      </c>
      <c r="V246" s="3">
        <f t="shared" si="81"/>
        <v>1301544934800</v>
      </c>
      <c r="X246" s="2">
        <f t="shared" si="82"/>
        <v>34677.139607999998</v>
      </c>
      <c r="Y246" s="2">
        <f t="shared" si="83"/>
        <v>6161.1180059999997</v>
      </c>
      <c r="Z246" s="2">
        <f t="shared" si="84"/>
        <v>908.92736400000001</v>
      </c>
      <c r="AA246" s="2">
        <f t="shared" si="85"/>
        <v>0</v>
      </c>
      <c r="AB246" s="2">
        <f t="shared" si="86"/>
        <v>1301.5449348</v>
      </c>
      <c r="AC246" s="2"/>
      <c r="AD246" s="8">
        <f t="shared" si="87"/>
        <v>8.0018389557360141</v>
      </c>
      <c r="AE246" s="8">
        <f t="shared" si="88"/>
        <v>1.4216937910277885</v>
      </c>
      <c r="AF246" s="8">
        <f t="shared" si="89"/>
        <v>0.20973732180354776</v>
      </c>
      <c r="AG246" s="8">
        <f t="shared" si="90"/>
        <v>0</v>
      </c>
      <c r="AH246" s="11">
        <f t="shared" si="91"/>
        <v>0.3003348338315901</v>
      </c>
      <c r="AI246" s="8">
        <f t="shared" si="92"/>
        <v>9.6332700685673505</v>
      </c>
      <c r="AJ246" s="9">
        <f t="shared" si="93"/>
        <v>167.3251783872976</v>
      </c>
      <c r="AK246" s="9"/>
      <c r="AL246" s="7">
        <f t="shared" si="94"/>
        <v>1498.7648216127022</v>
      </c>
      <c r="AM246" s="42">
        <f t="shared" si="95"/>
        <v>22.127721880335965</v>
      </c>
    </row>
    <row r="247" spans="1:39" x14ac:dyDescent="0.25">
      <c r="A247" s="1">
        <v>45924</v>
      </c>
      <c r="B247" s="7">
        <v>1657.46</v>
      </c>
      <c r="C247" s="3">
        <v>7182845.3600000003</v>
      </c>
      <c r="E247" s="5">
        <v>45924</v>
      </c>
      <c r="F247" s="4">
        <v>149000</v>
      </c>
      <c r="G247" s="4">
        <v>3853015512</v>
      </c>
      <c r="H247" s="4">
        <v>98000</v>
      </c>
      <c r="I247" s="4">
        <v>4107412004</v>
      </c>
      <c r="J247" s="4">
        <v>29000</v>
      </c>
      <c r="K247" s="4">
        <v>2272318410</v>
      </c>
      <c r="L247" s="4">
        <v>80100</v>
      </c>
      <c r="M247" s="4">
        <v>1793300377</v>
      </c>
      <c r="N247" s="4">
        <v>133700</v>
      </c>
      <c r="O247" s="4">
        <v>591611334</v>
      </c>
      <c r="Q247" s="3"/>
      <c r="R247" s="3">
        <f t="shared" si="96"/>
        <v>-770603102400</v>
      </c>
      <c r="S247" s="3">
        <f t="shared" si="78"/>
        <v>-2875188402800</v>
      </c>
      <c r="T247" s="3">
        <f t="shared" si="79"/>
        <v>1590622887000</v>
      </c>
      <c r="U247" s="3">
        <f t="shared" si="80"/>
        <v>-179330037700</v>
      </c>
      <c r="V247" s="3">
        <f t="shared" si="81"/>
        <v>414127933800</v>
      </c>
      <c r="X247" s="2">
        <f t="shared" si="82"/>
        <v>-770.60310240000001</v>
      </c>
      <c r="Y247" s="2">
        <f t="shared" si="83"/>
        <v>-2875.1884027999999</v>
      </c>
      <c r="Z247" s="2">
        <f t="shared" si="84"/>
        <v>1590.622887</v>
      </c>
      <c r="AA247" s="2">
        <f t="shared" si="85"/>
        <v>-179.33003769999999</v>
      </c>
      <c r="AB247" s="2">
        <f t="shared" si="86"/>
        <v>414.12793379999999</v>
      </c>
      <c r="AC247" s="2"/>
      <c r="AD247" s="8">
        <f t="shared" si="87"/>
        <v>-0.17781898653640632</v>
      </c>
      <c r="AE247" s="8">
        <f t="shared" si="88"/>
        <v>-0.66345838252509581</v>
      </c>
      <c r="AF247" s="8">
        <f t="shared" si="89"/>
        <v>0.3670410213079266</v>
      </c>
      <c r="AG247" s="8">
        <f t="shared" si="90"/>
        <v>-4.1380946248510117E-2</v>
      </c>
      <c r="AH247" s="11">
        <f t="shared" si="91"/>
        <v>9.5561267863294261E-2</v>
      </c>
      <c r="AI247" s="8">
        <f t="shared" si="92"/>
        <v>-0.51561729400208556</v>
      </c>
      <c r="AJ247" s="9">
        <f t="shared" si="93"/>
        <v>157.69190831873024</v>
      </c>
      <c r="AK247" s="9"/>
      <c r="AL247" s="7">
        <f t="shared" si="94"/>
        <v>1499.7680916812699</v>
      </c>
      <c r="AM247" s="42">
        <f t="shared" si="95"/>
        <v>21.929201456431617</v>
      </c>
    </row>
    <row r="248" spans="1:39" x14ac:dyDescent="0.25">
      <c r="A248" s="1">
        <v>45923</v>
      </c>
      <c r="B248" s="7">
        <v>1635.26</v>
      </c>
      <c r="C248" s="3">
        <v>7086624.7400000002</v>
      </c>
      <c r="E248" s="5">
        <v>45923</v>
      </c>
      <c r="F248" s="4">
        <v>149200</v>
      </c>
      <c r="G248" s="4">
        <v>3853015512</v>
      </c>
      <c r="H248" s="4">
        <v>98700</v>
      </c>
      <c r="I248" s="4">
        <v>4107412004</v>
      </c>
      <c r="J248" s="4">
        <v>28300</v>
      </c>
      <c r="K248" s="4">
        <v>2272318410</v>
      </c>
      <c r="L248" s="4">
        <v>80200</v>
      </c>
      <c r="M248" s="4">
        <v>1793300377</v>
      </c>
      <c r="N248" s="4">
        <v>133000</v>
      </c>
      <c r="O248" s="4">
        <v>591611334</v>
      </c>
      <c r="Q248" s="3"/>
      <c r="R248" s="3">
        <f t="shared" si="96"/>
        <v>1541206204800</v>
      </c>
      <c r="S248" s="3">
        <f t="shared" si="78"/>
        <v>-3285929603200</v>
      </c>
      <c r="T248" s="3">
        <f t="shared" si="79"/>
        <v>-1136159205000</v>
      </c>
      <c r="U248" s="3">
        <f t="shared" si="80"/>
        <v>0</v>
      </c>
      <c r="V248" s="3">
        <f t="shared" si="81"/>
        <v>-1479028335000</v>
      </c>
      <c r="X248" s="2">
        <f t="shared" si="82"/>
        <v>1541.2062048</v>
      </c>
      <c r="Y248" s="2">
        <f t="shared" si="83"/>
        <v>-3285.9296032000002</v>
      </c>
      <c r="Z248" s="2">
        <f t="shared" si="84"/>
        <v>-1136.1592049999999</v>
      </c>
      <c r="AA248" s="2">
        <f t="shared" si="85"/>
        <v>0</v>
      </c>
      <c r="AB248" s="2">
        <f t="shared" si="86"/>
        <v>-1479.028335</v>
      </c>
      <c r="AC248" s="2"/>
      <c r="AD248" s="8">
        <f t="shared" si="87"/>
        <v>0.35565306276643038</v>
      </c>
      <c r="AE248" s="8">
        <f t="shared" si="88"/>
        <v>-0.75827032344748158</v>
      </c>
      <c r="AF248" s="8">
        <f t="shared" si="89"/>
        <v>-0.26218328202290059</v>
      </c>
      <c r="AG248" s="8">
        <f t="shared" si="90"/>
        <v>0</v>
      </c>
      <c r="AH248" s="11">
        <f t="shared" si="91"/>
        <v>-0.34130472328934403</v>
      </c>
      <c r="AI248" s="8">
        <f t="shared" si="92"/>
        <v>-0.66480054270395184</v>
      </c>
      <c r="AJ248" s="9">
        <f t="shared" si="93"/>
        <v>158.20752561273233</v>
      </c>
      <c r="AK248" s="9"/>
      <c r="AL248" s="7">
        <f t="shared" si="94"/>
        <v>1477.0524743872677</v>
      </c>
      <c r="AM248" s="42">
        <f t="shared" si="95"/>
        <v>23.646274815761458</v>
      </c>
    </row>
    <row r="249" spans="1:39" x14ac:dyDescent="0.25">
      <c r="A249" s="1">
        <v>45922</v>
      </c>
      <c r="B249" s="7">
        <v>1634.45</v>
      </c>
      <c r="C249" s="3">
        <v>7082813.9699999997</v>
      </c>
      <c r="E249" s="5">
        <v>45922</v>
      </c>
      <c r="F249" s="4">
        <v>148800</v>
      </c>
      <c r="G249" s="4">
        <v>3853015512</v>
      </c>
      <c r="H249" s="4">
        <v>99500</v>
      </c>
      <c r="I249" s="4">
        <v>4107412004</v>
      </c>
      <c r="J249" s="4">
        <v>28800</v>
      </c>
      <c r="K249" s="4">
        <v>2272318410</v>
      </c>
      <c r="L249" s="4">
        <v>80200</v>
      </c>
      <c r="M249" s="4">
        <v>1793300377</v>
      </c>
      <c r="N249" s="4">
        <v>135500</v>
      </c>
      <c r="O249" s="4">
        <v>591611334</v>
      </c>
      <c r="Q249" s="3"/>
      <c r="R249" s="3">
        <f t="shared" si="96"/>
        <v>-16953268252800</v>
      </c>
      <c r="S249" s="3">
        <f t="shared" si="78"/>
        <v>-9036306408800</v>
      </c>
      <c r="T249" s="3">
        <f t="shared" si="79"/>
        <v>-1477006966500</v>
      </c>
      <c r="U249" s="3">
        <f t="shared" si="80"/>
        <v>358660075400</v>
      </c>
      <c r="V249" s="3">
        <f t="shared" si="81"/>
        <v>-1005739267800</v>
      </c>
      <c r="X249" s="2">
        <f t="shared" si="82"/>
        <v>-16953.2682528</v>
      </c>
      <c r="Y249" s="2">
        <f t="shared" si="83"/>
        <v>-9036.3064087999992</v>
      </c>
      <c r="Z249" s="2">
        <f t="shared" si="84"/>
        <v>-1477.0069665000001</v>
      </c>
      <c r="AA249" s="2">
        <f t="shared" si="85"/>
        <v>358.66007539999998</v>
      </c>
      <c r="AB249" s="2">
        <f t="shared" si="86"/>
        <v>-1005.7392678</v>
      </c>
      <c r="AC249" s="2"/>
      <c r="AD249" s="8">
        <f t="shared" si="87"/>
        <v>-3.9121765243883724</v>
      </c>
      <c r="AE249" s="8">
        <f t="shared" si="88"/>
        <v>-2.0852395698893567</v>
      </c>
      <c r="AF249" s="8">
        <f t="shared" si="89"/>
        <v>-0.34083764230799796</v>
      </c>
      <c r="AG249" s="8">
        <f t="shared" si="90"/>
        <v>8.2765252474755177E-2</v>
      </c>
      <c r="AH249" s="11">
        <f t="shared" si="91"/>
        <v>-0.23208678671694277</v>
      </c>
      <c r="AI249" s="8">
        <f t="shared" si="92"/>
        <v>-6.2554884841109724</v>
      </c>
      <c r="AJ249" s="9">
        <f t="shared" si="93"/>
        <v>158.87232615543627</v>
      </c>
      <c r="AK249" s="9"/>
      <c r="AL249" s="7">
        <f t="shared" si="94"/>
        <v>1475.5776738445638</v>
      </c>
      <c r="AM249" s="42">
        <f t="shared" si="95"/>
        <v>22.288477449780718</v>
      </c>
    </row>
    <row r="250" spans="1:39" x14ac:dyDescent="0.25">
      <c r="A250" s="1">
        <v>45919</v>
      </c>
      <c r="B250" s="7">
        <v>1658.62</v>
      </c>
      <c r="C250" s="3">
        <v>7187566.7199999997</v>
      </c>
      <c r="E250" s="5">
        <v>45919</v>
      </c>
      <c r="F250" s="4">
        <v>153200</v>
      </c>
      <c r="G250" s="4">
        <v>3853015512</v>
      </c>
      <c r="H250" s="4">
        <v>101700</v>
      </c>
      <c r="I250" s="4">
        <v>4107412004</v>
      </c>
      <c r="J250" s="4">
        <v>29450</v>
      </c>
      <c r="K250" s="4">
        <v>2272318410</v>
      </c>
      <c r="L250" s="4">
        <v>80000</v>
      </c>
      <c r="M250" s="4">
        <v>1793300377</v>
      </c>
      <c r="N250" s="4">
        <v>137200</v>
      </c>
      <c r="O250" s="4">
        <v>591611334</v>
      </c>
      <c r="Q250" s="3"/>
      <c r="R250" s="3">
        <f t="shared" si="96"/>
        <v>31594727198400</v>
      </c>
      <c r="S250" s="3">
        <f t="shared" si="78"/>
        <v>-7393341607200</v>
      </c>
      <c r="T250" s="3">
        <f t="shared" si="79"/>
        <v>-1704238807500</v>
      </c>
      <c r="U250" s="3">
        <f t="shared" si="80"/>
        <v>0</v>
      </c>
      <c r="V250" s="3">
        <f t="shared" si="81"/>
        <v>-1538189468400</v>
      </c>
      <c r="X250" s="2">
        <f t="shared" si="82"/>
        <v>31594.7271984</v>
      </c>
      <c r="Y250" s="2">
        <f t="shared" si="83"/>
        <v>-7393.3416072</v>
      </c>
      <c r="Z250" s="2">
        <f t="shared" si="84"/>
        <v>-1704.2388074999999</v>
      </c>
      <c r="AA250" s="2">
        <f t="shared" si="85"/>
        <v>0</v>
      </c>
      <c r="AB250" s="2">
        <f t="shared" si="86"/>
        <v>-1538.1894683999999</v>
      </c>
      <c r="AC250" s="2"/>
      <c r="AD250" s="8">
        <f t="shared" si="87"/>
        <v>7.2980706129473285</v>
      </c>
      <c r="AE250" s="8">
        <f t="shared" si="88"/>
        <v>-1.7077890489815513</v>
      </c>
      <c r="AF250" s="8">
        <f t="shared" si="89"/>
        <v>-0.39366236905156782</v>
      </c>
      <c r="AG250" s="8">
        <f t="shared" si="90"/>
        <v>0</v>
      </c>
      <c r="AH250" s="11">
        <f t="shared" si="91"/>
        <v>-0.35530660815592047</v>
      </c>
      <c r="AI250" s="8">
        <f t="shared" si="92"/>
        <v>5.1966191949142093</v>
      </c>
      <c r="AJ250" s="9">
        <f t="shared" si="93"/>
        <v>165.12781463954724</v>
      </c>
      <c r="AK250" s="9"/>
      <c r="AL250" s="7">
        <f t="shared" si="94"/>
        <v>1493.4921853604526</v>
      </c>
      <c r="AM250" s="42">
        <f t="shared" si="95"/>
        <v>21.947353532108821</v>
      </c>
    </row>
    <row r="251" spans="1:39" x14ac:dyDescent="0.25">
      <c r="A251" s="1">
        <v>45918</v>
      </c>
      <c r="B251" s="7">
        <v>1665.18</v>
      </c>
      <c r="C251" s="3">
        <v>7208878.9800000004</v>
      </c>
      <c r="E251" s="5">
        <v>45918</v>
      </c>
      <c r="F251" s="4">
        <v>145000</v>
      </c>
      <c r="G251" s="4">
        <v>3853015512</v>
      </c>
      <c r="H251" s="4">
        <v>103500</v>
      </c>
      <c r="I251" s="4">
        <v>4107412004</v>
      </c>
      <c r="J251" s="4">
        <v>30200</v>
      </c>
      <c r="K251" s="4">
        <v>2272318410</v>
      </c>
      <c r="L251" s="4">
        <v>80000</v>
      </c>
      <c r="M251" s="4">
        <v>1793300377</v>
      </c>
      <c r="N251" s="4">
        <v>139800</v>
      </c>
      <c r="O251" s="4">
        <v>591611334</v>
      </c>
      <c r="Q251" s="3"/>
      <c r="R251" s="3">
        <f t="shared" si="96"/>
        <v>7320729472800</v>
      </c>
      <c r="S251" s="3">
        <f t="shared" si="78"/>
        <v>2464447202400</v>
      </c>
      <c r="T251" s="3">
        <f t="shared" si="79"/>
        <v>0</v>
      </c>
      <c r="U251" s="3">
        <f t="shared" si="80"/>
        <v>-537990113100</v>
      </c>
      <c r="V251" s="3">
        <f t="shared" si="81"/>
        <v>-1301544934800</v>
      </c>
      <c r="X251" s="2">
        <f t="shared" si="82"/>
        <v>7320.7294727999997</v>
      </c>
      <c r="Y251" s="2">
        <f t="shared" si="83"/>
        <v>2464.4472024000002</v>
      </c>
      <c r="Z251" s="2">
        <f t="shared" si="84"/>
        <v>0</v>
      </c>
      <c r="AA251" s="2">
        <f t="shared" si="85"/>
        <v>-537.99011310000003</v>
      </c>
      <c r="AB251" s="2">
        <f t="shared" si="86"/>
        <v>-1301.5449348</v>
      </c>
      <c r="AC251" s="2"/>
      <c r="AD251" s="8">
        <f t="shared" si="87"/>
        <v>1.6910211920995897</v>
      </c>
      <c r="AE251" s="8">
        <f t="shared" si="88"/>
        <v>0.56926464248582687</v>
      </c>
      <c r="AF251" s="8">
        <f t="shared" si="89"/>
        <v>0</v>
      </c>
      <c r="AG251" s="8">
        <f t="shared" si="90"/>
        <v>-0.12427076915931946</v>
      </c>
      <c r="AH251" s="11">
        <f t="shared" si="91"/>
        <v>-0.30064491187582065</v>
      </c>
      <c r="AI251" s="8">
        <f t="shared" si="92"/>
        <v>2.136015065426097</v>
      </c>
      <c r="AJ251" s="9">
        <f t="shared" si="93"/>
        <v>159.93119544463303</v>
      </c>
      <c r="AK251" s="9"/>
      <c r="AL251" s="7">
        <f t="shared" si="94"/>
        <v>1505.2488045553671</v>
      </c>
      <c r="AM251" s="42">
        <f t="shared" si="95"/>
        <v>21.401591776710717</v>
      </c>
    </row>
    <row r="252" spans="1:39" x14ac:dyDescent="0.25">
      <c r="A252" s="1">
        <v>45917</v>
      </c>
      <c r="B252" s="7">
        <v>1670.97</v>
      </c>
      <c r="C252" s="3">
        <v>7233924.3200000003</v>
      </c>
      <c r="E252" s="5">
        <v>45917</v>
      </c>
      <c r="F252" s="4">
        <v>143100</v>
      </c>
      <c r="G252" s="4">
        <v>3853015512</v>
      </c>
      <c r="H252" s="4">
        <v>102900</v>
      </c>
      <c r="I252" s="4">
        <v>4107412004</v>
      </c>
      <c r="J252" s="4">
        <v>30200</v>
      </c>
      <c r="K252" s="4">
        <v>2272318410</v>
      </c>
      <c r="L252" s="4">
        <v>80300</v>
      </c>
      <c r="M252" s="4">
        <v>1793300377</v>
      </c>
      <c r="N252" s="4">
        <v>142000</v>
      </c>
      <c r="O252" s="4">
        <v>591611334</v>
      </c>
      <c r="Q252" s="3"/>
      <c r="R252" s="3">
        <f t="shared" si="96"/>
        <v>31209425647200</v>
      </c>
      <c r="S252" s="3">
        <f t="shared" si="78"/>
        <v>821482400800</v>
      </c>
      <c r="T252" s="3">
        <f t="shared" si="79"/>
        <v>-908927364000</v>
      </c>
      <c r="U252" s="3">
        <f t="shared" si="80"/>
        <v>179330037700</v>
      </c>
      <c r="V252" s="3">
        <f t="shared" si="81"/>
        <v>0</v>
      </c>
      <c r="X252" s="2">
        <f t="shared" si="82"/>
        <v>31209.425647200002</v>
      </c>
      <c r="Y252" s="2">
        <f t="shared" si="83"/>
        <v>821.48240080000005</v>
      </c>
      <c r="Z252" s="2">
        <f t="shared" si="84"/>
        <v>-908.92736400000001</v>
      </c>
      <c r="AA252" s="2">
        <f t="shared" si="85"/>
        <v>179.33003769999999</v>
      </c>
      <c r="AB252" s="2">
        <f t="shared" si="86"/>
        <v>0</v>
      </c>
      <c r="AC252" s="2"/>
      <c r="AD252" s="8">
        <f t="shared" si="87"/>
        <v>7.2134109239493851</v>
      </c>
      <c r="AE252" s="8">
        <f t="shared" si="88"/>
        <v>0.18986860542544198</v>
      </c>
      <c r="AF252" s="8">
        <f t="shared" si="89"/>
        <v>-0.21007969357303252</v>
      </c>
      <c r="AG252" s="8">
        <f t="shared" si="90"/>
        <v>4.1448415858735627E-2</v>
      </c>
      <c r="AH252" s="11">
        <f t="shared" si="91"/>
        <v>0</v>
      </c>
      <c r="AI252" s="8">
        <f t="shared" si="92"/>
        <v>7.2346482516605306</v>
      </c>
      <c r="AJ252" s="9">
        <f t="shared" si="93"/>
        <v>157.79518037920693</v>
      </c>
      <c r="AK252" s="9"/>
      <c r="AL252" s="7">
        <f t="shared" si="94"/>
        <v>1513.1748196207932</v>
      </c>
      <c r="AM252" s="42">
        <f t="shared" si="95"/>
        <v>21.282599045165746</v>
      </c>
    </row>
    <row r="253" spans="1:39" x14ac:dyDescent="0.25">
      <c r="A253" s="1">
        <v>45916</v>
      </c>
      <c r="B253" s="7">
        <v>1680.9</v>
      </c>
      <c r="C253" s="3">
        <v>7272554.4299999997</v>
      </c>
      <c r="E253" s="5">
        <v>45916</v>
      </c>
      <c r="F253" s="4">
        <v>135000</v>
      </c>
      <c r="G253" s="4">
        <v>3853015512</v>
      </c>
      <c r="H253" s="4">
        <v>102700</v>
      </c>
      <c r="I253" s="4">
        <v>4107412004</v>
      </c>
      <c r="J253" s="4">
        <v>30600</v>
      </c>
      <c r="K253" s="4">
        <v>2272318410</v>
      </c>
      <c r="L253" s="4">
        <v>80200</v>
      </c>
      <c r="M253" s="4">
        <v>1793300377</v>
      </c>
      <c r="N253" s="4">
        <v>142000</v>
      </c>
      <c r="O253" s="4">
        <v>591611334</v>
      </c>
      <c r="Q253" s="3"/>
      <c r="R253" s="3">
        <f t="shared" si="96"/>
        <v>-10788443433600</v>
      </c>
      <c r="S253" s="3">
        <f t="shared" si="78"/>
        <v>-7393341607200</v>
      </c>
      <c r="T253" s="3">
        <f t="shared" si="79"/>
        <v>-113615920500</v>
      </c>
      <c r="U253" s="3">
        <f t="shared" si="80"/>
        <v>-179330037700</v>
      </c>
      <c r="V253" s="3">
        <f t="shared" si="81"/>
        <v>-2129800802400</v>
      </c>
      <c r="X253" s="2">
        <f t="shared" si="82"/>
        <v>-10788.443433599999</v>
      </c>
      <c r="Y253" s="2">
        <f t="shared" si="83"/>
        <v>-7393.3416072</v>
      </c>
      <c r="Z253" s="2">
        <f t="shared" si="84"/>
        <v>-113.6159205</v>
      </c>
      <c r="AA253" s="2">
        <f t="shared" si="85"/>
        <v>-179.33003769999999</v>
      </c>
      <c r="AB253" s="2">
        <f t="shared" si="86"/>
        <v>-2129.8008024000001</v>
      </c>
      <c r="AC253" s="2"/>
      <c r="AD253" s="8">
        <f t="shared" si="87"/>
        <v>-2.4943976775353178</v>
      </c>
      <c r="AE253" s="8">
        <f t="shared" si="88"/>
        <v>-1.7094156583134645</v>
      </c>
      <c r="AF253" s="8">
        <f t="shared" si="89"/>
        <v>-2.6269154579204052E-2</v>
      </c>
      <c r="AG253" s="8">
        <f t="shared" si="90"/>
        <v>-4.1462925796880643E-2</v>
      </c>
      <c r="AH253" s="11">
        <f t="shared" si="91"/>
        <v>-0.49243157345328581</v>
      </c>
      <c r="AI253" s="8">
        <f t="shared" si="92"/>
        <v>-4.2715454162248667</v>
      </c>
      <c r="AJ253" s="9">
        <f t="shared" si="93"/>
        <v>150.5605321275464</v>
      </c>
      <c r="AK253" s="9"/>
      <c r="AL253" s="7">
        <f t="shared" si="94"/>
        <v>1530.3394678724537</v>
      </c>
      <c r="AM253" s="42">
        <f t="shared" si="95"/>
        <v>21.364211236918653</v>
      </c>
    </row>
    <row r="254" spans="1:39" x14ac:dyDescent="0.25">
      <c r="A254" s="1">
        <v>45915</v>
      </c>
      <c r="B254" s="7">
        <v>1684.9</v>
      </c>
      <c r="C254" s="3">
        <v>7287309.6799999997</v>
      </c>
      <c r="E254" s="5">
        <v>45915</v>
      </c>
      <c r="F254" s="4">
        <v>137800</v>
      </c>
      <c r="G254" s="4">
        <v>3853015512</v>
      </c>
      <c r="H254" s="4">
        <v>104500</v>
      </c>
      <c r="I254" s="4">
        <v>4107412004</v>
      </c>
      <c r="J254" s="4">
        <v>30650</v>
      </c>
      <c r="K254" s="4">
        <v>2272318410</v>
      </c>
      <c r="L254" s="4">
        <v>80300</v>
      </c>
      <c r="M254" s="4">
        <v>1793300377</v>
      </c>
      <c r="N254" s="4">
        <v>145600</v>
      </c>
      <c r="O254" s="4">
        <v>591611334</v>
      </c>
      <c r="Q254" s="3"/>
      <c r="R254" s="3">
        <f t="shared" si="96"/>
        <v>0</v>
      </c>
      <c r="S254" s="3">
        <f t="shared" si="78"/>
        <v>-4107412004000</v>
      </c>
      <c r="T254" s="3">
        <f t="shared" si="79"/>
        <v>-227231841000</v>
      </c>
      <c r="U254" s="3">
        <f t="shared" si="80"/>
        <v>0</v>
      </c>
      <c r="V254" s="3">
        <f t="shared" si="81"/>
        <v>-236644533600</v>
      </c>
      <c r="X254" s="2">
        <f t="shared" si="82"/>
        <v>0</v>
      </c>
      <c r="Y254" s="2">
        <f t="shared" si="83"/>
        <v>-4107.4120039999998</v>
      </c>
      <c r="Z254" s="2">
        <f t="shared" si="84"/>
        <v>-227.231841</v>
      </c>
      <c r="AA254" s="2">
        <f t="shared" si="85"/>
        <v>0</v>
      </c>
      <c r="AB254" s="2">
        <f t="shared" si="86"/>
        <v>-236.64453359999999</v>
      </c>
      <c r="AC254" s="2"/>
      <c r="AD254" s="8">
        <f t="shared" si="87"/>
        <v>0</v>
      </c>
      <c r="AE254" s="8">
        <f t="shared" si="88"/>
        <v>-0.94967109388993953</v>
      </c>
      <c r="AF254" s="8">
        <f t="shared" si="89"/>
        <v>-5.2538072830030813E-2</v>
      </c>
      <c r="AG254" s="8">
        <f t="shared" si="90"/>
        <v>0</v>
      </c>
      <c r="AH254" s="11">
        <f t="shared" si="91"/>
        <v>-5.4714373154708867E-2</v>
      </c>
      <c r="AI254" s="8">
        <f t="shared" si="92"/>
        <v>-1.0022091667199704</v>
      </c>
      <c r="AJ254" s="9">
        <f t="shared" si="93"/>
        <v>154.83207754377125</v>
      </c>
      <c r="AK254" s="9"/>
      <c r="AL254" s="7">
        <f t="shared" si="94"/>
        <v>1530.0679224562289</v>
      </c>
      <c r="AM254" s="42">
        <f t="shared" si="95"/>
        <v>21.493469004527181</v>
      </c>
    </row>
    <row r="255" spans="1:39" x14ac:dyDescent="0.25">
      <c r="A255" s="1">
        <v>45912</v>
      </c>
      <c r="B255" s="7">
        <v>1667.26</v>
      </c>
      <c r="C255" s="3">
        <v>7211047.8899999997</v>
      </c>
      <c r="E255" s="5">
        <v>45912</v>
      </c>
      <c r="F255" s="4">
        <v>137800</v>
      </c>
      <c r="G255" s="4">
        <v>3853015512</v>
      </c>
      <c r="H255" s="4">
        <v>105500</v>
      </c>
      <c r="I255" s="4">
        <v>4107412004</v>
      </c>
      <c r="J255" s="4">
        <v>30750</v>
      </c>
      <c r="K255" s="4">
        <v>2272318410</v>
      </c>
      <c r="L255" s="4">
        <v>80300</v>
      </c>
      <c r="M255" s="4">
        <v>1793300377</v>
      </c>
      <c r="N255" s="4">
        <v>146000</v>
      </c>
      <c r="O255" s="4">
        <v>591611334</v>
      </c>
      <c r="Q255" s="3"/>
      <c r="R255" s="3">
        <f t="shared" si="96"/>
        <v>6935427921600</v>
      </c>
      <c r="S255" s="3">
        <f t="shared" si="78"/>
        <v>-1642964801600</v>
      </c>
      <c r="T255" s="3">
        <f t="shared" si="79"/>
        <v>-795311443500</v>
      </c>
      <c r="U255" s="3">
        <f t="shared" si="80"/>
        <v>0</v>
      </c>
      <c r="V255" s="3">
        <f t="shared" si="81"/>
        <v>354966800400</v>
      </c>
      <c r="X255" s="2">
        <f t="shared" si="82"/>
        <v>6935.4279216000004</v>
      </c>
      <c r="Y255" s="2">
        <f t="shared" si="83"/>
        <v>-1642.9648016000001</v>
      </c>
      <c r="Z255" s="2">
        <f t="shared" si="84"/>
        <v>-795.3114435</v>
      </c>
      <c r="AA255" s="2">
        <f t="shared" si="85"/>
        <v>0</v>
      </c>
      <c r="AB255" s="2">
        <f t="shared" si="86"/>
        <v>354.96680040000001</v>
      </c>
      <c r="AC255" s="2"/>
      <c r="AD255" s="8">
        <f t="shared" si="87"/>
        <v>1.6035419348378099</v>
      </c>
      <c r="AE255" s="8">
        <f t="shared" si="88"/>
        <v>-0.37987028148946433</v>
      </c>
      <c r="AF255" s="8">
        <f t="shared" si="89"/>
        <v>-0.18388414749964369</v>
      </c>
      <c r="AG255" s="8">
        <f t="shared" si="90"/>
        <v>0</v>
      </c>
      <c r="AH255" s="11">
        <f t="shared" si="91"/>
        <v>8.2071958118668992E-2</v>
      </c>
      <c r="AI255" s="8">
        <f t="shared" si="92"/>
        <v>1.0397875058487018</v>
      </c>
      <c r="AJ255" s="9">
        <f t="shared" si="93"/>
        <v>155.83428671049123</v>
      </c>
      <c r="AK255" s="9"/>
      <c r="AL255" s="7">
        <f t="shared" si="94"/>
        <v>1511.4257132895088</v>
      </c>
      <c r="AM255" s="42">
        <f t="shared" si="95"/>
        <v>21.293887210070082</v>
      </c>
    </row>
    <row r="256" spans="1:39" x14ac:dyDescent="0.25">
      <c r="A256" s="1">
        <v>45911</v>
      </c>
      <c r="B256" s="7">
        <v>1657.75</v>
      </c>
      <c r="C256" s="3">
        <v>7169881.4900000002</v>
      </c>
      <c r="E256" s="5">
        <v>45911</v>
      </c>
      <c r="F256" s="4">
        <v>136000</v>
      </c>
      <c r="G256" s="4">
        <v>3853015512</v>
      </c>
      <c r="H256" s="4">
        <v>105900</v>
      </c>
      <c r="I256" s="4">
        <v>4107412004</v>
      </c>
      <c r="J256" s="4">
        <v>31100</v>
      </c>
      <c r="K256" s="4">
        <v>2272318410</v>
      </c>
      <c r="L256" s="4">
        <v>80300</v>
      </c>
      <c r="M256" s="4">
        <v>1793300377</v>
      </c>
      <c r="N256" s="4">
        <v>145400</v>
      </c>
      <c r="O256" s="4">
        <v>591611334</v>
      </c>
      <c r="Q256" s="3"/>
      <c r="R256" s="3">
        <f t="shared" si="96"/>
        <v>19650379111200</v>
      </c>
      <c r="S256" s="3">
        <f t="shared" si="78"/>
        <v>16840389216400</v>
      </c>
      <c r="T256" s="3">
        <f t="shared" si="79"/>
        <v>1136159205000</v>
      </c>
      <c r="U256" s="3">
        <f t="shared" si="80"/>
        <v>0</v>
      </c>
      <c r="V256" s="3">
        <f t="shared" si="81"/>
        <v>295805667000</v>
      </c>
      <c r="X256" s="2">
        <f t="shared" si="82"/>
        <v>19650.3791112</v>
      </c>
      <c r="Y256" s="2">
        <f t="shared" si="83"/>
        <v>16840.389216399999</v>
      </c>
      <c r="Z256" s="2">
        <f t="shared" si="84"/>
        <v>1136.1592049999999</v>
      </c>
      <c r="AA256" s="2">
        <f t="shared" si="85"/>
        <v>0</v>
      </c>
      <c r="AB256" s="2">
        <f t="shared" si="86"/>
        <v>295.80566700000003</v>
      </c>
      <c r="AC256" s="2"/>
      <c r="AD256" s="8">
        <f t="shared" si="87"/>
        <v>4.5433426662422667</v>
      </c>
      <c r="AE256" s="8">
        <f t="shared" si="88"/>
        <v>3.8936479754422364</v>
      </c>
      <c r="AF256" s="8">
        <f t="shared" si="89"/>
        <v>0.26269012737664005</v>
      </c>
      <c r="AG256" s="8">
        <f t="shared" si="90"/>
        <v>0</v>
      </c>
      <c r="AH256" s="11">
        <f t="shared" si="91"/>
        <v>6.8392904798022541E-2</v>
      </c>
      <c r="AI256" s="8">
        <f t="shared" si="92"/>
        <v>8.6996807690611426</v>
      </c>
      <c r="AJ256" s="9">
        <f t="shared" si="93"/>
        <v>154.79449920464253</v>
      </c>
      <c r="AK256" s="9"/>
      <c r="AL256" s="7">
        <f t="shared" si="94"/>
        <v>1502.9555007953575</v>
      </c>
      <c r="AM256" s="42">
        <f t="shared" si="95"/>
        <v>22.300604682286398</v>
      </c>
    </row>
    <row r="257" spans="1:39" x14ac:dyDescent="0.25">
      <c r="A257" s="1">
        <v>45910</v>
      </c>
      <c r="B257" s="7">
        <v>1643.26</v>
      </c>
      <c r="C257" s="3">
        <v>7107252.1600000001</v>
      </c>
      <c r="E257" s="5">
        <v>45910</v>
      </c>
      <c r="F257" s="4">
        <v>130900</v>
      </c>
      <c r="G257" s="4">
        <v>3853015512</v>
      </c>
      <c r="H257" s="4">
        <v>101800</v>
      </c>
      <c r="I257" s="4">
        <v>4107412004</v>
      </c>
      <c r="J257" s="4">
        <v>30600</v>
      </c>
      <c r="K257" s="4">
        <v>2272318410</v>
      </c>
      <c r="L257" s="4">
        <v>80300</v>
      </c>
      <c r="M257" s="4">
        <v>1793300377</v>
      </c>
      <c r="N257" s="4">
        <v>144900</v>
      </c>
      <c r="O257" s="4">
        <v>591611334</v>
      </c>
      <c r="Q257" s="3"/>
      <c r="R257" s="3">
        <f t="shared" si="96"/>
        <v>6550126370400</v>
      </c>
      <c r="S257" s="3">
        <f t="shared" si="78"/>
        <v>1642964801600</v>
      </c>
      <c r="T257" s="3">
        <f t="shared" si="79"/>
        <v>681695523000</v>
      </c>
      <c r="U257" s="3">
        <f t="shared" si="80"/>
        <v>0</v>
      </c>
      <c r="V257" s="3">
        <f t="shared" si="81"/>
        <v>-59161133400</v>
      </c>
      <c r="X257" s="2">
        <f t="shared" si="82"/>
        <v>6550.1263704000003</v>
      </c>
      <c r="Y257" s="2">
        <f t="shared" si="83"/>
        <v>1642.9648016000001</v>
      </c>
      <c r="Z257" s="2">
        <f t="shared" si="84"/>
        <v>681.69552299999998</v>
      </c>
      <c r="AA257" s="2">
        <f t="shared" si="85"/>
        <v>0</v>
      </c>
      <c r="AB257" s="2">
        <f t="shared" si="86"/>
        <v>-59.161133399999997</v>
      </c>
      <c r="AC257" s="2"/>
      <c r="AD257" s="8">
        <f t="shared" si="87"/>
        <v>1.5144998664638603</v>
      </c>
      <c r="AE257" s="8">
        <f t="shared" si="88"/>
        <v>0.3798812163185899</v>
      </c>
      <c r="AF257" s="8">
        <f t="shared" si="89"/>
        <v>0.15761952062757889</v>
      </c>
      <c r="AG257" s="8">
        <f t="shared" si="90"/>
        <v>0</v>
      </c>
      <c r="AH257" s="11">
        <f t="shared" si="91"/>
        <v>-1.3679053436136833E-2</v>
      </c>
      <c r="AI257" s="8">
        <f t="shared" si="92"/>
        <v>2.0520006034100291</v>
      </c>
      <c r="AJ257" s="9">
        <f t="shared" si="93"/>
        <v>146.0948184355814</v>
      </c>
      <c r="AK257" s="9"/>
      <c r="AL257" s="7">
        <f t="shared" si="94"/>
        <v>1497.1651815644186</v>
      </c>
      <c r="AM257" s="42">
        <f t="shared" si="95"/>
        <v>23.277205589971896</v>
      </c>
    </row>
    <row r="258" spans="1:39" x14ac:dyDescent="0.25">
      <c r="A258" s="1">
        <v>45909</v>
      </c>
      <c r="B258" s="7">
        <v>1637.32</v>
      </c>
      <c r="C258" s="3">
        <v>7081316.5099999998</v>
      </c>
      <c r="E258" s="5">
        <v>45909</v>
      </c>
      <c r="F258" s="4">
        <v>129200</v>
      </c>
      <c r="G258" s="4">
        <v>3853015512</v>
      </c>
      <c r="H258" s="4">
        <v>101400</v>
      </c>
      <c r="I258" s="4">
        <v>4107412004</v>
      </c>
      <c r="J258" s="4">
        <v>30300</v>
      </c>
      <c r="K258" s="4">
        <v>2272318410</v>
      </c>
      <c r="L258" s="4">
        <v>80300</v>
      </c>
      <c r="M258" s="4">
        <v>1793300377</v>
      </c>
      <c r="N258" s="4">
        <v>145000</v>
      </c>
      <c r="O258" s="4">
        <v>591611334</v>
      </c>
      <c r="Q258" s="3"/>
      <c r="R258" s="3">
        <f t="shared" si="96"/>
        <v>16182665150400</v>
      </c>
      <c r="S258" s="3">
        <f t="shared" si="78"/>
        <v>5750376805600</v>
      </c>
      <c r="T258" s="3">
        <f t="shared" si="79"/>
        <v>0</v>
      </c>
      <c r="U258" s="3">
        <f t="shared" si="80"/>
        <v>0</v>
      </c>
      <c r="V258" s="3">
        <f t="shared" si="81"/>
        <v>1833995135400</v>
      </c>
      <c r="X258" s="2">
        <f t="shared" si="82"/>
        <v>16182.6651504</v>
      </c>
      <c r="Y258" s="2">
        <f t="shared" si="83"/>
        <v>5750.3768055999999</v>
      </c>
      <c r="Z258" s="2">
        <f t="shared" si="84"/>
        <v>0</v>
      </c>
      <c r="AA258" s="2">
        <f t="shared" si="85"/>
        <v>0</v>
      </c>
      <c r="AB258" s="2">
        <f t="shared" si="86"/>
        <v>1833.9951354</v>
      </c>
      <c r="AC258" s="2"/>
      <c r="AD258" s="8">
        <f t="shared" si="87"/>
        <v>3.7417051490271742</v>
      </c>
      <c r="AE258" s="8">
        <f t="shared" si="88"/>
        <v>1.3295841137655944</v>
      </c>
      <c r="AF258" s="8">
        <f t="shared" si="89"/>
        <v>0</v>
      </c>
      <c r="AG258" s="8">
        <f t="shared" si="90"/>
        <v>0</v>
      </c>
      <c r="AH258" s="11">
        <f t="shared" si="91"/>
        <v>0.42405061080111084</v>
      </c>
      <c r="AI258" s="8">
        <f t="shared" si="92"/>
        <v>5.071289262792769</v>
      </c>
      <c r="AJ258" s="9">
        <f t="shared" si="93"/>
        <v>144.04281783217138</v>
      </c>
      <c r="AK258" s="9"/>
      <c r="AL258" s="7">
        <f t="shared" si="94"/>
        <v>1493.2771821678286</v>
      </c>
      <c r="AM258" s="42">
        <f t="shared" si="95"/>
        <v>24.911273372143608</v>
      </c>
    </row>
    <row r="259" spans="1:39" x14ac:dyDescent="0.25">
      <c r="A259" s="1">
        <v>45908</v>
      </c>
      <c r="B259" s="7">
        <v>1624.53</v>
      </c>
      <c r="C259" s="3">
        <v>7026001.2400000002</v>
      </c>
      <c r="E259" s="5">
        <v>45908</v>
      </c>
      <c r="F259" s="4">
        <v>125000</v>
      </c>
      <c r="G259" s="4">
        <v>3853015512</v>
      </c>
      <c r="H259" s="4">
        <v>100000</v>
      </c>
      <c r="I259" s="4">
        <v>4107412004</v>
      </c>
      <c r="J259" s="4">
        <v>30300</v>
      </c>
      <c r="K259" s="4">
        <v>2272318410</v>
      </c>
      <c r="L259" s="4">
        <v>80300</v>
      </c>
      <c r="M259" s="4">
        <v>1793300377</v>
      </c>
      <c r="N259" s="4">
        <v>141900</v>
      </c>
      <c r="O259" s="4">
        <v>591611334</v>
      </c>
      <c r="Q259" s="3"/>
      <c r="R259" s="3">
        <f t="shared" si="96"/>
        <v>0</v>
      </c>
      <c r="S259" s="3">
        <f t="shared" si="78"/>
        <v>0</v>
      </c>
      <c r="T259" s="3">
        <f t="shared" si="79"/>
        <v>0</v>
      </c>
      <c r="U259" s="3">
        <f t="shared" si="80"/>
        <v>-179330037700</v>
      </c>
      <c r="V259" s="3">
        <f t="shared" si="81"/>
        <v>-59161133400</v>
      </c>
      <c r="X259" s="2">
        <f t="shared" si="82"/>
        <v>0</v>
      </c>
      <c r="Y259" s="2">
        <f t="shared" si="83"/>
        <v>0</v>
      </c>
      <c r="Z259" s="2">
        <f t="shared" si="84"/>
        <v>0</v>
      </c>
      <c r="AA259" s="2">
        <f t="shared" si="85"/>
        <v>-179.33003769999999</v>
      </c>
      <c r="AB259" s="2">
        <f t="shared" si="86"/>
        <v>-59.161133399999997</v>
      </c>
      <c r="AC259" s="2"/>
      <c r="AD259" s="8">
        <f t="shared" si="87"/>
        <v>0</v>
      </c>
      <c r="AE259" s="8">
        <f t="shared" si="88"/>
        <v>0</v>
      </c>
      <c r="AF259" s="8">
        <f t="shared" si="89"/>
        <v>0</v>
      </c>
      <c r="AG259" s="8">
        <f t="shared" si="90"/>
        <v>-4.14646448998989E-2</v>
      </c>
      <c r="AH259" s="11">
        <f t="shared" si="91"/>
        <v>-1.3679221951708474E-2</v>
      </c>
      <c r="AI259" s="8">
        <f t="shared" si="92"/>
        <v>-4.14646448998989E-2</v>
      </c>
      <c r="AJ259" s="9">
        <f t="shared" si="93"/>
        <v>138.97152856937862</v>
      </c>
      <c r="AK259" s="9"/>
      <c r="AL259" s="7">
        <f t="shared" si="94"/>
        <v>1485.5584714306215</v>
      </c>
      <c r="AM259" s="42">
        <f t="shared" si="95"/>
        <v>27.619038366954268</v>
      </c>
    </row>
    <row r="260" spans="1:39" x14ac:dyDescent="0.25">
      <c r="A260" s="1">
        <v>45905</v>
      </c>
      <c r="B260" s="7">
        <v>1666.97</v>
      </c>
      <c r="C260" s="3">
        <v>7209462.2699999996</v>
      </c>
      <c r="E260" s="5">
        <v>45905</v>
      </c>
      <c r="F260" s="4">
        <v>125000</v>
      </c>
      <c r="G260" s="4">
        <v>3853015512</v>
      </c>
      <c r="H260" s="4">
        <v>100000</v>
      </c>
      <c r="I260" s="4">
        <v>4107412004</v>
      </c>
      <c r="J260" s="4">
        <v>30300</v>
      </c>
      <c r="K260" s="4">
        <v>2272318410</v>
      </c>
      <c r="L260" s="4">
        <v>80400</v>
      </c>
      <c r="M260" s="4">
        <v>1793300377</v>
      </c>
      <c r="N260" s="4">
        <v>142000</v>
      </c>
      <c r="O260" s="4">
        <v>591611334</v>
      </c>
      <c r="Q260" s="3"/>
      <c r="R260" s="3">
        <f t="shared" si="96"/>
        <v>0</v>
      </c>
      <c r="S260" s="3">
        <f t="shared" si="78"/>
        <v>-9447047609200</v>
      </c>
      <c r="T260" s="3">
        <f t="shared" si="79"/>
        <v>0</v>
      </c>
      <c r="U260" s="3">
        <f t="shared" si="80"/>
        <v>537990113100</v>
      </c>
      <c r="V260" s="3">
        <f t="shared" si="81"/>
        <v>1183222668000</v>
      </c>
      <c r="X260" s="2">
        <f t="shared" si="82"/>
        <v>0</v>
      </c>
      <c r="Y260" s="2">
        <f t="shared" si="83"/>
        <v>-9447.0476092000008</v>
      </c>
      <c r="Z260" s="2">
        <f t="shared" si="84"/>
        <v>0</v>
      </c>
      <c r="AA260" s="2">
        <f t="shared" si="85"/>
        <v>537.99011310000003</v>
      </c>
      <c r="AB260" s="2">
        <f t="shared" si="86"/>
        <v>1183.2226680000001</v>
      </c>
      <c r="AC260" s="2"/>
      <c r="AD260" s="8">
        <f t="shared" si="87"/>
        <v>0</v>
      </c>
      <c r="AE260" s="8">
        <f t="shared" si="88"/>
        <v>-2.1843471220769066</v>
      </c>
      <c r="AF260" s="8">
        <f t="shared" si="89"/>
        <v>0</v>
      </c>
      <c r="AG260" s="8">
        <f t="shared" si="90"/>
        <v>0.12439411802173925</v>
      </c>
      <c r="AH260" s="11">
        <f t="shared" si="91"/>
        <v>0.2735848422214977</v>
      </c>
      <c r="AI260" s="8">
        <f t="shared" si="92"/>
        <v>-2.0599530040551675</v>
      </c>
      <c r="AJ260" s="9">
        <f t="shared" si="93"/>
        <v>139.01299321427851</v>
      </c>
      <c r="AK260" s="9"/>
      <c r="AL260" s="7">
        <f t="shared" si="94"/>
        <v>1527.9570067857214</v>
      </c>
      <c r="AM260" s="42">
        <f t="shared" si="95"/>
        <v>29.90523774506357</v>
      </c>
    </row>
    <row r="261" spans="1:39" x14ac:dyDescent="0.25">
      <c r="A261" s="1">
        <v>45904</v>
      </c>
      <c r="B261" s="7">
        <v>1696.29</v>
      </c>
      <c r="C261" s="3">
        <v>7336257.2400000002</v>
      </c>
      <c r="E261" s="5">
        <v>45904</v>
      </c>
      <c r="F261" s="4">
        <v>125000</v>
      </c>
      <c r="G261" s="4">
        <v>3853015512</v>
      </c>
      <c r="H261" s="4">
        <v>102300</v>
      </c>
      <c r="I261" s="4">
        <v>4107412004</v>
      </c>
      <c r="J261" s="4">
        <v>30300</v>
      </c>
      <c r="K261" s="4">
        <v>2272318410</v>
      </c>
      <c r="L261" s="4">
        <v>80100</v>
      </c>
      <c r="M261" s="4">
        <v>1793300377</v>
      </c>
      <c r="N261" s="4">
        <v>140000</v>
      </c>
      <c r="O261" s="4">
        <v>591611334</v>
      </c>
      <c r="Q261" s="3"/>
      <c r="R261" s="3">
        <f t="shared" si="96"/>
        <v>0</v>
      </c>
      <c r="S261" s="3">
        <f t="shared" si="78"/>
        <v>-1642964801600</v>
      </c>
      <c r="T261" s="3">
        <f t="shared" si="79"/>
        <v>340847761500</v>
      </c>
      <c r="U261" s="3">
        <f t="shared" si="80"/>
        <v>-179330037700</v>
      </c>
      <c r="V261" s="3">
        <f t="shared" si="81"/>
        <v>-1183222668000</v>
      </c>
      <c r="X261" s="2">
        <f t="shared" si="82"/>
        <v>0</v>
      </c>
      <c r="Y261" s="2">
        <f t="shared" si="83"/>
        <v>-1642.9648016000001</v>
      </c>
      <c r="Z261" s="2">
        <f t="shared" si="84"/>
        <v>340.84776149999999</v>
      </c>
      <c r="AA261" s="2">
        <f t="shared" si="85"/>
        <v>-179.33003769999999</v>
      </c>
      <c r="AB261" s="2">
        <f t="shared" si="86"/>
        <v>-1183.2226680000001</v>
      </c>
      <c r="AC261" s="2"/>
      <c r="AD261" s="8">
        <f t="shared" si="87"/>
        <v>0</v>
      </c>
      <c r="AE261" s="8">
        <f t="shared" si="88"/>
        <v>-0.37988681497848104</v>
      </c>
      <c r="AF261" s="8">
        <f t="shared" si="89"/>
        <v>7.8810921805922113E-2</v>
      </c>
      <c r="AG261" s="8">
        <f t="shared" si="90"/>
        <v>-4.1464745188381592E-2</v>
      </c>
      <c r="AH261" s="11">
        <f t="shared" si="91"/>
        <v>-0.27358510073930037</v>
      </c>
      <c r="AI261" s="8">
        <f t="shared" si="92"/>
        <v>-0.34254063836094051</v>
      </c>
      <c r="AJ261" s="9">
        <f t="shared" si="93"/>
        <v>141.07294621833367</v>
      </c>
      <c r="AK261" s="9"/>
      <c r="AL261" s="7">
        <f t="shared" si="94"/>
        <v>1555.2170537816662</v>
      </c>
      <c r="AM261" s="42">
        <f t="shared" si="95"/>
        <v>33.189265549514872</v>
      </c>
    </row>
    <row r="262" spans="1:39" x14ac:dyDescent="0.25">
      <c r="A262" s="1">
        <v>45903</v>
      </c>
      <c r="B262" s="7">
        <v>1681.3</v>
      </c>
      <c r="C262" s="3">
        <v>7271420.3600000003</v>
      </c>
      <c r="E262" s="5">
        <v>45903</v>
      </c>
      <c r="F262" s="4">
        <v>125000</v>
      </c>
      <c r="G262" s="4">
        <v>3853015512</v>
      </c>
      <c r="H262" s="4">
        <v>102700</v>
      </c>
      <c r="I262" s="4">
        <v>4107412004</v>
      </c>
      <c r="J262" s="4">
        <v>30150</v>
      </c>
      <c r="K262" s="4">
        <v>2272318410</v>
      </c>
      <c r="L262" s="4">
        <v>80200</v>
      </c>
      <c r="M262" s="4">
        <v>1793300377</v>
      </c>
      <c r="N262" s="4">
        <v>142000</v>
      </c>
      <c r="O262" s="4">
        <v>591611334</v>
      </c>
      <c r="Q262" s="3"/>
      <c r="R262" s="3">
        <f t="shared" si="96"/>
        <v>-12714951189600</v>
      </c>
      <c r="S262" s="3">
        <f t="shared" si="78"/>
        <v>-7393341607200</v>
      </c>
      <c r="T262" s="3">
        <f t="shared" si="79"/>
        <v>-568079602500</v>
      </c>
      <c r="U262" s="3">
        <f t="shared" si="80"/>
        <v>0</v>
      </c>
      <c r="V262" s="3">
        <f t="shared" si="81"/>
        <v>-1479028335000</v>
      </c>
      <c r="X262" s="2">
        <f t="shared" si="82"/>
        <v>-12714.9511896</v>
      </c>
      <c r="Y262" s="2">
        <f t="shared" si="83"/>
        <v>-7393.3416072</v>
      </c>
      <c r="Z262" s="2">
        <f t="shared" si="84"/>
        <v>-568.07960249999996</v>
      </c>
      <c r="AA262" s="2">
        <f t="shared" si="85"/>
        <v>0</v>
      </c>
      <c r="AB262" s="2">
        <f t="shared" si="86"/>
        <v>-1479.028335</v>
      </c>
      <c r="AC262" s="2"/>
      <c r="AD262" s="8">
        <f t="shared" si="87"/>
        <v>-2.9399583940209206</v>
      </c>
      <c r="AE262" s="8">
        <f t="shared" si="88"/>
        <v>-1.7094927376308364</v>
      </c>
      <c r="AF262" s="8">
        <f t="shared" si="89"/>
        <v>-0.13135169541256284</v>
      </c>
      <c r="AG262" s="8">
        <f t="shared" si="90"/>
        <v>0</v>
      </c>
      <c r="AH262" s="11">
        <f t="shared" si="91"/>
        <v>-0.34198179007046808</v>
      </c>
      <c r="AI262" s="8">
        <f t="shared" si="92"/>
        <v>-4.7808028270643197</v>
      </c>
      <c r="AJ262" s="9">
        <f t="shared" si="93"/>
        <v>141.4154868566946</v>
      </c>
      <c r="AK262" s="9"/>
      <c r="AL262" s="7">
        <f t="shared" si="94"/>
        <v>1539.8845131433054</v>
      </c>
      <c r="AM262" s="42">
        <f t="shared" si="95"/>
        <v>36.444326064642482</v>
      </c>
    </row>
    <row r="263" spans="1:39" x14ac:dyDescent="0.25">
      <c r="A263" s="1">
        <v>45898</v>
      </c>
      <c r="B263" s="7">
        <v>1682.21</v>
      </c>
      <c r="C263" s="3">
        <v>7275347.1900000004</v>
      </c>
      <c r="E263" s="5">
        <v>45898</v>
      </c>
      <c r="F263" s="4">
        <v>128300</v>
      </c>
      <c r="G263" s="4">
        <v>3853015512</v>
      </c>
      <c r="H263" s="4">
        <v>104500</v>
      </c>
      <c r="I263" s="4">
        <v>4107412004</v>
      </c>
      <c r="J263" s="4">
        <v>30400</v>
      </c>
      <c r="K263" s="4">
        <v>2272318410</v>
      </c>
      <c r="L263" s="4">
        <v>80200</v>
      </c>
      <c r="M263" s="4">
        <v>1793300377</v>
      </c>
      <c r="N263" s="4">
        <v>144500</v>
      </c>
      <c r="O263" s="4">
        <v>591611334</v>
      </c>
      <c r="Q263" s="3"/>
      <c r="R263" s="3">
        <f t="shared" si="96"/>
        <v>-6935427921600</v>
      </c>
      <c r="S263" s="3">
        <f t="shared" si="78"/>
        <v>-410741200400</v>
      </c>
      <c r="T263" s="3">
        <f t="shared" si="79"/>
        <v>-681695523000</v>
      </c>
      <c r="U263" s="3">
        <f t="shared" si="80"/>
        <v>0</v>
      </c>
      <c r="V263" s="3">
        <f t="shared" si="81"/>
        <v>-295805667000</v>
      </c>
      <c r="X263" s="2">
        <f t="shared" si="82"/>
        <v>-6935.4279216000004</v>
      </c>
      <c r="Y263" s="2">
        <f t="shared" si="83"/>
        <v>-410.74120040000003</v>
      </c>
      <c r="Z263" s="2">
        <f t="shared" si="84"/>
        <v>-681.69552299999998</v>
      </c>
      <c r="AA263" s="2">
        <f t="shared" si="85"/>
        <v>0</v>
      </c>
      <c r="AB263" s="2">
        <f t="shared" si="86"/>
        <v>-295.80566700000003</v>
      </c>
      <c r="AC263" s="2"/>
      <c r="AD263" s="8">
        <f t="shared" si="87"/>
        <v>-1.6036053639887802</v>
      </c>
      <c r="AE263" s="8">
        <f t="shared" si="88"/>
        <v>-9.4971326876781448E-2</v>
      </c>
      <c r="AF263" s="8">
        <f t="shared" si="89"/>
        <v>-0.1576212181349789</v>
      </c>
      <c r="AG263" s="8">
        <f t="shared" si="90"/>
        <v>0</v>
      </c>
      <c r="AH263" s="11">
        <f t="shared" si="91"/>
        <v>-6.8396003773916428E-2</v>
      </c>
      <c r="AI263" s="8">
        <f t="shared" si="92"/>
        <v>-1.8561979090005407</v>
      </c>
      <c r="AJ263" s="9">
        <f t="shared" si="93"/>
        <v>146.19628968375892</v>
      </c>
      <c r="AK263" s="9"/>
      <c r="AL263" s="7">
        <f t="shared" si="94"/>
        <v>1536.013710316241</v>
      </c>
      <c r="AM263" s="42">
        <f t="shared" si="95"/>
        <v>40.268301458167358</v>
      </c>
    </row>
    <row r="264" spans="1:39" x14ac:dyDescent="0.25">
      <c r="A264" s="1">
        <v>45897</v>
      </c>
      <c r="B264" s="7">
        <v>1680.86</v>
      </c>
      <c r="C264" s="3">
        <v>7269546.2599999998</v>
      </c>
      <c r="E264" s="5">
        <v>45897</v>
      </c>
      <c r="F264" s="4">
        <v>130100</v>
      </c>
      <c r="G264" s="4">
        <v>3853015512</v>
      </c>
      <c r="H264" s="4">
        <v>104600</v>
      </c>
      <c r="I264" s="4">
        <v>4107412004</v>
      </c>
      <c r="J264" s="4">
        <v>30700</v>
      </c>
      <c r="K264" s="4">
        <v>2272318410</v>
      </c>
      <c r="L264" s="4">
        <v>80200</v>
      </c>
      <c r="M264" s="4">
        <v>1793300377</v>
      </c>
      <c r="N264" s="4">
        <v>145000</v>
      </c>
      <c r="O264" s="4">
        <v>591611334</v>
      </c>
      <c r="Q264" s="3"/>
      <c r="R264" s="3">
        <f t="shared" si="96"/>
        <v>-7320729472800</v>
      </c>
      <c r="S264" s="3">
        <f t="shared" ref="S264:S327" si="97">I264*H264-I265*H265</f>
        <v>0</v>
      </c>
      <c r="T264" s="3">
        <f t="shared" ref="T264:T327" si="98">K264*J264-K265*J265</f>
        <v>227231841000</v>
      </c>
      <c r="U264" s="3">
        <f t="shared" ref="U264:U327" si="99">M264*L264-M265*L265</f>
        <v>0</v>
      </c>
      <c r="V264" s="3">
        <f t="shared" ref="V264:V327" si="100">O264*N264-O265*N265</f>
        <v>532450200600</v>
      </c>
      <c r="X264" s="2">
        <f t="shared" ref="X264:X327" si="101">R264/10^9</f>
        <v>-7320.7294727999997</v>
      </c>
      <c r="Y264" s="2">
        <f t="shared" ref="Y264:Y327" si="102">S264/10^9</f>
        <v>0</v>
      </c>
      <c r="Z264" s="2">
        <f t="shared" ref="Z264:Z327" si="103">T264/10^9</f>
        <v>227.231841</v>
      </c>
      <c r="AA264" s="2">
        <f t="shared" ref="AA264:AA327" si="104">U264/10^9</f>
        <v>0</v>
      </c>
      <c r="AB264" s="2">
        <f t="shared" ref="AB264:AB327" si="105">V264/10^9</f>
        <v>532.45020060000002</v>
      </c>
      <c r="AC264" s="2"/>
      <c r="AD264" s="8">
        <f t="shared" ref="AD264:AD327" si="106">X264/$C265*$B265</f>
        <v>-1.6927070176498542</v>
      </c>
      <c r="AE264" s="8">
        <f t="shared" ref="AE264:AE327" si="107">Y264/$C265*$B265</f>
        <v>0</v>
      </c>
      <c r="AF264" s="8">
        <f t="shared" ref="AF264:AF327" si="108">Z264/$C265*$B265</f>
        <v>5.2540793007487221E-2</v>
      </c>
      <c r="AG264" s="8">
        <f t="shared" ref="AG264:AG327" si="109">AA264/$C265*$B265</f>
        <v>0</v>
      </c>
      <c r="AH264" s="11">
        <f t="shared" ref="AH264:AH327" si="110">AB264/$C265*$B265</f>
        <v>0.12311371352450404</v>
      </c>
      <c r="AI264" s="8">
        <f t="shared" ref="AI264:AI327" si="111">SUM(AD264:AG264)</f>
        <v>-1.6401662246423669</v>
      </c>
      <c r="AJ264" s="9">
        <f t="shared" ref="AJ264:AJ327" si="112">AI264+AJ265</f>
        <v>148.05248759275946</v>
      </c>
      <c r="AK264" s="9"/>
      <c r="AL264" s="7">
        <f t="shared" ref="AL264:AL327" si="113">B264-AJ264</f>
        <v>1532.8075124072404</v>
      </c>
      <c r="AM264" s="42">
        <f t="shared" ref="AM264:AM327" si="114">_xlfn.STDEV.S(AL264:AL283)</f>
        <v>45.344118741294658</v>
      </c>
    </row>
    <row r="265" spans="1:39" x14ac:dyDescent="0.25">
      <c r="A265" s="1">
        <v>45896</v>
      </c>
      <c r="B265" s="7">
        <v>1672.78</v>
      </c>
      <c r="C265" s="3">
        <v>7234547.8099999996</v>
      </c>
      <c r="E265" s="5">
        <v>45896</v>
      </c>
      <c r="F265" s="4">
        <v>132000</v>
      </c>
      <c r="G265" s="4">
        <v>3853015512</v>
      </c>
      <c r="H265" s="4">
        <v>104600</v>
      </c>
      <c r="I265" s="4">
        <v>4107412004</v>
      </c>
      <c r="J265" s="4">
        <v>30600</v>
      </c>
      <c r="K265" s="4">
        <v>2272318410</v>
      </c>
      <c r="L265" s="4">
        <v>80200</v>
      </c>
      <c r="M265" s="4">
        <v>1793300377</v>
      </c>
      <c r="N265" s="4">
        <v>144100</v>
      </c>
      <c r="O265" s="4">
        <v>591611334</v>
      </c>
      <c r="Q265" s="3"/>
      <c r="R265" s="3">
        <f t="shared" si="96"/>
        <v>-13485554292000</v>
      </c>
      <c r="S265" s="3">
        <f t="shared" si="97"/>
        <v>-2464447202400</v>
      </c>
      <c r="T265" s="3">
        <f t="shared" si="98"/>
        <v>-1590622887000</v>
      </c>
      <c r="U265" s="3">
        <f t="shared" si="99"/>
        <v>0</v>
      </c>
      <c r="V265" s="3">
        <f t="shared" si="100"/>
        <v>59161133400</v>
      </c>
      <c r="X265" s="2">
        <f t="shared" si="101"/>
        <v>-13485.554292000001</v>
      </c>
      <c r="Y265" s="2">
        <f t="shared" si="102"/>
        <v>-2464.4472024000002</v>
      </c>
      <c r="Z265" s="2">
        <f t="shared" si="103"/>
        <v>-1590.622887</v>
      </c>
      <c r="AA265" s="2">
        <f t="shared" si="104"/>
        <v>0</v>
      </c>
      <c r="AB265" s="2">
        <f t="shared" si="105"/>
        <v>59.161133399999997</v>
      </c>
      <c r="AC265" s="2"/>
      <c r="AD265" s="8">
        <f t="shared" si="106"/>
        <v>-3.1180415372881645</v>
      </c>
      <c r="AE265" s="8">
        <f t="shared" si="107"/>
        <v>-0.56981334079054646</v>
      </c>
      <c r="AF265" s="8">
        <f t="shared" si="108"/>
        <v>-0.36777340585617646</v>
      </c>
      <c r="AG265" s="8">
        <f t="shared" si="109"/>
        <v>0</v>
      </c>
      <c r="AH265" s="11">
        <f t="shared" si="110"/>
        <v>1.3678849778067851E-2</v>
      </c>
      <c r="AI265" s="8">
        <f t="shared" si="111"/>
        <v>-4.0556282839348876</v>
      </c>
      <c r="AJ265" s="9">
        <f t="shared" si="112"/>
        <v>149.69265381740183</v>
      </c>
      <c r="AK265" s="9"/>
      <c r="AL265" s="7">
        <f t="shared" si="113"/>
        <v>1523.0873461825981</v>
      </c>
      <c r="AM265" s="42">
        <f t="shared" si="114"/>
        <v>48.332234286804749</v>
      </c>
    </row>
    <row r="266" spans="1:39" x14ac:dyDescent="0.25">
      <c r="A266" s="1">
        <v>45895</v>
      </c>
      <c r="B266" s="7">
        <v>1667.63</v>
      </c>
      <c r="C266" s="3">
        <v>7212512.9299999997</v>
      </c>
      <c r="E266" s="5">
        <v>45895</v>
      </c>
      <c r="F266" s="4">
        <v>135500</v>
      </c>
      <c r="G266" s="4">
        <v>3853015512</v>
      </c>
      <c r="H266" s="4">
        <v>105200</v>
      </c>
      <c r="I266" s="4">
        <v>4107412004</v>
      </c>
      <c r="J266" s="4">
        <v>31300</v>
      </c>
      <c r="K266" s="4">
        <v>2272318410</v>
      </c>
      <c r="L266" s="4">
        <v>80200</v>
      </c>
      <c r="M266" s="4">
        <v>1793300377</v>
      </c>
      <c r="N266" s="4">
        <v>144000</v>
      </c>
      <c r="O266" s="4">
        <v>591611334</v>
      </c>
      <c r="Q266" s="3"/>
      <c r="R266" s="3">
        <f t="shared" si="96"/>
        <v>17338569804000</v>
      </c>
      <c r="S266" s="3">
        <f t="shared" si="97"/>
        <v>27930401627200</v>
      </c>
      <c r="T266" s="3">
        <f t="shared" si="98"/>
        <v>2954013933000</v>
      </c>
      <c r="U266" s="3">
        <f t="shared" si="99"/>
        <v>-1075980226200</v>
      </c>
      <c r="V266" s="3">
        <f t="shared" si="100"/>
        <v>887417001000</v>
      </c>
      <c r="X266" s="2">
        <f t="shared" si="101"/>
        <v>17338.569803999999</v>
      </c>
      <c r="Y266" s="2">
        <f t="shared" si="102"/>
        <v>27930.401627200001</v>
      </c>
      <c r="Z266" s="2">
        <f t="shared" si="103"/>
        <v>2954.0139330000002</v>
      </c>
      <c r="AA266" s="2">
        <f t="shared" si="104"/>
        <v>-1075.9802262000001</v>
      </c>
      <c r="AB266" s="2">
        <f t="shared" si="105"/>
        <v>887.41700100000003</v>
      </c>
      <c r="AC266" s="2"/>
      <c r="AD266" s="8">
        <f t="shared" si="106"/>
        <v>4.0089044584436015</v>
      </c>
      <c r="AE266" s="8">
        <f t="shared" si="107"/>
        <v>6.4578747194922057</v>
      </c>
      <c r="AF266" s="8">
        <f t="shared" si="108"/>
        <v>0.68300671625039067</v>
      </c>
      <c r="AG266" s="8">
        <f t="shared" si="109"/>
        <v>-0.24878072267616977</v>
      </c>
      <c r="AH266" s="11">
        <f t="shared" si="110"/>
        <v>0.205182435000309</v>
      </c>
      <c r="AI266" s="8">
        <f t="shared" si="111"/>
        <v>10.901005171510029</v>
      </c>
      <c r="AJ266" s="9">
        <f t="shared" si="112"/>
        <v>153.74828210133671</v>
      </c>
      <c r="AK266" s="9"/>
      <c r="AL266" s="7">
        <f t="shared" si="113"/>
        <v>1513.8817178986633</v>
      </c>
      <c r="AM266" s="42">
        <f t="shared" si="114"/>
        <v>50.760547971216369</v>
      </c>
    </row>
    <row r="267" spans="1:39" x14ac:dyDescent="0.25">
      <c r="A267" s="1">
        <v>45894</v>
      </c>
      <c r="B267" s="7">
        <v>1614.03</v>
      </c>
      <c r="C267" s="3">
        <v>6980703.1100000003</v>
      </c>
      <c r="E267" s="5">
        <v>45894</v>
      </c>
      <c r="F267" s="4">
        <v>131000</v>
      </c>
      <c r="G267" s="4">
        <v>3853015512</v>
      </c>
      <c r="H267" s="4">
        <v>98400</v>
      </c>
      <c r="I267" s="4">
        <v>4107412004</v>
      </c>
      <c r="J267" s="4">
        <v>30000</v>
      </c>
      <c r="K267" s="4">
        <v>2272318410</v>
      </c>
      <c r="L267" s="4">
        <v>80800</v>
      </c>
      <c r="M267" s="4">
        <v>1793300377</v>
      </c>
      <c r="N267" s="4">
        <v>142500</v>
      </c>
      <c r="O267" s="4">
        <v>591611334</v>
      </c>
      <c r="Q267" s="3"/>
      <c r="R267" s="3">
        <f t="shared" si="96"/>
        <v>26585807032800</v>
      </c>
      <c r="S267" s="3">
        <f t="shared" si="97"/>
        <v>1232223601200</v>
      </c>
      <c r="T267" s="3">
        <f t="shared" si="98"/>
        <v>0</v>
      </c>
      <c r="U267" s="3">
        <f t="shared" si="99"/>
        <v>0</v>
      </c>
      <c r="V267" s="3">
        <f t="shared" si="100"/>
        <v>1479028335000</v>
      </c>
      <c r="X267" s="2">
        <f t="shared" si="101"/>
        <v>26585.807032799999</v>
      </c>
      <c r="Y267" s="2">
        <f t="shared" si="102"/>
        <v>1232.2236012000001</v>
      </c>
      <c r="Z267" s="2">
        <f t="shared" si="103"/>
        <v>0</v>
      </c>
      <c r="AA267" s="2">
        <f t="shared" si="104"/>
        <v>0</v>
      </c>
      <c r="AB267" s="2">
        <f t="shared" si="105"/>
        <v>1479.028335</v>
      </c>
      <c r="AC267" s="2"/>
      <c r="AD267" s="8">
        <f t="shared" si="106"/>
        <v>6.1471958736429455</v>
      </c>
      <c r="AE267" s="8">
        <f t="shared" si="107"/>
        <v>0.28491592628190104</v>
      </c>
      <c r="AF267" s="8">
        <f t="shared" si="108"/>
        <v>0</v>
      </c>
      <c r="AG267" s="8">
        <f t="shared" si="109"/>
        <v>0</v>
      </c>
      <c r="AH267" s="11">
        <f t="shared" si="110"/>
        <v>0.34198235421990297</v>
      </c>
      <c r="AI267" s="8">
        <f t="shared" si="111"/>
        <v>6.4321117999248463</v>
      </c>
      <c r="AJ267" s="9">
        <f t="shared" si="112"/>
        <v>142.84727692982668</v>
      </c>
      <c r="AK267" s="9"/>
      <c r="AL267" s="7">
        <f t="shared" si="113"/>
        <v>1471.1827230701733</v>
      </c>
      <c r="AM267" s="42">
        <f t="shared" si="114"/>
        <v>54.189839844149617</v>
      </c>
    </row>
    <row r="268" spans="1:39" x14ac:dyDescent="0.25">
      <c r="A268" s="1">
        <v>45891</v>
      </c>
      <c r="B268" s="7">
        <v>1645.47</v>
      </c>
      <c r="C268" s="3">
        <v>7116439.5599999996</v>
      </c>
      <c r="E268" s="5">
        <v>45891</v>
      </c>
      <c r="F268" s="4">
        <v>124100</v>
      </c>
      <c r="G268" s="4">
        <v>3853015512</v>
      </c>
      <c r="H268" s="4">
        <v>98100</v>
      </c>
      <c r="I268" s="4">
        <v>4107412004</v>
      </c>
      <c r="J268" s="4">
        <v>30000</v>
      </c>
      <c r="K268" s="4">
        <v>2272318410</v>
      </c>
      <c r="L268" s="4">
        <v>80800</v>
      </c>
      <c r="M268" s="4">
        <v>1793300377</v>
      </c>
      <c r="N268" s="4">
        <v>140000</v>
      </c>
      <c r="O268" s="4">
        <v>591611334</v>
      </c>
      <c r="Q268" s="3"/>
      <c r="R268" s="3">
        <f t="shared" si="96"/>
        <v>-3467713960800</v>
      </c>
      <c r="S268" s="3">
        <f t="shared" si="97"/>
        <v>-6982600406800</v>
      </c>
      <c r="T268" s="3">
        <f t="shared" si="98"/>
        <v>-908927364000</v>
      </c>
      <c r="U268" s="3">
        <f t="shared" si="99"/>
        <v>-179330037700</v>
      </c>
      <c r="V268" s="3">
        <f t="shared" si="100"/>
        <v>-3431345737200</v>
      </c>
      <c r="X268" s="2">
        <f t="shared" si="101"/>
        <v>-3467.7139608000002</v>
      </c>
      <c r="Y268" s="2">
        <f t="shared" si="102"/>
        <v>-6982.6004068000002</v>
      </c>
      <c r="Z268" s="2">
        <f t="shared" si="103"/>
        <v>-908.92736400000001</v>
      </c>
      <c r="AA268" s="2">
        <f t="shared" si="104"/>
        <v>-179.33003769999999</v>
      </c>
      <c r="AB268" s="2">
        <f t="shared" si="105"/>
        <v>-3431.3457371999998</v>
      </c>
      <c r="AC268" s="2"/>
      <c r="AD268" s="8">
        <f t="shared" si="106"/>
        <v>-0.80180746115868939</v>
      </c>
      <c r="AE268" s="8">
        <f t="shared" si="107"/>
        <v>-1.6145221802464704</v>
      </c>
      <c r="AF268" s="8">
        <f t="shared" si="108"/>
        <v>-0.21016287685342122</v>
      </c>
      <c r="AG268" s="8">
        <f t="shared" si="109"/>
        <v>-4.1464827798125881E-2</v>
      </c>
      <c r="AH268" s="11">
        <f t="shared" si="110"/>
        <v>-0.7933983728194538</v>
      </c>
      <c r="AI268" s="8">
        <f t="shared" si="111"/>
        <v>-2.6679573460567072</v>
      </c>
      <c r="AJ268" s="9">
        <f t="shared" si="112"/>
        <v>136.41516512990182</v>
      </c>
      <c r="AK268" s="9"/>
      <c r="AL268" s="7">
        <f t="shared" si="113"/>
        <v>1509.0548348700981</v>
      </c>
      <c r="AM268" s="42">
        <f t="shared" si="114"/>
        <v>54.693867296870877</v>
      </c>
    </row>
    <row r="269" spans="1:39" x14ac:dyDescent="0.25">
      <c r="A269" s="1">
        <v>45890</v>
      </c>
      <c r="B269" s="7">
        <v>1688</v>
      </c>
      <c r="C269" s="3">
        <v>7300382.5099999998</v>
      </c>
      <c r="E269" s="5">
        <v>45890</v>
      </c>
      <c r="F269" s="4">
        <v>125000</v>
      </c>
      <c r="G269" s="4">
        <v>3853015512</v>
      </c>
      <c r="H269" s="4">
        <v>99800</v>
      </c>
      <c r="I269" s="4">
        <v>4107412004</v>
      </c>
      <c r="J269" s="4">
        <v>30400</v>
      </c>
      <c r="K269" s="4">
        <v>2272318410</v>
      </c>
      <c r="L269" s="4">
        <v>80900</v>
      </c>
      <c r="M269" s="4">
        <v>1793300377</v>
      </c>
      <c r="N269" s="4">
        <v>145800</v>
      </c>
      <c r="O269" s="4">
        <v>591611334</v>
      </c>
      <c r="Q269" s="3"/>
      <c r="R269" s="3">
        <f>G270*F269-G270*F270</f>
        <v>3058929248800</v>
      </c>
      <c r="S269" s="3">
        <f t="shared" si="97"/>
        <v>3285929603200</v>
      </c>
      <c r="T269" s="3">
        <f t="shared" si="98"/>
        <v>908927364000</v>
      </c>
      <c r="U269" s="3">
        <f t="shared" si="99"/>
        <v>-1075980226200</v>
      </c>
      <c r="V269" s="3">
        <f t="shared" si="100"/>
        <v>1183222668000</v>
      </c>
      <c r="X269" s="2">
        <f t="shared" si="101"/>
        <v>3058.9292488000001</v>
      </c>
      <c r="Y269" s="2">
        <f t="shared" si="102"/>
        <v>3285.9296032000002</v>
      </c>
      <c r="Z269" s="2">
        <f t="shared" si="103"/>
        <v>908.92736400000001</v>
      </c>
      <c r="AA269" s="2">
        <f t="shared" si="104"/>
        <v>-1075.9802262000001</v>
      </c>
      <c r="AB269" s="2">
        <f t="shared" si="105"/>
        <v>1183.2226680000001</v>
      </c>
      <c r="AC269" s="2"/>
      <c r="AD269" s="8">
        <f t="shared" si="106"/>
        <v>0.7073188614332454</v>
      </c>
      <c r="AE269" s="8">
        <f t="shared" si="107"/>
        <v>0.75980835012676085</v>
      </c>
      <c r="AF269" s="8">
        <f t="shared" si="108"/>
        <v>0.21017206216266934</v>
      </c>
      <c r="AG269" s="8">
        <f t="shared" si="109"/>
        <v>-0.24879984027712626</v>
      </c>
      <c r="AH269" s="11">
        <f t="shared" si="110"/>
        <v>0.27359760304364156</v>
      </c>
      <c r="AI269" s="8">
        <f t="shared" si="111"/>
        <v>1.4284994334455492</v>
      </c>
      <c r="AJ269" s="9">
        <f t="shared" si="112"/>
        <v>139.08312247595853</v>
      </c>
      <c r="AK269" s="9"/>
      <c r="AL269" s="7">
        <f t="shared" si="113"/>
        <v>1548.9168775240414</v>
      </c>
      <c r="AM269" s="42">
        <f t="shared" si="114"/>
        <v>54.803459399802918</v>
      </c>
    </row>
    <row r="270" spans="1:39" x14ac:dyDescent="0.25">
      <c r="A270" s="1">
        <v>45889</v>
      </c>
      <c r="B270" s="7">
        <v>1664.36</v>
      </c>
      <c r="C270" s="3">
        <v>7197827.9699999997</v>
      </c>
      <c r="E270" s="5">
        <v>45889</v>
      </c>
      <c r="F270" s="4">
        <v>124200</v>
      </c>
      <c r="G270" s="4">
        <v>3823661561</v>
      </c>
      <c r="H270" s="4">
        <v>99000</v>
      </c>
      <c r="I270" s="4">
        <v>4107412004</v>
      </c>
      <c r="J270" s="4">
        <v>30000</v>
      </c>
      <c r="K270" s="4">
        <v>2272318410</v>
      </c>
      <c r="L270" s="4">
        <v>81500</v>
      </c>
      <c r="M270" s="4">
        <v>1793300377</v>
      </c>
      <c r="N270" s="4">
        <v>143800</v>
      </c>
      <c r="O270" s="4">
        <v>591611334</v>
      </c>
      <c r="Q270" s="3"/>
      <c r="R270" s="3">
        <f t="shared" ref="R270:R301" si="115">G270*F270-G271*F271</f>
        <v>22941969366000</v>
      </c>
      <c r="S270" s="3">
        <f t="shared" si="97"/>
        <v>20947801220400</v>
      </c>
      <c r="T270" s="3">
        <f t="shared" si="98"/>
        <v>113615920500</v>
      </c>
      <c r="U270" s="3">
        <f t="shared" si="99"/>
        <v>0</v>
      </c>
      <c r="V270" s="3">
        <f t="shared" si="100"/>
        <v>-1301544934800</v>
      </c>
      <c r="X270" s="2">
        <f t="shared" si="101"/>
        <v>22941.969366000001</v>
      </c>
      <c r="Y270" s="2">
        <f t="shared" si="102"/>
        <v>20947.801220400001</v>
      </c>
      <c r="Z270" s="2">
        <f t="shared" si="103"/>
        <v>113.6159205</v>
      </c>
      <c r="AA270" s="2">
        <f t="shared" si="104"/>
        <v>0</v>
      </c>
      <c r="AB270" s="2">
        <f t="shared" si="105"/>
        <v>-1301.5449348</v>
      </c>
      <c r="AC270" s="2"/>
      <c r="AD270" s="8">
        <f t="shared" si="106"/>
        <v>5.3064099003580081</v>
      </c>
      <c r="AE270" s="8">
        <f t="shared" si="107"/>
        <v>4.8451646854431649</v>
      </c>
      <c r="AF270" s="8">
        <f t="shared" si="108"/>
        <v>2.627902756565333E-2</v>
      </c>
      <c r="AG270" s="8">
        <f t="shared" si="109"/>
        <v>0</v>
      </c>
      <c r="AH270" s="11">
        <f t="shared" si="110"/>
        <v>-0.30104350753859066</v>
      </c>
      <c r="AI270" s="8">
        <f t="shared" si="111"/>
        <v>10.177853613366826</v>
      </c>
      <c r="AJ270" s="9">
        <f t="shared" si="112"/>
        <v>137.65462304251298</v>
      </c>
      <c r="AK270" s="9"/>
      <c r="AL270" s="7">
        <f t="shared" si="113"/>
        <v>1526.7053769574868</v>
      </c>
      <c r="AM270" s="42">
        <f t="shared" si="114"/>
        <v>51.750257857609654</v>
      </c>
    </row>
    <row r="271" spans="1:39" x14ac:dyDescent="0.25">
      <c r="A271" s="1">
        <v>45888</v>
      </c>
      <c r="B271" s="7">
        <v>1654.2</v>
      </c>
      <c r="C271" s="3">
        <v>7151842.0999999996</v>
      </c>
      <c r="E271" s="5">
        <v>45888</v>
      </c>
      <c r="F271" s="4">
        <v>118200</v>
      </c>
      <c r="G271" s="4">
        <v>3823661561</v>
      </c>
      <c r="H271" s="4">
        <v>93900</v>
      </c>
      <c r="I271" s="4">
        <v>4107412004</v>
      </c>
      <c r="J271" s="4">
        <v>29950</v>
      </c>
      <c r="K271" s="4">
        <v>2272318410</v>
      </c>
      <c r="L271" s="4">
        <v>81500</v>
      </c>
      <c r="M271" s="4">
        <v>1793300377</v>
      </c>
      <c r="N271" s="4">
        <v>146000</v>
      </c>
      <c r="O271" s="4">
        <v>591611334</v>
      </c>
      <c r="Q271" s="3"/>
      <c r="R271" s="3">
        <f t="shared" si="115"/>
        <v>0</v>
      </c>
      <c r="S271" s="3">
        <f t="shared" si="97"/>
        <v>0</v>
      </c>
      <c r="T271" s="3">
        <f t="shared" si="98"/>
        <v>0</v>
      </c>
      <c r="U271" s="3">
        <f t="shared" si="99"/>
        <v>-179330037700</v>
      </c>
      <c r="V271" s="3">
        <f t="shared" si="100"/>
        <v>2129800802400</v>
      </c>
      <c r="X271" s="2">
        <f t="shared" si="101"/>
        <v>0</v>
      </c>
      <c r="Y271" s="2">
        <f t="shared" si="102"/>
        <v>0</v>
      </c>
      <c r="Z271" s="2">
        <f t="shared" si="103"/>
        <v>0</v>
      </c>
      <c r="AA271" s="2">
        <f t="shared" si="104"/>
        <v>-179.33003769999999</v>
      </c>
      <c r="AB271" s="2">
        <f t="shared" si="105"/>
        <v>2129.8008024000001</v>
      </c>
      <c r="AC271" s="2"/>
      <c r="AD271" s="8">
        <f t="shared" si="106"/>
        <v>0</v>
      </c>
      <c r="AE271" s="8">
        <f t="shared" si="107"/>
        <v>0</v>
      </c>
      <c r="AF271" s="8">
        <f t="shared" si="108"/>
        <v>0</v>
      </c>
      <c r="AG271" s="8">
        <f t="shared" si="109"/>
        <v>-4.1478476384468874E-2</v>
      </c>
      <c r="AH271" s="11">
        <f t="shared" si="110"/>
        <v>0.49261625893234995</v>
      </c>
      <c r="AI271" s="8">
        <f t="shared" si="111"/>
        <v>-4.1478476384468874E-2</v>
      </c>
      <c r="AJ271" s="9">
        <f t="shared" si="112"/>
        <v>127.47676942914616</v>
      </c>
      <c r="AK271" s="9"/>
      <c r="AL271" s="7">
        <f t="shared" si="113"/>
        <v>1526.723230570854</v>
      </c>
      <c r="AM271" s="42">
        <f t="shared" si="114"/>
        <v>49.958534232120741</v>
      </c>
    </row>
    <row r="272" spans="1:39" x14ac:dyDescent="0.25">
      <c r="A272" s="1">
        <v>45887</v>
      </c>
      <c r="B272" s="7">
        <v>1636.37</v>
      </c>
      <c r="C272" s="3">
        <v>7074760.6799999997</v>
      </c>
      <c r="E272" s="5">
        <v>45887</v>
      </c>
      <c r="F272" s="4">
        <v>118200</v>
      </c>
      <c r="G272" s="4">
        <v>3823661561</v>
      </c>
      <c r="H272" s="4">
        <v>93900</v>
      </c>
      <c r="I272" s="4">
        <v>4107412004</v>
      </c>
      <c r="J272" s="4">
        <v>29950</v>
      </c>
      <c r="K272" s="4">
        <v>2272318410</v>
      </c>
      <c r="L272" s="4">
        <v>81600</v>
      </c>
      <c r="M272" s="4">
        <v>1793300377</v>
      </c>
      <c r="N272" s="4">
        <v>142400</v>
      </c>
      <c r="O272" s="4">
        <v>591611334</v>
      </c>
      <c r="Q272" s="3"/>
      <c r="R272" s="3">
        <f t="shared" si="115"/>
        <v>0</v>
      </c>
      <c r="S272" s="3">
        <f t="shared" si="97"/>
        <v>-410741200400</v>
      </c>
      <c r="T272" s="3">
        <f t="shared" si="98"/>
        <v>-795311443500</v>
      </c>
      <c r="U272" s="3">
        <f t="shared" si="99"/>
        <v>-2331290490100</v>
      </c>
      <c r="V272" s="3">
        <f t="shared" si="100"/>
        <v>-1893156268800</v>
      </c>
      <c r="X272" s="2">
        <f t="shared" si="101"/>
        <v>0</v>
      </c>
      <c r="Y272" s="2">
        <f t="shared" si="102"/>
        <v>-410.74120040000003</v>
      </c>
      <c r="Z272" s="2">
        <f t="shared" si="103"/>
        <v>-795.3114435</v>
      </c>
      <c r="AA272" s="2">
        <f t="shared" si="104"/>
        <v>-2331.2904901000002</v>
      </c>
      <c r="AB272" s="2">
        <f t="shared" si="105"/>
        <v>-1893.1562687999999</v>
      </c>
      <c r="AC272" s="2"/>
      <c r="AD272" s="8">
        <f t="shared" si="106"/>
        <v>0</v>
      </c>
      <c r="AE272" s="8">
        <f t="shared" si="107"/>
        <v>-9.5003278332620525E-2</v>
      </c>
      <c r="AF272" s="8">
        <f t="shared" si="108"/>
        <v>-0.18395328823689316</v>
      </c>
      <c r="AG272" s="8">
        <f t="shared" si="109"/>
        <v>-0.53922089892485403</v>
      </c>
      <c r="AH272" s="11">
        <f t="shared" si="110"/>
        <v>-0.43788169230843915</v>
      </c>
      <c r="AI272" s="8">
        <f t="shared" si="111"/>
        <v>-0.81817746549436765</v>
      </c>
      <c r="AJ272" s="9">
        <f t="shared" si="112"/>
        <v>127.51824790553063</v>
      </c>
      <c r="AK272" s="9"/>
      <c r="AL272" s="7">
        <f t="shared" si="113"/>
        <v>1508.8517520944692</v>
      </c>
      <c r="AM272" s="42">
        <f t="shared" si="114"/>
        <v>47.506865295530126</v>
      </c>
    </row>
    <row r="273" spans="1:39" x14ac:dyDescent="0.25">
      <c r="A273" s="1">
        <v>45884</v>
      </c>
      <c r="B273" s="7">
        <v>1630</v>
      </c>
      <c r="C273" s="3">
        <v>7047211.0899999999</v>
      </c>
      <c r="E273" s="5">
        <v>45884</v>
      </c>
      <c r="F273" s="4">
        <v>118200</v>
      </c>
      <c r="G273" s="4">
        <v>3823661561</v>
      </c>
      <c r="H273" s="4">
        <v>94000</v>
      </c>
      <c r="I273" s="4">
        <v>4107412004</v>
      </c>
      <c r="J273" s="4">
        <v>30300</v>
      </c>
      <c r="K273" s="4">
        <v>2272318410</v>
      </c>
      <c r="L273" s="4">
        <v>82900</v>
      </c>
      <c r="M273" s="4">
        <v>1793300377</v>
      </c>
      <c r="N273" s="4">
        <v>145600</v>
      </c>
      <c r="O273" s="4">
        <v>591611334</v>
      </c>
      <c r="Q273" s="3"/>
      <c r="R273" s="3">
        <f t="shared" si="115"/>
        <v>0</v>
      </c>
      <c r="S273" s="3">
        <f t="shared" si="97"/>
        <v>410741200400</v>
      </c>
      <c r="T273" s="3">
        <f t="shared" si="98"/>
        <v>340847761500</v>
      </c>
      <c r="U273" s="3">
        <f t="shared" si="99"/>
        <v>179330037700</v>
      </c>
      <c r="V273" s="3">
        <f t="shared" si="100"/>
        <v>5501985406200</v>
      </c>
      <c r="X273" s="2">
        <f t="shared" si="101"/>
        <v>0</v>
      </c>
      <c r="Y273" s="2">
        <f t="shared" si="102"/>
        <v>410.74120040000003</v>
      </c>
      <c r="Z273" s="2">
        <f t="shared" si="103"/>
        <v>340.84776149999999</v>
      </c>
      <c r="AA273" s="2">
        <f t="shared" si="104"/>
        <v>179.33003769999999</v>
      </c>
      <c r="AB273" s="2">
        <f t="shared" si="105"/>
        <v>5501.9854062000004</v>
      </c>
      <c r="AC273" s="2"/>
      <c r="AD273" s="8">
        <f t="shared" si="106"/>
        <v>0</v>
      </c>
      <c r="AE273" s="8">
        <f t="shared" si="107"/>
        <v>9.5012056057614688E-2</v>
      </c>
      <c r="AF273" s="8">
        <f t="shared" si="108"/>
        <v>7.8844407600729402E-2</v>
      </c>
      <c r="AG273" s="8">
        <f t="shared" si="109"/>
        <v>4.1482363050440535E-2</v>
      </c>
      <c r="AH273" s="11">
        <f t="shared" si="110"/>
        <v>1.2727112481849101</v>
      </c>
      <c r="AI273" s="8">
        <f t="shared" si="111"/>
        <v>0.21533882670878463</v>
      </c>
      <c r="AJ273" s="9">
        <f t="shared" si="112"/>
        <v>128.336425371025</v>
      </c>
      <c r="AK273" s="9"/>
      <c r="AL273" s="7">
        <f t="shared" si="113"/>
        <v>1501.6635746289751</v>
      </c>
      <c r="AM273" s="42">
        <f t="shared" si="114"/>
        <v>46.563274625444606</v>
      </c>
    </row>
    <row r="274" spans="1:39" x14ac:dyDescent="0.25">
      <c r="A274" s="1">
        <v>45883</v>
      </c>
      <c r="B274" s="7">
        <v>1640.69</v>
      </c>
      <c r="C274" s="3">
        <v>7092773.3600000003</v>
      </c>
      <c r="E274" s="5">
        <v>45883</v>
      </c>
      <c r="F274" s="4">
        <v>118200</v>
      </c>
      <c r="G274" s="4">
        <v>3823661561</v>
      </c>
      <c r="H274" s="4">
        <v>93900</v>
      </c>
      <c r="I274" s="4">
        <v>4107412004</v>
      </c>
      <c r="J274" s="4">
        <v>30150</v>
      </c>
      <c r="K274" s="4">
        <v>2272318410</v>
      </c>
      <c r="L274" s="4">
        <v>82800</v>
      </c>
      <c r="M274" s="4">
        <v>1793300377</v>
      </c>
      <c r="N274" s="4">
        <v>136300</v>
      </c>
      <c r="O274" s="4">
        <v>591611334</v>
      </c>
      <c r="Q274" s="3"/>
      <c r="R274" s="3">
        <f t="shared" si="115"/>
        <v>8412055434200</v>
      </c>
      <c r="S274" s="3">
        <f t="shared" si="97"/>
        <v>3696670803600</v>
      </c>
      <c r="T274" s="3">
        <f t="shared" si="98"/>
        <v>1590622887000</v>
      </c>
      <c r="U274" s="3">
        <f t="shared" si="99"/>
        <v>-896650188500</v>
      </c>
      <c r="V274" s="3">
        <f t="shared" si="100"/>
        <v>5265340872600</v>
      </c>
      <c r="X274" s="2">
        <f t="shared" si="101"/>
        <v>8412.0554341999996</v>
      </c>
      <c r="Y274" s="2">
        <f t="shared" si="102"/>
        <v>3696.6708036</v>
      </c>
      <c r="Z274" s="2">
        <f t="shared" si="103"/>
        <v>1590.622887</v>
      </c>
      <c r="AA274" s="2">
        <f t="shared" si="104"/>
        <v>-896.65018850000001</v>
      </c>
      <c r="AB274" s="2">
        <f t="shared" si="105"/>
        <v>5265.3408725999998</v>
      </c>
      <c r="AC274" s="2"/>
      <c r="AD274" s="8">
        <f t="shared" si="106"/>
        <v>1.9459862134728991</v>
      </c>
      <c r="AE274" s="8">
        <f t="shared" si="107"/>
        <v>0.85516203213626496</v>
      </c>
      <c r="AF274" s="8">
        <f t="shared" si="108"/>
        <v>0.36796360094729119</v>
      </c>
      <c r="AG274" s="8">
        <f t="shared" si="109"/>
        <v>-0.20742479870436281</v>
      </c>
      <c r="AH274" s="11">
        <f t="shared" si="110"/>
        <v>1.218047221331632</v>
      </c>
      <c r="AI274" s="8">
        <f t="shared" si="111"/>
        <v>2.9616870478520925</v>
      </c>
      <c r="AJ274" s="9">
        <f t="shared" si="112"/>
        <v>128.12108654431623</v>
      </c>
      <c r="AK274" s="9"/>
      <c r="AL274" s="7">
        <f t="shared" si="113"/>
        <v>1512.5689134556837</v>
      </c>
      <c r="AM274" s="42">
        <f t="shared" si="114"/>
        <v>44.977976708406246</v>
      </c>
    </row>
    <row r="275" spans="1:39" x14ac:dyDescent="0.25">
      <c r="A275" s="1">
        <v>45882</v>
      </c>
      <c r="B275" s="7">
        <v>1611.6</v>
      </c>
      <c r="C275" s="3">
        <v>6966579.9500000002</v>
      </c>
      <c r="E275" s="5">
        <v>45882</v>
      </c>
      <c r="F275" s="4">
        <v>116000</v>
      </c>
      <c r="G275" s="4">
        <v>3823661561</v>
      </c>
      <c r="H275" s="4">
        <v>93000</v>
      </c>
      <c r="I275" s="4">
        <v>4107412004</v>
      </c>
      <c r="J275" s="4">
        <v>29450</v>
      </c>
      <c r="K275" s="4">
        <v>2272318410</v>
      </c>
      <c r="L275" s="4">
        <v>83300</v>
      </c>
      <c r="M275" s="4">
        <v>1793300377</v>
      </c>
      <c r="N275" s="4">
        <v>127400</v>
      </c>
      <c r="O275" s="4">
        <v>591611334</v>
      </c>
      <c r="Q275" s="3"/>
      <c r="R275" s="3">
        <f t="shared" si="115"/>
        <v>1911830780500</v>
      </c>
      <c r="S275" s="3">
        <f t="shared" si="97"/>
        <v>0</v>
      </c>
      <c r="T275" s="3">
        <f t="shared" si="98"/>
        <v>0</v>
      </c>
      <c r="U275" s="3">
        <f t="shared" si="99"/>
        <v>-1255310263900</v>
      </c>
      <c r="V275" s="3">
        <f t="shared" si="100"/>
        <v>236644533600</v>
      </c>
      <c r="X275" s="2">
        <f t="shared" si="101"/>
        <v>1911.8307804999999</v>
      </c>
      <c r="Y275" s="2">
        <f t="shared" si="102"/>
        <v>0</v>
      </c>
      <c r="Z275" s="2">
        <f t="shared" si="103"/>
        <v>0</v>
      </c>
      <c r="AA275" s="2">
        <f t="shared" si="104"/>
        <v>-1255.3102639000001</v>
      </c>
      <c r="AB275" s="2">
        <f t="shared" si="105"/>
        <v>236.64453359999999</v>
      </c>
      <c r="AC275" s="2"/>
      <c r="AD275" s="8">
        <f t="shared" si="106"/>
        <v>0.44229394056658838</v>
      </c>
      <c r="AE275" s="8">
        <f t="shared" si="107"/>
        <v>0</v>
      </c>
      <c r="AF275" s="8">
        <f t="shared" si="108"/>
        <v>0</v>
      </c>
      <c r="AG275" s="8">
        <f t="shared" si="109"/>
        <v>-0.29041070418837472</v>
      </c>
      <c r="AH275" s="11">
        <f t="shared" si="110"/>
        <v>5.4746708938388927E-2</v>
      </c>
      <c r="AI275" s="8">
        <f t="shared" si="111"/>
        <v>0.15188323637821366</v>
      </c>
      <c r="AJ275" s="9">
        <f t="shared" si="112"/>
        <v>125.15939949646415</v>
      </c>
      <c r="AK275" s="9"/>
      <c r="AL275" s="7">
        <f t="shared" si="113"/>
        <v>1486.4406005035357</v>
      </c>
      <c r="AM275" s="42">
        <f t="shared" si="114"/>
        <v>41.40690567269089</v>
      </c>
    </row>
    <row r="276" spans="1:39" x14ac:dyDescent="0.25">
      <c r="A276" s="1">
        <v>45881</v>
      </c>
      <c r="B276" s="7">
        <v>1608.22</v>
      </c>
      <c r="C276" s="3">
        <v>6951586.2999999998</v>
      </c>
      <c r="E276" s="5">
        <v>45881</v>
      </c>
      <c r="F276" s="4">
        <v>115500</v>
      </c>
      <c r="G276" s="4">
        <v>3823661561</v>
      </c>
      <c r="H276" s="4">
        <v>93000</v>
      </c>
      <c r="I276" s="4">
        <v>4107412004</v>
      </c>
      <c r="J276" s="4">
        <v>29450</v>
      </c>
      <c r="K276" s="4">
        <v>2272318410</v>
      </c>
      <c r="L276" s="4">
        <v>84000</v>
      </c>
      <c r="M276" s="4">
        <v>1793300377</v>
      </c>
      <c r="N276" s="4">
        <v>127000</v>
      </c>
      <c r="O276" s="4">
        <v>591611334</v>
      </c>
      <c r="Q276" s="3"/>
      <c r="R276" s="3">
        <f t="shared" si="115"/>
        <v>0</v>
      </c>
      <c r="S276" s="3">
        <f t="shared" si="97"/>
        <v>-2053706002000</v>
      </c>
      <c r="T276" s="3">
        <f t="shared" si="98"/>
        <v>227231841000</v>
      </c>
      <c r="U276" s="3">
        <f t="shared" si="99"/>
        <v>0</v>
      </c>
      <c r="V276" s="3">
        <f t="shared" si="100"/>
        <v>1774834002000</v>
      </c>
      <c r="X276" s="2">
        <f t="shared" si="101"/>
        <v>0</v>
      </c>
      <c r="Y276" s="2">
        <f t="shared" si="102"/>
        <v>-2053.7060019999999</v>
      </c>
      <c r="Z276" s="2">
        <f t="shared" si="103"/>
        <v>227.231841</v>
      </c>
      <c r="AA276" s="2">
        <f t="shared" si="104"/>
        <v>0</v>
      </c>
      <c r="AB276" s="2">
        <f t="shared" si="105"/>
        <v>1774.8340020000001</v>
      </c>
      <c r="AC276" s="2"/>
      <c r="AD276" s="8">
        <f t="shared" si="106"/>
        <v>0</v>
      </c>
      <c r="AE276" s="8">
        <f t="shared" si="107"/>
        <v>-0.47511453015564781</v>
      </c>
      <c r="AF276" s="8">
        <f t="shared" si="108"/>
        <v>5.2568940864943667E-2</v>
      </c>
      <c r="AG276" s="8">
        <f t="shared" si="109"/>
        <v>0</v>
      </c>
      <c r="AH276" s="11">
        <f t="shared" si="110"/>
        <v>0.41059889884107093</v>
      </c>
      <c r="AI276" s="8">
        <f t="shared" si="111"/>
        <v>-0.42254558929070413</v>
      </c>
      <c r="AJ276" s="9">
        <f t="shared" si="112"/>
        <v>125.00751626008594</v>
      </c>
      <c r="AK276" s="9"/>
      <c r="AL276" s="7">
        <f t="shared" si="113"/>
        <v>1483.2124837399142</v>
      </c>
      <c r="AM276" s="42">
        <f t="shared" si="114"/>
        <v>39.532410552073863</v>
      </c>
    </row>
    <row r="277" spans="1:39" x14ac:dyDescent="0.25">
      <c r="A277" s="1">
        <v>45880</v>
      </c>
      <c r="B277" s="7">
        <v>1596.86</v>
      </c>
      <c r="C277" s="3">
        <v>6902506.1500000004</v>
      </c>
      <c r="E277" s="5">
        <v>45880</v>
      </c>
      <c r="F277" s="4">
        <v>115500</v>
      </c>
      <c r="G277" s="4">
        <v>3823661561</v>
      </c>
      <c r="H277" s="4">
        <v>93500</v>
      </c>
      <c r="I277" s="4">
        <v>4107412004</v>
      </c>
      <c r="J277" s="4">
        <v>29350</v>
      </c>
      <c r="K277" s="4">
        <v>2272318410</v>
      </c>
      <c r="L277" s="4">
        <v>84000</v>
      </c>
      <c r="M277" s="4">
        <v>1793300377</v>
      </c>
      <c r="N277" s="4">
        <v>124000</v>
      </c>
      <c r="O277" s="4">
        <v>591611334</v>
      </c>
      <c r="Q277" s="3"/>
      <c r="R277" s="3">
        <f t="shared" si="115"/>
        <v>-5735492341500</v>
      </c>
      <c r="S277" s="3">
        <f t="shared" si="97"/>
        <v>-5339635605200</v>
      </c>
      <c r="T277" s="3">
        <f t="shared" si="98"/>
        <v>-1477006966500</v>
      </c>
      <c r="U277" s="3">
        <f t="shared" si="99"/>
        <v>0</v>
      </c>
      <c r="V277" s="3">
        <f t="shared" si="100"/>
        <v>1479028335000</v>
      </c>
      <c r="X277" s="2">
        <f t="shared" si="101"/>
        <v>-5735.4923415000003</v>
      </c>
      <c r="Y277" s="2">
        <f t="shared" si="102"/>
        <v>-5339.6356052000001</v>
      </c>
      <c r="Z277" s="2">
        <f t="shared" si="103"/>
        <v>-1477.0069665000001</v>
      </c>
      <c r="AA277" s="2">
        <f t="shared" si="104"/>
        <v>0</v>
      </c>
      <c r="AB277" s="2">
        <f t="shared" si="105"/>
        <v>1479.028335</v>
      </c>
      <c r="AC277" s="2"/>
      <c r="AD277" s="8">
        <f t="shared" si="106"/>
        <v>-1.3268810865248428</v>
      </c>
      <c r="AE277" s="8">
        <f t="shared" si="107"/>
        <v>-1.2353013606538197</v>
      </c>
      <c r="AF277" s="8">
        <f t="shared" si="108"/>
        <v>-0.34169910651501861</v>
      </c>
      <c r="AG277" s="8">
        <f t="shared" si="109"/>
        <v>0</v>
      </c>
      <c r="AH277" s="11">
        <f t="shared" si="110"/>
        <v>0.34216674128320407</v>
      </c>
      <c r="AI277" s="8">
        <f t="shared" si="111"/>
        <v>-2.9038815536936813</v>
      </c>
      <c r="AJ277" s="9">
        <f t="shared" si="112"/>
        <v>125.43006184937664</v>
      </c>
      <c r="AK277" s="9"/>
      <c r="AL277" s="7">
        <f t="shared" si="113"/>
        <v>1471.4299381506232</v>
      </c>
      <c r="AM277" s="42">
        <f t="shared" si="114"/>
        <v>37.320335807051684</v>
      </c>
    </row>
    <row r="278" spans="1:39" x14ac:dyDescent="0.25">
      <c r="A278" s="1">
        <v>45877</v>
      </c>
      <c r="B278" s="7">
        <v>1584.95</v>
      </c>
      <c r="C278" s="3">
        <v>6851004.7199999997</v>
      </c>
      <c r="E278" s="5">
        <v>45877</v>
      </c>
      <c r="F278" s="4">
        <v>117000</v>
      </c>
      <c r="G278" s="4">
        <v>3823661561</v>
      </c>
      <c r="H278" s="4">
        <v>94800</v>
      </c>
      <c r="I278" s="4">
        <v>4107412004</v>
      </c>
      <c r="J278" s="4">
        <v>30000</v>
      </c>
      <c r="K278" s="4">
        <v>2272318410</v>
      </c>
      <c r="L278" s="4">
        <v>84000</v>
      </c>
      <c r="M278" s="4">
        <v>1793300377</v>
      </c>
      <c r="N278" s="4">
        <v>121500</v>
      </c>
      <c r="O278" s="4">
        <v>591611334</v>
      </c>
      <c r="Q278" s="3"/>
      <c r="R278" s="3">
        <f t="shared" si="115"/>
        <v>7647323122000</v>
      </c>
      <c r="S278" s="3">
        <f t="shared" si="97"/>
        <v>-821482400800</v>
      </c>
      <c r="T278" s="3">
        <f t="shared" si="98"/>
        <v>-1136159205000</v>
      </c>
      <c r="U278" s="3">
        <f t="shared" si="99"/>
        <v>-1613970339300</v>
      </c>
      <c r="V278" s="3">
        <f t="shared" si="100"/>
        <v>-3667990270800</v>
      </c>
      <c r="X278" s="2">
        <f t="shared" si="101"/>
        <v>7647.3231219999998</v>
      </c>
      <c r="Y278" s="2">
        <f t="shared" si="102"/>
        <v>-821.48240080000005</v>
      </c>
      <c r="Z278" s="2">
        <f t="shared" si="103"/>
        <v>-1136.1592049999999</v>
      </c>
      <c r="AA278" s="2">
        <f t="shared" si="104"/>
        <v>-1613.9703393</v>
      </c>
      <c r="AB278" s="2">
        <f t="shared" si="105"/>
        <v>-3667.9902708</v>
      </c>
      <c r="AC278" s="2"/>
      <c r="AD278" s="8">
        <f t="shared" si="106"/>
        <v>1.7691734299211244</v>
      </c>
      <c r="AE278" s="8">
        <f t="shared" si="107"/>
        <v>-0.19004621793241078</v>
      </c>
      <c r="AF278" s="8">
        <f t="shared" si="108"/>
        <v>-0.26284526566736954</v>
      </c>
      <c r="AG278" s="8">
        <f t="shared" si="109"/>
        <v>-0.37338469885702602</v>
      </c>
      <c r="AH278" s="11">
        <f t="shared" si="110"/>
        <v>-0.84857286985035929</v>
      </c>
      <c r="AI278" s="8">
        <f t="shared" si="111"/>
        <v>0.94289724746431802</v>
      </c>
      <c r="AJ278" s="9">
        <f t="shared" si="112"/>
        <v>128.33394340307032</v>
      </c>
      <c r="AK278" s="9"/>
      <c r="AL278" s="7">
        <f t="shared" si="113"/>
        <v>1456.6160565969296</v>
      </c>
      <c r="AM278" s="42">
        <f t="shared" si="114"/>
        <v>34.527317434216258</v>
      </c>
    </row>
    <row r="279" spans="1:39" x14ac:dyDescent="0.25">
      <c r="A279" s="1">
        <v>45876</v>
      </c>
      <c r="B279" s="7">
        <v>1581.81</v>
      </c>
      <c r="C279" s="3">
        <v>6837437.1799999997</v>
      </c>
      <c r="E279" s="5">
        <v>45876</v>
      </c>
      <c r="F279" s="4">
        <v>115000</v>
      </c>
      <c r="G279" s="4">
        <v>3823661561</v>
      </c>
      <c r="H279" s="4">
        <v>95000</v>
      </c>
      <c r="I279" s="4">
        <v>4107412004</v>
      </c>
      <c r="J279" s="4">
        <v>30500</v>
      </c>
      <c r="K279" s="4">
        <v>2272318410</v>
      </c>
      <c r="L279" s="4">
        <v>84900</v>
      </c>
      <c r="M279" s="4">
        <v>1793300377</v>
      </c>
      <c r="N279" s="4">
        <v>127700</v>
      </c>
      <c r="O279" s="4">
        <v>591611334</v>
      </c>
      <c r="Q279" s="3"/>
      <c r="R279" s="3">
        <f t="shared" si="115"/>
        <v>-13382815463500</v>
      </c>
      <c r="S279" s="3">
        <f t="shared" si="97"/>
        <v>-10268530010000</v>
      </c>
      <c r="T279" s="3">
        <f t="shared" si="98"/>
        <v>908927364000</v>
      </c>
      <c r="U279" s="3">
        <f t="shared" si="99"/>
        <v>0</v>
      </c>
      <c r="V279" s="3">
        <f t="shared" si="100"/>
        <v>-769094734200</v>
      </c>
      <c r="X279" s="2">
        <f t="shared" si="101"/>
        <v>-13382.815463499999</v>
      </c>
      <c r="Y279" s="2">
        <f t="shared" si="102"/>
        <v>-10268.53001</v>
      </c>
      <c r="Z279" s="2">
        <f t="shared" si="103"/>
        <v>908.92736400000001</v>
      </c>
      <c r="AA279" s="2">
        <f t="shared" si="104"/>
        <v>0</v>
      </c>
      <c r="AB279" s="2">
        <f t="shared" si="105"/>
        <v>-769.09473419999995</v>
      </c>
      <c r="AC279" s="2"/>
      <c r="AD279" s="8">
        <f t="shared" si="106"/>
        <v>-3.0960578421546665</v>
      </c>
      <c r="AE279" s="8">
        <f t="shared" si="107"/>
        <v>-2.3755810540442517</v>
      </c>
      <c r="AF279" s="8">
        <f t="shared" si="108"/>
        <v>0.21027650728176456</v>
      </c>
      <c r="AG279" s="8">
        <f t="shared" si="109"/>
        <v>0</v>
      </c>
      <c r="AH279" s="11">
        <f t="shared" si="110"/>
        <v>-0.17792681888755751</v>
      </c>
      <c r="AI279" s="8">
        <f t="shared" si="111"/>
        <v>-5.2613623889171537</v>
      </c>
      <c r="AJ279" s="9">
        <f t="shared" si="112"/>
        <v>127.39104615560601</v>
      </c>
      <c r="AK279" s="9"/>
      <c r="AL279" s="7">
        <f t="shared" si="113"/>
        <v>1454.4189538443939</v>
      </c>
      <c r="AM279" s="42">
        <f t="shared" si="114"/>
        <v>32.643847509293465</v>
      </c>
    </row>
    <row r="280" spans="1:39" x14ac:dyDescent="0.25">
      <c r="A280" s="1">
        <v>45875</v>
      </c>
      <c r="B280" s="7">
        <v>1573.71</v>
      </c>
      <c r="C280" s="3">
        <v>6802415.0700000003</v>
      </c>
      <c r="E280" s="5">
        <v>45875</v>
      </c>
      <c r="F280" s="4">
        <v>118500</v>
      </c>
      <c r="G280" s="4">
        <v>3823661561</v>
      </c>
      <c r="H280" s="4">
        <v>97500</v>
      </c>
      <c r="I280" s="4">
        <v>4107412004</v>
      </c>
      <c r="J280" s="4">
        <v>30100</v>
      </c>
      <c r="K280" s="4">
        <v>2272318410</v>
      </c>
      <c r="L280" s="4">
        <v>84900</v>
      </c>
      <c r="M280" s="4">
        <v>1793300377</v>
      </c>
      <c r="N280" s="4">
        <v>129000</v>
      </c>
      <c r="O280" s="4">
        <v>591611334</v>
      </c>
      <c r="Q280" s="3"/>
      <c r="R280" s="3">
        <f t="shared" si="115"/>
        <v>3823661561000</v>
      </c>
      <c r="S280" s="3">
        <f t="shared" si="97"/>
        <v>6161118006000</v>
      </c>
      <c r="T280" s="3">
        <f t="shared" si="98"/>
        <v>-1931470648500</v>
      </c>
      <c r="U280" s="3">
        <f t="shared" si="99"/>
        <v>1613970339300</v>
      </c>
      <c r="V280" s="3">
        <f t="shared" si="100"/>
        <v>1005739267800</v>
      </c>
      <c r="X280" s="2">
        <f t="shared" si="101"/>
        <v>3823.6615609999999</v>
      </c>
      <c r="Y280" s="2">
        <f t="shared" si="102"/>
        <v>6161.1180059999997</v>
      </c>
      <c r="Z280" s="2">
        <f t="shared" si="103"/>
        <v>-1931.4706484999999</v>
      </c>
      <c r="AA280" s="2">
        <f t="shared" si="104"/>
        <v>1613.9703393</v>
      </c>
      <c r="AB280" s="2">
        <f t="shared" si="105"/>
        <v>1005.7392678</v>
      </c>
      <c r="AC280" s="2"/>
      <c r="AD280" s="8">
        <f t="shared" si="106"/>
        <v>0.8845916023966014</v>
      </c>
      <c r="AE280" s="8">
        <f t="shared" si="107"/>
        <v>1.4253545096854072</v>
      </c>
      <c r="AF280" s="8">
        <f t="shared" si="108"/>
        <v>-0.44683942045639058</v>
      </c>
      <c r="AG280" s="8">
        <f t="shared" si="109"/>
        <v>0.37338676184734998</v>
      </c>
      <c r="AH280" s="11">
        <f t="shared" si="110"/>
        <v>0.23267449179359695</v>
      </c>
      <c r="AI280" s="8">
        <f t="shared" si="111"/>
        <v>2.2364934534729679</v>
      </c>
      <c r="AJ280" s="9">
        <f t="shared" si="112"/>
        <v>132.65240854452315</v>
      </c>
      <c r="AK280" s="9"/>
      <c r="AL280" s="7">
        <f t="shared" si="113"/>
        <v>1441.057591455477</v>
      </c>
      <c r="AM280" s="42">
        <f t="shared" si="114"/>
        <v>30.145351506429392</v>
      </c>
    </row>
    <row r="281" spans="1:39" x14ac:dyDescent="0.25">
      <c r="A281" s="1">
        <v>45874</v>
      </c>
      <c r="B281" s="7">
        <v>1547.15</v>
      </c>
      <c r="C281" s="3">
        <v>6687580.9900000002</v>
      </c>
      <c r="E281" s="5">
        <v>45874</v>
      </c>
      <c r="F281" s="4">
        <v>117500</v>
      </c>
      <c r="G281" s="4">
        <v>3823661561</v>
      </c>
      <c r="H281" s="4">
        <v>96000</v>
      </c>
      <c r="I281" s="4">
        <v>4107412004</v>
      </c>
      <c r="J281" s="4">
        <v>30950</v>
      </c>
      <c r="K281" s="4">
        <v>2272318410</v>
      </c>
      <c r="L281" s="4">
        <v>84000</v>
      </c>
      <c r="M281" s="4">
        <v>1793300377</v>
      </c>
      <c r="N281" s="4">
        <v>127300</v>
      </c>
      <c r="O281" s="4">
        <v>591611334</v>
      </c>
      <c r="Q281" s="3"/>
      <c r="R281" s="3">
        <f t="shared" si="115"/>
        <v>24089067834300</v>
      </c>
      <c r="S281" s="3">
        <f t="shared" si="97"/>
        <v>15608165615200</v>
      </c>
      <c r="T281" s="3">
        <f t="shared" si="98"/>
        <v>4203789058500</v>
      </c>
      <c r="U281" s="3">
        <f t="shared" si="99"/>
        <v>-1793300377000</v>
      </c>
      <c r="V281" s="3">
        <f t="shared" si="100"/>
        <v>0</v>
      </c>
      <c r="X281" s="2">
        <f t="shared" si="101"/>
        <v>24089.0678343</v>
      </c>
      <c r="Y281" s="2">
        <f t="shared" si="102"/>
        <v>15608.1656152</v>
      </c>
      <c r="Z281" s="2">
        <f t="shared" si="103"/>
        <v>4203.7890584999996</v>
      </c>
      <c r="AA281" s="2">
        <f t="shared" si="104"/>
        <v>-1793.300377</v>
      </c>
      <c r="AB281" s="2">
        <f t="shared" si="105"/>
        <v>0</v>
      </c>
      <c r="AC281" s="2"/>
      <c r="AD281" s="8">
        <f t="shared" si="106"/>
        <v>5.5729817078602899</v>
      </c>
      <c r="AE281" s="8">
        <f t="shared" si="107"/>
        <v>3.6109334767578063</v>
      </c>
      <c r="AF281" s="8">
        <f t="shared" si="108"/>
        <v>0.97254238677370175</v>
      </c>
      <c r="AG281" s="8">
        <f t="shared" si="109"/>
        <v>-0.41487824545413238</v>
      </c>
      <c r="AH281" s="11">
        <f t="shared" si="110"/>
        <v>0</v>
      </c>
      <c r="AI281" s="8">
        <f t="shared" si="111"/>
        <v>9.741579325937666</v>
      </c>
      <c r="AJ281" s="9">
        <f t="shared" si="112"/>
        <v>130.41591509105018</v>
      </c>
      <c r="AK281" s="9"/>
      <c r="AL281" s="7">
        <f t="shared" si="113"/>
        <v>1416.7340849089499</v>
      </c>
      <c r="AM281" s="42">
        <f t="shared" si="114"/>
        <v>28.240485628957885</v>
      </c>
    </row>
    <row r="282" spans="1:39" x14ac:dyDescent="0.25">
      <c r="A282" s="1">
        <v>45873</v>
      </c>
      <c r="B282" s="7">
        <v>1528.19</v>
      </c>
      <c r="C282" s="3">
        <v>6605561.3499999996</v>
      </c>
      <c r="E282" s="5">
        <v>45873</v>
      </c>
      <c r="F282" s="4">
        <v>111200</v>
      </c>
      <c r="G282" s="4">
        <v>3823661561</v>
      </c>
      <c r="H282" s="4">
        <v>92200</v>
      </c>
      <c r="I282" s="4">
        <v>4107412004</v>
      </c>
      <c r="J282" s="4">
        <v>29100</v>
      </c>
      <c r="K282" s="4">
        <v>2272318410</v>
      </c>
      <c r="L282" s="4">
        <v>85000</v>
      </c>
      <c r="M282" s="4">
        <v>1793300377</v>
      </c>
      <c r="N282" s="4">
        <v>127300</v>
      </c>
      <c r="O282" s="4">
        <v>591611334</v>
      </c>
      <c r="Q282" s="3"/>
      <c r="R282" s="3">
        <f t="shared" si="115"/>
        <v>27530363239200</v>
      </c>
      <c r="S282" s="3">
        <f t="shared" si="97"/>
        <v>9447047609200</v>
      </c>
      <c r="T282" s="3">
        <f t="shared" si="98"/>
        <v>1477006966500</v>
      </c>
      <c r="U282" s="3">
        <f t="shared" si="99"/>
        <v>5559231168700</v>
      </c>
      <c r="V282" s="3">
        <f t="shared" si="100"/>
        <v>4910374072200</v>
      </c>
      <c r="X282" s="2">
        <f t="shared" si="101"/>
        <v>27530.3632392</v>
      </c>
      <c r="Y282" s="2">
        <f t="shared" si="102"/>
        <v>9447.0476092000008</v>
      </c>
      <c r="Z282" s="2">
        <f t="shared" si="103"/>
        <v>1477.0069665000001</v>
      </c>
      <c r="AA282" s="2">
        <f t="shared" si="104"/>
        <v>5559.2311687000001</v>
      </c>
      <c r="AB282" s="2">
        <f t="shared" si="105"/>
        <v>4910.3740722000002</v>
      </c>
      <c r="AC282" s="2"/>
      <c r="AD282" s="8">
        <f t="shared" si="106"/>
        <v>6.3784665510049727</v>
      </c>
      <c r="AE282" s="8">
        <f t="shared" si="107"/>
        <v>2.1887715994692676</v>
      </c>
      <c r="AF282" s="8">
        <f t="shared" si="108"/>
        <v>0.34220542059565423</v>
      </c>
      <c r="AG282" s="8">
        <f t="shared" si="109"/>
        <v>1.2880095242756282</v>
      </c>
      <c r="AH282" s="11">
        <f t="shared" si="110"/>
        <v>1.1376768443015981</v>
      </c>
      <c r="AI282" s="8">
        <f t="shared" si="111"/>
        <v>10.197453095345523</v>
      </c>
      <c r="AJ282" s="9">
        <f t="shared" si="112"/>
        <v>120.67433576511252</v>
      </c>
      <c r="AK282" s="9"/>
      <c r="AL282" s="7">
        <f t="shared" si="113"/>
        <v>1407.5156642348875</v>
      </c>
      <c r="AM282" s="42">
        <f t="shared" si="114"/>
        <v>28.769952332895645</v>
      </c>
    </row>
    <row r="283" spans="1:39" x14ac:dyDescent="0.25">
      <c r="A283" s="1">
        <v>45870</v>
      </c>
      <c r="B283" s="7">
        <v>1495.21</v>
      </c>
      <c r="C283" s="3">
        <v>6453537.71</v>
      </c>
      <c r="E283" s="5">
        <v>45870</v>
      </c>
      <c r="F283" s="4">
        <v>104000</v>
      </c>
      <c r="G283" s="4">
        <v>3823661561</v>
      </c>
      <c r="H283" s="4">
        <v>89900</v>
      </c>
      <c r="I283" s="4">
        <v>4107412004</v>
      </c>
      <c r="J283" s="4">
        <v>28450</v>
      </c>
      <c r="K283" s="4">
        <v>2272318410</v>
      </c>
      <c r="L283" s="4">
        <v>81900</v>
      </c>
      <c r="M283" s="4">
        <v>1793300377</v>
      </c>
      <c r="N283" s="4">
        <v>119000</v>
      </c>
      <c r="O283" s="4">
        <v>591611334</v>
      </c>
      <c r="Q283" s="3"/>
      <c r="R283" s="3">
        <f t="shared" si="115"/>
        <v>-5735492341500</v>
      </c>
      <c r="S283" s="3">
        <f t="shared" si="97"/>
        <v>-410741200400</v>
      </c>
      <c r="T283" s="3">
        <f t="shared" si="98"/>
        <v>795311443500</v>
      </c>
      <c r="U283" s="3">
        <f t="shared" si="99"/>
        <v>-1434640301600</v>
      </c>
      <c r="V283" s="3">
        <f t="shared" si="100"/>
        <v>-1301544934800</v>
      </c>
      <c r="X283" s="2">
        <f t="shared" si="101"/>
        <v>-5735.4923415000003</v>
      </c>
      <c r="Y283" s="2">
        <f t="shared" si="102"/>
        <v>-410.74120040000003</v>
      </c>
      <c r="Z283" s="2">
        <f t="shared" si="103"/>
        <v>795.3114435</v>
      </c>
      <c r="AA283" s="2">
        <f t="shared" si="104"/>
        <v>-1434.6403015999999</v>
      </c>
      <c r="AB283" s="2">
        <f t="shared" si="105"/>
        <v>-1301.5449348</v>
      </c>
      <c r="AC283" s="2"/>
      <c r="AD283" s="8">
        <f t="shared" si="106"/>
        <v>-1.3288823148267612</v>
      </c>
      <c r="AE283" s="8">
        <f t="shared" si="107"/>
        <v>-9.5166497430894476E-2</v>
      </c>
      <c r="AF283" s="8">
        <f t="shared" si="108"/>
        <v>0.18426932669743379</v>
      </c>
      <c r="AG283" s="8">
        <f t="shared" si="109"/>
        <v>-0.33239833852439127</v>
      </c>
      <c r="AH283" s="11">
        <f t="shared" si="110"/>
        <v>-0.30156086745915323</v>
      </c>
      <c r="AI283" s="8">
        <f t="shared" si="111"/>
        <v>-1.5721778240846134</v>
      </c>
      <c r="AJ283" s="9">
        <f t="shared" si="112"/>
        <v>110.47688266976699</v>
      </c>
      <c r="AK283" s="9"/>
      <c r="AL283" s="7">
        <f t="shared" si="113"/>
        <v>1384.733117330233</v>
      </c>
      <c r="AM283" s="42">
        <f t="shared" si="114"/>
        <v>30.188705492710771</v>
      </c>
    </row>
    <row r="284" spans="1:39" x14ac:dyDescent="0.25">
      <c r="A284" s="1">
        <v>45869</v>
      </c>
      <c r="B284" s="7">
        <v>1502.52</v>
      </c>
      <c r="C284" s="3">
        <v>6484917.3300000001</v>
      </c>
      <c r="E284" s="5">
        <v>45869</v>
      </c>
      <c r="F284" s="4">
        <v>105500</v>
      </c>
      <c r="G284" s="4">
        <v>3823661561</v>
      </c>
      <c r="H284" s="4">
        <v>90000</v>
      </c>
      <c r="I284" s="4">
        <v>4107412004</v>
      </c>
      <c r="J284" s="4">
        <v>28100</v>
      </c>
      <c r="K284" s="4">
        <v>2272318410</v>
      </c>
      <c r="L284" s="4">
        <v>82700</v>
      </c>
      <c r="M284" s="4">
        <v>1793300377</v>
      </c>
      <c r="N284" s="4">
        <v>121200</v>
      </c>
      <c r="O284" s="4">
        <v>591611334</v>
      </c>
      <c r="Q284" s="3"/>
      <c r="R284" s="3">
        <f t="shared" si="115"/>
        <v>-15294646244000</v>
      </c>
      <c r="S284" s="3">
        <f t="shared" si="97"/>
        <v>-6161118006000</v>
      </c>
      <c r="T284" s="3">
        <f t="shared" si="98"/>
        <v>0</v>
      </c>
      <c r="U284" s="3">
        <f t="shared" si="99"/>
        <v>-4662580980200</v>
      </c>
      <c r="V284" s="3">
        <f t="shared" si="100"/>
        <v>1479028335000</v>
      </c>
      <c r="X284" s="2">
        <f t="shared" si="101"/>
        <v>-15294.646244</v>
      </c>
      <c r="Y284" s="2">
        <f t="shared" si="102"/>
        <v>-6161.1180059999997</v>
      </c>
      <c r="Z284" s="2">
        <f t="shared" si="103"/>
        <v>0</v>
      </c>
      <c r="AA284" s="2">
        <f t="shared" si="104"/>
        <v>-4662.5809802000003</v>
      </c>
      <c r="AB284" s="2">
        <f t="shared" si="105"/>
        <v>1479.028335</v>
      </c>
      <c r="AC284" s="2"/>
      <c r="AD284" s="8">
        <f t="shared" si="106"/>
        <v>-3.5436929419545091</v>
      </c>
      <c r="AE284" s="8">
        <f t="shared" si="107"/>
        <v>-1.4275001882424079</v>
      </c>
      <c r="AF284" s="8">
        <f t="shared" si="108"/>
        <v>0</v>
      </c>
      <c r="AG284" s="8">
        <f t="shared" si="109"/>
        <v>-1.0802966637628417</v>
      </c>
      <c r="AH284" s="11">
        <f t="shared" si="110"/>
        <v>0.34268345851714804</v>
      </c>
      <c r="AI284" s="8">
        <f t="shared" si="111"/>
        <v>-6.0514897939597585</v>
      </c>
      <c r="AJ284" s="9">
        <f t="shared" si="112"/>
        <v>112.04906049385161</v>
      </c>
      <c r="AK284" s="9"/>
      <c r="AL284" s="7">
        <f t="shared" si="113"/>
        <v>1390.4709395061484</v>
      </c>
      <c r="AM284" s="42">
        <f t="shared" si="114"/>
        <v>33.304829535713047</v>
      </c>
    </row>
    <row r="285" spans="1:39" x14ac:dyDescent="0.25">
      <c r="A285" s="1">
        <v>45868</v>
      </c>
      <c r="B285" s="7">
        <v>1507.63</v>
      </c>
      <c r="C285" s="3">
        <v>6506959.7999999998</v>
      </c>
      <c r="E285" s="5">
        <v>45868</v>
      </c>
      <c r="F285" s="4">
        <v>109500</v>
      </c>
      <c r="G285" s="4">
        <v>3823661561</v>
      </c>
      <c r="H285" s="4">
        <v>91500</v>
      </c>
      <c r="I285" s="4">
        <v>4107412004</v>
      </c>
      <c r="J285" s="4">
        <v>28100</v>
      </c>
      <c r="K285" s="4">
        <v>2272318410</v>
      </c>
      <c r="L285" s="4">
        <v>85300</v>
      </c>
      <c r="M285" s="4">
        <v>1793300377</v>
      </c>
      <c r="N285" s="4">
        <v>118700</v>
      </c>
      <c r="O285" s="4">
        <v>591611334</v>
      </c>
      <c r="Q285" s="3"/>
      <c r="R285" s="3">
        <f t="shared" si="115"/>
        <v>-14147547775700</v>
      </c>
      <c r="S285" s="3">
        <f t="shared" si="97"/>
        <v>-2464447202400</v>
      </c>
      <c r="T285" s="3">
        <f t="shared" si="98"/>
        <v>227231841000</v>
      </c>
      <c r="U285" s="3">
        <f t="shared" si="99"/>
        <v>-1255310263900</v>
      </c>
      <c r="V285" s="3">
        <f t="shared" si="100"/>
        <v>236644533600</v>
      </c>
      <c r="X285" s="2">
        <f t="shared" si="101"/>
        <v>-14147.547775700001</v>
      </c>
      <c r="Y285" s="2">
        <f t="shared" si="102"/>
        <v>-2464.4472024000002</v>
      </c>
      <c r="Z285" s="2">
        <f t="shared" si="103"/>
        <v>227.231841</v>
      </c>
      <c r="AA285" s="2">
        <f t="shared" si="104"/>
        <v>-1255.3102639000001</v>
      </c>
      <c r="AB285" s="2">
        <f t="shared" si="105"/>
        <v>236.64453359999999</v>
      </c>
      <c r="AC285" s="2"/>
      <c r="AD285" s="8">
        <f t="shared" si="106"/>
        <v>-3.277928572824703</v>
      </c>
      <c r="AE285" s="8">
        <f t="shared" si="107"/>
        <v>-0.57100227043164464</v>
      </c>
      <c r="AF285" s="8">
        <f t="shared" si="108"/>
        <v>5.2648682024514719E-2</v>
      </c>
      <c r="AG285" s="8">
        <f t="shared" si="109"/>
        <v>-0.2908502199134177</v>
      </c>
      <c r="AH285" s="11">
        <f t="shared" si="110"/>
        <v>5.4829564146980564E-2</v>
      </c>
      <c r="AI285" s="8">
        <f t="shared" si="111"/>
        <v>-4.0871323811452509</v>
      </c>
      <c r="AJ285" s="9">
        <f t="shared" si="112"/>
        <v>118.10055028781137</v>
      </c>
      <c r="AK285" s="9"/>
      <c r="AL285" s="7">
        <f t="shared" si="113"/>
        <v>1389.5294497121888</v>
      </c>
      <c r="AM285" s="42">
        <f t="shared" si="114"/>
        <v>36.011425347472574</v>
      </c>
    </row>
    <row r="286" spans="1:39" x14ac:dyDescent="0.25">
      <c r="A286" s="1">
        <v>45867</v>
      </c>
      <c r="B286" s="7">
        <v>1493.41</v>
      </c>
      <c r="C286" s="3">
        <v>6445561.2300000004</v>
      </c>
      <c r="E286" s="5">
        <v>45867</v>
      </c>
      <c r="F286" s="4">
        <v>113200</v>
      </c>
      <c r="G286" s="4">
        <v>3823661561</v>
      </c>
      <c r="H286" s="4">
        <v>92100</v>
      </c>
      <c r="I286" s="4">
        <v>4107412004</v>
      </c>
      <c r="J286" s="4">
        <v>28000</v>
      </c>
      <c r="K286" s="4">
        <v>2272318410</v>
      </c>
      <c r="L286" s="4">
        <v>86000</v>
      </c>
      <c r="M286" s="4">
        <v>1793300377</v>
      </c>
      <c r="N286" s="4">
        <v>118300</v>
      </c>
      <c r="O286" s="4">
        <v>591611334</v>
      </c>
      <c r="Q286" s="3"/>
      <c r="R286" s="3">
        <f t="shared" si="115"/>
        <v>-9176787746400</v>
      </c>
      <c r="S286" s="3">
        <f t="shared" si="97"/>
        <v>-14375942014000</v>
      </c>
      <c r="T286" s="3">
        <f t="shared" si="98"/>
        <v>-3067629853500</v>
      </c>
      <c r="U286" s="3">
        <f t="shared" si="99"/>
        <v>-3407270716300</v>
      </c>
      <c r="V286" s="3">
        <f t="shared" si="100"/>
        <v>-5147018605800</v>
      </c>
      <c r="X286" s="2">
        <f t="shared" si="101"/>
        <v>-9176.7877463999994</v>
      </c>
      <c r="Y286" s="2">
        <f t="shared" si="102"/>
        <v>-14375.942014</v>
      </c>
      <c r="Z286" s="2">
        <f t="shared" si="103"/>
        <v>-3067.6298535000001</v>
      </c>
      <c r="AA286" s="2">
        <f t="shared" si="104"/>
        <v>-3407.2707163</v>
      </c>
      <c r="AB286" s="2">
        <f t="shared" si="105"/>
        <v>-5147.0186057999999</v>
      </c>
      <c r="AC286" s="2"/>
      <c r="AD286" s="8">
        <f t="shared" si="106"/>
        <v>-2.1262118772040699</v>
      </c>
      <c r="AE286" s="8">
        <f t="shared" si="107"/>
        <v>-3.3308276818492155</v>
      </c>
      <c r="AF286" s="8">
        <f t="shared" si="108"/>
        <v>-0.71075317525309367</v>
      </c>
      <c r="AG286" s="8">
        <f t="shared" si="109"/>
        <v>-0.78944611840768408</v>
      </c>
      <c r="AH286" s="11">
        <f t="shared" si="110"/>
        <v>-1.1925362549804448</v>
      </c>
      <c r="AI286" s="8">
        <f t="shared" si="111"/>
        <v>-6.9572388527140632</v>
      </c>
      <c r="AJ286" s="9">
        <f t="shared" si="112"/>
        <v>122.18768266895663</v>
      </c>
      <c r="AK286" s="9"/>
      <c r="AL286" s="7">
        <f t="shared" si="113"/>
        <v>1371.2223173310435</v>
      </c>
      <c r="AM286" s="42">
        <f t="shared" si="114"/>
        <v>37.728174587107823</v>
      </c>
    </row>
    <row r="287" spans="1:39" x14ac:dyDescent="0.25">
      <c r="A287" s="1">
        <v>45866</v>
      </c>
      <c r="B287" s="7">
        <v>1557.42</v>
      </c>
      <c r="C287" s="3">
        <v>6721866.6799999997</v>
      </c>
      <c r="E287" s="5">
        <v>45866</v>
      </c>
      <c r="F287" s="4">
        <v>115600</v>
      </c>
      <c r="G287" s="4">
        <v>3823661561</v>
      </c>
      <c r="H287" s="4">
        <v>95600</v>
      </c>
      <c r="I287" s="4">
        <v>4107412004</v>
      </c>
      <c r="J287" s="4">
        <v>29350</v>
      </c>
      <c r="K287" s="4">
        <v>2272318410</v>
      </c>
      <c r="L287" s="4">
        <v>87900</v>
      </c>
      <c r="M287" s="4">
        <v>1793300377</v>
      </c>
      <c r="N287" s="4">
        <v>127000</v>
      </c>
      <c r="O287" s="4">
        <v>591611334</v>
      </c>
      <c r="Q287" s="3"/>
      <c r="R287" s="3">
        <f t="shared" si="115"/>
        <v>5735492341500</v>
      </c>
      <c r="S287" s="3">
        <f t="shared" si="97"/>
        <v>7804082807600</v>
      </c>
      <c r="T287" s="3">
        <f t="shared" si="98"/>
        <v>-340847761500</v>
      </c>
      <c r="U287" s="3">
        <f t="shared" si="99"/>
        <v>537990113100</v>
      </c>
      <c r="V287" s="3">
        <f t="shared" si="100"/>
        <v>3017217803400</v>
      </c>
      <c r="X287" s="2">
        <f t="shared" si="101"/>
        <v>5735.4923415000003</v>
      </c>
      <c r="Y287" s="2">
        <f t="shared" si="102"/>
        <v>7804.0828075999998</v>
      </c>
      <c r="Z287" s="2">
        <f t="shared" si="103"/>
        <v>-340.84776149999999</v>
      </c>
      <c r="AA287" s="2">
        <f t="shared" si="104"/>
        <v>537.99011310000003</v>
      </c>
      <c r="AB287" s="2">
        <f t="shared" si="105"/>
        <v>3017.2178033999999</v>
      </c>
      <c r="AC287" s="2"/>
      <c r="AD287" s="8">
        <f t="shared" si="106"/>
        <v>1.3299127379458531</v>
      </c>
      <c r="AE287" s="8">
        <f t="shared" si="107"/>
        <v>1.8095655117023706</v>
      </c>
      <c r="AF287" s="8">
        <f t="shared" si="108"/>
        <v>-7.9033804376178338E-2</v>
      </c>
      <c r="AG287" s="8">
        <f t="shared" si="109"/>
        <v>0.12474603080256245</v>
      </c>
      <c r="AH287" s="11">
        <f t="shared" si="110"/>
        <v>0.69961498524976551</v>
      </c>
      <c r="AI287" s="8">
        <f t="shared" si="111"/>
        <v>3.1851904760746073</v>
      </c>
      <c r="AJ287" s="9">
        <f t="shared" si="112"/>
        <v>129.14492152167068</v>
      </c>
      <c r="AK287" s="9"/>
      <c r="AL287" s="7">
        <f t="shared" si="113"/>
        <v>1428.2750784783293</v>
      </c>
      <c r="AM287" s="42">
        <f t="shared" si="114"/>
        <v>40.10946409564297</v>
      </c>
    </row>
    <row r="288" spans="1:39" x14ac:dyDescent="0.25">
      <c r="A288" s="1">
        <v>45863</v>
      </c>
      <c r="B288" s="7">
        <v>1531.13</v>
      </c>
      <c r="C288" s="3">
        <v>6603278.6500000004</v>
      </c>
      <c r="E288" s="5">
        <v>45863</v>
      </c>
      <c r="F288" s="4">
        <v>114100</v>
      </c>
      <c r="G288" s="4">
        <v>3823661561</v>
      </c>
      <c r="H288" s="4">
        <v>93700</v>
      </c>
      <c r="I288" s="4">
        <v>4107412004</v>
      </c>
      <c r="J288" s="4">
        <v>29500</v>
      </c>
      <c r="K288" s="4">
        <v>2272318410</v>
      </c>
      <c r="L288" s="4">
        <v>87600</v>
      </c>
      <c r="M288" s="4">
        <v>1793300377</v>
      </c>
      <c r="N288" s="4">
        <v>121900</v>
      </c>
      <c r="O288" s="4">
        <v>591611334</v>
      </c>
      <c r="Q288" s="3"/>
      <c r="R288" s="3">
        <f t="shared" si="115"/>
        <v>-7264956965900</v>
      </c>
      <c r="S288" s="3">
        <f t="shared" si="97"/>
        <v>6982600406800</v>
      </c>
      <c r="T288" s="3">
        <f t="shared" si="98"/>
        <v>-681695523000</v>
      </c>
      <c r="U288" s="3">
        <f t="shared" si="99"/>
        <v>-717320150800</v>
      </c>
      <c r="V288" s="3">
        <f t="shared" si="100"/>
        <v>4673729538600</v>
      </c>
      <c r="X288" s="2">
        <f t="shared" si="101"/>
        <v>-7264.9569658999999</v>
      </c>
      <c r="Y288" s="2">
        <f t="shared" si="102"/>
        <v>6982.6004068000002</v>
      </c>
      <c r="Z288" s="2">
        <f t="shared" si="103"/>
        <v>-681.69552299999998</v>
      </c>
      <c r="AA288" s="2">
        <f t="shared" si="104"/>
        <v>-717.32015079999996</v>
      </c>
      <c r="AB288" s="2">
        <f t="shared" si="105"/>
        <v>4673.7295385999996</v>
      </c>
      <c r="AC288" s="2"/>
      <c r="AD288" s="8">
        <f t="shared" si="106"/>
        <v>-1.6845606962897246</v>
      </c>
      <c r="AE288" s="8">
        <f t="shared" si="107"/>
        <v>1.6190893157940052</v>
      </c>
      <c r="AF288" s="8">
        <f t="shared" si="108"/>
        <v>-0.1580680367788258</v>
      </c>
      <c r="AG288" s="8">
        <f t="shared" si="109"/>
        <v>-0.16632849146472575</v>
      </c>
      <c r="AH288" s="11">
        <f t="shared" si="110"/>
        <v>1.0837202646579642</v>
      </c>
      <c r="AI288" s="8">
        <f t="shared" si="111"/>
        <v>-0.38986790873927102</v>
      </c>
      <c r="AJ288" s="9">
        <f t="shared" si="112"/>
        <v>125.95973104559609</v>
      </c>
      <c r="AK288" s="9"/>
      <c r="AL288" s="7">
        <f t="shared" si="113"/>
        <v>1405.170268954404</v>
      </c>
      <c r="AM288" s="42">
        <f t="shared" si="114"/>
        <v>37.53942526664936</v>
      </c>
    </row>
    <row r="289" spans="1:39" x14ac:dyDescent="0.25">
      <c r="A289" s="1">
        <v>45862</v>
      </c>
      <c r="B289" s="7">
        <v>1521.02</v>
      </c>
      <c r="C289" s="3">
        <v>6559659.6600000001</v>
      </c>
      <c r="E289" s="5">
        <v>45862</v>
      </c>
      <c r="F289" s="4">
        <v>116000</v>
      </c>
      <c r="G289" s="4">
        <v>3823661561</v>
      </c>
      <c r="H289" s="4">
        <v>92000</v>
      </c>
      <c r="I289" s="4">
        <v>4107412004</v>
      </c>
      <c r="J289" s="4">
        <v>29800</v>
      </c>
      <c r="K289" s="4">
        <v>2272318410</v>
      </c>
      <c r="L289" s="4">
        <v>88000</v>
      </c>
      <c r="M289" s="4">
        <v>1793300377</v>
      </c>
      <c r="N289" s="4">
        <v>114000</v>
      </c>
      <c r="O289" s="4">
        <v>591611334</v>
      </c>
      <c r="Q289" s="3"/>
      <c r="R289" s="3">
        <f t="shared" si="115"/>
        <v>3823661561000</v>
      </c>
      <c r="S289" s="3">
        <f t="shared" si="97"/>
        <v>-821482400800</v>
      </c>
      <c r="T289" s="3">
        <f t="shared" si="98"/>
        <v>1249775125500</v>
      </c>
      <c r="U289" s="3">
        <f t="shared" si="99"/>
        <v>-358660075400</v>
      </c>
      <c r="V289" s="3">
        <f t="shared" si="100"/>
        <v>3076378936800</v>
      </c>
      <c r="X289" s="2">
        <f t="shared" si="101"/>
        <v>3823.6615609999999</v>
      </c>
      <c r="Y289" s="2">
        <f t="shared" si="102"/>
        <v>-821.48240080000005</v>
      </c>
      <c r="Z289" s="2">
        <f t="shared" si="103"/>
        <v>1249.7751255000001</v>
      </c>
      <c r="AA289" s="2">
        <f t="shared" si="104"/>
        <v>-358.66007539999998</v>
      </c>
      <c r="AB289" s="2">
        <f t="shared" si="105"/>
        <v>3076.3789367999998</v>
      </c>
      <c r="AC289" s="2"/>
      <c r="AD289" s="8">
        <f t="shared" si="106"/>
        <v>0.88661231891734849</v>
      </c>
      <c r="AE289" s="8">
        <f t="shared" si="107"/>
        <v>-0.19048140236883238</v>
      </c>
      <c r="AF289" s="8">
        <f t="shared" si="108"/>
        <v>0.28979186689707531</v>
      </c>
      <c r="AG289" s="8">
        <f t="shared" si="109"/>
        <v>-8.3164379503896435E-2</v>
      </c>
      <c r="AH289" s="11">
        <f t="shared" si="110"/>
        <v>0.71333600516448403</v>
      </c>
      <c r="AI289" s="8">
        <f t="shared" si="111"/>
        <v>0.90275840394169504</v>
      </c>
      <c r="AJ289" s="9">
        <f t="shared" si="112"/>
        <v>126.34959895433536</v>
      </c>
      <c r="AK289" s="9"/>
      <c r="AL289" s="7">
        <f t="shared" si="113"/>
        <v>1394.6704010456647</v>
      </c>
      <c r="AM289" s="42">
        <f t="shared" si="114"/>
        <v>36.481071253687162</v>
      </c>
    </row>
    <row r="290" spans="1:39" x14ac:dyDescent="0.25">
      <c r="A290" s="1">
        <v>45861</v>
      </c>
      <c r="B290" s="7">
        <v>1512.31</v>
      </c>
      <c r="C290" s="3">
        <v>6522085.7999999998</v>
      </c>
      <c r="E290" s="5">
        <v>45861</v>
      </c>
      <c r="F290" s="4">
        <v>115000</v>
      </c>
      <c r="G290" s="4">
        <v>3823661561</v>
      </c>
      <c r="H290" s="4">
        <v>92200</v>
      </c>
      <c r="I290" s="4">
        <v>4107412004</v>
      </c>
      <c r="J290" s="4">
        <v>29250</v>
      </c>
      <c r="K290" s="4">
        <v>2272318410</v>
      </c>
      <c r="L290" s="4">
        <v>88200</v>
      </c>
      <c r="M290" s="4">
        <v>1793300377</v>
      </c>
      <c r="N290" s="4">
        <v>108800</v>
      </c>
      <c r="O290" s="4">
        <v>591611334</v>
      </c>
      <c r="Q290" s="3"/>
      <c r="R290" s="3">
        <f t="shared" si="115"/>
        <v>-9559153902500</v>
      </c>
      <c r="S290" s="3">
        <f t="shared" si="97"/>
        <v>-13554459613200</v>
      </c>
      <c r="T290" s="3">
        <f t="shared" si="98"/>
        <v>-1704238807500</v>
      </c>
      <c r="U290" s="3">
        <f t="shared" si="99"/>
        <v>-358660075400</v>
      </c>
      <c r="V290" s="3">
        <f t="shared" si="100"/>
        <v>4200440471400</v>
      </c>
      <c r="X290" s="2">
        <f t="shared" si="101"/>
        <v>-9559.1539025000002</v>
      </c>
      <c r="Y290" s="2">
        <f t="shared" si="102"/>
        <v>-13554.459613200001</v>
      </c>
      <c r="Z290" s="2">
        <f t="shared" si="103"/>
        <v>-1704.2388074999999</v>
      </c>
      <c r="AA290" s="2">
        <f t="shared" si="104"/>
        <v>-358.66007539999998</v>
      </c>
      <c r="AB290" s="2">
        <f t="shared" si="105"/>
        <v>4200.4404714000002</v>
      </c>
      <c r="AC290" s="2"/>
      <c r="AD290" s="8">
        <f t="shared" si="106"/>
        <v>-2.2193404114059021</v>
      </c>
      <c r="AE290" s="8">
        <f t="shared" si="107"/>
        <v>-3.1469270482690588</v>
      </c>
      <c r="AF290" s="8">
        <f t="shared" si="108"/>
        <v>-0.39567163524606241</v>
      </c>
      <c r="AG290" s="8">
        <f t="shared" si="109"/>
        <v>-8.3269796407915694E-2</v>
      </c>
      <c r="AH290" s="11">
        <f t="shared" si="110"/>
        <v>0.97521259506501368</v>
      </c>
      <c r="AI290" s="8">
        <f t="shared" si="111"/>
        <v>-5.8452088913289391</v>
      </c>
      <c r="AJ290" s="9">
        <f t="shared" si="112"/>
        <v>125.44684055039367</v>
      </c>
      <c r="AK290" s="9"/>
      <c r="AL290" s="7">
        <f t="shared" si="113"/>
        <v>1386.8631594496062</v>
      </c>
      <c r="AM290" s="42">
        <f t="shared" si="114"/>
        <v>35.648720093028949</v>
      </c>
    </row>
    <row r="291" spans="1:39" x14ac:dyDescent="0.25">
      <c r="A291" s="1">
        <v>45860</v>
      </c>
      <c r="B291" s="7">
        <v>1509.54</v>
      </c>
      <c r="C291" s="3">
        <v>6501898.0899999999</v>
      </c>
      <c r="E291" s="5">
        <v>45860</v>
      </c>
      <c r="F291" s="4">
        <v>117500</v>
      </c>
      <c r="G291" s="4">
        <v>3823661561</v>
      </c>
      <c r="H291" s="4">
        <v>95500</v>
      </c>
      <c r="I291" s="4">
        <v>4107412004</v>
      </c>
      <c r="J291" s="4">
        <v>30000</v>
      </c>
      <c r="K291" s="4">
        <v>2272318410</v>
      </c>
      <c r="L291" s="4">
        <v>88400</v>
      </c>
      <c r="M291" s="4">
        <v>1793300377</v>
      </c>
      <c r="N291" s="4">
        <v>101700</v>
      </c>
      <c r="O291" s="4">
        <v>591611334</v>
      </c>
      <c r="Q291" s="3"/>
      <c r="R291" s="3">
        <f t="shared" si="115"/>
        <v>21030138585500</v>
      </c>
      <c r="S291" s="3">
        <f t="shared" si="97"/>
        <v>14375942014000</v>
      </c>
      <c r="T291" s="3">
        <f t="shared" si="98"/>
        <v>2272318410000</v>
      </c>
      <c r="U291" s="3">
        <f t="shared" si="99"/>
        <v>-896650188500</v>
      </c>
      <c r="V291" s="3">
        <f t="shared" si="100"/>
        <v>3904634804400</v>
      </c>
      <c r="X291" s="2">
        <f t="shared" si="101"/>
        <v>21030.138585500001</v>
      </c>
      <c r="Y291" s="2">
        <f t="shared" si="102"/>
        <v>14375.942014</v>
      </c>
      <c r="Z291" s="2">
        <f t="shared" si="103"/>
        <v>2272.3184099999999</v>
      </c>
      <c r="AA291" s="2">
        <f t="shared" si="104"/>
        <v>-896.65018850000001</v>
      </c>
      <c r="AB291" s="2">
        <f t="shared" si="105"/>
        <v>3904.6348044000001</v>
      </c>
      <c r="AC291" s="2"/>
      <c r="AD291" s="8">
        <f t="shared" si="106"/>
        <v>4.8825407466136674</v>
      </c>
      <c r="AE291" s="8">
        <f t="shared" si="107"/>
        <v>3.337644322643988</v>
      </c>
      <c r="AF291" s="8">
        <f t="shared" si="108"/>
        <v>0.52756129879976255</v>
      </c>
      <c r="AG291" s="8">
        <f t="shared" si="109"/>
        <v>-0.20817414317129609</v>
      </c>
      <c r="AH291" s="11">
        <f t="shared" si="110"/>
        <v>0.90653413697775775</v>
      </c>
      <c r="AI291" s="8">
        <f t="shared" si="111"/>
        <v>8.5395722248861219</v>
      </c>
      <c r="AJ291" s="9">
        <f t="shared" si="112"/>
        <v>131.29204944172261</v>
      </c>
      <c r="AK291" s="9"/>
      <c r="AL291" s="7">
        <f t="shared" si="113"/>
        <v>1378.2479505582774</v>
      </c>
      <c r="AM291" s="42">
        <f t="shared" si="114"/>
        <v>34.624061446172036</v>
      </c>
    </row>
    <row r="292" spans="1:39" x14ac:dyDescent="0.25">
      <c r="A292" s="1">
        <v>45859</v>
      </c>
      <c r="B292" s="7">
        <v>1485.05</v>
      </c>
      <c r="C292" s="3">
        <v>6396425.3300000001</v>
      </c>
      <c r="E292" s="5">
        <v>45859</v>
      </c>
      <c r="F292" s="4">
        <v>112000</v>
      </c>
      <c r="G292" s="4">
        <v>3823661561</v>
      </c>
      <c r="H292" s="4">
        <v>92000</v>
      </c>
      <c r="I292" s="4">
        <v>4107412004</v>
      </c>
      <c r="J292" s="4">
        <v>29000</v>
      </c>
      <c r="K292" s="4">
        <v>2272318410</v>
      </c>
      <c r="L292" s="4">
        <v>88900</v>
      </c>
      <c r="M292" s="4">
        <v>1793300377</v>
      </c>
      <c r="N292" s="4">
        <v>95100</v>
      </c>
      <c r="O292" s="4">
        <v>591611334</v>
      </c>
      <c r="Q292" s="3"/>
      <c r="R292" s="3">
        <f t="shared" si="115"/>
        <v>-26765630927000</v>
      </c>
      <c r="S292" s="3">
        <f t="shared" si="97"/>
        <v>-16429648016000</v>
      </c>
      <c r="T292" s="3">
        <f t="shared" si="98"/>
        <v>-1022543284500</v>
      </c>
      <c r="U292" s="3">
        <f t="shared" si="99"/>
        <v>-2151960452400</v>
      </c>
      <c r="V292" s="3">
        <f t="shared" si="100"/>
        <v>1064900401200</v>
      </c>
      <c r="X292" s="2">
        <f t="shared" si="101"/>
        <v>-26765.630926999998</v>
      </c>
      <c r="Y292" s="2">
        <f t="shared" si="102"/>
        <v>-16429.648015999999</v>
      </c>
      <c r="Z292" s="2">
        <f t="shared" si="103"/>
        <v>-1022.5432845</v>
      </c>
      <c r="AA292" s="2">
        <f t="shared" si="104"/>
        <v>-2151.9604524000001</v>
      </c>
      <c r="AB292" s="2">
        <f t="shared" si="105"/>
        <v>1064.9004012</v>
      </c>
      <c r="AC292" s="2"/>
      <c r="AD292" s="8">
        <f t="shared" si="106"/>
        <v>-6.2228914743577288</v>
      </c>
      <c r="AE292" s="8">
        <f t="shared" si="107"/>
        <v>-3.8198209055602579</v>
      </c>
      <c r="AF292" s="8">
        <f t="shared" si="108"/>
        <v>-0.23773681646554823</v>
      </c>
      <c r="AG292" s="8">
        <f t="shared" si="109"/>
        <v>-0.50032134078656398</v>
      </c>
      <c r="AH292" s="11">
        <f t="shared" si="110"/>
        <v>0.24758465981023522</v>
      </c>
      <c r="AI292" s="8">
        <f t="shared" si="111"/>
        <v>-10.780770537170099</v>
      </c>
      <c r="AJ292" s="9">
        <f t="shared" si="112"/>
        <v>122.7524772168365</v>
      </c>
      <c r="AK292" s="9"/>
      <c r="AL292" s="7">
        <f t="shared" si="113"/>
        <v>1362.2975227831635</v>
      </c>
      <c r="AM292" s="42">
        <f t="shared" si="114"/>
        <v>33.411399298261259</v>
      </c>
    </row>
    <row r="293" spans="1:39" x14ac:dyDescent="0.25">
      <c r="A293" s="1">
        <v>45856</v>
      </c>
      <c r="B293" s="7">
        <v>1497.28</v>
      </c>
      <c r="C293" s="3">
        <v>6440035.7999999998</v>
      </c>
      <c r="E293" s="5">
        <v>45856</v>
      </c>
      <c r="F293" s="4">
        <v>119000</v>
      </c>
      <c r="G293" s="4">
        <v>3823661561</v>
      </c>
      <c r="H293" s="4">
        <v>96000</v>
      </c>
      <c r="I293" s="4">
        <v>4107412004</v>
      </c>
      <c r="J293" s="4">
        <v>29450</v>
      </c>
      <c r="K293" s="4">
        <v>2272318410</v>
      </c>
      <c r="L293" s="4">
        <v>90100</v>
      </c>
      <c r="M293" s="4">
        <v>1793300377</v>
      </c>
      <c r="N293" s="4">
        <v>93300</v>
      </c>
      <c r="O293" s="4">
        <v>591611334</v>
      </c>
      <c r="Q293" s="3"/>
      <c r="R293" s="3">
        <f t="shared" si="115"/>
        <v>-11470984683000</v>
      </c>
      <c r="S293" s="3">
        <f t="shared" si="97"/>
        <v>7804082807600</v>
      </c>
      <c r="T293" s="3">
        <f t="shared" si="98"/>
        <v>-681695523000</v>
      </c>
      <c r="U293" s="3">
        <f t="shared" si="99"/>
        <v>-358660075400</v>
      </c>
      <c r="V293" s="3">
        <f t="shared" si="100"/>
        <v>-591611334000</v>
      </c>
      <c r="X293" s="2">
        <f t="shared" si="101"/>
        <v>-11470.984683000001</v>
      </c>
      <c r="Y293" s="2">
        <f t="shared" si="102"/>
        <v>7804.0828075999998</v>
      </c>
      <c r="Z293" s="2">
        <f t="shared" si="103"/>
        <v>-681.69552299999998</v>
      </c>
      <c r="AA293" s="2">
        <f t="shared" si="104"/>
        <v>-358.66007539999998</v>
      </c>
      <c r="AB293" s="2">
        <f t="shared" si="105"/>
        <v>-591.61133400000006</v>
      </c>
      <c r="AC293" s="2"/>
      <c r="AD293" s="8">
        <f t="shared" si="106"/>
        <v>-2.6669518416300924</v>
      </c>
      <c r="AE293" s="8">
        <f t="shared" si="107"/>
        <v>1.8144138093748476</v>
      </c>
      <c r="AF293" s="8">
        <f t="shared" si="108"/>
        <v>-0.15849111307682137</v>
      </c>
      <c r="AG293" s="8">
        <f t="shared" si="109"/>
        <v>-8.3386838622912116E-2</v>
      </c>
      <c r="AH293" s="11">
        <f t="shared" si="110"/>
        <v>-0.13754694826494138</v>
      </c>
      <c r="AI293" s="8">
        <f t="shared" si="111"/>
        <v>-1.0944159839549783</v>
      </c>
      <c r="AJ293" s="9">
        <f t="shared" si="112"/>
        <v>133.5332477540066</v>
      </c>
      <c r="AK293" s="9"/>
      <c r="AL293" s="7">
        <f t="shared" si="113"/>
        <v>1363.7467522459933</v>
      </c>
      <c r="AM293" s="42">
        <f t="shared" si="114"/>
        <v>32.961038992902353</v>
      </c>
    </row>
    <row r="294" spans="1:39" x14ac:dyDescent="0.25">
      <c r="A294" s="1">
        <v>45855</v>
      </c>
      <c r="B294" s="7">
        <v>1490.01</v>
      </c>
      <c r="C294" s="3">
        <v>6408770.3499999996</v>
      </c>
      <c r="E294" s="5">
        <v>45855</v>
      </c>
      <c r="F294" s="4">
        <v>122000</v>
      </c>
      <c r="G294" s="4">
        <v>3823661561</v>
      </c>
      <c r="H294" s="4">
        <v>94100</v>
      </c>
      <c r="I294" s="4">
        <v>4107412004</v>
      </c>
      <c r="J294" s="4">
        <v>29750</v>
      </c>
      <c r="K294" s="4">
        <v>2272318410</v>
      </c>
      <c r="L294" s="4">
        <v>90300</v>
      </c>
      <c r="M294" s="4">
        <v>1793300377</v>
      </c>
      <c r="N294" s="4">
        <v>94300</v>
      </c>
      <c r="O294" s="4">
        <v>591611334</v>
      </c>
      <c r="Q294" s="3"/>
      <c r="R294" s="3">
        <f t="shared" si="115"/>
        <v>17588843180600</v>
      </c>
      <c r="S294" s="3">
        <f t="shared" si="97"/>
        <v>25055213224400</v>
      </c>
      <c r="T294" s="3">
        <f t="shared" si="98"/>
        <v>2158702489500</v>
      </c>
      <c r="U294" s="3">
        <f t="shared" si="99"/>
        <v>-1793300377000</v>
      </c>
      <c r="V294" s="3">
        <f t="shared" si="100"/>
        <v>-1005739267800</v>
      </c>
      <c r="X294" s="2">
        <f t="shared" si="101"/>
        <v>17588.843180600001</v>
      </c>
      <c r="Y294" s="2">
        <f t="shared" si="102"/>
        <v>25055.213224399999</v>
      </c>
      <c r="Z294" s="2">
        <f t="shared" si="103"/>
        <v>2158.7024895</v>
      </c>
      <c r="AA294" s="2">
        <f t="shared" si="104"/>
        <v>-1793.300377</v>
      </c>
      <c r="AB294" s="2">
        <f t="shared" si="105"/>
        <v>-1005.7392678</v>
      </c>
      <c r="AC294" s="2"/>
      <c r="AD294" s="8">
        <f t="shared" si="106"/>
        <v>4.0893437124529806</v>
      </c>
      <c r="AE294" s="8">
        <f t="shared" si="107"/>
        <v>5.8252482901421692</v>
      </c>
      <c r="AF294" s="8">
        <f t="shared" si="108"/>
        <v>0.50189067932734199</v>
      </c>
      <c r="AG294" s="8">
        <f t="shared" si="109"/>
        <v>-0.41693598299364376</v>
      </c>
      <c r="AH294" s="11">
        <f t="shared" si="110"/>
        <v>-0.23383081587089891</v>
      </c>
      <c r="AI294" s="8">
        <f t="shared" si="111"/>
        <v>9.9995466989288477</v>
      </c>
      <c r="AJ294" s="9">
        <f t="shared" si="112"/>
        <v>134.62766373796157</v>
      </c>
      <c r="AK294" s="9"/>
      <c r="AL294" s="7">
        <f t="shared" si="113"/>
        <v>1355.3823362620385</v>
      </c>
      <c r="AM294" s="42">
        <f t="shared" si="114"/>
        <v>31.625775652392697</v>
      </c>
    </row>
    <row r="295" spans="1:39" x14ac:dyDescent="0.25">
      <c r="A295" s="1">
        <v>45854</v>
      </c>
      <c r="B295" s="7">
        <v>1475.47</v>
      </c>
      <c r="C295" s="3">
        <v>6346204.25</v>
      </c>
      <c r="E295" s="5">
        <v>45854</v>
      </c>
      <c r="F295" s="4">
        <v>117400</v>
      </c>
      <c r="G295" s="4">
        <v>3823661561</v>
      </c>
      <c r="H295" s="4">
        <v>88000</v>
      </c>
      <c r="I295" s="4">
        <v>4107412004</v>
      </c>
      <c r="J295" s="4">
        <v>28800</v>
      </c>
      <c r="K295" s="4">
        <v>2272318410</v>
      </c>
      <c r="L295" s="4">
        <v>91300</v>
      </c>
      <c r="M295" s="4">
        <v>1793300377</v>
      </c>
      <c r="N295" s="4">
        <v>96000</v>
      </c>
      <c r="O295" s="4">
        <v>591611334</v>
      </c>
      <c r="Q295" s="3"/>
      <c r="R295" s="3">
        <f t="shared" si="115"/>
        <v>22177237053800</v>
      </c>
      <c r="S295" s="3">
        <f t="shared" si="97"/>
        <v>2464447202400</v>
      </c>
      <c r="T295" s="3">
        <f t="shared" si="98"/>
        <v>1477006966500</v>
      </c>
      <c r="U295" s="3">
        <f t="shared" si="99"/>
        <v>-1255310263900</v>
      </c>
      <c r="V295" s="3">
        <f t="shared" si="100"/>
        <v>-887417001000</v>
      </c>
      <c r="X295" s="2">
        <f t="shared" si="101"/>
        <v>22177.2370538</v>
      </c>
      <c r="Y295" s="2">
        <f t="shared" si="102"/>
        <v>2464.4472024000002</v>
      </c>
      <c r="Z295" s="2">
        <f t="shared" si="103"/>
        <v>1477.0069665000001</v>
      </c>
      <c r="AA295" s="2">
        <f t="shared" si="104"/>
        <v>-1255.3102639000001</v>
      </c>
      <c r="AB295" s="2">
        <f t="shared" si="105"/>
        <v>-887.41700100000003</v>
      </c>
      <c r="AC295" s="2"/>
      <c r="AD295" s="8">
        <f t="shared" si="106"/>
        <v>5.1561443212321745</v>
      </c>
      <c r="AE295" s="8">
        <f t="shared" si="107"/>
        <v>0.5729769410321548</v>
      </c>
      <c r="AF295" s="8">
        <f t="shared" si="108"/>
        <v>0.34339990433724549</v>
      </c>
      <c r="AG295" s="8">
        <f t="shared" si="109"/>
        <v>-0.29185605370455264</v>
      </c>
      <c r="AH295" s="11">
        <f t="shared" si="110"/>
        <v>-0.20632192004670905</v>
      </c>
      <c r="AI295" s="8">
        <f t="shared" si="111"/>
        <v>5.7806651128970223</v>
      </c>
      <c r="AJ295" s="9">
        <f t="shared" si="112"/>
        <v>124.62811703903272</v>
      </c>
      <c r="AK295" s="9"/>
      <c r="AL295" s="7">
        <f t="shared" si="113"/>
        <v>1350.8418829609673</v>
      </c>
      <c r="AM295" s="42">
        <f t="shared" si="114"/>
        <v>30.394871577184968</v>
      </c>
    </row>
    <row r="296" spans="1:39" x14ac:dyDescent="0.25">
      <c r="A296" s="1">
        <v>45853</v>
      </c>
      <c r="B296" s="7">
        <v>1460.65</v>
      </c>
      <c r="C296" s="3">
        <v>6282442.71</v>
      </c>
      <c r="E296" s="5">
        <v>45853</v>
      </c>
      <c r="F296" s="4">
        <v>111600</v>
      </c>
      <c r="G296" s="4">
        <v>3823661561</v>
      </c>
      <c r="H296" s="4">
        <v>87400</v>
      </c>
      <c r="I296" s="4">
        <v>4107412004</v>
      </c>
      <c r="J296" s="4">
        <v>28150</v>
      </c>
      <c r="K296" s="4">
        <v>2272318410</v>
      </c>
      <c r="L296" s="4">
        <v>92000</v>
      </c>
      <c r="M296" s="4">
        <v>1793300377</v>
      </c>
      <c r="N296" s="4">
        <v>97500</v>
      </c>
      <c r="O296" s="4">
        <v>591611334</v>
      </c>
      <c r="Q296" s="3"/>
      <c r="R296" s="3">
        <f t="shared" si="115"/>
        <v>-5353126185400</v>
      </c>
      <c r="S296" s="3">
        <f t="shared" si="97"/>
        <v>-5750376805600</v>
      </c>
      <c r="T296" s="3">
        <f t="shared" si="98"/>
        <v>-1136159205000</v>
      </c>
      <c r="U296" s="3">
        <f t="shared" si="99"/>
        <v>-717320150800</v>
      </c>
      <c r="V296" s="3">
        <f t="shared" si="100"/>
        <v>-887417001000</v>
      </c>
      <c r="X296" s="2">
        <f t="shared" si="101"/>
        <v>-5353.1261854000004</v>
      </c>
      <c r="Y296" s="2">
        <f t="shared" si="102"/>
        <v>-5750.3768055999999</v>
      </c>
      <c r="Z296" s="2">
        <f t="shared" si="103"/>
        <v>-1136.1592049999999</v>
      </c>
      <c r="AA296" s="2">
        <f t="shared" si="104"/>
        <v>-717.32015079999996</v>
      </c>
      <c r="AB296" s="2">
        <f t="shared" si="105"/>
        <v>-887.41700100000003</v>
      </c>
      <c r="AC296" s="2"/>
      <c r="AD296" s="8">
        <f t="shared" si="106"/>
        <v>-1.2445843643710799</v>
      </c>
      <c r="AE296" s="8">
        <f t="shared" si="107"/>
        <v>-1.3369438368576583</v>
      </c>
      <c r="AF296" s="8">
        <f t="shared" si="108"/>
        <v>-0.26415330649890423</v>
      </c>
      <c r="AG296" s="8">
        <f t="shared" si="109"/>
        <v>-0.16677459357653365</v>
      </c>
      <c r="AH296" s="11">
        <f t="shared" si="110"/>
        <v>-0.20632155601599109</v>
      </c>
      <c r="AI296" s="8">
        <f t="shared" si="111"/>
        <v>-3.012456101304176</v>
      </c>
      <c r="AJ296" s="9">
        <f t="shared" si="112"/>
        <v>118.84745192613569</v>
      </c>
      <c r="AK296" s="9"/>
      <c r="AL296" s="7">
        <f t="shared" si="113"/>
        <v>1341.8025480738645</v>
      </c>
      <c r="AM296" s="42">
        <f t="shared" si="114"/>
        <v>29.095435078458898</v>
      </c>
    </row>
    <row r="297" spans="1:39" x14ac:dyDescent="0.25">
      <c r="A297" s="1">
        <v>45852</v>
      </c>
      <c r="B297" s="7">
        <v>1470.42</v>
      </c>
      <c r="C297" s="3">
        <v>6324475.8899999997</v>
      </c>
      <c r="E297" s="5">
        <v>45852</v>
      </c>
      <c r="F297" s="4">
        <v>113000</v>
      </c>
      <c r="G297" s="4">
        <v>3823661561</v>
      </c>
      <c r="H297" s="4">
        <v>88800</v>
      </c>
      <c r="I297" s="4">
        <v>4107412004</v>
      </c>
      <c r="J297" s="4">
        <v>28650</v>
      </c>
      <c r="K297" s="4">
        <v>2272318410</v>
      </c>
      <c r="L297" s="4">
        <v>92400</v>
      </c>
      <c r="M297" s="4">
        <v>1793300377</v>
      </c>
      <c r="N297" s="4">
        <v>99000</v>
      </c>
      <c r="O297" s="4">
        <v>591611334</v>
      </c>
      <c r="Q297" s="3"/>
      <c r="R297" s="3">
        <f t="shared" si="115"/>
        <v>19118307805000</v>
      </c>
      <c r="S297" s="3">
        <f t="shared" si="97"/>
        <v>3696670803600</v>
      </c>
      <c r="T297" s="3">
        <f t="shared" si="98"/>
        <v>113615920500</v>
      </c>
      <c r="U297" s="3">
        <f t="shared" si="99"/>
        <v>179330037700</v>
      </c>
      <c r="V297" s="3">
        <f t="shared" si="100"/>
        <v>-591611334000</v>
      </c>
      <c r="X297" s="2">
        <f t="shared" si="101"/>
        <v>19118.307805</v>
      </c>
      <c r="Y297" s="2">
        <f t="shared" si="102"/>
        <v>3696.6708036</v>
      </c>
      <c r="Z297" s="2">
        <f t="shared" si="103"/>
        <v>113.6159205</v>
      </c>
      <c r="AA297" s="2">
        <f t="shared" si="104"/>
        <v>179.33003769999999</v>
      </c>
      <c r="AB297" s="2">
        <f t="shared" si="105"/>
        <v>-591.61133400000006</v>
      </c>
      <c r="AC297" s="2"/>
      <c r="AD297" s="8">
        <f t="shared" si="106"/>
        <v>4.4449399422465872</v>
      </c>
      <c r="AE297" s="8">
        <f t="shared" si="107"/>
        <v>0.85946307988414716</v>
      </c>
      <c r="AF297" s="8">
        <f t="shared" si="108"/>
        <v>2.6415305593808169E-2</v>
      </c>
      <c r="AG297" s="8">
        <f t="shared" si="109"/>
        <v>4.1693608845906761E-2</v>
      </c>
      <c r="AH297" s="11">
        <f t="shared" si="110"/>
        <v>-0.13754757354072147</v>
      </c>
      <c r="AI297" s="8">
        <f t="shared" si="111"/>
        <v>5.372511936570449</v>
      </c>
      <c r="AJ297" s="9">
        <f t="shared" si="112"/>
        <v>121.85990802743987</v>
      </c>
      <c r="AK297" s="9"/>
      <c r="AL297" s="7">
        <f t="shared" si="113"/>
        <v>1348.5600919725603</v>
      </c>
      <c r="AM297" s="42">
        <f t="shared" si="114"/>
        <v>27.823297440275351</v>
      </c>
    </row>
    <row r="298" spans="1:39" x14ac:dyDescent="0.25">
      <c r="A298" s="1">
        <v>45849</v>
      </c>
      <c r="B298" s="7">
        <v>1457.76</v>
      </c>
      <c r="C298" s="3">
        <v>6270029.46</v>
      </c>
      <c r="E298" s="5">
        <v>45849</v>
      </c>
      <c r="F298" s="4">
        <v>108000</v>
      </c>
      <c r="G298" s="4">
        <v>3823661561</v>
      </c>
      <c r="H298" s="4">
        <v>87900</v>
      </c>
      <c r="I298" s="4">
        <v>4107412004</v>
      </c>
      <c r="J298" s="4">
        <v>28600</v>
      </c>
      <c r="K298" s="4">
        <v>2272318410</v>
      </c>
      <c r="L298" s="4">
        <v>92300</v>
      </c>
      <c r="M298" s="4">
        <v>1793300377</v>
      </c>
      <c r="N298" s="4">
        <v>100000</v>
      </c>
      <c r="O298" s="4">
        <v>591611334</v>
      </c>
      <c r="Q298" s="3"/>
      <c r="R298" s="3">
        <f t="shared" si="115"/>
        <v>24471433990400</v>
      </c>
      <c r="S298" s="3">
        <f t="shared" si="97"/>
        <v>7804082807600</v>
      </c>
      <c r="T298" s="3">
        <f t="shared" si="98"/>
        <v>340847761500</v>
      </c>
      <c r="U298" s="3">
        <f t="shared" si="99"/>
        <v>-2510620527800</v>
      </c>
      <c r="V298" s="3">
        <f t="shared" si="100"/>
        <v>2366445336000</v>
      </c>
      <c r="X298" s="2">
        <f t="shared" si="101"/>
        <v>24471.433990400001</v>
      </c>
      <c r="Y298" s="2">
        <f t="shared" si="102"/>
        <v>7804.0828075999998</v>
      </c>
      <c r="Z298" s="2">
        <f t="shared" si="103"/>
        <v>340.84776149999999</v>
      </c>
      <c r="AA298" s="2">
        <f t="shared" si="104"/>
        <v>-2510.6205278000002</v>
      </c>
      <c r="AB298" s="2">
        <f t="shared" si="105"/>
        <v>2366.4453360000002</v>
      </c>
      <c r="AC298" s="2"/>
      <c r="AD298" s="8">
        <f t="shared" si="106"/>
        <v>5.6895206979823181</v>
      </c>
      <c r="AE298" s="8">
        <f t="shared" si="107"/>
        <v>1.8144212832001019</v>
      </c>
      <c r="AF298" s="8">
        <f t="shared" si="108"/>
        <v>7.9245882961985439E-2</v>
      </c>
      <c r="AG298" s="8">
        <f t="shared" si="109"/>
        <v>-0.58371027473506509</v>
      </c>
      <c r="AH298" s="11">
        <f t="shared" si="110"/>
        <v>0.55019005936054044</v>
      </c>
      <c r="AI298" s="8">
        <f t="shared" si="111"/>
        <v>6.9994775894093406</v>
      </c>
      <c r="AJ298" s="9">
        <f t="shared" si="112"/>
        <v>116.48739609086942</v>
      </c>
      <c r="AK298" s="9"/>
      <c r="AL298" s="7">
        <f t="shared" si="113"/>
        <v>1341.2726039091306</v>
      </c>
      <c r="AM298" s="42">
        <f t="shared" si="114"/>
        <v>25.407752976747602</v>
      </c>
    </row>
    <row r="299" spans="1:39" x14ac:dyDescent="0.25">
      <c r="A299" s="1">
        <v>45848</v>
      </c>
      <c r="B299" s="7">
        <v>1445.64</v>
      </c>
      <c r="C299" s="3">
        <v>6217902.2999999998</v>
      </c>
      <c r="E299" s="5">
        <v>45848</v>
      </c>
      <c r="F299" s="4">
        <v>101600</v>
      </c>
      <c r="G299" s="4">
        <v>3823661561</v>
      </c>
      <c r="H299" s="4">
        <v>86000</v>
      </c>
      <c r="I299" s="4">
        <v>4107412004</v>
      </c>
      <c r="J299" s="4">
        <v>28450</v>
      </c>
      <c r="K299" s="4">
        <v>2272318410</v>
      </c>
      <c r="L299" s="4">
        <v>93700</v>
      </c>
      <c r="M299" s="4">
        <v>1793300377</v>
      </c>
      <c r="N299" s="4">
        <v>96000</v>
      </c>
      <c r="O299" s="4">
        <v>591611334</v>
      </c>
      <c r="Q299" s="3"/>
      <c r="R299" s="3">
        <f t="shared" si="115"/>
        <v>25236166302600</v>
      </c>
      <c r="S299" s="3">
        <f t="shared" si="97"/>
        <v>17251130416800</v>
      </c>
      <c r="T299" s="3">
        <f t="shared" si="98"/>
        <v>3749325376500</v>
      </c>
      <c r="U299" s="3">
        <f t="shared" si="99"/>
        <v>-717320150800</v>
      </c>
      <c r="V299" s="3">
        <f t="shared" si="100"/>
        <v>1183222668000</v>
      </c>
      <c r="X299" s="2">
        <f t="shared" si="101"/>
        <v>25236.166302599999</v>
      </c>
      <c r="Y299" s="2">
        <f t="shared" si="102"/>
        <v>17251.130416799999</v>
      </c>
      <c r="Z299" s="2">
        <f t="shared" si="103"/>
        <v>3749.3253764999999</v>
      </c>
      <c r="AA299" s="2">
        <f t="shared" si="104"/>
        <v>-717.32015079999996</v>
      </c>
      <c r="AB299" s="2">
        <f t="shared" si="105"/>
        <v>1183.2226680000001</v>
      </c>
      <c r="AC299" s="2"/>
      <c r="AD299" s="8">
        <f t="shared" si="106"/>
        <v>5.8673199092897637</v>
      </c>
      <c r="AE299" s="8">
        <f t="shared" si="107"/>
        <v>4.0108271493605079</v>
      </c>
      <c r="AF299" s="8">
        <f t="shared" si="108"/>
        <v>0.87170496358939253</v>
      </c>
      <c r="AG299" s="8">
        <f t="shared" si="109"/>
        <v>-0.16677441223273132</v>
      </c>
      <c r="AH299" s="11">
        <f t="shared" si="110"/>
        <v>0.27509510889394106</v>
      </c>
      <c r="AI299" s="8">
        <f t="shared" si="111"/>
        <v>10.583077610006931</v>
      </c>
      <c r="AJ299" s="9">
        <f t="shared" si="112"/>
        <v>109.48791850146009</v>
      </c>
      <c r="AK299" s="9"/>
      <c r="AL299" s="7">
        <f t="shared" si="113"/>
        <v>1336.1520814985399</v>
      </c>
      <c r="AM299" s="42">
        <f t="shared" si="114"/>
        <v>24.438928487598478</v>
      </c>
    </row>
    <row r="300" spans="1:39" x14ac:dyDescent="0.25">
      <c r="A300" s="1">
        <v>45847</v>
      </c>
      <c r="B300" s="7">
        <v>1431.32</v>
      </c>
      <c r="C300" s="3">
        <v>6156308.1799999997</v>
      </c>
      <c r="E300" s="5">
        <v>45847</v>
      </c>
      <c r="F300" s="4">
        <v>95000</v>
      </c>
      <c r="G300" s="4">
        <v>3823661561</v>
      </c>
      <c r="H300" s="4">
        <v>81800</v>
      </c>
      <c r="I300" s="4">
        <v>4107412004</v>
      </c>
      <c r="J300" s="4">
        <v>26800</v>
      </c>
      <c r="K300" s="4">
        <v>2272318410</v>
      </c>
      <c r="L300" s="4">
        <v>94100</v>
      </c>
      <c r="M300" s="4">
        <v>1793300377</v>
      </c>
      <c r="N300" s="4">
        <v>94000</v>
      </c>
      <c r="O300" s="4">
        <v>591611334</v>
      </c>
      <c r="Q300" s="3"/>
      <c r="R300" s="3">
        <f t="shared" si="115"/>
        <v>6500224653700</v>
      </c>
      <c r="S300" s="3">
        <f t="shared" si="97"/>
        <v>10679271210400</v>
      </c>
      <c r="T300" s="3">
        <f t="shared" si="98"/>
        <v>2272318410000</v>
      </c>
      <c r="U300" s="3">
        <f t="shared" si="99"/>
        <v>0</v>
      </c>
      <c r="V300" s="3">
        <f t="shared" si="100"/>
        <v>-591611334000</v>
      </c>
      <c r="X300" s="2">
        <f t="shared" si="101"/>
        <v>6500.2246537000001</v>
      </c>
      <c r="Y300" s="2">
        <f t="shared" si="102"/>
        <v>10679.2712104</v>
      </c>
      <c r="Z300" s="2">
        <f t="shared" si="103"/>
        <v>2272.3184099999999</v>
      </c>
      <c r="AA300" s="2">
        <f t="shared" si="104"/>
        <v>0</v>
      </c>
      <c r="AB300" s="2">
        <f t="shared" si="105"/>
        <v>-591.61133400000006</v>
      </c>
      <c r="AC300" s="2"/>
      <c r="AD300" s="8">
        <f t="shared" si="106"/>
        <v>1.5113453380963713</v>
      </c>
      <c r="AE300" s="8">
        <f t="shared" si="107"/>
        <v>2.4830013757936396</v>
      </c>
      <c r="AF300" s="8">
        <f t="shared" si="108"/>
        <v>0.52832909915955606</v>
      </c>
      <c r="AG300" s="8">
        <f t="shared" si="109"/>
        <v>0</v>
      </c>
      <c r="AH300" s="11">
        <f t="shared" si="110"/>
        <v>-0.1375535584138507</v>
      </c>
      <c r="AI300" s="8">
        <f t="shared" si="111"/>
        <v>4.5226758130495668</v>
      </c>
      <c r="AJ300" s="9">
        <f t="shared" si="112"/>
        <v>98.904840891453148</v>
      </c>
      <c r="AK300" s="9"/>
      <c r="AL300" s="7">
        <f t="shared" si="113"/>
        <v>1332.4151591085467</v>
      </c>
      <c r="AM300" s="42">
        <f t="shared" si="114"/>
        <v>22.61885864755239</v>
      </c>
    </row>
    <row r="301" spans="1:39" x14ac:dyDescent="0.25">
      <c r="A301" s="1">
        <v>45846</v>
      </c>
      <c r="B301" s="7">
        <v>1415.46</v>
      </c>
      <c r="C301" s="3">
        <v>6087826.3600000003</v>
      </c>
      <c r="E301" s="5">
        <v>45846</v>
      </c>
      <c r="F301" s="4">
        <v>93300</v>
      </c>
      <c r="G301" s="4">
        <v>3823661561</v>
      </c>
      <c r="H301" s="4">
        <v>79200</v>
      </c>
      <c r="I301" s="4">
        <v>4107412004</v>
      </c>
      <c r="J301" s="4">
        <v>25800</v>
      </c>
      <c r="K301" s="4">
        <v>2272318410</v>
      </c>
      <c r="L301" s="4">
        <v>94100</v>
      </c>
      <c r="M301" s="4">
        <v>1793300377</v>
      </c>
      <c r="N301" s="4">
        <v>95000</v>
      </c>
      <c r="O301" s="4">
        <v>591611334</v>
      </c>
      <c r="Q301" s="3"/>
      <c r="R301" s="3">
        <f t="shared" si="115"/>
        <v>1147098468300</v>
      </c>
      <c r="S301" s="3">
        <f t="shared" si="97"/>
        <v>9447047609200</v>
      </c>
      <c r="T301" s="3">
        <f t="shared" si="98"/>
        <v>681695523000</v>
      </c>
      <c r="U301" s="3">
        <f t="shared" si="99"/>
        <v>0</v>
      </c>
      <c r="V301" s="3">
        <f t="shared" si="100"/>
        <v>2958056670000</v>
      </c>
      <c r="X301" s="2">
        <f t="shared" si="101"/>
        <v>1147.0984682999999</v>
      </c>
      <c r="Y301" s="2">
        <f t="shared" si="102"/>
        <v>9447.0476092000008</v>
      </c>
      <c r="Z301" s="2">
        <f t="shared" si="103"/>
        <v>681.69552299999998</v>
      </c>
      <c r="AA301" s="2">
        <f t="shared" si="104"/>
        <v>0</v>
      </c>
      <c r="AB301" s="2">
        <f t="shared" si="105"/>
        <v>2958.0566699999999</v>
      </c>
      <c r="AC301" s="2"/>
      <c r="AD301" s="8">
        <f t="shared" si="106"/>
        <v>0.26675443962659401</v>
      </c>
      <c r="AE301" s="8">
        <f t="shared" si="107"/>
        <v>2.1968836684549005</v>
      </c>
      <c r="AF301" s="8">
        <f t="shared" si="108"/>
        <v>0.15852632730241345</v>
      </c>
      <c r="AG301" s="8">
        <f t="shared" si="109"/>
        <v>0</v>
      </c>
      <c r="AH301" s="11">
        <f t="shared" si="110"/>
        <v>0.68788754513722572</v>
      </c>
      <c r="AI301" s="8">
        <f t="shared" si="111"/>
        <v>2.6221644353839078</v>
      </c>
      <c r="AJ301" s="9">
        <f t="shared" si="112"/>
        <v>94.382165078403574</v>
      </c>
      <c r="AK301" s="9"/>
      <c r="AL301" s="7">
        <f t="shared" si="113"/>
        <v>1321.0778349215964</v>
      </c>
      <c r="AM301" s="42">
        <f t="shared" si="114"/>
        <v>21.365011399551559</v>
      </c>
    </row>
    <row r="302" spans="1:39" x14ac:dyDescent="0.25">
      <c r="A302" s="1">
        <v>45845</v>
      </c>
      <c r="B302" s="7">
        <v>1402.06</v>
      </c>
      <c r="C302" s="3">
        <v>6029143.8099999996</v>
      </c>
      <c r="E302" s="5">
        <v>45845</v>
      </c>
      <c r="F302" s="4">
        <v>93000</v>
      </c>
      <c r="G302" s="4">
        <v>3823661561</v>
      </c>
      <c r="H302" s="4">
        <v>76900</v>
      </c>
      <c r="I302" s="4">
        <v>4107412004</v>
      </c>
      <c r="J302" s="4">
        <v>25500</v>
      </c>
      <c r="K302" s="4">
        <v>2272318410</v>
      </c>
      <c r="L302" s="4">
        <v>94100</v>
      </c>
      <c r="M302" s="4">
        <v>1793300377</v>
      </c>
      <c r="N302" s="4">
        <v>90000</v>
      </c>
      <c r="O302" s="4">
        <v>591611334</v>
      </c>
      <c r="Q302" s="3"/>
      <c r="R302" s="3">
        <f t="shared" ref="R302:R333" si="116">G302*F302-G303*F303</f>
        <v>4206027717100</v>
      </c>
      <c r="S302" s="3">
        <f t="shared" si="97"/>
        <v>3696670803600</v>
      </c>
      <c r="T302" s="3">
        <f t="shared" si="98"/>
        <v>795311443500</v>
      </c>
      <c r="U302" s="3">
        <f t="shared" si="99"/>
        <v>0</v>
      </c>
      <c r="V302" s="3">
        <f t="shared" si="100"/>
        <v>118322266800</v>
      </c>
      <c r="X302" s="2">
        <f t="shared" si="101"/>
        <v>4206.0277170999998</v>
      </c>
      <c r="Y302" s="2">
        <f t="shared" si="102"/>
        <v>3696.6708036</v>
      </c>
      <c r="Z302" s="2">
        <f t="shared" si="103"/>
        <v>795.3114435</v>
      </c>
      <c r="AA302" s="2">
        <f t="shared" si="104"/>
        <v>0</v>
      </c>
      <c r="AB302" s="2">
        <f t="shared" si="105"/>
        <v>118.32226679999999</v>
      </c>
      <c r="AC302" s="2"/>
      <c r="AD302" s="8">
        <f t="shared" si="106"/>
        <v>0.97809855976624138</v>
      </c>
      <c r="AE302" s="8">
        <f t="shared" si="107"/>
        <v>0.85964920635949982</v>
      </c>
      <c r="AF302" s="8">
        <f t="shared" si="108"/>
        <v>0.18494718289429327</v>
      </c>
      <c r="AG302" s="8">
        <f t="shared" si="109"/>
        <v>0</v>
      </c>
      <c r="AH302" s="11">
        <f t="shared" si="110"/>
        <v>2.7515472205483189E-2</v>
      </c>
      <c r="AI302" s="8">
        <f t="shared" si="111"/>
        <v>2.0226949490200345</v>
      </c>
      <c r="AJ302" s="9">
        <f t="shared" si="112"/>
        <v>91.760000643019666</v>
      </c>
      <c r="AK302" s="9"/>
      <c r="AL302" s="7">
        <f t="shared" si="113"/>
        <v>1310.2999993569804</v>
      </c>
      <c r="AM302" s="42">
        <f t="shared" si="114"/>
        <v>20.411301489505028</v>
      </c>
    </row>
    <row r="303" spans="1:39" x14ac:dyDescent="0.25">
      <c r="A303" s="1">
        <v>45842</v>
      </c>
      <c r="B303" s="7">
        <v>1386.97</v>
      </c>
      <c r="C303" s="3">
        <v>5964260.1500000004</v>
      </c>
      <c r="E303" s="5">
        <v>45842</v>
      </c>
      <c r="F303" s="4">
        <v>91900</v>
      </c>
      <c r="G303" s="4">
        <v>3823661561</v>
      </c>
      <c r="H303" s="4">
        <v>76000</v>
      </c>
      <c r="I303" s="4">
        <v>4107412004</v>
      </c>
      <c r="J303" s="4">
        <v>25150</v>
      </c>
      <c r="K303" s="4">
        <v>2272318410</v>
      </c>
      <c r="L303" s="4">
        <v>94100</v>
      </c>
      <c r="M303" s="4">
        <v>1793300377</v>
      </c>
      <c r="N303" s="4">
        <v>89800</v>
      </c>
      <c r="O303" s="4">
        <v>591611334</v>
      </c>
      <c r="Q303" s="3"/>
      <c r="R303" s="3">
        <f t="shared" si="116"/>
        <v>-9941520058600</v>
      </c>
      <c r="S303" s="3">
        <f t="shared" si="97"/>
        <v>-1232223601200</v>
      </c>
      <c r="T303" s="3">
        <f t="shared" si="98"/>
        <v>227231841000</v>
      </c>
      <c r="U303" s="3">
        <f t="shared" si="99"/>
        <v>0</v>
      </c>
      <c r="V303" s="3">
        <f t="shared" si="100"/>
        <v>473289067200</v>
      </c>
      <c r="X303" s="2">
        <f t="shared" si="101"/>
        <v>-9941.5200585999992</v>
      </c>
      <c r="Y303" s="2">
        <f t="shared" si="102"/>
        <v>-1232.2236012000001</v>
      </c>
      <c r="Z303" s="2">
        <f t="shared" si="103"/>
        <v>227.231841</v>
      </c>
      <c r="AA303" s="2">
        <f t="shared" si="104"/>
        <v>0</v>
      </c>
      <c r="AB303" s="2">
        <f t="shared" si="105"/>
        <v>473.28906719999998</v>
      </c>
      <c r="AC303" s="2"/>
      <c r="AD303" s="8">
        <f t="shared" si="106"/>
        <v>-2.311875401834631</v>
      </c>
      <c r="AE303" s="8">
        <f t="shared" si="107"/>
        <v>-0.28655048889732232</v>
      </c>
      <c r="AF303" s="8">
        <f t="shared" si="108"/>
        <v>5.2842191196612348E-2</v>
      </c>
      <c r="AG303" s="8">
        <f t="shared" si="109"/>
        <v>0</v>
      </c>
      <c r="AH303" s="11">
        <f t="shared" si="110"/>
        <v>0.11006217821493031</v>
      </c>
      <c r="AI303" s="8">
        <f t="shared" si="111"/>
        <v>-2.5455836995353409</v>
      </c>
      <c r="AJ303" s="9">
        <f t="shared" si="112"/>
        <v>89.73730569399963</v>
      </c>
      <c r="AK303" s="9"/>
      <c r="AL303" s="7">
        <f t="shared" si="113"/>
        <v>1297.2326943060004</v>
      </c>
      <c r="AM303" s="42">
        <f t="shared" si="114"/>
        <v>20.079042660242774</v>
      </c>
    </row>
    <row r="304" spans="1:39" x14ac:dyDescent="0.25">
      <c r="A304" s="1">
        <v>45841</v>
      </c>
      <c r="B304" s="7">
        <v>1381.96</v>
      </c>
      <c r="C304" s="3">
        <v>5942700.4800000004</v>
      </c>
      <c r="E304" s="5">
        <v>45841</v>
      </c>
      <c r="F304" s="4">
        <v>94500</v>
      </c>
      <c r="G304" s="4">
        <v>3823661561</v>
      </c>
      <c r="H304" s="4">
        <v>76300</v>
      </c>
      <c r="I304" s="4">
        <v>4107412004</v>
      </c>
      <c r="J304" s="4">
        <v>25050</v>
      </c>
      <c r="K304" s="4">
        <v>2272318410</v>
      </c>
      <c r="L304" s="4">
        <v>94100</v>
      </c>
      <c r="M304" s="4">
        <v>1793300377</v>
      </c>
      <c r="N304" s="4">
        <v>89000</v>
      </c>
      <c r="O304" s="4">
        <v>591611334</v>
      </c>
      <c r="Q304" s="3"/>
      <c r="R304" s="3">
        <f t="shared" si="116"/>
        <v>-3441295404900</v>
      </c>
      <c r="S304" s="3">
        <f t="shared" si="97"/>
        <v>1232223601200</v>
      </c>
      <c r="T304" s="3">
        <f t="shared" si="98"/>
        <v>-340847761500</v>
      </c>
      <c r="U304" s="3">
        <f t="shared" si="99"/>
        <v>-896650188500</v>
      </c>
      <c r="V304" s="3">
        <f t="shared" si="100"/>
        <v>-709933600800</v>
      </c>
      <c r="X304" s="2">
        <f t="shared" si="101"/>
        <v>-3441.2954049</v>
      </c>
      <c r="Y304" s="2">
        <f t="shared" si="102"/>
        <v>1232.2236012000001</v>
      </c>
      <c r="Z304" s="2">
        <f t="shared" si="103"/>
        <v>-340.84776149999999</v>
      </c>
      <c r="AA304" s="2">
        <f t="shared" si="104"/>
        <v>-896.65018850000001</v>
      </c>
      <c r="AB304" s="2">
        <f t="shared" si="105"/>
        <v>-709.93360080000002</v>
      </c>
      <c r="AC304" s="2"/>
      <c r="AD304" s="8">
        <f t="shared" si="106"/>
        <v>-0.80026008488515532</v>
      </c>
      <c r="AE304" s="8">
        <f t="shared" si="107"/>
        <v>0.28654888571603421</v>
      </c>
      <c r="AF304" s="8">
        <f t="shared" si="108"/>
        <v>-7.926284333583139E-2</v>
      </c>
      <c r="AG304" s="8">
        <f t="shared" si="109"/>
        <v>-0.20851257202145124</v>
      </c>
      <c r="AH304" s="11">
        <f t="shared" si="110"/>
        <v>-0.16509234366514408</v>
      </c>
      <c r="AI304" s="8">
        <f t="shared" si="111"/>
        <v>-0.8014866145264038</v>
      </c>
      <c r="AJ304" s="9">
        <f t="shared" si="112"/>
        <v>92.282889393534973</v>
      </c>
      <c r="AK304" s="9"/>
      <c r="AL304" s="7">
        <f t="shared" si="113"/>
        <v>1289.677110606465</v>
      </c>
      <c r="AM304" s="42">
        <f t="shared" si="114"/>
        <v>19.6895098832358</v>
      </c>
    </row>
    <row r="305" spans="1:39" x14ac:dyDescent="0.25">
      <c r="A305" s="1">
        <v>45840</v>
      </c>
      <c r="B305" s="7">
        <v>1384.59</v>
      </c>
      <c r="C305" s="3">
        <v>5954043.3099999996</v>
      </c>
      <c r="E305" s="5">
        <v>45840</v>
      </c>
      <c r="F305" s="4">
        <v>95400</v>
      </c>
      <c r="G305" s="4">
        <v>3823661561</v>
      </c>
      <c r="H305" s="4">
        <v>76000</v>
      </c>
      <c r="I305" s="4">
        <v>4107412004</v>
      </c>
      <c r="J305" s="4">
        <v>25200</v>
      </c>
      <c r="K305" s="4">
        <v>2272318410</v>
      </c>
      <c r="L305" s="4">
        <v>94600</v>
      </c>
      <c r="M305" s="4">
        <v>1793300377</v>
      </c>
      <c r="N305" s="4">
        <v>90200</v>
      </c>
      <c r="O305" s="4">
        <v>591611334</v>
      </c>
      <c r="Q305" s="3"/>
      <c r="R305" s="3">
        <f t="shared" si="116"/>
        <v>-764732312200</v>
      </c>
      <c r="S305" s="3">
        <f t="shared" si="97"/>
        <v>-1232223601200</v>
      </c>
      <c r="T305" s="3">
        <f t="shared" si="98"/>
        <v>908927364000</v>
      </c>
      <c r="U305" s="3">
        <f t="shared" si="99"/>
        <v>0</v>
      </c>
      <c r="V305" s="3">
        <f t="shared" si="100"/>
        <v>-177483400200</v>
      </c>
      <c r="X305" s="2">
        <f t="shared" si="101"/>
        <v>-764.73231220000002</v>
      </c>
      <c r="Y305" s="2">
        <f t="shared" si="102"/>
        <v>-1232.2236012000001</v>
      </c>
      <c r="Z305" s="2">
        <f t="shared" si="103"/>
        <v>908.92736400000001</v>
      </c>
      <c r="AA305" s="2">
        <f t="shared" si="104"/>
        <v>0</v>
      </c>
      <c r="AB305" s="2">
        <f t="shared" si="105"/>
        <v>-177.48340020000001</v>
      </c>
      <c r="AC305" s="2"/>
      <c r="AD305" s="8">
        <f t="shared" si="106"/>
        <v>-0.17783680431710383</v>
      </c>
      <c r="AE305" s="8">
        <f t="shared" si="107"/>
        <v>-0.28655086746774111</v>
      </c>
      <c r="AF305" s="8">
        <f t="shared" si="108"/>
        <v>0.21136904403204451</v>
      </c>
      <c r="AG305" s="8">
        <f t="shared" si="109"/>
        <v>0</v>
      </c>
      <c r="AH305" s="11">
        <f t="shared" si="110"/>
        <v>-4.1273371358011818E-2</v>
      </c>
      <c r="AI305" s="8">
        <f t="shared" si="111"/>
        <v>-0.25301862775280048</v>
      </c>
      <c r="AJ305" s="9">
        <f t="shared" si="112"/>
        <v>93.084376008061383</v>
      </c>
      <c r="AK305" s="9"/>
      <c r="AL305" s="7">
        <f t="shared" si="113"/>
        <v>1291.5056239919386</v>
      </c>
      <c r="AM305" s="42">
        <f t="shared" si="114"/>
        <v>18.96048825658249</v>
      </c>
    </row>
    <row r="306" spans="1:39" x14ac:dyDescent="0.25">
      <c r="A306" s="1">
        <v>45839</v>
      </c>
      <c r="B306" s="7">
        <v>1377.84</v>
      </c>
      <c r="C306" s="3">
        <v>5924975.8399999999</v>
      </c>
      <c r="E306" s="5">
        <v>45839</v>
      </c>
      <c r="F306" s="4">
        <v>95600</v>
      </c>
      <c r="G306" s="4">
        <v>3823661561</v>
      </c>
      <c r="H306" s="4">
        <v>76300</v>
      </c>
      <c r="I306" s="4">
        <v>4107412004</v>
      </c>
      <c r="J306" s="4">
        <v>24800</v>
      </c>
      <c r="K306" s="4">
        <v>2272318410</v>
      </c>
      <c r="L306" s="4">
        <v>94600</v>
      </c>
      <c r="M306" s="4">
        <v>1793300377</v>
      </c>
      <c r="N306" s="4">
        <v>90500</v>
      </c>
      <c r="O306" s="4">
        <v>591611334</v>
      </c>
      <c r="Q306" s="3"/>
      <c r="R306" s="3">
        <f t="shared" si="116"/>
        <v>0</v>
      </c>
      <c r="S306" s="3">
        <f t="shared" si="97"/>
        <v>-1642964801600</v>
      </c>
      <c r="T306" s="3">
        <f t="shared" si="98"/>
        <v>340847761500</v>
      </c>
      <c r="U306" s="3">
        <f t="shared" si="99"/>
        <v>0</v>
      </c>
      <c r="V306" s="3">
        <f t="shared" si="100"/>
        <v>1419867201600</v>
      </c>
      <c r="X306" s="2">
        <f t="shared" si="101"/>
        <v>0</v>
      </c>
      <c r="Y306" s="2">
        <f t="shared" si="102"/>
        <v>-1642.9648016000001</v>
      </c>
      <c r="Z306" s="2">
        <f t="shared" si="103"/>
        <v>340.84776149999999</v>
      </c>
      <c r="AA306" s="2">
        <f t="shared" si="104"/>
        <v>0</v>
      </c>
      <c r="AB306" s="2">
        <f t="shared" si="105"/>
        <v>1419.8672016</v>
      </c>
      <c r="AC306" s="2"/>
      <c r="AD306" s="8">
        <f t="shared" si="106"/>
        <v>0</v>
      </c>
      <c r="AE306" s="8">
        <f t="shared" si="107"/>
        <v>-0.38206583211621487</v>
      </c>
      <c r="AF306" s="8">
        <f t="shared" si="108"/>
        <v>7.9262978425116509E-2</v>
      </c>
      <c r="AG306" s="8">
        <f t="shared" si="109"/>
        <v>0</v>
      </c>
      <c r="AH306" s="11">
        <f t="shared" si="110"/>
        <v>0.33018525007080429</v>
      </c>
      <c r="AI306" s="8">
        <f t="shared" si="111"/>
        <v>-0.30280285369109838</v>
      </c>
      <c r="AJ306" s="9">
        <f t="shared" si="112"/>
        <v>93.337394635814178</v>
      </c>
      <c r="AK306" s="9"/>
      <c r="AL306" s="7">
        <f t="shared" si="113"/>
        <v>1284.5026053641857</v>
      </c>
      <c r="AM306" s="42">
        <f t="shared" si="114"/>
        <v>17.676878419421229</v>
      </c>
    </row>
    <row r="307" spans="1:39" x14ac:dyDescent="0.25">
      <c r="A307" s="1">
        <v>45838</v>
      </c>
      <c r="B307" s="7">
        <v>1376.07</v>
      </c>
      <c r="C307" s="3">
        <v>5917395.3399999999</v>
      </c>
      <c r="E307" s="5">
        <v>45838</v>
      </c>
      <c r="F307" s="4">
        <v>95600</v>
      </c>
      <c r="G307" s="4">
        <v>3823661561</v>
      </c>
      <c r="H307" s="4">
        <v>76700</v>
      </c>
      <c r="I307" s="4">
        <v>4107412004</v>
      </c>
      <c r="J307" s="4">
        <v>24650</v>
      </c>
      <c r="K307" s="4">
        <v>2272318410</v>
      </c>
      <c r="L307" s="4">
        <v>94600</v>
      </c>
      <c r="M307" s="4">
        <v>1793300377</v>
      </c>
      <c r="N307" s="4">
        <v>88100</v>
      </c>
      <c r="O307" s="4">
        <v>591611334</v>
      </c>
      <c r="Q307" s="3"/>
      <c r="R307" s="3">
        <f t="shared" si="116"/>
        <v>382366156100</v>
      </c>
      <c r="S307" s="3">
        <f t="shared" si="97"/>
        <v>-1232223601200</v>
      </c>
      <c r="T307" s="3">
        <f t="shared" si="98"/>
        <v>-340847761500</v>
      </c>
      <c r="U307" s="3">
        <f t="shared" si="99"/>
        <v>0</v>
      </c>
      <c r="V307" s="3">
        <f t="shared" si="100"/>
        <v>532450200600</v>
      </c>
      <c r="X307" s="2">
        <f t="shared" si="101"/>
        <v>382.36615610000001</v>
      </c>
      <c r="Y307" s="2">
        <f t="shared" si="102"/>
        <v>-1232.2236012000001</v>
      </c>
      <c r="Z307" s="2">
        <f t="shared" si="103"/>
        <v>-340.84776149999999</v>
      </c>
      <c r="AA307" s="2">
        <f t="shared" si="104"/>
        <v>0</v>
      </c>
      <c r="AB307" s="2">
        <f t="shared" si="105"/>
        <v>532.45020060000002</v>
      </c>
      <c r="AC307" s="2"/>
      <c r="AD307" s="8">
        <f t="shared" si="106"/>
        <v>8.8917787674631793E-2</v>
      </c>
      <c r="AE307" s="8">
        <f t="shared" si="107"/>
        <v>-0.28654888721510402</v>
      </c>
      <c r="AF307" s="8">
        <f t="shared" si="108"/>
        <v>-7.9262843750492001E-2</v>
      </c>
      <c r="AG307" s="8">
        <f t="shared" si="109"/>
        <v>0</v>
      </c>
      <c r="AH307" s="11">
        <f t="shared" si="110"/>
        <v>0.1238192583966139</v>
      </c>
      <c r="AI307" s="8">
        <f t="shared" si="111"/>
        <v>-0.27689394329096423</v>
      </c>
      <c r="AJ307" s="9">
        <f t="shared" si="112"/>
        <v>93.640197489505283</v>
      </c>
      <c r="AK307" s="9"/>
      <c r="AL307" s="7">
        <f t="shared" si="113"/>
        <v>1282.4298025104947</v>
      </c>
      <c r="AM307" s="42">
        <f t="shared" si="114"/>
        <v>16.688285434040932</v>
      </c>
    </row>
    <row r="308" spans="1:39" x14ac:dyDescent="0.25">
      <c r="A308" s="1">
        <v>45835</v>
      </c>
      <c r="B308" s="7">
        <v>1371.44</v>
      </c>
      <c r="C308" s="3">
        <v>5897495.3700000001</v>
      </c>
      <c r="E308" s="5">
        <v>45835</v>
      </c>
      <c r="F308" s="4">
        <v>95500</v>
      </c>
      <c r="G308" s="4">
        <v>3823661561</v>
      </c>
      <c r="H308" s="4">
        <v>77000</v>
      </c>
      <c r="I308" s="4">
        <v>4107412004</v>
      </c>
      <c r="J308" s="4">
        <v>24800</v>
      </c>
      <c r="K308" s="4">
        <v>2272318410</v>
      </c>
      <c r="L308" s="4">
        <v>94600</v>
      </c>
      <c r="M308" s="4">
        <v>1793300377</v>
      </c>
      <c r="N308" s="4">
        <v>87200</v>
      </c>
      <c r="O308" s="4">
        <v>591611334</v>
      </c>
      <c r="Q308" s="3"/>
      <c r="R308" s="3">
        <f t="shared" si="116"/>
        <v>1911830780500</v>
      </c>
      <c r="S308" s="3">
        <f t="shared" si="97"/>
        <v>4107412004000</v>
      </c>
      <c r="T308" s="3">
        <f t="shared" si="98"/>
        <v>681695523000</v>
      </c>
      <c r="U308" s="3">
        <f t="shared" si="99"/>
        <v>0</v>
      </c>
      <c r="V308" s="3">
        <f t="shared" si="100"/>
        <v>59161133400</v>
      </c>
      <c r="X308" s="2">
        <f t="shared" si="101"/>
        <v>1911.8307804999999</v>
      </c>
      <c r="Y308" s="2">
        <f t="shared" si="102"/>
        <v>4107.4120039999998</v>
      </c>
      <c r="Z308" s="2">
        <f t="shared" si="103"/>
        <v>681.69552299999998</v>
      </c>
      <c r="AA308" s="2">
        <f t="shared" si="104"/>
        <v>0</v>
      </c>
      <c r="AB308" s="2">
        <f t="shared" si="105"/>
        <v>59.161133399999997</v>
      </c>
      <c r="AC308" s="2"/>
      <c r="AD308" s="8">
        <f t="shared" si="106"/>
        <v>0.44458952081796227</v>
      </c>
      <c r="AE308" s="8">
        <f t="shared" si="107"/>
        <v>0.95516420871868379</v>
      </c>
      <c r="AF308" s="8">
        <f t="shared" si="108"/>
        <v>0.1585258951815062</v>
      </c>
      <c r="AG308" s="8">
        <f t="shared" si="109"/>
        <v>0</v>
      </c>
      <c r="AH308" s="11">
        <f t="shared" si="110"/>
        <v>1.3757713401012764E-2</v>
      </c>
      <c r="AI308" s="8">
        <f t="shared" si="111"/>
        <v>1.5582796247181523</v>
      </c>
      <c r="AJ308" s="9">
        <f t="shared" si="112"/>
        <v>93.917091432796241</v>
      </c>
      <c r="AK308" s="9"/>
      <c r="AL308" s="7">
        <f t="shared" si="113"/>
        <v>1277.5229085672038</v>
      </c>
      <c r="AM308" s="42">
        <f t="shared" si="114"/>
        <v>15.952143659066317</v>
      </c>
    </row>
    <row r="309" spans="1:39" x14ac:dyDescent="0.25">
      <c r="A309" s="1">
        <v>45834</v>
      </c>
      <c r="B309" s="7">
        <v>1365.67</v>
      </c>
      <c r="C309" s="3">
        <v>5872675.4000000004</v>
      </c>
      <c r="E309" s="5">
        <v>45834</v>
      </c>
      <c r="F309" s="4">
        <v>95000</v>
      </c>
      <c r="G309" s="4">
        <v>3823661561</v>
      </c>
      <c r="H309" s="4">
        <v>76000</v>
      </c>
      <c r="I309" s="4">
        <v>4107412004</v>
      </c>
      <c r="J309" s="4">
        <v>24500</v>
      </c>
      <c r="K309" s="4">
        <v>2272318410</v>
      </c>
      <c r="L309" s="4">
        <v>94600</v>
      </c>
      <c r="M309" s="4">
        <v>1793300377</v>
      </c>
      <c r="N309" s="4">
        <v>87100</v>
      </c>
      <c r="O309" s="4">
        <v>591611334</v>
      </c>
      <c r="Q309" s="3"/>
      <c r="R309" s="3">
        <f t="shared" si="116"/>
        <v>-3058929248800</v>
      </c>
      <c r="S309" s="3">
        <f t="shared" si="97"/>
        <v>-7804082807600</v>
      </c>
      <c r="T309" s="3">
        <f t="shared" si="98"/>
        <v>-340847761500</v>
      </c>
      <c r="U309" s="3">
        <f t="shared" si="99"/>
        <v>0</v>
      </c>
      <c r="V309" s="3">
        <f t="shared" si="100"/>
        <v>0</v>
      </c>
      <c r="X309" s="2">
        <f t="shared" si="101"/>
        <v>-3058.9292488000001</v>
      </c>
      <c r="Y309" s="2">
        <f t="shared" si="102"/>
        <v>-7804.0828075999998</v>
      </c>
      <c r="Z309" s="2">
        <f t="shared" si="103"/>
        <v>-340.84776149999999</v>
      </c>
      <c r="AA309" s="2">
        <f t="shared" si="104"/>
        <v>0</v>
      </c>
      <c r="AB309" s="2">
        <f t="shared" si="105"/>
        <v>0</v>
      </c>
      <c r="AC309" s="2"/>
      <c r="AD309" s="8">
        <f t="shared" si="106"/>
        <v>-0.71135423925180929</v>
      </c>
      <c r="AE309" s="8">
        <f t="shared" si="107"/>
        <v>-1.8148400754401985</v>
      </c>
      <c r="AF309" s="8">
        <f t="shared" si="108"/>
        <v>-7.9264173951598127E-2</v>
      </c>
      <c r="AG309" s="8">
        <f t="shared" si="109"/>
        <v>0</v>
      </c>
      <c r="AH309" s="11">
        <f t="shared" si="110"/>
        <v>0</v>
      </c>
      <c r="AI309" s="8">
        <f t="shared" si="111"/>
        <v>-2.6054584886436061</v>
      </c>
      <c r="AJ309" s="9">
        <f t="shared" si="112"/>
        <v>92.358811808078087</v>
      </c>
      <c r="AK309" s="9"/>
      <c r="AL309" s="7">
        <f t="shared" si="113"/>
        <v>1273.3111881919219</v>
      </c>
      <c r="AM309" s="42">
        <f t="shared" si="114"/>
        <v>15.622838589584857</v>
      </c>
    </row>
    <row r="310" spans="1:39" x14ac:dyDescent="0.25">
      <c r="A310" s="1">
        <v>45833</v>
      </c>
      <c r="B310" s="7">
        <v>1366.75</v>
      </c>
      <c r="C310" s="3">
        <v>5877228.7000000002</v>
      </c>
      <c r="E310" s="5">
        <v>45833</v>
      </c>
      <c r="F310" s="4">
        <v>95800</v>
      </c>
      <c r="G310" s="4">
        <v>3823661561</v>
      </c>
      <c r="H310" s="4">
        <v>77900</v>
      </c>
      <c r="I310" s="4">
        <v>4107412004</v>
      </c>
      <c r="J310" s="4">
        <v>24650</v>
      </c>
      <c r="K310" s="4">
        <v>2272318410</v>
      </c>
      <c r="L310" s="4">
        <v>94600</v>
      </c>
      <c r="M310" s="4">
        <v>1793300377</v>
      </c>
      <c r="N310" s="4">
        <v>87100</v>
      </c>
      <c r="O310" s="4">
        <v>591611334</v>
      </c>
      <c r="Q310" s="3"/>
      <c r="R310" s="3">
        <f t="shared" si="116"/>
        <v>0</v>
      </c>
      <c r="S310" s="3">
        <f t="shared" si="97"/>
        <v>2464447202400</v>
      </c>
      <c r="T310" s="3">
        <f t="shared" si="98"/>
        <v>-568079602500</v>
      </c>
      <c r="U310" s="3">
        <f t="shared" si="99"/>
        <v>0</v>
      </c>
      <c r="V310" s="3">
        <f t="shared" si="100"/>
        <v>-591611334000</v>
      </c>
      <c r="X310" s="2">
        <f t="shared" si="101"/>
        <v>0</v>
      </c>
      <c r="Y310" s="2">
        <f t="shared" si="102"/>
        <v>2464.4472024000002</v>
      </c>
      <c r="Z310" s="2">
        <f t="shared" si="103"/>
        <v>-568.07960249999996</v>
      </c>
      <c r="AA310" s="2">
        <f t="shared" si="104"/>
        <v>0</v>
      </c>
      <c r="AB310" s="2">
        <f t="shared" si="105"/>
        <v>-591.61133400000006</v>
      </c>
      <c r="AC310" s="2"/>
      <c r="AD310" s="8">
        <f t="shared" si="106"/>
        <v>0</v>
      </c>
      <c r="AE310" s="8">
        <f t="shared" si="107"/>
        <v>0.5730890326308874</v>
      </c>
      <c r="AF310" s="8">
        <f t="shared" si="108"/>
        <v>-0.13210272451242511</v>
      </c>
      <c r="AG310" s="8">
        <f t="shared" si="109"/>
        <v>0</v>
      </c>
      <c r="AH310" s="11">
        <f t="shared" si="110"/>
        <v>-0.13757485523136756</v>
      </c>
      <c r="AI310" s="8">
        <f t="shared" si="111"/>
        <v>0.44098630811846229</v>
      </c>
      <c r="AJ310" s="9">
        <f t="shared" si="112"/>
        <v>94.964270296721693</v>
      </c>
      <c r="AK310" s="9"/>
      <c r="AL310" s="7">
        <f t="shared" si="113"/>
        <v>1271.7857297032783</v>
      </c>
      <c r="AM310" s="42">
        <f t="shared" si="114"/>
        <v>14.952240986021978</v>
      </c>
    </row>
    <row r="311" spans="1:39" x14ac:dyDescent="0.25">
      <c r="A311" s="1">
        <v>45832</v>
      </c>
      <c r="B311" s="7">
        <v>1366.77</v>
      </c>
      <c r="C311" s="3">
        <v>5877502.9900000002</v>
      </c>
      <c r="E311" s="5">
        <v>45832</v>
      </c>
      <c r="F311" s="4">
        <v>95800</v>
      </c>
      <c r="G311" s="4">
        <v>3823661561</v>
      </c>
      <c r="H311" s="4">
        <v>77300</v>
      </c>
      <c r="I311" s="4">
        <v>4107412004</v>
      </c>
      <c r="J311" s="4">
        <v>24900</v>
      </c>
      <c r="K311" s="4">
        <v>2272318410</v>
      </c>
      <c r="L311" s="4">
        <v>94600</v>
      </c>
      <c r="M311" s="4">
        <v>1793300377</v>
      </c>
      <c r="N311" s="4">
        <v>88100</v>
      </c>
      <c r="O311" s="4">
        <v>591611334</v>
      </c>
      <c r="Q311" s="3"/>
      <c r="R311" s="3">
        <f t="shared" si="116"/>
        <v>11470984683000</v>
      </c>
      <c r="S311" s="3">
        <f t="shared" si="97"/>
        <v>13554459613200</v>
      </c>
      <c r="T311" s="3">
        <f t="shared" si="98"/>
        <v>340847761500</v>
      </c>
      <c r="U311" s="3">
        <f t="shared" si="99"/>
        <v>179330037700</v>
      </c>
      <c r="V311" s="3">
        <f t="shared" si="100"/>
        <v>354966800400</v>
      </c>
      <c r="X311" s="2">
        <f t="shared" si="101"/>
        <v>11470.984683000001</v>
      </c>
      <c r="Y311" s="2">
        <f t="shared" si="102"/>
        <v>13554.459613200001</v>
      </c>
      <c r="Z311" s="2">
        <f t="shared" si="103"/>
        <v>340.84776149999999</v>
      </c>
      <c r="AA311" s="2">
        <f t="shared" si="104"/>
        <v>179.33003769999999</v>
      </c>
      <c r="AB311" s="2">
        <f t="shared" si="105"/>
        <v>354.96680040000001</v>
      </c>
      <c r="AC311" s="2"/>
      <c r="AD311" s="8">
        <f t="shared" si="106"/>
        <v>2.6691306446634036</v>
      </c>
      <c r="AE311" s="8">
        <f t="shared" si="107"/>
        <v>3.1539248395180324</v>
      </c>
      <c r="AF311" s="8">
        <f t="shared" si="108"/>
        <v>7.9310297287106313E-2</v>
      </c>
      <c r="AG311" s="8">
        <f t="shared" si="109"/>
        <v>4.1727481324517902E-2</v>
      </c>
      <c r="AH311" s="11">
        <f t="shared" si="110"/>
        <v>8.2595591483081904E-2</v>
      </c>
      <c r="AI311" s="8">
        <f t="shared" si="111"/>
        <v>5.9440932627930607</v>
      </c>
      <c r="AJ311" s="9">
        <f t="shared" si="112"/>
        <v>94.523283988603225</v>
      </c>
      <c r="AK311" s="9"/>
      <c r="AL311" s="7">
        <f t="shared" si="113"/>
        <v>1272.2467160113968</v>
      </c>
      <c r="AM311" s="42">
        <f t="shared" si="114"/>
        <v>14.233759264978394</v>
      </c>
    </row>
    <row r="312" spans="1:39" x14ac:dyDescent="0.25">
      <c r="A312" s="1">
        <v>45831</v>
      </c>
      <c r="B312" s="7">
        <v>1358.18</v>
      </c>
      <c r="C312" s="3">
        <v>5836979.9199999999</v>
      </c>
      <c r="E312" s="5">
        <v>45831</v>
      </c>
      <c r="F312" s="4">
        <v>92800</v>
      </c>
      <c r="G312" s="4">
        <v>3823661561</v>
      </c>
      <c r="H312" s="4">
        <v>74000</v>
      </c>
      <c r="I312" s="4">
        <v>4107412004</v>
      </c>
      <c r="J312" s="4">
        <v>24750</v>
      </c>
      <c r="K312" s="4">
        <v>2272318410</v>
      </c>
      <c r="L312" s="4">
        <v>94500</v>
      </c>
      <c r="M312" s="4">
        <v>1793300377</v>
      </c>
      <c r="N312" s="4">
        <v>87500</v>
      </c>
      <c r="O312" s="4">
        <v>591611334</v>
      </c>
      <c r="Q312" s="3"/>
      <c r="R312" s="3">
        <f t="shared" si="116"/>
        <v>22941969366000</v>
      </c>
      <c r="S312" s="3">
        <f t="shared" si="97"/>
        <v>15608165615200</v>
      </c>
      <c r="T312" s="3">
        <f t="shared" si="98"/>
        <v>340847761500</v>
      </c>
      <c r="U312" s="3">
        <f t="shared" si="99"/>
        <v>1793300377000</v>
      </c>
      <c r="V312" s="3">
        <f t="shared" si="100"/>
        <v>-709933600800</v>
      </c>
      <c r="X312" s="2">
        <f t="shared" si="101"/>
        <v>22941.969366000001</v>
      </c>
      <c r="Y312" s="2">
        <f t="shared" si="102"/>
        <v>15608.1656152</v>
      </c>
      <c r="Z312" s="2">
        <f t="shared" si="103"/>
        <v>340.84776149999999</v>
      </c>
      <c r="AA312" s="2">
        <f t="shared" si="104"/>
        <v>1793.300377</v>
      </c>
      <c r="AB312" s="2">
        <f t="shared" si="105"/>
        <v>-709.93360080000002</v>
      </c>
      <c r="AC312" s="2"/>
      <c r="AD312" s="8">
        <f t="shared" si="106"/>
        <v>5.3382813442018948</v>
      </c>
      <c r="AE312" s="8">
        <f t="shared" si="107"/>
        <v>3.6318058834267752</v>
      </c>
      <c r="AF312" s="8">
        <f t="shared" si="108"/>
        <v>7.9310595241443696E-2</v>
      </c>
      <c r="AG312" s="8">
        <f t="shared" si="109"/>
        <v>0.41727638087062929</v>
      </c>
      <c r="AH312" s="11">
        <f t="shared" si="110"/>
        <v>-0.16519180355934207</v>
      </c>
      <c r="AI312" s="8">
        <f t="shared" si="111"/>
        <v>9.4666742037407428</v>
      </c>
      <c r="AJ312" s="9">
        <f t="shared" si="112"/>
        <v>88.579190725810165</v>
      </c>
      <c r="AK312" s="9"/>
      <c r="AL312" s="7">
        <f t="shared" si="113"/>
        <v>1269.6008092741899</v>
      </c>
      <c r="AM312" s="42">
        <f t="shared" si="114"/>
        <v>13.348908143061776</v>
      </c>
    </row>
    <row r="313" spans="1:39" x14ac:dyDescent="0.25">
      <c r="A313" s="1">
        <v>45828</v>
      </c>
      <c r="B313" s="7">
        <v>1349.35</v>
      </c>
      <c r="C313" s="3">
        <v>5799009.9000000004</v>
      </c>
      <c r="E313" s="5">
        <v>45828</v>
      </c>
      <c r="F313" s="4">
        <v>86800</v>
      </c>
      <c r="G313" s="4">
        <v>3823661561</v>
      </c>
      <c r="H313" s="4">
        <v>70200</v>
      </c>
      <c r="I313" s="4">
        <v>4107412004</v>
      </c>
      <c r="J313" s="4">
        <v>24600</v>
      </c>
      <c r="K313" s="4">
        <v>2272318410</v>
      </c>
      <c r="L313" s="4">
        <v>93500</v>
      </c>
      <c r="M313" s="4">
        <v>1793300377</v>
      </c>
      <c r="N313" s="4">
        <v>88700</v>
      </c>
      <c r="O313" s="4">
        <v>591611334</v>
      </c>
      <c r="Q313" s="3"/>
      <c r="R313" s="3">
        <f t="shared" si="116"/>
        <v>-9941520058600</v>
      </c>
      <c r="S313" s="3">
        <f t="shared" si="97"/>
        <v>-6161118006000</v>
      </c>
      <c r="T313" s="3">
        <f t="shared" si="98"/>
        <v>-227231841000</v>
      </c>
      <c r="U313" s="3">
        <f t="shared" si="99"/>
        <v>-1255310263900</v>
      </c>
      <c r="V313" s="3">
        <f t="shared" si="100"/>
        <v>118322266800</v>
      </c>
      <c r="X313" s="2">
        <f t="shared" si="101"/>
        <v>-9941.5200585999992</v>
      </c>
      <c r="Y313" s="2">
        <f t="shared" si="102"/>
        <v>-6161.1180059999997</v>
      </c>
      <c r="Z313" s="2">
        <f t="shared" si="103"/>
        <v>-227.231841</v>
      </c>
      <c r="AA313" s="2">
        <f t="shared" si="104"/>
        <v>-1255.3102639000001</v>
      </c>
      <c r="AB313" s="2">
        <f t="shared" si="105"/>
        <v>118.32226679999999</v>
      </c>
      <c r="AC313" s="2"/>
      <c r="AD313" s="8">
        <f t="shared" si="106"/>
        <v>-2.31325654715801</v>
      </c>
      <c r="AE313" s="8">
        <f t="shared" si="107"/>
        <v>-1.4336083899829353</v>
      </c>
      <c r="AF313" s="8">
        <f t="shared" si="108"/>
        <v>-5.2873759829242972E-2</v>
      </c>
      <c r="AG313" s="8">
        <f t="shared" si="109"/>
        <v>-0.29209363050767267</v>
      </c>
      <c r="AH313" s="11">
        <f t="shared" si="110"/>
        <v>2.7531982708509629E-2</v>
      </c>
      <c r="AI313" s="8">
        <f t="shared" si="111"/>
        <v>-4.091832327477861</v>
      </c>
      <c r="AJ313" s="9">
        <f t="shared" si="112"/>
        <v>79.112516522069427</v>
      </c>
      <c r="AK313" s="9"/>
      <c r="AL313" s="7">
        <f t="shared" si="113"/>
        <v>1270.2374834779305</v>
      </c>
      <c r="AM313" s="42">
        <f t="shared" si="114"/>
        <v>12.584888797758405</v>
      </c>
    </row>
    <row r="314" spans="1:39" x14ac:dyDescent="0.25">
      <c r="A314" s="1">
        <v>45827</v>
      </c>
      <c r="B314" s="7">
        <v>1352.04</v>
      </c>
      <c r="C314" s="3">
        <v>5810567.2699999996</v>
      </c>
      <c r="E314" s="5">
        <v>45827</v>
      </c>
      <c r="F314" s="4">
        <v>89400</v>
      </c>
      <c r="G314" s="4">
        <v>3823661561</v>
      </c>
      <c r="H314" s="4">
        <v>71700</v>
      </c>
      <c r="I314" s="4">
        <v>4107412004</v>
      </c>
      <c r="J314" s="4">
        <v>24700</v>
      </c>
      <c r="K314" s="4">
        <v>2272318410</v>
      </c>
      <c r="L314" s="4">
        <v>94200</v>
      </c>
      <c r="M314" s="4">
        <v>1793300377</v>
      </c>
      <c r="N314" s="4">
        <v>88500</v>
      </c>
      <c r="O314" s="4">
        <v>591611334</v>
      </c>
      <c r="Q314" s="3"/>
      <c r="R314" s="3">
        <f t="shared" si="116"/>
        <v>5353126185400</v>
      </c>
      <c r="S314" s="3">
        <f t="shared" si="97"/>
        <v>1232223601200</v>
      </c>
      <c r="T314" s="3">
        <f t="shared" si="98"/>
        <v>113615920500</v>
      </c>
      <c r="U314" s="3">
        <f t="shared" si="99"/>
        <v>-179330037700</v>
      </c>
      <c r="V314" s="3">
        <f t="shared" si="100"/>
        <v>473289067200</v>
      </c>
      <c r="X314" s="2">
        <f t="shared" si="101"/>
        <v>5353.1261854000004</v>
      </c>
      <c r="Y314" s="2">
        <f t="shared" si="102"/>
        <v>1232.2236012000001</v>
      </c>
      <c r="Z314" s="2">
        <f t="shared" si="103"/>
        <v>113.6159205</v>
      </c>
      <c r="AA314" s="2">
        <f t="shared" si="104"/>
        <v>-179.33003769999999</v>
      </c>
      <c r="AB314" s="2">
        <f t="shared" si="105"/>
        <v>473.28906719999998</v>
      </c>
      <c r="AC314" s="2"/>
      <c r="AD314" s="8">
        <f t="shared" si="106"/>
        <v>1.2458584558654036</v>
      </c>
      <c r="AE314" s="8">
        <f t="shared" si="107"/>
        <v>0.2867812451832249</v>
      </c>
      <c r="AF314" s="8">
        <f t="shared" si="108"/>
        <v>2.6442372246317503E-2</v>
      </c>
      <c r="AG314" s="8">
        <f t="shared" si="109"/>
        <v>-4.1736330533092419E-2</v>
      </c>
      <c r="AH314" s="11">
        <f t="shared" si="110"/>
        <v>0.1101508102028252</v>
      </c>
      <c r="AI314" s="8">
        <f t="shared" si="111"/>
        <v>1.5173457427618535</v>
      </c>
      <c r="AJ314" s="9">
        <f t="shared" si="112"/>
        <v>83.204348849547287</v>
      </c>
      <c r="AK314" s="9"/>
      <c r="AL314" s="7">
        <f t="shared" si="113"/>
        <v>1268.8356511504526</v>
      </c>
      <c r="AM314" s="42">
        <f t="shared" si="114"/>
        <v>12.069067281588472</v>
      </c>
    </row>
    <row r="315" spans="1:39" x14ac:dyDescent="0.25">
      <c r="A315" s="1">
        <v>45826</v>
      </c>
      <c r="B315" s="7">
        <v>1346.83</v>
      </c>
      <c r="C315" s="3">
        <v>5786974.3600000003</v>
      </c>
      <c r="E315" s="5">
        <v>45826</v>
      </c>
      <c r="F315" s="4">
        <v>88000</v>
      </c>
      <c r="G315" s="4">
        <v>3823661561</v>
      </c>
      <c r="H315" s="4">
        <v>71400</v>
      </c>
      <c r="I315" s="4">
        <v>4107412004</v>
      </c>
      <c r="J315" s="4">
        <v>24650</v>
      </c>
      <c r="K315" s="4">
        <v>2272318410</v>
      </c>
      <c r="L315" s="4">
        <v>94300</v>
      </c>
      <c r="M315" s="4">
        <v>1793300377</v>
      </c>
      <c r="N315" s="4">
        <v>87700</v>
      </c>
      <c r="O315" s="4">
        <v>591611334</v>
      </c>
      <c r="Q315" s="3"/>
      <c r="R315" s="3">
        <f t="shared" si="116"/>
        <v>1147098468300</v>
      </c>
      <c r="S315" s="3">
        <f t="shared" si="97"/>
        <v>7393341607200</v>
      </c>
      <c r="T315" s="3">
        <f t="shared" si="98"/>
        <v>227231841000</v>
      </c>
      <c r="U315" s="3">
        <f t="shared" si="99"/>
        <v>-1972630414700</v>
      </c>
      <c r="V315" s="3">
        <f t="shared" si="100"/>
        <v>0</v>
      </c>
      <c r="X315" s="2">
        <f t="shared" si="101"/>
        <v>1147.0984682999999</v>
      </c>
      <c r="Y315" s="2">
        <f t="shared" si="102"/>
        <v>7393.3416072</v>
      </c>
      <c r="Z315" s="2">
        <f t="shared" si="103"/>
        <v>227.231841</v>
      </c>
      <c r="AA315" s="2">
        <f t="shared" si="104"/>
        <v>-1972.6304147000001</v>
      </c>
      <c r="AB315" s="2">
        <f t="shared" si="105"/>
        <v>0</v>
      </c>
      <c r="AC315" s="2"/>
      <c r="AD315" s="8">
        <f t="shared" si="106"/>
        <v>0.26696909023438464</v>
      </c>
      <c r="AE315" s="8">
        <f t="shared" si="107"/>
        <v>1.7206837400727852</v>
      </c>
      <c r="AF315" s="8">
        <f t="shared" si="108"/>
        <v>5.2884629820801894E-2</v>
      </c>
      <c r="AG315" s="8">
        <f t="shared" si="109"/>
        <v>-0.45909864038228881</v>
      </c>
      <c r="AH315" s="11">
        <f t="shared" si="110"/>
        <v>0</v>
      </c>
      <c r="AI315" s="8">
        <f t="shared" si="111"/>
        <v>1.581438819745683</v>
      </c>
      <c r="AJ315" s="9">
        <f t="shared" si="112"/>
        <v>81.68700310678544</v>
      </c>
      <c r="AK315" s="9"/>
      <c r="AL315" s="7">
        <f t="shared" si="113"/>
        <v>1265.1429968932146</v>
      </c>
      <c r="AM315" s="42">
        <f t="shared" si="114"/>
        <v>11.354044438490146</v>
      </c>
    </row>
    <row r="316" spans="1:39" x14ac:dyDescent="0.25">
      <c r="A316" s="1">
        <v>45825</v>
      </c>
      <c r="B316" s="7">
        <v>1347.69</v>
      </c>
      <c r="C316" s="3">
        <v>5790682.1100000003</v>
      </c>
      <c r="E316" s="5">
        <v>45825</v>
      </c>
      <c r="F316" s="4">
        <v>87700</v>
      </c>
      <c r="G316" s="4">
        <v>3823661561</v>
      </c>
      <c r="H316" s="4">
        <v>69600</v>
      </c>
      <c r="I316" s="4">
        <v>4107412004</v>
      </c>
      <c r="J316" s="4">
        <v>24550</v>
      </c>
      <c r="K316" s="4">
        <v>2272318410</v>
      </c>
      <c r="L316" s="4">
        <v>95400</v>
      </c>
      <c r="M316" s="4">
        <v>1793300377</v>
      </c>
      <c r="N316" s="4">
        <v>87700</v>
      </c>
      <c r="O316" s="4">
        <v>591611334</v>
      </c>
      <c r="Q316" s="3"/>
      <c r="R316" s="3">
        <f t="shared" si="116"/>
        <v>8794421590300</v>
      </c>
      <c r="S316" s="3">
        <f t="shared" si="97"/>
        <v>9036306408800</v>
      </c>
      <c r="T316" s="3">
        <f t="shared" si="98"/>
        <v>113615920500</v>
      </c>
      <c r="U316" s="3">
        <f t="shared" si="99"/>
        <v>2510620527800</v>
      </c>
      <c r="V316" s="3">
        <f t="shared" si="100"/>
        <v>-59161133400</v>
      </c>
      <c r="X316" s="2">
        <f t="shared" si="101"/>
        <v>8794.4215903000004</v>
      </c>
      <c r="Y316" s="2">
        <f t="shared" si="102"/>
        <v>9036.3064087999992</v>
      </c>
      <c r="Z316" s="2">
        <f t="shared" si="103"/>
        <v>113.6159205</v>
      </c>
      <c r="AA316" s="2">
        <f t="shared" si="104"/>
        <v>2510.6205278000002</v>
      </c>
      <c r="AB316" s="2">
        <f t="shared" si="105"/>
        <v>-59.161133399999997</v>
      </c>
      <c r="AC316" s="2"/>
      <c r="AD316" s="8">
        <f t="shared" si="106"/>
        <v>2.0467586357345606</v>
      </c>
      <c r="AE316" s="8">
        <f t="shared" si="107"/>
        <v>2.1030533944102214</v>
      </c>
      <c r="AF316" s="8">
        <f t="shared" si="108"/>
        <v>2.6442258203404324E-2</v>
      </c>
      <c r="AG316" s="8">
        <f t="shared" si="109"/>
        <v>0.58430610740732281</v>
      </c>
      <c r="AH316" s="11">
        <f t="shared" si="110"/>
        <v>-1.3768791891879692E-2</v>
      </c>
      <c r="AI316" s="8">
        <f t="shared" si="111"/>
        <v>4.7605603957555092</v>
      </c>
      <c r="AJ316" s="9">
        <f t="shared" si="112"/>
        <v>80.105564287039755</v>
      </c>
      <c r="AK316" s="9"/>
      <c r="AL316" s="7">
        <f t="shared" si="113"/>
        <v>1267.5844357129604</v>
      </c>
      <c r="AM316" s="42">
        <f t="shared" si="114"/>
        <v>10.412827715363514</v>
      </c>
    </row>
    <row r="317" spans="1:39" x14ac:dyDescent="0.25">
      <c r="A317" s="1">
        <v>45824</v>
      </c>
      <c r="B317" s="7">
        <v>1338.11</v>
      </c>
      <c r="C317" s="3">
        <v>5749531.6100000003</v>
      </c>
      <c r="E317" s="5">
        <v>45824</v>
      </c>
      <c r="F317" s="4">
        <v>85400</v>
      </c>
      <c r="G317" s="4">
        <v>3823661561</v>
      </c>
      <c r="H317" s="4">
        <v>67400</v>
      </c>
      <c r="I317" s="4">
        <v>4107412004</v>
      </c>
      <c r="J317" s="4">
        <v>24500</v>
      </c>
      <c r="K317" s="4">
        <v>2272318410</v>
      </c>
      <c r="L317" s="4">
        <v>94000</v>
      </c>
      <c r="M317" s="4">
        <v>1793300377</v>
      </c>
      <c r="N317" s="4">
        <v>87800</v>
      </c>
      <c r="O317" s="4">
        <v>591611334</v>
      </c>
      <c r="Q317" s="3"/>
      <c r="R317" s="3">
        <f t="shared" si="116"/>
        <v>-382366156100</v>
      </c>
      <c r="S317" s="3">
        <f t="shared" si="97"/>
        <v>-4107412004000</v>
      </c>
      <c r="T317" s="3">
        <f t="shared" si="98"/>
        <v>-113615920500</v>
      </c>
      <c r="U317" s="3">
        <f t="shared" si="99"/>
        <v>10401142186600</v>
      </c>
      <c r="V317" s="3">
        <f t="shared" si="100"/>
        <v>4281677733200</v>
      </c>
      <c r="X317" s="2">
        <f t="shared" si="101"/>
        <v>-382.36615610000001</v>
      </c>
      <c r="Y317" s="2">
        <f t="shared" si="102"/>
        <v>-4107.4120039999998</v>
      </c>
      <c r="Z317" s="2">
        <f t="shared" si="103"/>
        <v>-113.6159205</v>
      </c>
      <c r="AA317" s="2">
        <f t="shared" si="104"/>
        <v>10401.1421866</v>
      </c>
      <c r="AB317" s="2">
        <f t="shared" si="105"/>
        <v>4281.6777332000001</v>
      </c>
      <c r="AC317" s="2"/>
      <c r="AD317" s="8">
        <f t="shared" si="106"/>
        <v>-8.8989324356001848E-2</v>
      </c>
      <c r="AE317" s="8">
        <f t="shared" si="107"/>
        <v>-0.95593141091728429</v>
      </c>
      <c r="AF317" s="8">
        <f t="shared" si="108"/>
        <v>-2.6442204259144734E-2</v>
      </c>
      <c r="AG317" s="8">
        <f t="shared" si="109"/>
        <v>2.4206917922782178</v>
      </c>
      <c r="AH317" s="11">
        <f t="shared" si="110"/>
        <v>0.99648884324363862</v>
      </c>
      <c r="AI317" s="8">
        <f t="shared" si="111"/>
        <v>1.349328852745787</v>
      </c>
      <c r="AJ317" s="9">
        <f t="shared" si="112"/>
        <v>75.34500389128425</v>
      </c>
      <c r="AK317" s="9"/>
      <c r="AL317" s="7">
        <f t="shared" si="113"/>
        <v>1262.7649961087156</v>
      </c>
      <c r="AM317" s="42">
        <f t="shared" si="114"/>
        <v>8.9106643181400038</v>
      </c>
    </row>
    <row r="318" spans="1:39" x14ac:dyDescent="0.25">
      <c r="A318" s="1">
        <v>45821</v>
      </c>
      <c r="B318" s="7">
        <v>1315.49</v>
      </c>
      <c r="C318" s="3">
        <v>5652350.5300000003</v>
      </c>
      <c r="E318" s="5">
        <v>45821</v>
      </c>
      <c r="F318" s="4">
        <v>85500</v>
      </c>
      <c r="G318" s="4">
        <v>3823661561</v>
      </c>
      <c r="H318" s="4">
        <v>68400</v>
      </c>
      <c r="I318" s="4">
        <v>4107412004</v>
      </c>
      <c r="J318" s="4">
        <v>24550</v>
      </c>
      <c r="K318" s="4">
        <v>2272318410</v>
      </c>
      <c r="L318" s="4">
        <v>88200</v>
      </c>
      <c r="M318" s="4">
        <v>1793300377</v>
      </c>
      <c r="N318" s="4">
        <v>88000</v>
      </c>
      <c r="O318" s="4">
        <v>541611334</v>
      </c>
      <c r="Q318" s="3"/>
      <c r="R318" s="3">
        <f t="shared" si="116"/>
        <v>-4970760029300</v>
      </c>
      <c r="S318" s="3">
        <f t="shared" si="97"/>
        <v>-6571859206400</v>
      </c>
      <c r="T318" s="3">
        <f t="shared" si="98"/>
        <v>-1477006966500</v>
      </c>
      <c r="U318" s="3">
        <f t="shared" si="99"/>
        <v>0</v>
      </c>
      <c r="V318" s="3">
        <f t="shared" si="100"/>
        <v>-487450200600</v>
      </c>
      <c r="X318" s="2">
        <f t="shared" si="101"/>
        <v>-4970.7600292999996</v>
      </c>
      <c r="Y318" s="2">
        <f t="shared" si="102"/>
        <v>-6571.8592064000004</v>
      </c>
      <c r="Z318" s="2">
        <f t="shared" si="103"/>
        <v>-1477.0069665000001</v>
      </c>
      <c r="AA318" s="2">
        <f t="shared" si="104"/>
        <v>0</v>
      </c>
      <c r="AB318" s="2">
        <f t="shared" si="105"/>
        <v>-487.45020060000002</v>
      </c>
      <c r="AC318" s="2"/>
      <c r="AD318" s="8">
        <f t="shared" si="106"/>
        <v>-1.1568638281803123</v>
      </c>
      <c r="AE318" s="8">
        <f t="shared" si="107"/>
        <v>-1.5294937102100623</v>
      </c>
      <c r="AF318" s="8">
        <f t="shared" si="108"/>
        <v>-0.34374943136307567</v>
      </c>
      <c r="AG318" s="8">
        <f t="shared" si="109"/>
        <v>0</v>
      </c>
      <c r="AH318" s="11">
        <f t="shared" si="110"/>
        <v>-0.11344613334568668</v>
      </c>
      <c r="AI318" s="8">
        <f t="shared" si="111"/>
        <v>-3.0301069697534504</v>
      </c>
      <c r="AJ318" s="9">
        <f t="shared" si="112"/>
        <v>73.995675038538465</v>
      </c>
      <c r="AK318" s="9"/>
      <c r="AL318" s="7">
        <f t="shared" si="113"/>
        <v>1241.4943249614616</v>
      </c>
      <c r="AM318" s="42">
        <f t="shared" si="114"/>
        <v>8.1097358493989766</v>
      </c>
    </row>
    <row r="319" spans="1:39" x14ac:dyDescent="0.25">
      <c r="A319" s="1">
        <v>45820</v>
      </c>
      <c r="B319" s="7">
        <v>1322.99</v>
      </c>
      <c r="C319" s="3">
        <v>5684563.4299999997</v>
      </c>
      <c r="E319" s="5">
        <v>45820</v>
      </c>
      <c r="F319" s="4">
        <v>86800</v>
      </c>
      <c r="G319" s="4">
        <v>3823661561</v>
      </c>
      <c r="H319" s="4">
        <v>70000</v>
      </c>
      <c r="I319" s="4">
        <v>4107412004</v>
      </c>
      <c r="J319" s="4">
        <v>25200</v>
      </c>
      <c r="K319" s="4">
        <v>2272318410</v>
      </c>
      <c r="L319" s="4">
        <v>88200</v>
      </c>
      <c r="M319" s="4">
        <v>1793300377</v>
      </c>
      <c r="N319" s="4">
        <v>88900</v>
      </c>
      <c r="O319" s="4">
        <v>541611334</v>
      </c>
      <c r="Q319" s="3"/>
      <c r="R319" s="3">
        <f t="shared" si="116"/>
        <v>-13000449307400</v>
      </c>
      <c r="S319" s="3">
        <f t="shared" si="97"/>
        <v>-8625565208400</v>
      </c>
      <c r="T319" s="3">
        <f t="shared" si="98"/>
        <v>-2045086569000</v>
      </c>
      <c r="U319" s="3">
        <f t="shared" si="99"/>
        <v>0</v>
      </c>
      <c r="V319" s="3">
        <f t="shared" si="100"/>
        <v>704094734200</v>
      </c>
      <c r="X319" s="2">
        <f t="shared" si="101"/>
        <v>-13000.4493074</v>
      </c>
      <c r="Y319" s="2">
        <f t="shared" si="102"/>
        <v>-8625.5652083999994</v>
      </c>
      <c r="Z319" s="2">
        <f t="shared" si="103"/>
        <v>-2045.0865690000001</v>
      </c>
      <c r="AA319" s="2">
        <f t="shared" si="104"/>
        <v>0</v>
      </c>
      <c r="AB319" s="2">
        <f t="shared" si="105"/>
        <v>704.09473419999995</v>
      </c>
      <c r="AC319" s="2"/>
      <c r="AD319" s="8">
        <f t="shared" si="106"/>
        <v>-3.0256453849307334</v>
      </c>
      <c r="AE319" s="8">
        <f t="shared" si="107"/>
        <v>-2.0074615075310778</v>
      </c>
      <c r="AF319" s="8">
        <f t="shared" si="108"/>
        <v>-0.47596099126793767</v>
      </c>
      <c r="AG319" s="8">
        <f t="shared" si="109"/>
        <v>0</v>
      </c>
      <c r="AH319" s="11">
        <f t="shared" si="110"/>
        <v>0.1638667197351131</v>
      </c>
      <c r="AI319" s="8">
        <f t="shared" si="111"/>
        <v>-5.5090678837297489</v>
      </c>
      <c r="AJ319" s="9">
        <f t="shared" si="112"/>
        <v>77.025782008291912</v>
      </c>
      <c r="AK319" s="9"/>
      <c r="AL319" s="7">
        <f t="shared" si="113"/>
        <v>1245.9642179917082</v>
      </c>
      <c r="AM319" s="42">
        <f t="shared" si="114"/>
        <v>8.1420616527817433</v>
      </c>
    </row>
    <row r="320" spans="1:39" x14ac:dyDescent="0.25">
      <c r="A320" s="1">
        <v>45819</v>
      </c>
      <c r="B320" s="7">
        <v>1315.2</v>
      </c>
      <c r="C320" s="3">
        <v>5651088.8600000003</v>
      </c>
      <c r="E320" s="5">
        <v>45819</v>
      </c>
      <c r="F320" s="4">
        <v>90200</v>
      </c>
      <c r="G320" s="4">
        <v>3823661561</v>
      </c>
      <c r="H320" s="4">
        <v>72100</v>
      </c>
      <c r="I320" s="4">
        <v>4107412004</v>
      </c>
      <c r="J320" s="4">
        <v>26100</v>
      </c>
      <c r="K320" s="4">
        <v>2272318410</v>
      </c>
      <c r="L320" s="4">
        <v>88200</v>
      </c>
      <c r="M320" s="4">
        <v>1793300377</v>
      </c>
      <c r="N320" s="4">
        <v>87600</v>
      </c>
      <c r="O320" s="4">
        <v>541611334</v>
      </c>
      <c r="Q320" s="3"/>
      <c r="R320" s="3">
        <f t="shared" si="116"/>
        <v>-1529464624400</v>
      </c>
      <c r="S320" s="3">
        <f t="shared" si="97"/>
        <v>-2053706002000</v>
      </c>
      <c r="T320" s="3">
        <f t="shared" si="98"/>
        <v>-908927364000</v>
      </c>
      <c r="U320" s="3">
        <f t="shared" si="99"/>
        <v>0</v>
      </c>
      <c r="V320" s="3">
        <f t="shared" si="100"/>
        <v>-758255867600</v>
      </c>
      <c r="X320" s="2">
        <f t="shared" si="101"/>
        <v>-1529.4646244</v>
      </c>
      <c r="Y320" s="2">
        <f t="shared" si="102"/>
        <v>-2053.7060019999999</v>
      </c>
      <c r="Z320" s="2">
        <f t="shared" si="103"/>
        <v>-908.92736400000001</v>
      </c>
      <c r="AA320" s="2">
        <f t="shared" si="104"/>
        <v>0</v>
      </c>
      <c r="AB320" s="2">
        <f t="shared" si="105"/>
        <v>-758.25586759999999</v>
      </c>
      <c r="AC320" s="2"/>
      <c r="AD320" s="8">
        <f t="shared" si="106"/>
        <v>-0.35595714986929256</v>
      </c>
      <c r="AE320" s="8">
        <f t="shared" si="107"/>
        <v>-0.4779655073278723</v>
      </c>
      <c r="AF320" s="8">
        <f t="shared" si="108"/>
        <v>-0.21153754638461911</v>
      </c>
      <c r="AG320" s="8">
        <f t="shared" si="109"/>
        <v>0</v>
      </c>
      <c r="AH320" s="11">
        <f t="shared" si="110"/>
        <v>-0.17647129145497331</v>
      </c>
      <c r="AI320" s="8">
        <f t="shared" si="111"/>
        <v>-1.0454602035817839</v>
      </c>
      <c r="AJ320" s="9">
        <f t="shared" si="112"/>
        <v>82.534849892021668</v>
      </c>
      <c r="AK320" s="9"/>
      <c r="AL320" s="7">
        <f t="shared" si="113"/>
        <v>1232.6651501079784</v>
      </c>
      <c r="AM320" s="42">
        <f t="shared" si="114"/>
        <v>8.3696450866827981</v>
      </c>
    </row>
    <row r="321" spans="1:39" x14ac:dyDescent="0.25">
      <c r="A321" s="1">
        <v>45818</v>
      </c>
      <c r="B321" s="7">
        <v>1316.23</v>
      </c>
      <c r="C321" s="3">
        <v>5655532.4800000004</v>
      </c>
      <c r="E321" s="5">
        <v>45818</v>
      </c>
      <c r="F321" s="4">
        <v>90600</v>
      </c>
      <c r="G321" s="4">
        <v>3823661561</v>
      </c>
      <c r="H321" s="4">
        <v>72600</v>
      </c>
      <c r="I321" s="4">
        <v>4107412004</v>
      </c>
      <c r="J321" s="4">
        <v>26500</v>
      </c>
      <c r="K321" s="4">
        <v>2272318410</v>
      </c>
      <c r="L321" s="4">
        <v>88200</v>
      </c>
      <c r="M321" s="4">
        <v>1793300377</v>
      </c>
      <c r="N321" s="4">
        <v>89000</v>
      </c>
      <c r="O321" s="4">
        <v>541611334</v>
      </c>
      <c r="Q321" s="3"/>
      <c r="R321" s="3">
        <f t="shared" si="116"/>
        <v>1147098468300</v>
      </c>
      <c r="S321" s="3">
        <f t="shared" si="97"/>
        <v>7804082807600</v>
      </c>
      <c r="T321" s="3">
        <f t="shared" si="98"/>
        <v>2158702489500</v>
      </c>
      <c r="U321" s="3">
        <f t="shared" si="99"/>
        <v>0</v>
      </c>
      <c r="V321" s="3">
        <f t="shared" si="100"/>
        <v>108322266800</v>
      </c>
      <c r="X321" s="2">
        <f t="shared" si="101"/>
        <v>1147.0984682999999</v>
      </c>
      <c r="Y321" s="2">
        <f t="shared" si="102"/>
        <v>7804.0828075999998</v>
      </c>
      <c r="Z321" s="2">
        <f t="shared" si="103"/>
        <v>2158.7024895</v>
      </c>
      <c r="AA321" s="2">
        <f t="shared" si="104"/>
        <v>0</v>
      </c>
      <c r="AB321" s="2">
        <f t="shared" si="105"/>
        <v>108.32226679999999</v>
      </c>
      <c r="AC321" s="2"/>
      <c r="AD321" s="8">
        <f t="shared" si="106"/>
        <v>0.26700433140290358</v>
      </c>
      <c r="AE321" s="8">
        <f t="shared" si="107"/>
        <v>1.8165170382837419</v>
      </c>
      <c r="AF321" s="8">
        <f t="shared" si="108"/>
        <v>0.50247030297314454</v>
      </c>
      <c r="AG321" s="8">
        <f t="shared" si="109"/>
        <v>0</v>
      </c>
      <c r="AH321" s="11">
        <f t="shared" si="110"/>
        <v>2.5213628317230789E-2</v>
      </c>
      <c r="AI321" s="8">
        <f t="shared" si="111"/>
        <v>2.58599167265979</v>
      </c>
      <c r="AJ321" s="9">
        <f t="shared" si="112"/>
        <v>83.580310095603451</v>
      </c>
      <c r="AK321" s="9"/>
      <c r="AL321" s="7">
        <f t="shared" si="113"/>
        <v>1232.6496899043966</v>
      </c>
      <c r="AM321" s="42">
        <f t="shared" si="114"/>
        <v>8.2866115744291786</v>
      </c>
    </row>
    <row r="322" spans="1:39" x14ac:dyDescent="0.25">
      <c r="A322" s="1">
        <v>45817</v>
      </c>
      <c r="B322" s="7">
        <v>1310.57</v>
      </c>
      <c r="C322" s="3">
        <v>5630443.6399999997</v>
      </c>
      <c r="E322" s="5">
        <v>45817</v>
      </c>
      <c r="F322" s="4">
        <v>90300</v>
      </c>
      <c r="G322" s="4">
        <v>3823661561</v>
      </c>
      <c r="H322" s="4">
        <v>70700</v>
      </c>
      <c r="I322" s="4">
        <v>4107412004</v>
      </c>
      <c r="J322" s="4">
        <v>25550</v>
      </c>
      <c r="K322" s="4">
        <v>2272318410</v>
      </c>
      <c r="L322" s="4">
        <v>88200</v>
      </c>
      <c r="M322" s="4">
        <v>1793300377</v>
      </c>
      <c r="N322" s="4">
        <v>88800</v>
      </c>
      <c r="O322" s="4">
        <v>541611334</v>
      </c>
      <c r="Q322" s="3"/>
      <c r="R322" s="3">
        <f t="shared" si="116"/>
        <v>-25618532458700</v>
      </c>
      <c r="S322" s="3">
        <f t="shared" si="97"/>
        <v>-21769283621200</v>
      </c>
      <c r="T322" s="3">
        <f t="shared" si="98"/>
        <v>-2158702489500</v>
      </c>
      <c r="U322" s="3">
        <f t="shared" si="99"/>
        <v>0</v>
      </c>
      <c r="V322" s="3">
        <f t="shared" si="100"/>
        <v>-649933600800</v>
      </c>
      <c r="X322" s="2">
        <f t="shared" si="101"/>
        <v>-25618.5324587</v>
      </c>
      <c r="Y322" s="2">
        <f t="shared" si="102"/>
        <v>-21769.2836212</v>
      </c>
      <c r="Z322" s="2">
        <f t="shared" si="103"/>
        <v>-2158.7024895</v>
      </c>
      <c r="AA322" s="2">
        <f t="shared" si="104"/>
        <v>0</v>
      </c>
      <c r="AB322" s="2">
        <f t="shared" si="105"/>
        <v>-649.93360080000002</v>
      </c>
      <c r="AC322" s="2"/>
      <c r="AD322" s="8">
        <f t="shared" si="106"/>
        <v>-5.9630835456359552</v>
      </c>
      <c r="AE322" s="8">
        <f t="shared" si="107"/>
        <v>-5.0671152678683642</v>
      </c>
      <c r="AF322" s="8">
        <f t="shared" si="108"/>
        <v>-0.50246919162183867</v>
      </c>
      <c r="AG322" s="8">
        <f t="shared" si="109"/>
        <v>0</v>
      </c>
      <c r="AH322" s="11">
        <f t="shared" si="110"/>
        <v>-0.15128143530213259</v>
      </c>
      <c r="AI322" s="8">
        <f t="shared" si="111"/>
        <v>-11.532668005126158</v>
      </c>
      <c r="AJ322" s="9">
        <f t="shared" si="112"/>
        <v>80.994318422943664</v>
      </c>
      <c r="AK322" s="9"/>
      <c r="AL322" s="7">
        <f t="shared" si="113"/>
        <v>1229.5756815770562</v>
      </c>
      <c r="AM322" s="42">
        <f t="shared" si="114"/>
        <v>8.3517851569801831</v>
      </c>
    </row>
    <row r="323" spans="1:39" x14ac:dyDescent="0.25">
      <c r="A323" s="1">
        <v>45814</v>
      </c>
      <c r="B323" s="7">
        <v>1329.89</v>
      </c>
      <c r="C323" s="3">
        <v>5713458.46</v>
      </c>
      <c r="E323" s="5">
        <v>45814</v>
      </c>
      <c r="F323" s="4">
        <v>97000</v>
      </c>
      <c r="G323" s="4">
        <v>3823661561</v>
      </c>
      <c r="H323" s="4">
        <v>76000</v>
      </c>
      <c r="I323" s="4">
        <v>4107412004</v>
      </c>
      <c r="J323" s="4">
        <v>26500</v>
      </c>
      <c r="K323" s="4">
        <v>2272318410</v>
      </c>
      <c r="L323" s="4">
        <v>88200</v>
      </c>
      <c r="M323" s="4">
        <v>1793300377</v>
      </c>
      <c r="N323" s="4">
        <v>90000</v>
      </c>
      <c r="O323" s="4">
        <v>541611334</v>
      </c>
      <c r="Q323" s="3"/>
      <c r="R323" s="3">
        <f t="shared" si="116"/>
        <v>-3823661561000</v>
      </c>
      <c r="S323" s="3">
        <f t="shared" si="97"/>
        <v>-3285929603200</v>
      </c>
      <c r="T323" s="3">
        <f t="shared" si="98"/>
        <v>-1136159205000</v>
      </c>
      <c r="U323" s="3">
        <f t="shared" si="99"/>
        <v>0</v>
      </c>
      <c r="V323" s="3">
        <f t="shared" si="100"/>
        <v>-704094734200</v>
      </c>
      <c r="X323" s="2">
        <f t="shared" si="101"/>
        <v>-3823.6615609999999</v>
      </c>
      <c r="Y323" s="2">
        <f t="shared" si="102"/>
        <v>-3285.9296032000002</v>
      </c>
      <c r="Z323" s="2">
        <f t="shared" si="103"/>
        <v>-1136.1592049999999</v>
      </c>
      <c r="AA323" s="2">
        <f t="shared" si="104"/>
        <v>0</v>
      </c>
      <c r="AB323" s="2">
        <f t="shared" si="105"/>
        <v>-704.09473419999995</v>
      </c>
      <c r="AC323" s="2"/>
      <c r="AD323" s="8">
        <f t="shared" si="106"/>
        <v>-0.89001345319298175</v>
      </c>
      <c r="AE323" s="8">
        <f t="shared" si="107"/>
        <v>-0.76484843295812732</v>
      </c>
      <c r="AF323" s="8">
        <f t="shared" si="108"/>
        <v>-0.26445776156888351</v>
      </c>
      <c r="AG323" s="8">
        <f t="shared" si="109"/>
        <v>0</v>
      </c>
      <c r="AH323" s="11">
        <f t="shared" si="110"/>
        <v>-0.16388840271638691</v>
      </c>
      <c r="AI323" s="8">
        <f t="shared" si="111"/>
        <v>-1.9193196477199925</v>
      </c>
      <c r="AJ323" s="9">
        <f t="shared" si="112"/>
        <v>92.526986428069819</v>
      </c>
      <c r="AK323" s="9"/>
      <c r="AL323" s="7">
        <f t="shared" si="113"/>
        <v>1237.3630135719302</v>
      </c>
      <c r="AM323" s="42">
        <f t="shared" si="114"/>
        <v>9.1353048060372153</v>
      </c>
    </row>
    <row r="324" spans="1:39" x14ac:dyDescent="0.25">
      <c r="A324" s="1">
        <v>45813</v>
      </c>
      <c r="B324" s="7">
        <v>1342.09</v>
      </c>
      <c r="C324" s="3">
        <v>5765865.5899999999</v>
      </c>
      <c r="E324" s="5">
        <v>45813</v>
      </c>
      <c r="F324" s="4">
        <v>98000</v>
      </c>
      <c r="G324" s="4">
        <v>3823661561</v>
      </c>
      <c r="H324" s="4">
        <v>76800</v>
      </c>
      <c r="I324" s="4">
        <v>4107412004</v>
      </c>
      <c r="J324" s="4">
        <v>27000</v>
      </c>
      <c r="K324" s="4">
        <v>2272318410</v>
      </c>
      <c r="L324" s="4">
        <v>88200</v>
      </c>
      <c r="M324" s="4">
        <v>1793300377</v>
      </c>
      <c r="N324" s="4">
        <v>91300</v>
      </c>
      <c r="O324" s="4">
        <v>541611334</v>
      </c>
      <c r="Q324" s="3"/>
      <c r="R324" s="3">
        <f t="shared" si="116"/>
        <v>-382366156100</v>
      </c>
      <c r="S324" s="3">
        <f t="shared" si="97"/>
        <v>-1232223601200</v>
      </c>
      <c r="T324" s="3">
        <f t="shared" si="98"/>
        <v>113615920500</v>
      </c>
      <c r="U324" s="3">
        <f t="shared" si="99"/>
        <v>358660075400</v>
      </c>
      <c r="V324" s="3">
        <f t="shared" si="100"/>
        <v>-270805667000</v>
      </c>
      <c r="X324" s="2">
        <f t="shared" si="101"/>
        <v>-382.36615610000001</v>
      </c>
      <c r="Y324" s="2">
        <f t="shared" si="102"/>
        <v>-1232.2236012000001</v>
      </c>
      <c r="Z324" s="2">
        <f t="shared" si="103"/>
        <v>113.6159205</v>
      </c>
      <c r="AA324" s="2">
        <f t="shared" si="104"/>
        <v>358.66007539999998</v>
      </c>
      <c r="AB324" s="2">
        <f t="shared" si="105"/>
        <v>-270.80566700000003</v>
      </c>
      <c r="AC324" s="2"/>
      <c r="AD324" s="8">
        <f t="shared" si="106"/>
        <v>-8.9001010525103175E-2</v>
      </c>
      <c r="AE324" s="8">
        <f t="shared" si="107"/>
        <v>-0.28681708344239554</v>
      </c>
      <c r="AF324" s="8">
        <f t="shared" si="108"/>
        <v>2.6445676676455691E-2</v>
      </c>
      <c r="AG324" s="8">
        <f t="shared" si="109"/>
        <v>8.3483092413810245E-2</v>
      </c>
      <c r="AH324" s="11">
        <f t="shared" si="110"/>
        <v>-6.3033763931296283E-2</v>
      </c>
      <c r="AI324" s="8">
        <f t="shared" si="111"/>
        <v>-0.26588932487723277</v>
      </c>
      <c r="AJ324" s="9">
        <f t="shared" si="112"/>
        <v>94.446306075789806</v>
      </c>
      <c r="AK324" s="9"/>
      <c r="AL324" s="7">
        <f t="shared" si="113"/>
        <v>1247.6436939242101</v>
      </c>
      <c r="AM324" s="42">
        <f t="shared" si="114"/>
        <v>11.659703814772456</v>
      </c>
    </row>
    <row r="325" spans="1:39" x14ac:dyDescent="0.25">
      <c r="A325" s="1">
        <v>45812</v>
      </c>
      <c r="B325" s="7">
        <v>1345.74</v>
      </c>
      <c r="C325" s="3">
        <v>5781568.4100000001</v>
      </c>
      <c r="E325" s="5">
        <v>45812</v>
      </c>
      <c r="F325" s="4">
        <v>98100</v>
      </c>
      <c r="G325" s="4">
        <v>3823661561</v>
      </c>
      <c r="H325" s="4">
        <v>77100</v>
      </c>
      <c r="I325" s="4">
        <v>4107412004</v>
      </c>
      <c r="J325" s="4">
        <v>26950</v>
      </c>
      <c r="K325" s="4">
        <v>2272318410</v>
      </c>
      <c r="L325" s="4">
        <v>88000</v>
      </c>
      <c r="M325" s="4">
        <v>1793300377</v>
      </c>
      <c r="N325" s="4">
        <v>91800</v>
      </c>
      <c r="O325" s="4">
        <v>541611334</v>
      </c>
      <c r="Q325" s="3"/>
      <c r="R325" s="3">
        <f t="shared" si="116"/>
        <v>0</v>
      </c>
      <c r="S325" s="3">
        <f t="shared" si="97"/>
        <v>-2053706002000</v>
      </c>
      <c r="T325" s="3">
        <f t="shared" si="98"/>
        <v>1022543284500</v>
      </c>
      <c r="U325" s="3">
        <f t="shared" si="99"/>
        <v>896650188500</v>
      </c>
      <c r="V325" s="3">
        <f t="shared" si="100"/>
        <v>1083222668000</v>
      </c>
      <c r="X325" s="2">
        <f t="shared" si="101"/>
        <v>0</v>
      </c>
      <c r="Y325" s="2">
        <f t="shared" si="102"/>
        <v>-2053.7060019999999</v>
      </c>
      <c r="Z325" s="2">
        <f t="shared" si="103"/>
        <v>1022.5432845</v>
      </c>
      <c r="AA325" s="2">
        <f t="shared" si="104"/>
        <v>896.65018850000001</v>
      </c>
      <c r="AB325" s="2">
        <f t="shared" si="105"/>
        <v>1083.2226680000001</v>
      </c>
      <c r="AC325" s="2"/>
      <c r="AD325" s="8">
        <f t="shared" si="106"/>
        <v>0</v>
      </c>
      <c r="AE325" s="8">
        <f t="shared" si="107"/>
        <v>-0.47802964535333575</v>
      </c>
      <c r="AF325" s="8">
        <f t="shared" si="108"/>
        <v>0.23801167410133034</v>
      </c>
      <c r="AG325" s="8">
        <f t="shared" si="109"/>
        <v>0.20870824314543568</v>
      </c>
      <c r="AH325" s="11">
        <f t="shared" si="110"/>
        <v>0.2521356743947103</v>
      </c>
      <c r="AI325" s="8">
        <f t="shared" si="111"/>
        <v>-3.1309728106569734E-2</v>
      </c>
      <c r="AJ325" s="9">
        <f t="shared" si="112"/>
        <v>94.712195400667042</v>
      </c>
      <c r="AK325" s="9"/>
      <c r="AL325" s="7">
        <f t="shared" si="113"/>
        <v>1251.027804599333</v>
      </c>
      <c r="AM325" s="42">
        <f t="shared" si="114"/>
        <v>13.286454674675415</v>
      </c>
    </row>
    <row r="326" spans="1:39" x14ac:dyDescent="0.25">
      <c r="A326" s="1">
        <v>45811</v>
      </c>
      <c r="B326" s="7">
        <v>1347.25</v>
      </c>
      <c r="C326" s="3">
        <v>5788041.4699999997</v>
      </c>
      <c r="E326" s="5">
        <v>45811</v>
      </c>
      <c r="F326" s="4">
        <v>98100</v>
      </c>
      <c r="G326" s="4">
        <v>3823661561</v>
      </c>
      <c r="H326" s="4">
        <v>77600</v>
      </c>
      <c r="I326" s="4">
        <v>4107412004</v>
      </c>
      <c r="J326" s="4">
        <v>26500</v>
      </c>
      <c r="K326" s="4">
        <v>2272318410</v>
      </c>
      <c r="L326" s="4">
        <v>87500</v>
      </c>
      <c r="M326" s="4">
        <v>1793300377</v>
      </c>
      <c r="N326" s="4">
        <v>89800</v>
      </c>
      <c r="O326" s="4">
        <v>541611334</v>
      </c>
      <c r="Q326" s="3"/>
      <c r="R326" s="3">
        <f t="shared" si="116"/>
        <v>382366156100</v>
      </c>
      <c r="S326" s="3">
        <f t="shared" si="97"/>
        <v>2464447202400</v>
      </c>
      <c r="T326" s="3">
        <f t="shared" si="98"/>
        <v>-454463682000</v>
      </c>
      <c r="U326" s="3">
        <f t="shared" si="99"/>
        <v>0</v>
      </c>
      <c r="V326" s="3">
        <f t="shared" si="100"/>
        <v>162483400200</v>
      </c>
      <c r="X326" s="2">
        <f t="shared" si="101"/>
        <v>382.36615610000001</v>
      </c>
      <c r="Y326" s="2">
        <f t="shared" si="102"/>
        <v>2464.4472024000002</v>
      </c>
      <c r="Z326" s="2">
        <f t="shared" si="103"/>
        <v>-454.46368200000001</v>
      </c>
      <c r="AA326" s="2">
        <f t="shared" si="104"/>
        <v>0</v>
      </c>
      <c r="AB326" s="2">
        <f t="shared" si="105"/>
        <v>162.48340020000001</v>
      </c>
      <c r="AC326" s="2"/>
      <c r="AD326" s="8">
        <f t="shared" si="106"/>
        <v>8.9003945438928936E-2</v>
      </c>
      <c r="AE326" s="8">
        <f t="shared" si="107"/>
        <v>0.57365308315144237</v>
      </c>
      <c r="AF326" s="8">
        <f t="shared" si="108"/>
        <v>-0.10578619501597347</v>
      </c>
      <c r="AG326" s="8">
        <f t="shared" si="109"/>
        <v>0</v>
      </c>
      <c r="AH326" s="11">
        <f t="shared" si="110"/>
        <v>3.7821505526630099E-2</v>
      </c>
      <c r="AI326" s="8">
        <f t="shared" si="111"/>
        <v>0.55687083357439793</v>
      </c>
      <c r="AJ326" s="9">
        <f t="shared" si="112"/>
        <v>94.743505128773606</v>
      </c>
      <c r="AK326" s="9"/>
      <c r="AL326" s="7">
        <f t="shared" si="113"/>
        <v>1252.5064948712263</v>
      </c>
      <c r="AM326" s="42">
        <f t="shared" si="114"/>
        <v>15.962104128581203</v>
      </c>
    </row>
    <row r="327" spans="1:39" x14ac:dyDescent="0.25">
      <c r="A327" s="1">
        <v>45810</v>
      </c>
      <c r="B327" s="7">
        <v>1336.3</v>
      </c>
      <c r="C327" s="3">
        <v>5740822.9699999997</v>
      </c>
      <c r="E327" s="5">
        <v>45810</v>
      </c>
      <c r="F327" s="4">
        <v>98000</v>
      </c>
      <c r="G327" s="4">
        <v>3823661561</v>
      </c>
      <c r="H327" s="4">
        <v>77000</v>
      </c>
      <c r="I327" s="4">
        <v>4107412004</v>
      </c>
      <c r="J327" s="4">
        <v>26700</v>
      </c>
      <c r="K327" s="4">
        <v>2272318410</v>
      </c>
      <c r="L327" s="4">
        <v>87500</v>
      </c>
      <c r="M327" s="4">
        <v>1793300377</v>
      </c>
      <c r="N327" s="4">
        <v>89500</v>
      </c>
      <c r="O327" s="4">
        <v>541611334</v>
      </c>
      <c r="Q327" s="3"/>
      <c r="R327" s="3">
        <f t="shared" si="116"/>
        <v>-1529464624400</v>
      </c>
      <c r="S327" s="3">
        <f t="shared" si="97"/>
        <v>-2464447202400</v>
      </c>
      <c r="T327" s="3">
        <f t="shared" si="98"/>
        <v>-1817854728000</v>
      </c>
      <c r="U327" s="3">
        <f t="shared" si="99"/>
        <v>-2689950565500</v>
      </c>
      <c r="V327" s="3">
        <f t="shared" si="100"/>
        <v>1354028335000</v>
      </c>
      <c r="X327" s="2">
        <f t="shared" si="101"/>
        <v>-1529.4646244</v>
      </c>
      <c r="Y327" s="2">
        <f t="shared" si="102"/>
        <v>-2464.4472024000002</v>
      </c>
      <c r="Z327" s="2">
        <f t="shared" si="103"/>
        <v>-1817.854728</v>
      </c>
      <c r="AA327" s="2">
        <f t="shared" si="104"/>
        <v>-2689.9505654999998</v>
      </c>
      <c r="AB327" s="2">
        <f t="shared" si="105"/>
        <v>1354.028335</v>
      </c>
      <c r="AC327" s="2"/>
      <c r="AD327" s="8">
        <f t="shared" si="106"/>
        <v>-0.35601397296791409</v>
      </c>
      <c r="AE327" s="8">
        <f t="shared" si="107"/>
        <v>-0.57365016862699592</v>
      </c>
      <c r="AF327" s="8">
        <f t="shared" si="108"/>
        <v>-0.42314263021785958</v>
      </c>
      <c r="AG327" s="8">
        <f t="shared" si="109"/>
        <v>-0.62614065904703509</v>
      </c>
      <c r="AH327" s="11">
        <f t="shared" si="110"/>
        <v>0.31517761140999662</v>
      </c>
      <c r="AI327" s="8">
        <f t="shared" si="111"/>
        <v>-1.9789474308598047</v>
      </c>
      <c r="AJ327" s="9">
        <f t="shared" si="112"/>
        <v>94.186634295199212</v>
      </c>
      <c r="AK327" s="9"/>
      <c r="AL327" s="7">
        <f t="shared" si="113"/>
        <v>1242.1133657048008</v>
      </c>
      <c r="AM327" s="42">
        <f t="shared" si="114"/>
        <v>18.231698388671091</v>
      </c>
    </row>
    <row r="328" spans="1:39" x14ac:dyDescent="0.25">
      <c r="A328" s="1">
        <v>45807</v>
      </c>
      <c r="B328" s="7">
        <v>1332.6</v>
      </c>
      <c r="C328" s="3">
        <v>5724956.6399999997</v>
      </c>
      <c r="E328" s="5">
        <v>45807</v>
      </c>
      <c r="F328" s="4">
        <v>98400</v>
      </c>
      <c r="G328" s="4">
        <v>3823661561</v>
      </c>
      <c r="H328" s="4">
        <v>77600</v>
      </c>
      <c r="I328" s="4">
        <v>4107412004</v>
      </c>
      <c r="J328" s="4">
        <v>27500</v>
      </c>
      <c r="K328" s="4">
        <v>2272318410</v>
      </c>
      <c r="L328" s="4">
        <v>89000</v>
      </c>
      <c r="M328" s="4">
        <v>1793300377</v>
      </c>
      <c r="N328" s="4">
        <v>87000</v>
      </c>
      <c r="O328" s="4">
        <v>541611334</v>
      </c>
      <c r="Q328" s="3"/>
      <c r="R328" s="3">
        <f t="shared" si="116"/>
        <v>5353126185400</v>
      </c>
      <c r="S328" s="3">
        <f t="shared" ref="S328:S391" si="117">I328*H328-I329*H329</f>
        <v>2875188402800</v>
      </c>
      <c r="T328" s="3">
        <f t="shared" ref="T328:T391" si="118">K328*J328-K329*J329</f>
        <v>-340847761500</v>
      </c>
      <c r="U328" s="3">
        <f t="shared" ref="U328:U340" si="119">M328*L328-M329*L329</f>
        <v>896650188500</v>
      </c>
      <c r="V328" s="3">
        <f t="shared" ref="V328:V391" si="120">O328*N328-O329*N329</f>
        <v>-270805667000</v>
      </c>
      <c r="X328" s="2">
        <f t="shared" ref="X328:X391" si="121">R328/10^9</f>
        <v>5353.1261854000004</v>
      </c>
      <c r="Y328" s="2">
        <f t="shared" ref="Y328:Y391" si="122">S328/10^9</f>
        <v>2875.1884027999999</v>
      </c>
      <c r="Z328" s="2">
        <f t="shared" ref="Z328:Z391" si="123">T328/10^9</f>
        <v>-340.84776149999999</v>
      </c>
      <c r="AA328" s="2">
        <f t="shared" ref="AA328:AA391" si="124">U328/10^9</f>
        <v>896.65018850000001</v>
      </c>
      <c r="AB328" s="2">
        <f t="shared" ref="AB328:AB391" si="125">V328/10^9</f>
        <v>-270.80566700000003</v>
      </c>
      <c r="AC328" s="2"/>
      <c r="AD328" s="8">
        <f t="shared" ref="AD328:AD391" si="126">X328/$C329*$B329</f>
        <v>1.2460498594322538</v>
      </c>
      <c r="AE328" s="8">
        <f t="shared" ref="AE328:AE391" si="127">Y328/$C329*$B329</f>
        <v>0.66925904248649482</v>
      </c>
      <c r="AF328" s="8">
        <f t="shared" ref="AF328:AF391" si="128">Z328/$C329*$B329</f>
        <v>-7.9339303912399295E-2</v>
      </c>
      <c r="AG328" s="8">
        <f t="shared" ref="AG328:AG391" si="129">AA328/$C329*$B329</f>
        <v>0.20871371281841797</v>
      </c>
      <c r="AH328" s="11">
        <f t="shared" ref="AH328:AH391" si="130">AB328/$C329*$B329</f>
        <v>-6.3035570545511718E-2</v>
      </c>
      <c r="AI328" s="8">
        <f t="shared" ref="AI328:AI391" si="131">SUM(AD328:AG328)</f>
        <v>2.0446833108247673</v>
      </c>
      <c r="AJ328" s="9">
        <f t="shared" ref="AJ328:AJ391" si="132">AI328+AJ329</f>
        <v>96.165581726059017</v>
      </c>
      <c r="AK328" s="9"/>
      <c r="AL328" s="7">
        <f t="shared" ref="AL328:AL391" si="133">B328-AJ328</f>
        <v>1236.434418273941</v>
      </c>
      <c r="AM328" s="42">
        <f t="shared" ref="AM328:AM391" si="134">_xlfn.STDEV.S(AL328:AL347)</f>
        <v>20.394768961829808</v>
      </c>
    </row>
    <row r="329" spans="1:39" x14ac:dyDescent="0.25">
      <c r="A329" s="1">
        <v>45806</v>
      </c>
      <c r="B329" s="7">
        <v>1341.86</v>
      </c>
      <c r="C329" s="3">
        <v>5764733.9299999997</v>
      </c>
      <c r="E329" s="5">
        <v>45806</v>
      </c>
      <c r="F329" s="4">
        <v>97000</v>
      </c>
      <c r="G329" s="4">
        <v>3823661561</v>
      </c>
      <c r="H329" s="4">
        <v>76900</v>
      </c>
      <c r="I329" s="4">
        <v>4107412004</v>
      </c>
      <c r="J329" s="4">
        <v>27650</v>
      </c>
      <c r="K329" s="4">
        <v>2272318410</v>
      </c>
      <c r="L329" s="4">
        <v>88500</v>
      </c>
      <c r="M329" s="4">
        <v>1793300377</v>
      </c>
      <c r="N329" s="4">
        <v>87500</v>
      </c>
      <c r="O329" s="4">
        <v>541611334</v>
      </c>
      <c r="Q329" s="3"/>
      <c r="R329" s="3">
        <f t="shared" si="116"/>
        <v>0</v>
      </c>
      <c r="S329" s="3">
        <f t="shared" si="117"/>
        <v>4928894404800</v>
      </c>
      <c r="T329" s="3">
        <f t="shared" si="118"/>
        <v>2158702489500</v>
      </c>
      <c r="U329" s="3">
        <f t="shared" si="119"/>
        <v>896650188500</v>
      </c>
      <c r="V329" s="3">
        <f t="shared" si="120"/>
        <v>-270805667000</v>
      </c>
      <c r="X329" s="2">
        <f t="shared" si="121"/>
        <v>0</v>
      </c>
      <c r="Y329" s="2">
        <f t="shared" si="122"/>
        <v>4928.8944048000003</v>
      </c>
      <c r="Z329" s="2">
        <f t="shared" si="123"/>
        <v>2158.7024895</v>
      </c>
      <c r="AA329" s="2">
        <f t="shared" si="124"/>
        <v>896.65018850000001</v>
      </c>
      <c r="AB329" s="2">
        <f t="shared" si="125"/>
        <v>-270.80566700000003</v>
      </c>
      <c r="AC329" s="2"/>
      <c r="AD329" s="8">
        <f t="shared" si="126"/>
        <v>0</v>
      </c>
      <c r="AE329" s="8">
        <f t="shared" si="127"/>
        <v>1.1473052658992213</v>
      </c>
      <c r="AF329" s="8">
        <f t="shared" si="128"/>
        <v>0.5024840319770667</v>
      </c>
      <c r="AG329" s="8">
        <f t="shared" si="129"/>
        <v>0.20871444962053765</v>
      </c>
      <c r="AH329" s="11">
        <f t="shared" si="130"/>
        <v>-6.3035793073976026E-2</v>
      </c>
      <c r="AI329" s="8">
        <f t="shared" si="131"/>
        <v>1.8585037474968256</v>
      </c>
      <c r="AJ329" s="9">
        <f t="shared" si="132"/>
        <v>94.120898415234251</v>
      </c>
      <c r="AK329" s="9"/>
      <c r="AL329" s="7">
        <f t="shared" si="133"/>
        <v>1247.7391015847656</v>
      </c>
      <c r="AM329" s="42">
        <f t="shared" si="134"/>
        <v>23.044478245901974</v>
      </c>
    </row>
    <row r="330" spans="1:39" x14ac:dyDescent="0.25">
      <c r="A330" s="1">
        <v>45805</v>
      </c>
      <c r="B330" s="7">
        <v>1341.87</v>
      </c>
      <c r="C330" s="3">
        <v>5764756.54</v>
      </c>
      <c r="E330" s="5">
        <v>45805</v>
      </c>
      <c r="F330" s="4">
        <v>97000</v>
      </c>
      <c r="G330" s="4">
        <v>3823661561</v>
      </c>
      <c r="H330" s="4">
        <v>75700</v>
      </c>
      <c r="I330" s="4">
        <v>4107412004</v>
      </c>
      <c r="J330" s="4">
        <v>26700</v>
      </c>
      <c r="K330" s="4">
        <v>2272318410</v>
      </c>
      <c r="L330" s="4">
        <v>88000</v>
      </c>
      <c r="M330" s="4">
        <v>1793300377</v>
      </c>
      <c r="N330" s="4">
        <v>88000</v>
      </c>
      <c r="O330" s="4">
        <v>541611334</v>
      </c>
      <c r="Q330" s="3"/>
      <c r="R330" s="3">
        <f t="shared" si="116"/>
        <v>9559153902500</v>
      </c>
      <c r="S330" s="3">
        <f t="shared" si="117"/>
        <v>5750376805600</v>
      </c>
      <c r="T330" s="3">
        <f t="shared" si="118"/>
        <v>3181245774000</v>
      </c>
      <c r="U330" s="3">
        <f t="shared" si="119"/>
        <v>1434640301600</v>
      </c>
      <c r="V330" s="3">
        <f t="shared" si="120"/>
        <v>-216644533600</v>
      </c>
      <c r="X330" s="2">
        <f t="shared" si="121"/>
        <v>9559.1539025000002</v>
      </c>
      <c r="Y330" s="2">
        <f t="shared" si="122"/>
        <v>5750.3768055999999</v>
      </c>
      <c r="Z330" s="2">
        <f t="shared" si="123"/>
        <v>3181.245774</v>
      </c>
      <c r="AA330" s="2">
        <f t="shared" si="124"/>
        <v>1434.6403015999999</v>
      </c>
      <c r="AB330" s="2">
        <f t="shared" si="125"/>
        <v>-216.64453359999999</v>
      </c>
      <c r="AC330" s="2"/>
      <c r="AD330" s="8">
        <f t="shared" si="126"/>
        <v>2.2251028246674021</v>
      </c>
      <c r="AE330" s="8">
        <f t="shared" si="127"/>
        <v>1.3385263804253802</v>
      </c>
      <c r="AF330" s="8">
        <f t="shared" si="128"/>
        <v>0.74050475909142688</v>
      </c>
      <c r="AG330" s="8">
        <f t="shared" si="129"/>
        <v>0.33394401011129171</v>
      </c>
      <c r="AH330" s="11">
        <f t="shared" si="130"/>
        <v>-5.0428768966261743E-2</v>
      </c>
      <c r="AI330" s="8">
        <f t="shared" si="131"/>
        <v>4.6380779742955012</v>
      </c>
      <c r="AJ330" s="9">
        <f t="shared" si="132"/>
        <v>92.262394667737425</v>
      </c>
      <c r="AK330" s="9"/>
      <c r="AL330" s="7">
        <f t="shared" si="133"/>
        <v>1249.6076053322624</v>
      </c>
      <c r="AM330" s="42">
        <f t="shared" si="134"/>
        <v>24.551725480013072</v>
      </c>
    </row>
    <row r="331" spans="1:39" x14ac:dyDescent="0.25">
      <c r="A331" s="1">
        <v>45804</v>
      </c>
      <c r="B331" s="7">
        <v>1339.81</v>
      </c>
      <c r="C331" s="3">
        <v>5755891.2999999998</v>
      </c>
      <c r="E331" s="5">
        <v>45804</v>
      </c>
      <c r="F331" s="4">
        <v>94500</v>
      </c>
      <c r="G331" s="4">
        <v>3823661561</v>
      </c>
      <c r="H331" s="4">
        <v>74300</v>
      </c>
      <c r="I331" s="4">
        <v>4107412004</v>
      </c>
      <c r="J331" s="4">
        <v>25300</v>
      </c>
      <c r="K331" s="4">
        <v>2272318410</v>
      </c>
      <c r="L331" s="4">
        <v>87200</v>
      </c>
      <c r="M331" s="4">
        <v>1793300377</v>
      </c>
      <c r="N331" s="4">
        <v>88400</v>
      </c>
      <c r="O331" s="4">
        <v>541611334</v>
      </c>
      <c r="Q331" s="3"/>
      <c r="R331" s="3">
        <f t="shared" si="116"/>
        <v>0</v>
      </c>
      <c r="S331" s="3">
        <f t="shared" si="117"/>
        <v>3285929603200</v>
      </c>
      <c r="T331" s="3">
        <f t="shared" si="118"/>
        <v>-454463682000</v>
      </c>
      <c r="U331" s="3">
        <f t="shared" si="119"/>
        <v>-5021241055600</v>
      </c>
      <c r="V331" s="3">
        <f t="shared" si="120"/>
        <v>324966800400</v>
      </c>
      <c r="X331" s="2">
        <f t="shared" si="121"/>
        <v>0</v>
      </c>
      <c r="Y331" s="2">
        <f t="shared" si="122"/>
        <v>3285.9296032000002</v>
      </c>
      <c r="Z331" s="2">
        <f t="shared" si="123"/>
        <v>-454.46368200000001</v>
      </c>
      <c r="AA331" s="2">
        <f t="shared" si="124"/>
        <v>-5021.2410556000004</v>
      </c>
      <c r="AB331" s="2">
        <f t="shared" si="125"/>
        <v>324.96680040000001</v>
      </c>
      <c r="AC331" s="2"/>
      <c r="AD331" s="8">
        <f t="shared" si="126"/>
        <v>0</v>
      </c>
      <c r="AE331" s="8">
        <f t="shared" si="127"/>
        <v>0.76487126766600133</v>
      </c>
      <c r="AF331" s="8">
        <f t="shared" si="128"/>
        <v>-0.10578626280398168</v>
      </c>
      <c r="AG331" s="8">
        <f t="shared" si="129"/>
        <v>-1.1688025841190188</v>
      </c>
      <c r="AH331" s="11">
        <f t="shared" si="130"/>
        <v>7.5643059525455025E-2</v>
      </c>
      <c r="AI331" s="8">
        <f t="shared" si="131"/>
        <v>-0.50971757925699923</v>
      </c>
      <c r="AJ331" s="9">
        <f t="shared" si="132"/>
        <v>87.624316693441926</v>
      </c>
      <c r="AK331" s="9"/>
      <c r="AL331" s="7">
        <f t="shared" si="133"/>
        <v>1252.1856833065581</v>
      </c>
      <c r="AM331" s="42">
        <f t="shared" si="134"/>
        <v>25.408709114421967</v>
      </c>
    </row>
    <row r="332" spans="1:39" x14ac:dyDescent="0.25">
      <c r="A332" s="1">
        <v>45803</v>
      </c>
      <c r="B332" s="7">
        <v>1332.51</v>
      </c>
      <c r="C332" s="3">
        <v>5724537.2400000002</v>
      </c>
      <c r="E332" s="5">
        <v>45803</v>
      </c>
      <c r="F332" s="4">
        <v>94500</v>
      </c>
      <c r="G332" s="4">
        <v>3823661561</v>
      </c>
      <c r="H332" s="4">
        <v>73500</v>
      </c>
      <c r="I332" s="4">
        <v>4107412004</v>
      </c>
      <c r="J332" s="4">
        <v>25500</v>
      </c>
      <c r="K332" s="4">
        <v>2272318410</v>
      </c>
      <c r="L332" s="4">
        <v>90000</v>
      </c>
      <c r="M332" s="4">
        <v>1793300377</v>
      </c>
      <c r="N332" s="4">
        <v>87800</v>
      </c>
      <c r="O332" s="4">
        <v>541611334</v>
      </c>
      <c r="Q332" s="3"/>
      <c r="R332" s="3">
        <f t="shared" si="116"/>
        <v>5735492341500</v>
      </c>
      <c r="S332" s="3">
        <f t="shared" si="117"/>
        <v>19304836418800</v>
      </c>
      <c r="T332" s="3">
        <f t="shared" si="118"/>
        <v>-340847761500</v>
      </c>
      <c r="U332" s="3">
        <f t="shared" si="119"/>
        <v>-537990113100</v>
      </c>
      <c r="V332" s="3">
        <f t="shared" si="120"/>
        <v>0</v>
      </c>
      <c r="X332" s="2">
        <f t="shared" si="121"/>
        <v>5735.4923415000003</v>
      </c>
      <c r="Y332" s="2">
        <f t="shared" si="122"/>
        <v>19304.836418800001</v>
      </c>
      <c r="Z332" s="2">
        <f t="shared" si="123"/>
        <v>-340.84776149999999</v>
      </c>
      <c r="AA332" s="2">
        <f t="shared" si="124"/>
        <v>-537.99011310000003</v>
      </c>
      <c r="AB332" s="2">
        <f t="shared" si="125"/>
        <v>0</v>
      </c>
      <c r="AC332" s="2"/>
      <c r="AD332" s="8">
        <f t="shared" si="126"/>
        <v>1.3350713602256719</v>
      </c>
      <c r="AE332" s="8">
        <f t="shared" si="127"/>
        <v>4.4936568095636087</v>
      </c>
      <c r="AF332" s="8">
        <f t="shared" si="128"/>
        <v>-7.9340370012013606E-2</v>
      </c>
      <c r="AG332" s="8">
        <f t="shared" si="129"/>
        <v>-0.12522991041019071</v>
      </c>
      <c r="AH332" s="11">
        <f t="shared" si="130"/>
        <v>0</v>
      </c>
      <c r="AI332" s="8">
        <f t="shared" si="131"/>
        <v>5.6241578893670763</v>
      </c>
      <c r="AJ332" s="9">
        <f t="shared" si="132"/>
        <v>88.134034272698926</v>
      </c>
      <c r="AK332" s="9"/>
      <c r="AL332" s="7">
        <f t="shared" si="133"/>
        <v>1244.375965727301</v>
      </c>
      <c r="AM332" s="42">
        <f t="shared" si="134"/>
        <v>25.62210117847312</v>
      </c>
    </row>
    <row r="333" spans="1:39" x14ac:dyDescent="0.25">
      <c r="A333" s="1">
        <v>45800</v>
      </c>
      <c r="B333" s="7">
        <v>1314.46</v>
      </c>
      <c r="C333" s="3">
        <v>5646945.54</v>
      </c>
      <c r="E333" s="5">
        <v>45800</v>
      </c>
      <c r="F333" s="4">
        <v>93000</v>
      </c>
      <c r="G333" s="4">
        <v>3823661561</v>
      </c>
      <c r="H333" s="4">
        <v>68800</v>
      </c>
      <c r="I333" s="4">
        <v>4107412004</v>
      </c>
      <c r="J333" s="4">
        <v>25650</v>
      </c>
      <c r="K333" s="4">
        <v>2272318410</v>
      </c>
      <c r="L333" s="4">
        <v>90300</v>
      </c>
      <c r="M333" s="4">
        <v>1793300377</v>
      </c>
      <c r="N333" s="4">
        <v>87800</v>
      </c>
      <c r="O333" s="4">
        <v>541611334</v>
      </c>
      <c r="Q333" s="3"/>
      <c r="R333" s="3">
        <f t="shared" si="116"/>
        <v>1911830780500</v>
      </c>
      <c r="S333" s="3">
        <f t="shared" si="117"/>
        <v>2875188402800</v>
      </c>
      <c r="T333" s="3">
        <f t="shared" si="118"/>
        <v>681695523000</v>
      </c>
      <c r="U333" s="3">
        <f t="shared" si="119"/>
        <v>-3048610640900</v>
      </c>
      <c r="V333" s="3">
        <f t="shared" si="120"/>
        <v>324966800400</v>
      </c>
      <c r="X333" s="2">
        <f t="shared" si="121"/>
        <v>1911.8307804999999</v>
      </c>
      <c r="Y333" s="2">
        <f t="shared" si="122"/>
        <v>2875.1884027999999</v>
      </c>
      <c r="Z333" s="2">
        <f t="shared" si="123"/>
        <v>681.69552299999998</v>
      </c>
      <c r="AA333" s="2">
        <f t="shared" si="124"/>
        <v>-3048.6106408999999</v>
      </c>
      <c r="AB333" s="2">
        <f t="shared" si="125"/>
        <v>324.96680040000001</v>
      </c>
      <c r="AC333" s="2"/>
      <c r="AD333" s="8">
        <f t="shared" si="126"/>
        <v>0.44506137283822761</v>
      </c>
      <c r="AE333" s="8">
        <f t="shared" si="127"/>
        <v>0.66932456092377413</v>
      </c>
      <c r="AF333" s="8">
        <f t="shared" si="128"/>
        <v>0.15869414198086426</v>
      </c>
      <c r="AG333" s="8">
        <f t="shared" si="129"/>
        <v>-0.70969609388406996</v>
      </c>
      <c r="AH333" s="11">
        <f t="shared" si="130"/>
        <v>7.565008984479539E-2</v>
      </c>
      <c r="AI333" s="8">
        <f t="shared" si="131"/>
        <v>0.56338398185879601</v>
      </c>
      <c r="AJ333" s="9">
        <f t="shared" si="132"/>
        <v>82.509876383331843</v>
      </c>
      <c r="AK333" s="9"/>
      <c r="AL333" s="7">
        <f t="shared" si="133"/>
        <v>1231.9501236166682</v>
      </c>
      <c r="AM333" s="42">
        <f t="shared" si="134"/>
        <v>26.26299004245897</v>
      </c>
    </row>
    <row r="334" spans="1:39" x14ac:dyDescent="0.25">
      <c r="A334" s="1">
        <v>45799</v>
      </c>
      <c r="B334" s="7">
        <v>1313.84</v>
      </c>
      <c r="C334" s="3">
        <v>5643805.3399999999</v>
      </c>
      <c r="E334" s="5">
        <v>45799</v>
      </c>
      <c r="F334" s="4">
        <v>92500</v>
      </c>
      <c r="G334" s="4">
        <v>3823661561</v>
      </c>
      <c r="H334" s="4">
        <v>68100</v>
      </c>
      <c r="I334" s="4">
        <v>4107412004</v>
      </c>
      <c r="J334" s="4">
        <v>25350</v>
      </c>
      <c r="K334" s="4">
        <v>2272318410</v>
      </c>
      <c r="L334" s="4">
        <v>92000</v>
      </c>
      <c r="M334" s="4">
        <v>1793300377</v>
      </c>
      <c r="N334" s="4">
        <v>87200</v>
      </c>
      <c r="O334" s="4">
        <v>541611334</v>
      </c>
      <c r="Q334" s="3"/>
      <c r="R334" s="3">
        <f t="shared" ref="R334:R365" si="135">G334*F334-G335*F335</f>
        <v>-3823661561000</v>
      </c>
      <c r="S334" s="3">
        <f t="shared" si="117"/>
        <v>3285929603200</v>
      </c>
      <c r="T334" s="3">
        <f t="shared" si="118"/>
        <v>-908927364000</v>
      </c>
      <c r="U334" s="3">
        <f t="shared" si="119"/>
        <v>-10759802262000</v>
      </c>
      <c r="V334" s="3">
        <f t="shared" si="120"/>
        <v>-595772467400</v>
      </c>
      <c r="X334" s="2">
        <f t="shared" si="121"/>
        <v>-3823.6615609999999</v>
      </c>
      <c r="Y334" s="2">
        <f t="shared" si="122"/>
        <v>3285.9296032000002</v>
      </c>
      <c r="Z334" s="2">
        <f t="shared" si="123"/>
        <v>-908.92736400000001</v>
      </c>
      <c r="AA334" s="2">
        <f t="shared" si="124"/>
        <v>-10759.802261999999</v>
      </c>
      <c r="AB334" s="2">
        <f t="shared" si="125"/>
        <v>-595.77246739999998</v>
      </c>
      <c r="AC334" s="2"/>
      <c r="AD334" s="8">
        <f t="shared" si="126"/>
        <v>-0.89008033160941369</v>
      </c>
      <c r="AE334" s="8">
        <f t="shared" si="127"/>
        <v>0.76490590608038533</v>
      </c>
      <c r="AF334" s="8">
        <f t="shared" si="128"/>
        <v>-0.21158210700698316</v>
      </c>
      <c r="AG334" s="8">
        <f t="shared" si="129"/>
        <v>-2.5046903897289456</v>
      </c>
      <c r="AH334" s="11">
        <f t="shared" si="130"/>
        <v>-0.13868522276026579</v>
      </c>
      <c r="AI334" s="8">
        <f t="shared" si="131"/>
        <v>-2.8414469222649572</v>
      </c>
      <c r="AJ334" s="9">
        <f t="shared" si="132"/>
        <v>81.946492401473051</v>
      </c>
      <c r="AK334" s="9"/>
      <c r="AL334" s="7">
        <f t="shared" si="133"/>
        <v>1231.8935075985269</v>
      </c>
      <c r="AM334" s="42">
        <f t="shared" si="134"/>
        <v>28.100696636677533</v>
      </c>
    </row>
    <row r="335" spans="1:39" x14ac:dyDescent="0.25">
      <c r="A335" s="1">
        <v>45798</v>
      </c>
      <c r="B335" s="7">
        <v>1323.05</v>
      </c>
      <c r="C335" s="3">
        <v>5683639.1600000001</v>
      </c>
      <c r="E335" s="5">
        <v>45798</v>
      </c>
      <c r="F335" s="4">
        <v>93500</v>
      </c>
      <c r="G335" s="4">
        <v>3823661561</v>
      </c>
      <c r="H335" s="4">
        <v>67300</v>
      </c>
      <c r="I335" s="4">
        <v>4107412004</v>
      </c>
      <c r="J335" s="4">
        <v>25750</v>
      </c>
      <c r="K335" s="4">
        <v>2272318410</v>
      </c>
      <c r="L335" s="4">
        <v>98000</v>
      </c>
      <c r="M335" s="4">
        <v>1793300377</v>
      </c>
      <c r="N335" s="4">
        <v>88300</v>
      </c>
      <c r="O335" s="4">
        <v>541611334</v>
      </c>
      <c r="Q335" s="3"/>
      <c r="R335" s="3">
        <f t="shared" si="135"/>
        <v>7647323122000</v>
      </c>
      <c r="S335" s="3">
        <f t="shared" si="117"/>
        <v>18072612817600</v>
      </c>
      <c r="T335" s="3">
        <f t="shared" si="118"/>
        <v>-113615920500</v>
      </c>
      <c r="U335" s="3">
        <f t="shared" si="119"/>
        <v>-2689950565500</v>
      </c>
      <c r="V335" s="3">
        <f t="shared" si="120"/>
        <v>0</v>
      </c>
      <c r="X335" s="2">
        <f t="shared" si="121"/>
        <v>7647.3231219999998</v>
      </c>
      <c r="Y335" s="2">
        <f t="shared" si="122"/>
        <v>18072.612817599998</v>
      </c>
      <c r="Z335" s="2">
        <f t="shared" si="123"/>
        <v>-113.6159205</v>
      </c>
      <c r="AA335" s="2">
        <f t="shared" si="124"/>
        <v>-2689.9505654999998</v>
      </c>
      <c r="AB335" s="2">
        <f t="shared" si="125"/>
        <v>0</v>
      </c>
      <c r="AC335" s="2"/>
      <c r="AD335" s="8">
        <f t="shared" si="126"/>
        <v>1.7802769187655347</v>
      </c>
      <c r="AE335" s="8">
        <f t="shared" si="127"/>
        <v>4.20725722552507</v>
      </c>
      <c r="AF335" s="8">
        <f t="shared" si="128"/>
        <v>-2.6449490579070888E-2</v>
      </c>
      <c r="AG335" s="8">
        <f t="shared" si="129"/>
        <v>-0.62621349039159213</v>
      </c>
      <c r="AH335" s="11">
        <f t="shared" si="130"/>
        <v>0</v>
      </c>
      <c r="AI335" s="8">
        <f t="shared" si="131"/>
        <v>5.3348711633199413</v>
      </c>
      <c r="AJ335" s="9">
        <f t="shared" si="132"/>
        <v>84.787939323738001</v>
      </c>
      <c r="AK335" s="9"/>
      <c r="AL335" s="7">
        <f t="shared" si="133"/>
        <v>1238.2620606762619</v>
      </c>
      <c r="AM335" s="42">
        <f t="shared" si="134"/>
        <v>28.665777862437437</v>
      </c>
    </row>
    <row r="336" spans="1:39" x14ac:dyDescent="0.25">
      <c r="A336" s="1">
        <v>45797</v>
      </c>
      <c r="B336" s="7">
        <v>1315.15</v>
      </c>
      <c r="C336" s="3">
        <v>5649332.9199999999</v>
      </c>
      <c r="E336" s="5">
        <v>45797</v>
      </c>
      <c r="F336" s="4">
        <v>91500</v>
      </c>
      <c r="G336" s="4">
        <v>3823661561</v>
      </c>
      <c r="H336" s="4">
        <v>62900</v>
      </c>
      <c r="I336" s="4">
        <v>4107412004</v>
      </c>
      <c r="J336" s="4">
        <v>25800</v>
      </c>
      <c r="K336" s="4">
        <v>2272318410</v>
      </c>
      <c r="L336" s="4">
        <v>99500</v>
      </c>
      <c r="M336" s="4">
        <v>1793300377</v>
      </c>
      <c r="N336" s="4">
        <v>88300</v>
      </c>
      <c r="O336" s="4">
        <v>541611334</v>
      </c>
      <c r="Q336" s="3"/>
      <c r="R336" s="3">
        <f t="shared" si="135"/>
        <v>22559603209900</v>
      </c>
      <c r="S336" s="3">
        <f t="shared" si="117"/>
        <v>16840389216400</v>
      </c>
      <c r="T336" s="3">
        <f t="shared" si="118"/>
        <v>2385934330500</v>
      </c>
      <c r="U336" s="3">
        <f t="shared" si="119"/>
        <v>2331290490100</v>
      </c>
      <c r="V336" s="3">
        <f t="shared" si="120"/>
        <v>162483400200</v>
      </c>
      <c r="X336" s="2">
        <f t="shared" si="121"/>
        <v>22559.6032099</v>
      </c>
      <c r="Y336" s="2">
        <f t="shared" si="122"/>
        <v>16840.389216399999</v>
      </c>
      <c r="Z336" s="2">
        <f t="shared" si="123"/>
        <v>2385.9343305000002</v>
      </c>
      <c r="AA336" s="2">
        <f t="shared" si="124"/>
        <v>2331.2904901000002</v>
      </c>
      <c r="AB336" s="2">
        <f t="shared" si="125"/>
        <v>162.48340020000001</v>
      </c>
      <c r="AC336" s="2"/>
      <c r="AD336" s="8">
        <f t="shared" si="126"/>
        <v>5.251815098111531</v>
      </c>
      <c r="AE336" s="8">
        <f t="shared" si="127"/>
        <v>3.9203974255164287</v>
      </c>
      <c r="AF336" s="8">
        <f t="shared" si="128"/>
        <v>0.55543911049480166</v>
      </c>
      <c r="AG336" s="8">
        <f t="shared" si="129"/>
        <v>0.54271817106331466</v>
      </c>
      <c r="AH336" s="11">
        <f t="shared" si="130"/>
        <v>3.7825699611081086E-2</v>
      </c>
      <c r="AI336" s="8">
        <f t="shared" si="131"/>
        <v>10.270369805186077</v>
      </c>
      <c r="AJ336" s="9">
        <f t="shared" si="132"/>
        <v>79.453068160418056</v>
      </c>
      <c r="AK336" s="9"/>
      <c r="AL336" s="7">
        <f t="shared" si="133"/>
        <v>1235.696931839582</v>
      </c>
      <c r="AM336" s="42">
        <f t="shared" si="134"/>
        <v>28.111072592839317</v>
      </c>
    </row>
    <row r="337" spans="1:39" x14ac:dyDescent="0.25">
      <c r="A337" s="1">
        <v>45796</v>
      </c>
      <c r="B337" s="7">
        <v>1296.29</v>
      </c>
      <c r="C337" s="3">
        <v>5568320.1900000004</v>
      </c>
      <c r="E337" s="5">
        <v>45796</v>
      </c>
      <c r="F337" s="4">
        <v>85600</v>
      </c>
      <c r="G337" s="4">
        <v>3823661561</v>
      </c>
      <c r="H337" s="4">
        <v>58800</v>
      </c>
      <c r="I337" s="4">
        <v>4107412004</v>
      </c>
      <c r="J337" s="4">
        <v>24750</v>
      </c>
      <c r="K337" s="4">
        <v>2272318410</v>
      </c>
      <c r="L337" s="4">
        <v>98200</v>
      </c>
      <c r="M337" s="4">
        <v>1793300377</v>
      </c>
      <c r="N337" s="4">
        <v>88000</v>
      </c>
      <c r="O337" s="4">
        <v>541611334</v>
      </c>
      <c r="Q337" s="3"/>
      <c r="R337" s="3">
        <f t="shared" si="135"/>
        <v>21412504741600</v>
      </c>
      <c r="S337" s="3">
        <f t="shared" si="117"/>
        <v>3285929603200</v>
      </c>
      <c r="T337" s="3">
        <f t="shared" si="118"/>
        <v>568079602500</v>
      </c>
      <c r="U337" s="3">
        <f t="shared" si="119"/>
        <v>-5021241055600</v>
      </c>
      <c r="V337" s="3">
        <f t="shared" si="120"/>
        <v>-1083222668000</v>
      </c>
      <c r="X337" s="2">
        <f t="shared" si="121"/>
        <v>21412.504741600002</v>
      </c>
      <c r="Y337" s="2">
        <f t="shared" si="122"/>
        <v>3285.9296032000002</v>
      </c>
      <c r="Z337" s="2">
        <f t="shared" si="123"/>
        <v>568.07960249999996</v>
      </c>
      <c r="AA337" s="2">
        <f t="shared" si="124"/>
        <v>-5021.2410556000004</v>
      </c>
      <c r="AB337" s="2">
        <f t="shared" si="125"/>
        <v>-1083.2226680000001</v>
      </c>
      <c r="AC337" s="2"/>
      <c r="AD337" s="8">
        <f t="shared" si="126"/>
        <v>4.9847470346085778</v>
      </c>
      <c r="AE337" s="8">
        <f t="shared" si="127"/>
        <v>0.76495151049105237</v>
      </c>
      <c r="AF337" s="8">
        <f t="shared" si="128"/>
        <v>0.13224670108219666</v>
      </c>
      <c r="AG337" s="8">
        <f t="shared" si="129"/>
        <v>-1.1689252034737279</v>
      </c>
      <c r="AH337" s="11">
        <f t="shared" si="130"/>
        <v>-0.25216998418888942</v>
      </c>
      <c r="AI337" s="8">
        <f t="shared" si="131"/>
        <v>4.7130200427080986</v>
      </c>
      <c r="AJ337" s="9">
        <f t="shared" si="132"/>
        <v>69.182698355231977</v>
      </c>
      <c r="AK337" s="9"/>
      <c r="AL337" s="7">
        <f t="shared" si="133"/>
        <v>1227.1073016447681</v>
      </c>
      <c r="AM337" s="42">
        <f t="shared" si="134"/>
        <v>27.768777143546188</v>
      </c>
    </row>
    <row r="338" spans="1:39" x14ac:dyDescent="0.25">
      <c r="A338" s="1">
        <v>45793</v>
      </c>
      <c r="B338" s="7">
        <v>1301.3900000000001</v>
      </c>
      <c r="C338" s="3">
        <v>5590257.5099999998</v>
      </c>
      <c r="E338" s="5">
        <v>45793</v>
      </c>
      <c r="F338" s="4">
        <v>80000</v>
      </c>
      <c r="G338" s="4">
        <v>3823661561</v>
      </c>
      <c r="H338" s="4">
        <v>58000</v>
      </c>
      <c r="I338" s="4">
        <v>4107412004</v>
      </c>
      <c r="J338" s="4">
        <v>24500</v>
      </c>
      <c r="K338" s="4">
        <v>2272318410</v>
      </c>
      <c r="L338" s="4">
        <v>101000</v>
      </c>
      <c r="M338" s="4">
        <v>1793300377</v>
      </c>
      <c r="N338" s="4">
        <v>90000</v>
      </c>
      <c r="O338" s="4">
        <v>541611334</v>
      </c>
      <c r="Q338" s="3"/>
      <c r="R338" s="3">
        <f t="shared" si="135"/>
        <v>764732312200</v>
      </c>
      <c r="S338" s="3">
        <f t="shared" si="117"/>
        <v>0</v>
      </c>
      <c r="T338" s="3">
        <f t="shared" si="118"/>
        <v>795311443500</v>
      </c>
      <c r="U338" s="3">
        <f t="shared" si="119"/>
        <v>5917891244100</v>
      </c>
      <c r="V338" s="3">
        <f t="shared" si="120"/>
        <v>-541611334000</v>
      </c>
      <c r="X338" s="2">
        <f t="shared" si="121"/>
        <v>764.73231220000002</v>
      </c>
      <c r="Y338" s="2">
        <f t="shared" si="122"/>
        <v>0</v>
      </c>
      <c r="Z338" s="2">
        <f t="shared" si="123"/>
        <v>795.3114435</v>
      </c>
      <c r="AA338" s="2">
        <f t="shared" si="124"/>
        <v>5917.8912441000002</v>
      </c>
      <c r="AB338" s="2">
        <f t="shared" si="125"/>
        <v>-541.61133400000006</v>
      </c>
      <c r="AC338" s="2"/>
      <c r="AD338" s="8">
        <f t="shared" si="126"/>
        <v>0.17802649253779285</v>
      </c>
      <c r="AE338" s="8">
        <f t="shared" si="127"/>
        <v>0</v>
      </c>
      <c r="AF338" s="8">
        <f t="shared" si="128"/>
        <v>0.18514518675712102</v>
      </c>
      <c r="AG338" s="8">
        <f t="shared" si="129"/>
        <v>1.3776603977624344</v>
      </c>
      <c r="AH338" s="11">
        <f t="shared" si="130"/>
        <v>-0.12608485946323927</v>
      </c>
      <c r="AI338" s="8">
        <f t="shared" si="131"/>
        <v>1.7408320770573482</v>
      </c>
      <c r="AJ338" s="9">
        <f t="shared" si="132"/>
        <v>64.469678312523882</v>
      </c>
      <c r="AK338" s="9"/>
      <c r="AL338" s="7">
        <f t="shared" si="133"/>
        <v>1236.9203216874762</v>
      </c>
      <c r="AM338" s="42">
        <f t="shared" si="134"/>
        <v>27.800424076905895</v>
      </c>
    </row>
    <row r="339" spans="1:39" x14ac:dyDescent="0.25">
      <c r="A339" s="1">
        <v>45792</v>
      </c>
      <c r="B339" s="7">
        <v>1313.2</v>
      </c>
      <c r="C339" s="3">
        <v>5640994.54</v>
      </c>
      <c r="E339" s="5">
        <v>45792</v>
      </c>
      <c r="F339" s="4">
        <v>79800</v>
      </c>
      <c r="G339" s="4">
        <v>3823661561</v>
      </c>
      <c r="H339" s="4">
        <v>58000</v>
      </c>
      <c r="I339" s="4">
        <v>4107412004</v>
      </c>
      <c r="J339" s="4">
        <v>24150</v>
      </c>
      <c r="K339" s="4">
        <v>2272318410</v>
      </c>
      <c r="L339" s="4">
        <v>97700</v>
      </c>
      <c r="M339" s="4">
        <v>1793300377</v>
      </c>
      <c r="N339" s="4">
        <v>91000</v>
      </c>
      <c r="O339" s="4">
        <v>541611334</v>
      </c>
      <c r="Q339" s="3"/>
      <c r="R339" s="3">
        <f t="shared" si="135"/>
        <v>0</v>
      </c>
      <c r="S339" s="3">
        <f t="shared" si="117"/>
        <v>-9857788809600</v>
      </c>
      <c r="T339" s="3">
        <f t="shared" si="118"/>
        <v>-1249775125500</v>
      </c>
      <c r="U339" s="3">
        <f t="shared" si="119"/>
        <v>11297792375100</v>
      </c>
      <c r="V339" s="3">
        <f t="shared" si="120"/>
        <v>-1083222668000</v>
      </c>
      <c r="X339" s="2">
        <f t="shared" si="121"/>
        <v>0</v>
      </c>
      <c r="Y339" s="2">
        <f t="shared" si="122"/>
        <v>-9857.7888096000006</v>
      </c>
      <c r="Z339" s="2">
        <f t="shared" si="123"/>
        <v>-1249.7751255000001</v>
      </c>
      <c r="AA339" s="2">
        <f t="shared" si="124"/>
        <v>11297.7923751</v>
      </c>
      <c r="AB339" s="2">
        <f t="shared" si="125"/>
        <v>-1083.2226680000001</v>
      </c>
      <c r="AC339" s="2"/>
      <c r="AD339" s="8">
        <f t="shared" si="126"/>
        <v>0</v>
      </c>
      <c r="AE339" s="8">
        <f t="shared" si="127"/>
        <v>-2.2950868827381754</v>
      </c>
      <c r="AF339" s="8">
        <f t="shared" si="128"/>
        <v>-0.2909721999840546</v>
      </c>
      <c r="AG339" s="8">
        <f t="shared" si="129"/>
        <v>2.6303480004298776</v>
      </c>
      <c r="AH339" s="11">
        <f t="shared" si="130"/>
        <v>-0.25219551609691337</v>
      </c>
      <c r="AI339" s="8">
        <f t="shared" si="131"/>
        <v>4.4288917707647535E-2</v>
      </c>
      <c r="AJ339" s="9">
        <f t="shared" si="132"/>
        <v>62.728846235466534</v>
      </c>
      <c r="AK339" s="9"/>
      <c r="AL339" s="7">
        <f t="shared" si="133"/>
        <v>1250.4711537645335</v>
      </c>
      <c r="AM339" s="42">
        <f t="shared" si="134"/>
        <v>26.220744260999101</v>
      </c>
    </row>
    <row r="340" spans="1:39" x14ac:dyDescent="0.25">
      <c r="A340" s="1">
        <v>45791</v>
      </c>
      <c r="B340" s="7">
        <v>1309.73</v>
      </c>
      <c r="C340" s="3">
        <v>5625513.2800000003</v>
      </c>
      <c r="E340" s="5">
        <v>45791</v>
      </c>
      <c r="F340" s="4">
        <v>79800</v>
      </c>
      <c r="G340" s="4">
        <v>3823661561</v>
      </c>
      <c r="H340" s="4">
        <v>60400</v>
      </c>
      <c r="I340" s="4">
        <v>4107412004</v>
      </c>
      <c r="J340" s="4">
        <v>24700</v>
      </c>
      <c r="K340" s="4">
        <v>2272318410</v>
      </c>
      <c r="L340" s="4">
        <v>91400</v>
      </c>
      <c r="M340" s="4">
        <v>1793300377</v>
      </c>
      <c r="N340" s="4">
        <v>93000</v>
      </c>
      <c r="O340" s="4">
        <v>541611334</v>
      </c>
      <c r="Q340" s="3"/>
      <c r="R340" s="3">
        <f t="shared" si="135"/>
        <v>764732312200</v>
      </c>
      <c r="S340" s="3">
        <f t="shared" si="117"/>
        <v>-6571859206400</v>
      </c>
      <c r="T340" s="3">
        <f t="shared" si="118"/>
        <v>-1590622887000</v>
      </c>
      <c r="U340" s="3">
        <f t="shared" si="119"/>
        <v>10580472224300</v>
      </c>
      <c r="V340" s="3">
        <f t="shared" si="120"/>
        <v>1354028335000</v>
      </c>
      <c r="X340" s="2">
        <f t="shared" si="121"/>
        <v>764.73231220000002</v>
      </c>
      <c r="Y340" s="2">
        <f t="shared" si="122"/>
        <v>-6571.8592064000004</v>
      </c>
      <c r="Z340" s="2">
        <f t="shared" si="123"/>
        <v>-1590.622887</v>
      </c>
      <c r="AA340" s="2">
        <f t="shared" si="124"/>
        <v>10580.4722243</v>
      </c>
      <c r="AB340" s="2">
        <f t="shared" si="125"/>
        <v>1354.028335</v>
      </c>
      <c r="AC340" s="2"/>
      <c r="AD340" s="8">
        <f t="shared" si="126"/>
        <v>0.18316478887072782</v>
      </c>
      <c r="AE340" s="8">
        <f t="shared" si="127"/>
        <v>-1.5740582486510564</v>
      </c>
      <c r="AF340" s="8">
        <f t="shared" si="128"/>
        <v>-0.38097789333910997</v>
      </c>
      <c r="AG340" s="8">
        <f t="shared" si="129"/>
        <v>2.5341808240602668</v>
      </c>
      <c r="AH340" s="11">
        <f t="shared" si="130"/>
        <v>0.32430997114765053</v>
      </c>
      <c r="AI340" s="8">
        <f t="shared" si="131"/>
        <v>0.76230947094082824</v>
      </c>
      <c r="AJ340" s="9">
        <f t="shared" si="132"/>
        <v>62.684557317758888</v>
      </c>
      <c r="AK340" s="9"/>
      <c r="AL340" s="7">
        <f t="shared" si="133"/>
        <v>1247.0454426822412</v>
      </c>
      <c r="AM340" s="42">
        <f t="shared" si="134"/>
        <v>22.52637600221809</v>
      </c>
    </row>
    <row r="341" spans="1:39" x14ac:dyDescent="0.25">
      <c r="A341" s="1">
        <v>45790</v>
      </c>
      <c r="B341" s="7">
        <v>1293.43</v>
      </c>
      <c r="C341" s="3">
        <v>5400206.6699999999</v>
      </c>
      <c r="E341" s="5">
        <v>45790</v>
      </c>
      <c r="F341" s="4">
        <v>79600</v>
      </c>
      <c r="G341" s="4">
        <v>3823661561</v>
      </c>
      <c r="H341" s="4">
        <v>62000</v>
      </c>
      <c r="I341" s="4">
        <v>4107412004</v>
      </c>
      <c r="J341" s="4">
        <v>25400</v>
      </c>
      <c r="K341" s="4">
        <v>2272318410</v>
      </c>
      <c r="L341" s="4">
        <v>85500</v>
      </c>
      <c r="M341" s="4">
        <v>1793300377</v>
      </c>
      <c r="N341" s="4">
        <v>90500</v>
      </c>
      <c r="O341" s="4">
        <v>541611334</v>
      </c>
      <c r="Q341" s="3"/>
      <c r="R341" s="3">
        <f t="shared" si="135"/>
        <v>764732312200</v>
      </c>
      <c r="S341" s="3">
        <f t="shared" si="117"/>
        <v>-1232223601200</v>
      </c>
      <c r="T341" s="3">
        <f t="shared" si="118"/>
        <v>-227231841000</v>
      </c>
      <c r="V341" s="3">
        <f t="shared" si="120"/>
        <v>54161133400</v>
      </c>
      <c r="X341" s="2">
        <f t="shared" si="121"/>
        <v>764.73231220000002</v>
      </c>
      <c r="Y341" s="2">
        <f t="shared" si="122"/>
        <v>-1232.2236012000001</v>
      </c>
      <c r="Z341" s="2">
        <f t="shared" si="123"/>
        <v>-227.231841</v>
      </c>
      <c r="AA341" s="2">
        <f t="shared" si="124"/>
        <v>0</v>
      </c>
      <c r="AB341" s="2">
        <f t="shared" si="125"/>
        <v>54.161133399999997</v>
      </c>
      <c r="AC341" s="2"/>
      <c r="AD341" s="8">
        <f t="shared" si="126"/>
        <v>0.18316442639974273</v>
      </c>
      <c r="AE341" s="8">
        <f t="shared" si="127"/>
        <v>-0.29513533756763283</v>
      </c>
      <c r="AF341" s="8">
        <f t="shared" si="128"/>
        <v>-5.4425305629870503E-2</v>
      </c>
      <c r="AG341" s="8">
        <f t="shared" si="129"/>
        <v>0</v>
      </c>
      <c r="AH341" s="11">
        <f t="shared" si="130"/>
        <v>1.2972373174387947E-2</v>
      </c>
      <c r="AI341" s="8">
        <f t="shared" si="131"/>
        <v>-0.16639621679776059</v>
      </c>
      <c r="AJ341" s="9">
        <f t="shared" si="132"/>
        <v>61.92224784681806</v>
      </c>
      <c r="AK341" s="9"/>
      <c r="AL341" s="7">
        <f t="shared" si="133"/>
        <v>1231.5077521531821</v>
      </c>
      <c r="AM341" s="42">
        <f t="shared" si="134"/>
        <v>18.172219597259708</v>
      </c>
    </row>
    <row r="342" spans="1:39" x14ac:dyDescent="0.25">
      <c r="A342" s="1">
        <v>45789</v>
      </c>
      <c r="B342" s="7">
        <v>1283.26</v>
      </c>
      <c r="C342" s="3">
        <v>5357756.45</v>
      </c>
      <c r="E342" s="5">
        <v>45789</v>
      </c>
      <c r="F342" s="4">
        <v>79400</v>
      </c>
      <c r="G342" s="4">
        <v>3823661561</v>
      </c>
      <c r="H342" s="4">
        <v>62300</v>
      </c>
      <c r="I342" s="4">
        <v>4107412004</v>
      </c>
      <c r="J342" s="4">
        <v>25500</v>
      </c>
      <c r="K342" s="4">
        <v>2272318410</v>
      </c>
      <c r="L342" s="4">
        <v>0</v>
      </c>
      <c r="M342" s="4">
        <v>1793300377</v>
      </c>
      <c r="N342" s="4">
        <v>90400</v>
      </c>
      <c r="O342" s="4">
        <v>541611334</v>
      </c>
      <c r="Q342" s="3"/>
      <c r="R342" s="3">
        <f t="shared" si="135"/>
        <v>11088618526900</v>
      </c>
      <c r="S342" s="3">
        <f t="shared" si="117"/>
        <v>410741200400</v>
      </c>
      <c r="T342" s="3">
        <f t="shared" si="118"/>
        <v>1136159205000</v>
      </c>
      <c r="U342" s="3">
        <f t="shared" ref="U342:U373" si="136">M342*L342-M343*L343</f>
        <v>0</v>
      </c>
      <c r="V342" s="3">
        <f t="shared" si="120"/>
        <v>487450200600</v>
      </c>
      <c r="X342" s="2">
        <f t="shared" si="121"/>
        <v>11088.6185269</v>
      </c>
      <c r="Y342" s="2">
        <f t="shared" si="122"/>
        <v>410.74120040000003</v>
      </c>
      <c r="Z342" s="2">
        <f t="shared" si="123"/>
        <v>1136.1592049999999</v>
      </c>
      <c r="AA342" s="2">
        <f t="shared" si="124"/>
        <v>0</v>
      </c>
      <c r="AB342" s="2">
        <f t="shared" si="125"/>
        <v>487.45020060000002</v>
      </c>
      <c r="AC342" s="2"/>
      <c r="AD342" s="8">
        <f t="shared" si="126"/>
        <v>2.6558858316106972</v>
      </c>
      <c r="AE342" s="8">
        <f t="shared" si="127"/>
        <v>9.8378506930755005E-2</v>
      </c>
      <c r="AF342" s="8">
        <f t="shared" si="128"/>
        <v>0.27212669708975606</v>
      </c>
      <c r="AG342" s="8">
        <f t="shared" si="129"/>
        <v>0</v>
      </c>
      <c r="AH342" s="11">
        <f t="shared" si="130"/>
        <v>0.11675143105056042</v>
      </c>
      <c r="AI342" s="8">
        <f t="shared" si="131"/>
        <v>3.0263910356312085</v>
      </c>
      <c r="AJ342" s="9">
        <f t="shared" si="132"/>
        <v>62.088644063615817</v>
      </c>
      <c r="AK342" s="9"/>
      <c r="AL342" s="7">
        <f t="shared" si="133"/>
        <v>1221.1713559363841</v>
      </c>
      <c r="AM342" s="42">
        <f t="shared" si="134"/>
        <v>18.389090372695527</v>
      </c>
    </row>
    <row r="343" spans="1:39" x14ac:dyDescent="0.25">
      <c r="A343" s="1">
        <v>45786</v>
      </c>
      <c r="B343" s="7">
        <v>1267.3</v>
      </c>
      <c r="C343" s="3">
        <v>5291118.3499999996</v>
      </c>
      <c r="E343" s="5">
        <v>45786</v>
      </c>
      <c r="F343" s="4">
        <v>76500</v>
      </c>
      <c r="G343" s="4">
        <v>3823661561</v>
      </c>
      <c r="H343" s="4">
        <v>62200</v>
      </c>
      <c r="I343" s="4">
        <v>4107412004</v>
      </c>
      <c r="J343" s="4">
        <v>25000</v>
      </c>
      <c r="K343" s="4">
        <v>2272318410</v>
      </c>
      <c r="L343" s="4">
        <v>0</v>
      </c>
      <c r="M343" s="4">
        <v>1793300377</v>
      </c>
      <c r="N343" s="4">
        <v>89500</v>
      </c>
      <c r="O343" s="4">
        <v>541611334</v>
      </c>
      <c r="Q343" s="3"/>
      <c r="R343" s="3">
        <f t="shared" si="135"/>
        <v>-7647323122000</v>
      </c>
      <c r="S343" s="3">
        <f t="shared" si="117"/>
        <v>0</v>
      </c>
      <c r="T343" s="3">
        <f t="shared" si="118"/>
        <v>0</v>
      </c>
      <c r="U343" s="3">
        <f t="shared" si="136"/>
        <v>0</v>
      </c>
      <c r="V343" s="3">
        <f t="shared" si="120"/>
        <v>-162483400200</v>
      </c>
      <c r="X343" s="2">
        <f t="shared" si="121"/>
        <v>-7647.3231219999998</v>
      </c>
      <c r="Y343" s="2">
        <f t="shared" si="122"/>
        <v>0</v>
      </c>
      <c r="Z343" s="2">
        <f t="shared" si="123"/>
        <v>0</v>
      </c>
      <c r="AA343" s="2">
        <f t="shared" si="124"/>
        <v>0</v>
      </c>
      <c r="AB343" s="2">
        <f t="shared" si="125"/>
        <v>-162.48340020000001</v>
      </c>
      <c r="AC343" s="2"/>
      <c r="AD343" s="8">
        <f t="shared" si="126"/>
        <v>-1.8324217665954032</v>
      </c>
      <c r="AE343" s="8">
        <f t="shared" si="127"/>
        <v>0</v>
      </c>
      <c r="AF343" s="8">
        <f t="shared" si="128"/>
        <v>0</v>
      </c>
      <c r="AG343" s="8">
        <f t="shared" si="129"/>
        <v>0</v>
      </c>
      <c r="AH343" s="11">
        <f t="shared" si="130"/>
        <v>-3.8933639194657789E-2</v>
      </c>
      <c r="AI343" s="8">
        <f t="shared" si="131"/>
        <v>-1.8324217665954032</v>
      </c>
      <c r="AJ343" s="9">
        <f t="shared" si="132"/>
        <v>59.06225302798461</v>
      </c>
      <c r="AK343" s="9"/>
      <c r="AL343" s="7">
        <f t="shared" si="133"/>
        <v>1208.2377469720154</v>
      </c>
      <c r="AM343" s="42">
        <f t="shared" si="134"/>
        <v>29.386510013109763</v>
      </c>
    </row>
    <row r="344" spans="1:39" x14ac:dyDescent="0.25">
      <c r="A344" s="1">
        <v>45785</v>
      </c>
      <c r="B344" s="7">
        <v>1269.8</v>
      </c>
      <c r="C344" s="3">
        <v>5299309.95</v>
      </c>
      <c r="E344" s="5">
        <v>45785</v>
      </c>
      <c r="F344" s="4">
        <v>78500</v>
      </c>
      <c r="G344" s="4">
        <v>3823661561</v>
      </c>
      <c r="H344" s="4">
        <v>62200</v>
      </c>
      <c r="I344" s="4">
        <v>4107412004</v>
      </c>
      <c r="J344" s="4">
        <v>25000</v>
      </c>
      <c r="K344" s="4">
        <v>2272318410</v>
      </c>
      <c r="L344" s="4">
        <v>0</v>
      </c>
      <c r="M344" s="4">
        <v>1793300377</v>
      </c>
      <c r="N344" s="4">
        <v>89800</v>
      </c>
      <c r="O344" s="4">
        <v>541611334</v>
      </c>
      <c r="Q344" s="3"/>
      <c r="R344" s="3">
        <f t="shared" si="135"/>
        <v>19500673961100</v>
      </c>
      <c r="S344" s="3">
        <f t="shared" si="117"/>
        <v>821482400800</v>
      </c>
      <c r="T344" s="3">
        <f t="shared" si="118"/>
        <v>227231841000</v>
      </c>
      <c r="U344" s="3">
        <f t="shared" si="136"/>
        <v>0</v>
      </c>
      <c r="V344" s="3">
        <f t="shared" si="120"/>
        <v>487450200600</v>
      </c>
      <c r="X344" s="2">
        <f t="shared" si="121"/>
        <v>19500.673961100001</v>
      </c>
      <c r="Y344" s="2">
        <f t="shared" si="122"/>
        <v>821.48240080000005</v>
      </c>
      <c r="Z344" s="2">
        <f t="shared" si="123"/>
        <v>227.231841</v>
      </c>
      <c r="AA344" s="2">
        <f t="shared" si="124"/>
        <v>0</v>
      </c>
      <c r="AB344" s="2">
        <f t="shared" si="125"/>
        <v>487.45020060000002</v>
      </c>
      <c r="AC344" s="2"/>
      <c r="AD344" s="8">
        <f t="shared" si="126"/>
        <v>4.6726772963350642</v>
      </c>
      <c r="AE344" s="8">
        <f t="shared" si="127"/>
        <v>0.19684048721670219</v>
      </c>
      <c r="AF344" s="8">
        <f t="shared" si="128"/>
        <v>5.4448429144713831E-2</v>
      </c>
      <c r="AG344" s="8">
        <f t="shared" si="129"/>
        <v>0</v>
      </c>
      <c r="AH344" s="11">
        <f t="shared" si="130"/>
        <v>0.11680096236577005</v>
      </c>
      <c r="AI344" s="8">
        <f t="shared" si="131"/>
        <v>4.9239662126964809</v>
      </c>
      <c r="AJ344" s="9">
        <f t="shared" si="132"/>
        <v>60.894674794580013</v>
      </c>
      <c r="AK344" s="9"/>
      <c r="AL344" s="7">
        <f t="shared" si="133"/>
        <v>1208.90532520542</v>
      </c>
      <c r="AM344" s="42">
        <f t="shared" si="134"/>
        <v>31.445848274830063</v>
      </c>
    </row>
    <row r="345" spans="1:39" x14ac:dyDescent="0.25">
      <c r="A345" s="1">
        <v>45784</v>
      </c>
      <c r="B345" s="7">
        <v>1250.3699999999999</v>
      </c>
      <c r="C345" s="3">
        <v>5218219.91</v>
      </c>
      <c r="E345" s="5">
        <v>45784</v>
      </c>
      <c r="F345" s="4">
        <v>73400</v>
      </c>
      <c r="G345" s="4">
        <v>3823661561</v>
      </c>
      <c r="H345" s="4">
        <v>62000</v>
      </c>
      <c r="I345" s="4">
        <v>4107412004</v>
      </c>
      <c r="J345" s="4">
        <v>24900</v>
      </c>
      <c r="K345" s="4">
        <v>2272318410</v>
      </c>
      <c r="L345" s="4">
        <v>0</v>
      </c>
      <c r="M345" s="4">
        <v>1793300377</v>
      </c>
      <c r="N345" s="4">
        <v>88900</v>
      </c>
      <c r="O345" s="4">
        <v>541611334</v>
      </c>
      <c r="Q345" s="3"/>
      <c r="R345" s="3">
        <f t="shared" si="135"/>
        <v>11088618526900</v>
      </c>
      <c r="S345" s="3">
        <f t="shared" si="117"/>
        <v>4518153204400</v>
      </c>
      <c r="T345" s="3">
        <f t="shared" si="118"/>
        <v>0</v>
      </c>
      <c r="U345" s="3">
        <f t="shared" si="136"/>
        <v>0</v>
      </c>
      <c r="V345" s="3">
        <f t="shared" si="120"/>
        <v>-54161133400</v>
      </c>
      <c r="X345" s="2">
        <f t="shared" si="121"/>
        <v>11088.6185269</v>
      </c>
      <c r="Y345" s="2">
        <f t="shared" si="122"/>
        <v>4518.1532043999996</v>
      </c>
      <c r="Z345" s="2">
        <f t="shared" si="123"/>
        <v>0</v>
      </c>
      <c r="AA345" s="2">
        <f t="shared" si="124"/>
        <v>0</v>
      </c>
      <c r="AB345" s="2">
        <f t="shared" si="125"/>
        <v>-54.161133399999997</v>
      </c>
      <c r="AC345" s="2"/>
      <c r="AD345" s="8">
        <f t="shared" si="126"/>
        <v>2.6592160896216179</v>
      </c>
      <c r="AE345" s="8">
        <f t="shared" si="127"/>
        <v>1.0835205185721961</v>
      </c>
      <c r="AF345" s="8">
        <f t="shared" si="128"/>
        <v>0</v>
      </c>
      <c r="AG345" s="8">
        <f t="shared" si="129"/>
        <v>0</v>
      </c>
      <c r="AH345" s="11">
        <f t="shared" si="130"/>
        <v>-1.2988647505550685E-2</v>
      </c>
      <c r="AI345" s="8">
        <f t="shared" si="131"/>
        <v>3.7427366081938143</v>
      </c>
      <c r="AJ345" s="9">
        <f t="shared" si="132"/>
        <v>55.970708581883528</v>
      </c>
      <c r="AK345" s="9"/>
      <c r="AL345" s="7">
        <f t="shared" si="133"/>
        <v>1194.3992914181163</v>
      </c>
      <c r="AM345" s="42">
        <f t="shared" si="134"/>
        <v>30.293337212747488</v>
      </c>
    </row>
    <row r="346" spans="1:39" x14ac:dyDescent="0.25">
      <c r="A346" s="1">
        <v>45783</v>
      </c>
      <c r="B346" s="7">
        <v>1241.95</v>
      </c>
      <c r="C346" s="3">
        <v>5178785.5199999996</v>
      </c>
      <c r="E346" s="5">
        <v>45783</v>
      </c>
      <c r="F346" s="4">
        <v>70500</v>
      </c>
      <c r="G346" s="4">
        <v>3823661561</v>
      </c>
      <c r="H346" s="4">
        <v>60900</v>
      </c>
      <c r="I346" s="4">
        <v>4107412004</v>
      </c>
      <c r="J346" s="4">
        <v>24900</v>
      </c>
      <c r="K346" s="4">
        <v>2272318410</v>
      </c>
      <c r="L346" s="4">
        <v>0</v>
      </c>
      <c r="M346" s="4">
        <v>1793300377</v>
      </c>
      <c r="N346" s="4">
        <v>89000</v>
      </c>
      <c r="O346" s="4">
        <v>541611334</v>
      </c>
      <c r="Q346" s="3"/>
      <c r="R346" s="3">
        <f t="shared" si="135"/>
        <v>1911830780500</v>
      </c>
      <c r="S346" s="3">
        <f t="shared" si="117"/>
        <v>0</v>
      </c>
      <c r="T346" s="3">
        <f t="shared" si="118"/>
        <v>0</v>
      </c>
      <c r="U346" s="3">
        <f t="shared" si="136"/>
        <v>0</v>
      </c>
      <c r="V346" s="3">
        <f t="shared" si="120"/>
        <v>-324966800400</v>
      </c>
      <c r="X346" s="2">
        <f t="shared" si="121"/>
        <v>1911.8307804999999</v>
      </c>
      <c r="Y346" s="2">
        <f t="shared" si="122"/>
        <v>0</v>
      </c>
      <c r="Z346" s="2">
        <f t="shared" si="123"/>
        <v>0</v>
      </c>
      <c r="AA346" s="2">
        <f t="shared" si="124"/>
        <v>0</v>
      </c>
      <c r="AB346" s="2">
        <f t="shared" si="125"/>
        <v>-324.96680040000001</v>
      </c>
      <c r="AC346" s="2"/>
      <c r="AD346" s="8">
        <f t="shared" si="126"/>
        <v>0.45848629198029811</v>
      </c>
      <c r="AE346" s="8">
        <f t="shared" si="127"/>
        <v>0</v>
      </c>
      <c r="AF346" s="8">
        <f t="shared" si="128"/>
        <v>0</v>
      </c>
      <c r="AG346" s="8">
        <f t="shared" si="129"/>
        <v>0</v>
      </c>
      <c r="AH346" s="11">
        <f t="shared" si="130"/>
        <v>-7.7932014094433427E-2</v>
      </c>
      <c r="AI346" s="8">
        <f t="shared" si="131"/>
        <v>0.45848629198029811</v>
      </c>
      <c r="AJ346" s="9">
        <f t="shared" si="132"/>
        <v>52.227971973689712</v>
      </c>
      <c r="AK346" s="9"/>
      <c r="AL346" s="7">
        <f t="shared" si="133"/>
        <v>1189.7220280263102</v>
      </c>
      <c r="AM346" s="42">
        <f t="shared" si="134"/>
        <v>30.875962329942752</v>
      </c>
    </row>
    <row r="347" spans="1:39" x14ac:dyDescent="0.25">
      <c r="A347" s="1">
        <v>45782</v>
      </c>
      <c r="B347" s="7">
        <v>1240.05</v>
      </c>
      <c r="C347" s="3">
        <v>5170854.18</v>
      </c>
      <c r="E347" s="5">
        <v>45782</v>
      </c>
      <c r="F347" s="4">
        <v>70000</v>
      </c>
      <c r="G347" s="4">
        <v>3823661561</v>
      </c>
      <c r="H347" s="4">
        <v>60900</v>
      </c>
      <c r="I347" s="4">
        <v>4107412004</v>
      </c>
      <c r="J347" s="4">
        <v>24900</v>
      </c>
      <c r="K347" s="4">
        <v>2272318410</v>
      </c>
      <c r="L347" s="4">
        <v>0</v>
      </c>
      <c r="M347" s="4">
        <v>1793300377</v>
      </c>
      <c r="N347" s="4">
        <v>89600</v>
      </c>
      <c r="O347" s="4">
        <v>541611334</v>
      </c>
      <c r="Q347" s="3"/>
      <c r="R347" s="3">
        <f t="shared" si="135"/>
        <v>7647323122000</v>
      </c>
      <c r="S347" s="3">
        <f t="shared" si="117"/>
        <v>10268530010000</v>
      </c>
      <c r="T347" s="3">
        <f t="shared" si="118"/>
        <v>2840398012500</v>
      </c>
      <c r="U347" s="3">
        <f t="shared" si="136"/>
        <v>0</v>
      </c>
      <c r="V347" s="3">
        <f t="shared" si="120"/>
        <v>1949800802400</v>
      </c>
      <c r="X347" s="2">
        <f t="shared" si="121"/>
        <v>7647.3231219999998</v>
      </c>
      <c r="Y347" s="2">
        <f t="shared" si="122"/>
        <v>10268.53001</v>
      </c>
      <c r="Z347" s="2">
        <f t="shared" si="123"/>
        <v>2840.3980124999998</v>
      </c>
      <c r="AA347" s="2">
        <f t="shared" si="124"/>
        <v>0</v>
      </c>
      <c r="AB347" s="2">
        <f t="shared" si="125"/>
        <v>1949.8008024000001</v>
      </c>
      <c r="AC347" s="2"/>
      <c r="AD347" s="8">
        <f t="shared" si="126"/>
        <v>1.8306824196055071</v>
      </c>
      <c r="AE347" s="8">
        <f t="shared" si="127"/>
        <v>2.4581696189113331</v>
      </c>
      <c r="AF347" s="8">
        <f t="shared" si="128"/>
        <v>0.67995906844933418</v>
      </c>
      <c r="AG347" s="8">
        <f t="shared" si="129"/>
        <v>0</v>
      </c>
      <c r="AH347" s="11">
        <f t="shared" si="130"/>
        <v>0.46676019748893149</v>
      </c>
      <c r="AI347" s="8">
        <f t="shared" si="131"/>
        <v>4.9688111069661742</v>
      </c>
      <c r="AJ347" s="9">
        <f t="shared" si="132"/>
        <v>51.769485681709412</v>
      </c>
      <c r="AK347" s="9"/>
      <c r="AL347" s="7">
        <f t="shared" si="133"/>
        <v>1188.2805143182904</v>
      </c>
      <c r="AM347" s="42">
        <f t="shared" si="134"/>
        <v>40.143128321606838</v>
      </c>
    </row>
    <row r="348" spans="1:39" x14ac:dyDescent="0.25">
      <c r="A348" s="1">
        <v>45776</v>
      </c>
      <c r="B348" s="7">
        <v>1226.3</v>
      </c>
      <c r="C348" s="3">
        <v>5122632</v>
      </c>
      <c r="E348" s="5">
        <v>45776</v>
      </c>
      <c r="F348" s="4">
        <v>68000</v>
      </c>
      <c r="G348" s="4">
        <v>3823661561</v>
      </c>
      <c r="H348" s="4">
        <v>58400</v>
      </c>
      <c r="I348" s="4">
        <v>4107412004</v>
      </c>
      <c r="J348" s="4">
        <v>23650</v>
      </c>
      <c r="K348" s="4">
        <v>2272318410</v>
      </c>
      <c r="L348" s="4">
        <v>0</v>
      </c>
      <c r="M348" s="4">
        <v>1793300377</v>
      </c>
      <c r="N348" s="4">
        <v>86000</v>
      </c>
      <c r="O348" s="4">
        <v>541611334</v>
      </c>
      <c r="Q348" s="3"/>
      <c r="R348" s="3">
        <f t="shared" si="135"/>
        <v>0</v>
      </c>
      <c r="S348" s="3">
        <f t="shared" si="117"/>
        <v>-410741200400</v>
      </c>
      <c r="T348" s="3">
        <f t="shared" si="118"/>
        <v>1249775125500</v>
      </c>
      <c r="U348" s="3">
        <f t="shared" si="136"/>
        <v>0</v>
      </c>
      <c r="V348" s="3">
        <f t="shared" si="120"/>
        <v>-1678995135400</v>
      </c>
      <c r="X348" s="2">
        <f t="shared" si="121"/>
        <v>0</v>
      </c>
      <c r="Y348" s="2">
        <f t="shared" si="122"/>
        <v>-410.74120040000003</v>
      </c>
      <c r="Z348" s="2">
        <f t="shared" si="123"/>
        <v>1249.7751255000001</v>
      </c>
      <c r="AA348" s="2">
        <f t="shared" si="124"/>
        <v>0</v>
      </c>
      <c r="AB348" s="2">
        <f t="shared" si="125"/>
        <v>-1678.9951354</v>
      </c>
      <c r="AC348" s="2"/>
      <c r="AD348" s="8">
        <f t="shared" si="126"/>
        <v>0</v>
      </c>
      <c r="AE348" s="8">
        <f t="shared" si="127"/>
        <v>-9.8324092038929459E-2</v>
      </c>
      <c r="AF348" s="8">
        <f t="shared" si="128"/>
        <v>0.2991737969016916</v>
      </c>
      <c r="AG348" s="8">
        <f t="shared" si="129"/>
        <v>0</v>
      </c>
      <c r="AH348" s="11">
        <f t="shared" si="130"/>
        <v>-0.40192138520610016</v>
      </c>
      <c r="AI348" s="8">
        <f t="shared" si="131"/>
        <v>0.20084970486276216</v>
      </c>
      <c r="AJ348" s="9">
        <f t="shared" si="132"/>
        <v>46.80067457474324</v>
      </c>
      <c r="AK348" s="9"/>
      <c r="AL348" s="7">
        <f t="shared" si="133"/>
        <v>1179.4993254252568</v>
      </c>
      <c r="AM348" s="42">
        <f t="shared" si="134"/>
        <v>47.176434971971723</v>
      </c>
    </row>
    <row r="349" spans="1:39" x14ac:dyDescent="0.25">
      <c r="A349" s="1">
        <v>45775</v>
      </c>
      <c r="B349" s="7">
        <v>1226.8</v>
      </c>
      <c r="C349" s="3">
        <v>5124861</v>
      </c>
      <c r="E349" s="5">
        <v>45775</v>
      </c>
      <c r="F349" s="4">
        <v>68000</v>
      </c>
      <c r="G349" s="4">
        <v>3823661561</v>
      </c>
      <c r="H349" s="4">
        <v>58500</v>
      </c>
      <c r="I349" s="4">
        <v>4107412004</v>
      </c>
      <c r="J349" s="4">
        <v>23100</v>
      </c>
      <c r="K349" s="4">
        <v>2272318410</v>
      </c>
      <c r="L349" s="4">
        <v>0</v>
      </c>
      <c r="M349" s="4">
        <v>1793300377</v>
      </c>
      <c r="N349" s="4">
        <v>89100</v>
      </c>
      <c r="O349" s="4">
        <v>541611334</v>
      </c>
      <c r="Q349" s="3"/>
      <c r="R349" s="3">
        <f t="shared" si="135"/>
        <v>3823661561000</v>
      </c>
      <c r="S349" s="3">
        <f t="shared" si="117"/>
        <v>-15608165615200</v>
      </c>
      <c r="T349" s="3">
        <f t="shared" si="118"/>
        <v>681695523000</v>
      </c>
      <c r="U349" s="3">
        <f t="shared" si="136"/>
        <v>0</v>
      </c>
      <c r="V349" s="3">
        <f t="shared" si="120"/>
        <v>-1029061534600</v>
      </c>
      <c r="X349" s="2">
        <f t="shared" si="121"/>
        <v>3823.6615609999999</v>
      </c>
      <c r="Y349" s="2">
        <f t="shared" si="122"/>
        <v>-15608.1656152</v>
      </c>
      <c r="Z349" s="2">
        <f t="shared" si="123"/>
        <v>681.69552299999998</v>
      </c>
      <c r="AA349" s="2">
        <f t="shared" si="124"/>
        <v>0</v>
      </c>
      <c r="AB349" s="2">
        <f t="shared" si="125"/>
        <v>-1029.0615346</v>
      </c>
      <c r="AC349" s="2"/>
      <c r="AD349" s="8">
        <f t="shared" si="126"/>
        <v>0.91529459911321276</v>
      </c>
      <c r="AE349" s="8">
        <f t="shared" si="127"/>
        <v>-3.73622755616501</v>
      </c>
      <c r="AF349" s="8">
        <f t="shared" si="128"/>
        <v>0.16318186651393254</v>
      </c>
      <c r="AG349" s="8">
        <f t="shared" si="129"/>
        <v>0</v>
      </c>
      <c r="AH349" s="11">
        <f t="shared" si="130"/>
        <v>-0.2463331154570598</v>
      </c>
      <c r="AI349" s="8">
        <f t="shared" si="131"/>
        <v>-2.657751090537865</v>
      </c>
      <c r="AJ349" s="9">
        <f t="shared" si="132"/>
        <v>46.599824869880479</v>
      </c>
      <c r="AK349" s="9"/>
      <c r="AL349" s="7">
        <f t="shared" si="133"/>
        <v>1180.2001751301195</v>
      </c>
      <c r="AM349" s="42">
        <f t="shared" si="134"/>
        <v>52.153815631968264</v>
      </c>
    </row>
    <row r="350" spans="1:39" x14ac:dyDescent="0.25">
      <c r="A350" s="1">
        <v>45772</v>
      </c>
      <c r="B350" s="7">
        <v>1229.23</v>
      </c>
      <c r="C350" s="3">
        <v>5135133</v>
      </c>
      <c r="E350" s="5">
        <v>45772</v>
      </c>
      <c r="F350" s="4">
        <v>67000</v>
      </c>
      <c r="G350" s="4">
        <v>3823661561</v>
      </c>
      <c r="H350" s="4">
        <v>62300</v>
      </c>
      <c r="I350" s="4">
        <v>4107412004</v>
      </c>
      <c r="J350" s="4">
        <v>22800</v>
      </c>
      <c r="K350" s="4">
        <v>2272318410</v>
      </c>
      <c r="L350" s="4">
        <v>0</v>
      </c>
      <c r="M350" s="4">
        <v>1793300377</v>
      </c>
      <c r="N350" s="4">
        <v>91000</v>
      </c>
      <c r="O350" s="4">
        <v>541611334</v>
      </c>
      <c r="Q350" s="3"/>
      <c r="R350" s="3">
        <f t="shared" si="135"/>
        <v>16441744712300</v>
      </c>
      <c r="S350" s="3">
        <f t="shared" si="117"/>
        <v>4518153204400</v>
      </c>
      <c r="T350" s="3">
        <f t="shared" si="118"/>
        <v>0</v>
      </c>
      <c r="U350" s="3">
        <f t="shared" si="136"/>
        <v>0</v>
      </c>
      <c r="V350" s="3">
        <f t="shared" si="120"/>
        <v>2870540070200</v>
      </c>
      <c r="X350" s="2">
        <f t="shared" si="121"/>
        <v>16441.744712299998</v>
      </c>
      <c r="Y350" s="2">
        <f t="shared" si="122"/>
        <v>4518.1532043999996</v>
      </c>
      <c r="Z350" s="2">
        <f t="shared" si="123"/>
        <v>0</v>
      </c>
      <c r="AA350" s="2">
        <f t="shared" si="124"/>
        <v>0</v>
      </c>
      <c r="AB350" s="2">
        <f t="shared" si="125"/>
        <v>2870.5400702000002</v>
      </c>
      <c r="AC350" s="2"/>
      <c r="AD350" s="8">
        <f t="shared" si="126"/>
        <v>3.9356922158075291</v>
      </c>
      <c r="AE350" s="8">
        <f t="shared" si="127"/>
        <v>1.0815190667131718</v>
      </c>
      <c r="AF350" s="8">
        <f t="shared" si="128"/>
        <v>0</v>
      </c>
      <c r="AG350" s="8">
        <f t="shared" si="129"/>
        <v>0</v>
      </c>
      <c r="AH350" s="11">
        <f t="shared" si="130"/>
        <v>0.68712672572990874</v>
      </c>
      <c r="AI350" s="8">
        <f t="shared" si="131"/>
        <v>5.0172112825207007</v>
      </c>
      <c r="AJ350" s="9">
        <f t="shared" si="132"/>
        <v>49.257575960418343</v>
      </c>
      <c r="AK350" s="9"/>
      <c r="AL350" s="7">
        <f t="shared" si="133"/>
        <v>1179.9724240395817</v>
      </c>
      <c r="AM350" s="42">
        <f t="shared" si="134"/>
        <v>57.16589226331763</v>
      </c>
    </row>
    <row r="351" spans="1:39" x14ac:dyDescent="0.25">
      <c r="A351" s="1">
        <v>45771</v>
      </c>
      <c r="B351" s="7">
        <v>1223.3499999999999</v>
      </c>
      <c r="C351" s="3">
        <v>5110666</v>
      </c>
      <c r="E351" s="5">
        <v>45771</v>
      </c>
      <c r="F351" s="4">
        <v>62700</v>
      </c>
      <c r="G351" s="4">
        <v>3823661561</v>
      </c>
      <c r="H351" s="4">
        <v>61200</v>
      </c>
      <c r="I351" s="4">
        <v>4107412004</v>
      </c>
      <c r="J351" s="4">
        <v>22800</v>
      </c>
      <c r="K351" s="4">
        <v>2272318410</v>
      </c>
      <c r="L351" s="4">
        <v>0</v>
      </c>
      <c r="M351" s="4">
        <v>1793300377</v>
      </c>
      <c r="N351" s="4">
        <v>85700</v>
      </c>
      <c r="O351" s="4">
        <v>541611334</v>
      </c>
      <c r="Q351" s="3"/>
      <c r="R351" s="3">
        <f t="shared" si="135"/>
        <v>15677012400100</v>
      </c>
      <c r="S351" s="3">
        <f t="shared" si="117"/>
        <v>11090012410800</v>
      </c>
      <c r="T351" s="3">
        <f t="shared" si="118"/>
        <v>1931470648500</v>
      </c>
      <c r="U351" s="3">
        <f t="shared" si="136"/>
        <v>0</v>
      </c>
      <c r="V351" s="3">
        <f t="shared" si="120"/>
        <v>0</v>
      </c>
      <c r="X351" s="2">
        <f t="shared" si="121"/>
        <v>15677.0124001</v>
      </c>
      <c r="Y351" s="2">
        <f t="shared" si="122"/>
        <v>11090.0124108</v>
      </c>
      <c r="Z351" s="2">
        <f t="shared" si="123"/>
        <v>1931.4706484999999</v>
      </c>
      <c r="AA351" s="2">
        <f t="shared" si="124"/>
        <v>0</v>
      </c>
      <c r="AB351" s="2">
        <f t="shared" si="125"/>
        <v>0</v>
      </c>
      <c r="AC351" s="2"/>
      <c r="AD351" s="8">
        <f t="shared" si="126"/>
        <v>3.7525615874293115</v>
      </c>
      <c r="AE351" s="8">
        <f t="shared" si="127"/>
        <v>2.6545845289129808</v>
      </c>
      <c r="AF351" s="8">
        <f t="shared" si="128"/>
        <v>0.46233060087150585</v>
      </c>
      <c r="AG351" s="8">
        <f t="shared" si="129"/>
        <v>0</v>
      </c>
      <c r="AH351" s="11">
        <f t="shared" si="130"/>
        <v>0</v>
      </c>
      <c r="AI351" s="8">
        <f t="shared" si="131"/>
        <v>6.8694767172137983</v>
      </c>
      <c r="AJ351" s="9">
        <f t="shared" si="132"/>
        <v>44.240364677897645</v>
      </c>
      <c r="AK351" s="9"/>
      <c r="AL351" s="7">
        <f t="shared" si="133"/>
        <v>1179.1096353221023</v>
      </c>
      <c r="AM351" s="42">
        <f t="shared" si="134"/>
        <v>61.852819809615376</v>
      </c>
    </row>
    <row r="352" spans="1:39" x14ac:dyDescent="0.25">
      <c r="A352" s="1">
        <v>45770</v>
      </c>
      <c r="B352" s="7">
        <v>1211</v>
      </c>
      <c r="C352" s="3">
        <v>5059174</v>
      </c>
      <c r="E352" s="5">
        <v>45770</v>
      </c>
      <c r="F352" s="4">
        <v>58600</v>
      </c>
      <c r="G352" s="4">
        <v>3823661561</v>
      </c>
      <c r="H352" s="4">
        <v>58500</v>
      </c>
      <c r="I352" s="4">
        <v>4107412004</v>
      </c>
      <c r="J352" s="4">
        <v>21950</v>
      </c>
      <c r="K352" s="4">
        <v>2272318410</v>
      </c>
      <c r="L352" s="4">
        <v>0</v>
      </c>
      <c r="M352" s="4">
        <v>1793300377</v>
      </c>
      <c r="N352" s="4">
        <v>85700</v>
      </c>
      <c r="O352" s="4">
        <v>541611334</v>
      </c>
      <c r="Q352" s="3"/>
      <c r="R352" s="3">
        <f t="shared" si="135"/>
        <v>-1529464624400</v>
      </c>
      <c r="S352" s="3">
        <f t="shared" si="117"/>
        <v>4107412004000</v>
      </c>
      <c r="T352" s="3">
        <f t="shared" si="118"/>
        <v>3067629853500</v>
      </c>
      <c r="U352" s="3">
        <f t="shared" si="136"/>
        <v>0</v>
      </c>
      <c r="V352" s="3">
        <f t="shared" si="120"/>
        <v>1191544934800</v>
      </c>
      <c r="X352" s="2">
        <f t="shared" si="121"/>
        <v>-1529.4646244</v>
      </c>
      <c r="Y352" s="2">
        <f t="shared" si="122"/>
        <v>4107.4120039999998</v>
      </c>
      <c r="Z352" s="2">
        <f t="shared" si="123"/>
        <v>3067.6298535000001</v>
      </c>
      <c r="AA352" s="2">
        <f t="shared" si="124"/>
        <v>0</v>
      </c>
      <c r="AB352" s="2">
        <f t="shared" si="125"/>
        <v>1191.5449348</v>
      </c>
      <c r="AC352" s="2"/>
      <c r="AD352" s="8">
        <f t="shared" si="126"/>
        <v>-0.36611232022650414</v>
      </c>
      <c r="AE352" s="8">
        <f t="shared" si="127"/>
        <v>0.98320295541360225</v>
      </c>
      <c r="AF352" s="8">
        <f t="shared" si="128"/>
        <v>0.734307329077036</v>
      </c>
      <c r="AG352" s="8">
        <f t="shared" si="129"/>
        <v>0</v>
      </c>
      <c r="AH352" s="11">
        <f t="shared" si="130"/>
        <v>0.28522351793844247</v>
      </c>
      <c r="AI352" s="8">
        <f t="shared" si="131"/>
        <v>1.3513979642641343</v>
      </c>
      <c r="AJ352" s="9">
        <f t="shared" si="132"/>
        <v>37.370887960683845</v>
      </c>
      <c r="AK352" s="9"/>
      <c r="AL352" s="7">
        <f t="shared" si="133"/>
        <v>1173.6291120393162</v>
      </c>
      <c r="AM352" s="42">
        <f t="shared" si="134"/>
        <v>65.801055787514244</v>
      </c>
    </row>
    <row r="353" spans="1:39" x14ac:dyDescent="0.25">
      <c r="A353" s="1">
        <v>45769</v>
      </c>
      <c r="B353" s="7">
        <v>1197.1300000000001</v>
      </c>
      <c r="C353" s="3">
        <v>5001110</v>
      </c>
      <c r="E353" s="5">
        <v>45769</v>
      </c>
      <c r="F353" s="4">
        <v>59000</v>
      </c>
      <c r="G353" s="4">
        <v>3823661561</v>
      </c>
      <c r="H353" s="4">
        <v>57500</v>
      </c>
      <c r="I353" s="4">
        <v>4107412004</v>
      </c>
      <c r="J353" s="4">
        <v>20600</v>
      </c>
      <c r="K353" s="4">
        <v>2272318410</v>
      </c>
      <c r="L353" s="4">
        <v>0</v>
      </c>
      <c r="M353" s="4">
        <v>1793300377</v>
      </c>
      <c r="N353" s="4">
        <v>83500</v>
      </c>
      <c r="O353" s="4">
        <v>541611334</v>
      </c>
      <c r="Q353" s="3"/>
      <c r="R353" s="3">
        <f t="shared" si="135"/>
        <v>-9559153902500</v>
      </c>
      <c r="S353" s="3">
        <f t="shared" si="117"/>
        <v>10268530010000</v>
      </c>
      <c r="T353" s="3">
        <f t="shared" si="118"/>
        <v>454463682000</v>
      </c>
      <c r="U353" s="3">
        <f t="shared" si="136"/>
        <v>0</v>
      </c>
      <c r="V353" s="3">
        <f t="shared" si="120"/>
        <v>-270805667000</v>
      </c>
      <c r="X353" s="2">
        <f t="shared" si="121"/>
        <v>-9559.1539025000002</v>
      </c>
      <c r="Y353" s="2">
        <f t="shared" si="122"/>
        <v>10268.53001</v>
      </c>
      <c r="Z353" s="2">
        <f t="shared" si="123"/>
        <v>454.46368200000001</v>
      </c>
      <c r="AA353" s="2">
        <f t="shared" si="124"/>
        <v>0</v>
      </c>
      <c r="AB353" s="2">
        <f t="shared" si="125"/>
        <v>-270.80566700000003</v>
      </c>
      <c r="AC353" s="2"/>
      <c r="AD353" s="8">
        <f t="shared" si="126"/>
        <v>-2.2889106371163517</v>
      </c>
      <c r="AE353" s="8">
        <f t="shared" si="127"/>
        <v>2.4587686114448428</v>
      </c>
      <c r="AF353" s="8">
        <f t="shared" si="128"/>
        <v>0.10881996110982302</v>
      </c>
      <c r="AG353" s="8">
        <f t="shared" si="129"/>
        <v>0</v>
      </c>
      <c r="AH353" s="11">
        <f t="shared" si="130"/>
        <v>-6.4843602070846412E-2</v>
      </c>
      <c r="AI353" s="8">
        <f t="shared" si="131"/>
        <v>0.27867793543831415</v>
      </c>
      <c r="AJ353" s="9">
        <f t="shared" si="132"/>
        <v>36.019489996419708</v>
      </c>
      <c r="AK353" s="9"/>
      <c r="AL353" s="7">
        <f t="shared" si="133"/>
        <v>1161.1105100035804</v>
      </c>
      <c r="AM353" s="42">
        <f t="shared" si="134"/>
        <v>69.28393911340406</v>
      </c>
    </row>
    <row r="354" spans="1:39" x14ac:dyDescent="0.25">
      <c r="A354" s="1">
        <v>45768</v>
      </c>
      <c r="B354" s="7">
        <v>1207.07</v>
      </c>
      <c r="C354" s="3">
        <v>5041074</v>
      </c>
      <c r="E354" s="5">
        <v>45768</v>
      </c>
      <c r="F354" s="4">
        <v>61500</v>
      </c>
      <c r="G354" s="4">
        <v>3823661561</v>
      </c>
      <c r="H354" s="4">
        <v>55000</v>
      </c>
      <c r="I354" s="4">
        <v>4107412004</v>
      </c>
      <c r="J354" s="4">
        <v>20400</v>
      </c>
      <c r="K354" s="4">
        <v>2272318410</v>
      </c>
      <c r="L354" s="4">
        <v>0</v>
      </c>
      <c r="M354" s="4">
        <v>1793300377</v>
      </c>
      <c r="N354" s="4">
        <v>84000</v>
      </c>
      <c r="O354" s="4">
        <v>541611334</v>
      </c>
      <c r="Q354" s="3"/>
      <c r="R354" s="3">
        <f t="shared" si="135"/>
        <v>-17588843180600</v>
      </c>
      <c r="S354" s="3">
        <f t="shared" si="117"/>
        <v>0</v>
      </c>
      <c r="T354" s="3">
        <f t="shared" si="118"/>
        <v>0</v>
      </c>
      <c r="U354" s="3">
        <f t="shared" si="136"/>
        <v>0</v>
      </c>
      <c r="V354" s="3">
        <f t="shared" si="120"/>
        <v>-1354028335000</v>
      </c>
      <c r="X354" s="2">
        <f t="shared" si="121"/>
        <v>-17588.843180600001</v>
      </c>
      <c r="Y354" s="2">
        <f t="shared" si="122"/>
        <v>0</v>
      </c>
      <c r="Z354" s="2">
        <f t="shared" si="123"/>
        <v>0</v>
      </c>
      <c r="AA354" s="2">
        <f t="shared" si="124"/>
        <v>0</v>
      </c>
      <c r="AB354" s="2">
        <f t="shared" si="125"/>
        <v>-1354.028335</v>
      </c>
      <c r="AC354" s="2"/>
      <c r="AD354" s="8">
        <f t="shared" si="126"/>
        <v>-4.2123147708878728</v>
      </c>
      <c r="AE354" s="8">
        <f t="shared" si="127"/>
        <v>0</v>
      </c>
      <c r="AF354" s="8">
        <f t="shared" si="128"/>
        <v>0</v>
      </c>
      <c r="AG354" s="8">
        <f t="shared" si="129"/>
        <v>0</v>
      </c>
      <c r="AH354" s="11">
        <f t="shared" si="130"/>
        <v>-0.32427337586431582</v>
      </c>
      <c r="AI354" s="8">
        <f t="shared" si="131"/>
        <v>-4.2123147708878728</v>
      </c>
      <c r="AJ354" s="9">
        <f t="shared" si="132"/>
        <v>35.740812060981391</v>
      </c>
      <c r="AK354" s="9"/>
      <c r="AL354" s="7">
        <f t="shared" si="133"/>
        <v>1171.3291879390185</v>
      </c>
      <c r="AM354" s="42">
        <f t="shared" si="134"/>
        <v>71.488078386432264</v>
      </c>
    </row>
    <row r="355" spans="1:39" x14ac:dyDescent="0.25">
      <c r="A355" s="1">
        <v>45765</v>
      </c>
      <c r="B355" s="7">
        <v>1219.1199999999999</v>
      </c>
      <c r="C355" s="3">
        <v>5090529</v>
      </c>
      <c r="E355" s="5">
        <v>45765</v>
      </c>
      <c r="F355" s="4">
        <v>66100</v>
      </c>
      <c r="G355" s="4">
        <v>3823661561</v>
      </c>
      <c r="H355" s="4">
        <v>55000</v>
      </c>
      <c r="I355" s="4">
        <v>4107412004</v>
      </c>
      <c r="J355" s="4">
        <v>20400</v>
      </c>
      <c r="K355" s="4">
        <v>2272318410</v>
      </c>
      <c r="L355" s="4">
        <v>0</v>
      </c>
      <c r="M355" s="4">
        <v>1793300377</v>
      </c>
      <c r="N355" s="4">
        <v>86500</v>
      </c>
      <c r="O355" s="4">
        <v>541611334</v>
      </c>
      <c r="Q355" s="3"/>
      <c r="R355" s="3">
        <f t="shared" si="135"/>
        <v>-18735941648900</v>
      </c>
      <c r="S355" s="3">
        <f t="shared" si="117"/>
        <v>-7393341607200</v>
      </c>
      <c r="T355" s="3">
        <f t="shared" si="118"/>
        <v>0</v>
      </c>
      <c r="U355" s="3">
        <f t="shared" si="136"/>
        <v>0</v>
      </c>
      <c r="V355" s="3">
        <f t="shared" si="120"/>
        <v>-812417001000</v>
      </c>
      <c r="X355" s="2">
        <f t="shared" si="121"/>
        <v>-18735.9416489</v>
      </c>
      <c r="Y355" s="2">
        <f t="shared" si="122"/>
        <v>-7393.3416072</v>
      </c>
      <c r="Z355" s="2">
        <f t="shared" si="123"/>
        <v>0</v>
      </c>
      <c r="AA355" s="2">
        <f t="shared" si="124"/>
        <v>0</v>
      </c>
      <c r="AB355" s="2">
        <f t="shared" si="125"/>
        <v>-812.41700100000003</v>
      </c>
      <c r="AC355" s="2"/>
      <c r="AD355" s="8">
        <f t="shared" si="126"/>
        <v>-4.4871242405973151</v>
      </c>
      <c r="AE355" s="8">
        <f t="shared" si="127"/>
        <v>-1.7706525226412388</v>
      </c>
      <c r="AF355" s="8">
        <f t="shared" si="128"/>
        <v>0</v>
      </c>
      <c r="AG355" s="8">
        <f t="shared" si="129"/>
        <v>0</v>
      </c>
      <c r="AH355" s="11">
        <f t="shared" si="130"/>
        <v>-0.1945680706619034</v>
      </c>
      <c r="AI355" s="8">
        <f t="shared" si="131"/>
        <v>-6.2577767632385539</v>
      </c>
      <c r="AJ355" s="9">
        <f t="shared" si="132"/>
        <v>39.953126831869263</v>
      </c>
      <c r="AK355" s="9"/>
      <c r="AL355" s="7">
        <f t="shared" si="133"/>
        <v>1179.1668731681307</v>
      </c>
      <c r="AM355" s="42">
        <f t="shared" si="134"/>
        <v>73.389230736387475</v>
      </c>
    </row>
    <row r="356" spans="1:39" x14ac:dyDescent="0.25">
      <c r="A356" s="1">
        <v>45764</v>
      </c>
      <c r="B356" s="7">
        <v>1217.25</v>
      </c>
      <c r="C356" s="3">
        <v>5082615</v>
      </c>
      <c r="E356" s="5">
        <v>45764</v>
      </c>
      <c r="F356" s="4">
        <v>71000</v>
      </c>
      <c r="G356" s="4">
        <v>3823661561</v>
      </c>
      <c r="H356" s="4">
        <v>56800</v>
      </c>
      <c r="I356" s="4">
        <v>4107412004</v>
      </c>
      <c r="J356" s="4">
        <v>20400</v>
      </c>
      <c r="K356" s="4">
        <v>2272318410</v>
      </c>
      <c r="L356" s="4">
        <v>0</v>
      </c>
      <c r="M356" s="4">
        <v>1793300377</v>
      </c>
      <c r="N356" s="4">
        <v>88000</v>
      </c>
      <c r="O356" s="4">
        <v>541611334</v>
      </c>
      <c r="Q356" s="3"/>
      <c r="R356" s="3">
        <f t="shared" si="135"/>
        <v>11853350839100</v>
      </c>
      <c r="S356" s="3">
        <f t="shared" si="117"/>
        <v>1232223601200</v>
      </c>
      <c r="T356" s="3">
        <f t="shared" si="118"/>
        <v>0</v>
      </c>
      <c r="U356" s="3">
        <f t="shared" si="136"/>
        <v>0</v>
      </c>
      <c r="V356" s="3">
        <f t="shared" si="120"/>
        <v>1408189468400</v>
      </c>
      <c r="X356" s="2">
        <f t="shared" si="121"/>
        <v>11853.3508391</v>
      </c>
      <c r="Y356" s="2">
        <f t="shared" si="122"/>
        <v>1232.2236012000001</v>
      </c>
      <c r="Z356" s="2">
        <f t="shared" si="123"/>
        <v>0</v>
      </c>
      <c r="AA356" s="2">
        <f t="shared" si="124"/>
        <v>0</v>
      </c>
      <c r="AB356" s="2">
        <f t="shared" si="125"/>
        <v>1408.1894683999999</v>
      </c>
      <c r="AC356" s="2"/>
      <c r="AD356" s="8">
        <f t="shared" si="126"/>
        <v>2.8387722969465781</v>
      </c>
      <c r="AE356" s="8">
        <f t="shared" si="127"/>
        <v>0.29510661332925708</v>
      </c>
      <c r="AF356" s="8">
        <f t="shared" si="128"/>
        <v>0</v>
      </c>
      <c r="AG356" s="8">
        <f t="shared" si="129"/>
        <v>0</v>
      </c>
      <c r="AH356" s="11">
        <f t="shared" si="130"/>
        <v>0.33724887637337259</v>
      </c>
      <c r="AI356" s="8">
        <f t="shared" si="131"/>
        <v>3.1338789102758353</v>
      </c>
      <c r="AJ356" s="9">
        <f t="shared" si="132"/>
        <v>46.210903595107816</v>
      </c>
      <c r="AK356" s="9"/>
      <c r="AL356" s="7">
        <f t="shared" si="133"/>
        <v>1171.0390964048922</v>
      </c>
      <c r="AM356" s="42">
        <f t="shared" si="134"/>
        <v>74.982737091336389</v>
      </c>
    </row>
    <row r="357" spans="1:39" x14ac:dyDescent="0.25">
      <c r="A357" s="1">
        <v>45763</v>
      </c>
      <c r="B357" s="7">
        <v>1210.3</v>
      </c>
      <c r="C357" s="3">
        <v>5053632</v>
      </c>
      <c r="E357" s="5">
        <v>45763</v>
      </c>
      <c r="F357" s="4">
        <v>67900</v>
      </c>
      <c r="G357" s="4">
        <v>3823661561</v>
      </c>
      <c r="H357" s="4">
        <v>56500</v>
      </c>
      <c r="I357" s="4">
        <v>4107412004</v>
      </c>
      <c r="J357" s="4">
        <v>20400</v>
      </c>
      <c r="K357" s="4">
        <v>2272318410</v>
      </c>
      <c r="L357" s="4">
        <v>0</v>
      </c>
      <c r="M357" s="4">
        <v>1793300377</v>
      </c>
      <c r="N357" s="4">
        <v>85400</v>
      </c>
      <c r="O357" s="4">
        <v>541611334</v>
      </c>
      <c r="Q357" s="3"/>
      <c r="R357" s="3">
        <f t="shared" si="135"/>
        <v>-9941520058600</v>
      </c>
      <c r="S357" s="3">
        <f t="shared" si="117"/>
        <v>-4107412004000</v>
      </c>
      <c r="T357" s="3">
        <f t="shared" si="118"/>
        <v>227231841000</v>
      </c>
      <c r="U357" s="3">
        <f t="shared" si="136"/>
        <v>0</v>
      </c>
      <c r="V357" s="3">
        <f t="shared" si="120"/>
        <v>1137383801400</v>
      </c>
      <c r="X357" s="2">
        <f t="shared" si="121"/>
        <v>-9941.5200585999992</v>
      </c>
      <c r="Y357" s="2">
        <f t="shared" si="122"/>
        <v>-4107.4120039999998</v>
      </c>
      <c r="Z357" s="2">
        <f t="shared" si="123"/>
        <v>227.231841</v>
      </c>
      <c r="AA357" s="2">
        <f t="shared" si="124"/>
        <v>0</v>
      </c>
      <c r="AB357" s="2">
        <f t="shared" si="125"/>
        <v>1137.3838014</v>
      </c>
      <c r="AC357" s="2"/>
      <c r="AD357" s="8">
        <f t="shared" si="126"/>
        <v>-2.3809335916360377</v>
      </c>
      <c r="AE357" s="8">
        <f t="shared" si="127"/>
        <v>-0.98370019447407064</v>
      </c>
      <c r="AF357" s="8">
        <f t="shared" si="128"/>
        <v>5.4420643939472962E-2</v>
      </c>
      <c r="AG357" s="8">
        <f t="shared" si="129"/>
        <v>0</v>
      </c>
      <c r="AH357" s="11">
        <f t="shared" si="130"/>
        <v>0.27239650308740682</v>
      </c>
      <c r="AI357" s="8">
        <f t="shared" si="131"/>
        <v>-3.3102131421706353</v>
      </c>
      <c r="AJ357" s="9">
        <f t="shared" si="132"/>
        <v>43.077024684831983</v>
      </c>
      <c r="AK357" s="9"/>
      <c r="AL357" s="7">
        <f t="shared" si="133"/>
        <v>1167.222975315168</v>
      </c>
      <c r="AM357" s="42">
        <f t="shared" si="134"/>
        <v>75.667817321582262</v>
      </c>
    </row>
    <row r="358" spans="1:39" x14ac:dyDescent="0.25">
      <c r="A358" s="1">
        <v>45762</v>
      </c>
      <c r="B358" s="7">
        <v>1227.79</v>
      </c>
      <c r="C358" s="3">
        <v>5126602</v>
      </c>
      <c r="E358" s="5">
        <v>45762</v>
      </c>
      <c r="F358" s="4">
        <v>70500</v>
      </c>
      <c r="G358" s="4">
        <v>3823661561</v>
      </c>
      <c r="H358" s="4">
        <v>57500</v>
      </c>
      <c r="I358" s="4">
        <v>4107412004</v>
      </c>
      <c r="J358" s="4">
        <v>20300</v>
      </c>
      <c r="K358" s="4">
        <v>2272318410</v>
      </c>
      <c r="L358" s="4">
        <v>0</v>
      </c>
      <c r="M358" s="4">
        <v>1793300377</v>
      </c>
      <c r="N358" s="4">
        <v>83300</v>
      </c>
      <c r="O358" s="4">
        <v>541611334</v>
      </c>
      <c r="Q358" s="3"/>
      <c r="R358" s="3">
        <f t="shared" si="135"/>
        <v>3441295404900</v>
      </c>
      <c r="S358" s="3">
        <f t="shared" si="117"/>
        <v>1232223601200</v>
      </c>
      <c r="T358" s="3">
        <f t="shared" si="118"/>
        <v>0</v>
      </c>
      <c r="U358" s="3">
        <f t="shared" si="136"/>
        <v>0</v>
      </c>
      <c r="V358" s="3">
        <f t="shared" si="120"/>
        <v>-1191544934800</v>
      </c>
      <c r="X358" s="2">
        <f t="shared" si="121"/>
        <v>3441.2954049</v>
      </c>
      <c r="Y358" s="2">
        <f t="shared" si="122"/>
        <v>1232.2236012000001</v>
      </c>
      <c r="Z358" s="2">
        <f t="shared" si="123"/>
        <v>0</v>
      </c>
      <c r="AA358" s="2">
        <f t="shared" si="124"/>
        <v>0</v>
      </c>
      <c r="AB358" s="2">
        <f t="shared" si="125"/>
        <v>-1191.5449348</v>
      </c>
      <c r="AC358" s="2"/>
      <c r="AD358" s="8">
        <f t="shared" si="126"/>
        <v>0.8241690314893293</v>
      </c>
      <c r="AE358" s="8">
        <f t="shared" si="127"/>
        <v>0.29510995497022979</v>
      </c>
      <c r="AF358" s="8">
        <f t="shared" si="128"/>
        <v>0</v>
      </c>
      <c r="AG358" s="8">
        <f t="shared" si="129"/>
        <v>0</v>
      </c>
      <c r="AH358" s="11">
        <f t="shared" si="130"/>
        <v>-0.28536766517975481</v>
      </c>
      <c r="AI358" s="8">
        <f t="shared" si="131"/>
        <v>1.1192789864595591</v>
      </c>
      <c r="AJ358" s="9">
        <f t="shared" si="132"/>
        <v>46.387237827002622</v>
      </c>
      <c r="AK358" s="9"/>
      <c r="AL358" s="7">
        <f t="shared" si="133"/>
        <v>1181.4027621729974</v>
      </c>
      <c r="AM358" s="42">
        <f t="shared" si="134"/>
        <v>75.848328181170956</v>
      </c>
    </row>
    <row r="359" spans="1:39" x14ac:dyDescent="0.25">
      <c r="A359" s="1">
        <v>45761</v>
      </c>
      <c r="B359" s="7">
        <v>1241.44</v>
      </c>
      <c r="C359" s="3">
        <v>5183599</v>
      </c>
      <c r="E359" s="5">
        <v>45761</v>
      </c>
      <c r="F359" s="4">
        <v>69600</v>
      </c>
      <c r="G359" s="4">
        <v>3823661561</v>
      </c>
      <c r="H359" s="4">
        <v>57200</v>
      </c>
      <c r="I359" s="4">
        <v>4107412004</v>
      </c>
      <c r="J359" s="4">
        <v>20300</v>
      </c>
      <c r="K359" s="4">
        <v>2272318410</v>
      </c>
      <c r="L359" s="4">
        <v>0</v>
      </c>
      <c r="M359" s="4">
        <v>1793300377</v>
      </c>
      <c r="N359" s="4">
        <v>85500</v>
      </c>
      <c r="O359" s="4">
        <v>541611334</v>
      </c>
      <c r="Q359" s="3"/>
      <c r="R359" s="3">
        <f t="shared" si="135"/>
        <v>17206477024500</v>
      </c>
      <c r="S359" s="3">
        <f t="shared" si="117"/>
        <v>15197424414800</v>
      </c>
      <c r="T359" s="3">
        <f t="shared" si="118"/>
        <v>2045086569000</v>
      </c>
      <c r="U359" s="3">
        <f t="shared" si="136"/>
        <v>0</v>
      </c>
      <c r="V359" s="3">
        <f t="shared" si="120"/>
        <v>54161133400</v>
      </c>
      <c r="X359" s="2">
        <f t="shared" si="121"/>
        <v>17206.4770245</v>
      </c>
      <c r="Y359" s="2">
        <f t="shared" si="122"/>
        <v>15197.4244148</v>
      </c>
      <c r="Z359" s="2">
        <f t="shared" si="123"/>
        <v>2045.0865690000001</v>
      </c>
      <c r="AA359" s="2">
        <f t="shared" si="124"/>
        <v>0</v>
      </c>
      <c r="AB359" s="2">
        <f t="shared" si="125"/>
        <v>54.161133399999997</v>
      </c>
      <c r="AC359" s="2"/>
      <c r="AD359" s="8">
        <f t="shared" si="126"/>
        <v>4.1207874554543453</v>
      </c>
      <c r="AE359" s="8">
        <f t="shared" si="127"/>
        <v>3.6396384800068193</v>
      </c>
      <c r="AF359" s="8">
        <f t="shared" si="128"/>
        <v>0.48977876568537465</v>
      </c>
      <c r="AG359" s="8">
        <f t="shared" si="129"/>
        <v>0</v>
      </c>
      <c r="AH359" s="11">
        <f t="shared" si="130"/>
        <v>1.2971075878584442E-2</v>
      </c>
      <c r="AI359" s="8">
        <f t="shared" si="131"/>
        <v>8.2502047011465383</v>
      </c>
      <c r="AJ359" s="9">
        <f t="shared" si="132"/>
        <v>45.267958840543059</v>
      </c>
      <c r="AK359" s="9"/>
      <c r="AL359" s="7">
        <f t="shared" si="133"/>
        <v>1196.172041159457</v>
      </c>
      <c r="AM359" s="42">
        <f t="shared" si="134"/>
        <v>76.20449610700841</v>
      </c>
    </row>
    <row r="360" spans="1:39" x14ac:dyDescent="0.25">
      <c r="A360" s="1">
        <v>45758</v>
      </c>
      <c r="B360" s="7">
        <v>1222.46</v>
      </c>
      <c r="C360" s="3">
        <v>5104420</v>
      </c>
      <c r="E360" s="5">
        <v>45758</v>
      </c>
      <c r="F360" s="4">
        <v>65100</v>
      </c>
      <c r="G360" s="4">
        <v>3823661561</v>
      </c>
      <c r="H360" s="4">
        <v>53500</v>
      </c>
      <c r="I360" s="4">
        <v>4107412004</v>
      </c>
      <c r="J360" s="4">
        <v>19400</v>
      </c>
      <c r="K360" s="4">
        <v>2272318410</v>
      </c>
      <c r="L360" s="4">
        <v>0</v>
      </c>
      <c r="M360" s="4">
        <v>1793300377</v>
      </c>
      <c r="N360" s="4">
        <v>85400</v>
      </c>
      <c r="O360" s="4">
        <v>541611334</v>
      </c>
      <c r="Q360" s="3"/>
      <c r="R360" s="3">
        <f t="shared" si="135"/>
        <v>16059378556200</v>
      </c>
      <c r="S360" s="3">
        <f t="shared" si="117"/>
        <v>6982600406800</v>
      </c>
      <c r="T360" s="3">
        <f t="shared" si="118"/>
        <v>340847761500</v>
      </c>
      <c r="U360" s="3">
        <f t="shared" si="136"/>
        <v>0</v>
      </c>
      <c r="V360" s="3">
        <f t="shared" si="120"/>
        <v>433289067200</v>
      </c>
      <c r="X360" s="2">
        <f t="shared" si="121"/>
        <v>16059.378556199999</v>
      </c>
      <c r="Y360" s="2">
        <f t="shared" si="122"/>
        <v>6982.6004068000002</v>
      </c>
      <c r="Z360" s="2">
        <f t="shared" si="123"/>
        <v>340.84776149999999</v>
      </c>
      <c r="AA360" s="2">
        <f t="shared" si="124"/>
        <v>0</v>
      </c>
      <c r="AB360" s="2">
        <f t="shared" si="125"/>
        <v>433.28906719999998</v>
      </c>
      <c r="AC360" s="2"/>
      <c r="AD360" s="8">
        <f t="shared" si="126"/>
        <v>3.8460921370591454</v>
      </c>
      <c r="AE360" s="8">
        <f t="shared" si="127"/>
        <v>1.6722766965631655</v>
      </c>
      <c r="AF360" s="8">
        <f t="shared" si="128"/>
        <v>8.1630300378793486E-2</v>
      </c>
      <c r="AG360" s="8">
        <f t="shared" si="129"/>
        <v>0</v>
      </c>
      <c r="AH360" s="11">
        <f t="shared" si="130"/>
        <v>0.10376925038536079</v>
      </c>
      <c r="AI360" s="8">
        <f t="shared" si="131"/>
        <v>5.5999991340011048</v>
      </c>
      <c r="AJ360" s="9">
        <f t="shared" si="132"/>
        <v>37.017754139396523</v>
      </c>
      <c r="AK360" s="9"/>
      <c r="AL360" s="7">
        <f t="shared" si="133"/>
        <v>1185.4422458606034</v>
      </c>
      <c r="AM360" s="42">
        <f t="shared" si="134"/>
        <v>76.193083051770074</v>
      </c>
    </row>
    <row r="361" spans="1:39" x14ac:dyDescent="0.25">
      <c r="A361" s="1">
        <v>45757</v>
      </c>
      <c r="B361" s="7">
        <v>1168.3399999999999</v>
      </c>
      <c r="C361" s="3">
        <v>4878410</v>
      </c>
      <c r="E361" s="5">
        <v>45757</v>
      </c>
      <c r="F361" s="4">
        <v>60900</v>
      </c>
      <c r="G361" s="4">
        <v>3823661561</v>
      </c>
      <c r="H361" s="4">
        <v>51800</v>
      </c>
      <c r="I361" s="4">
        <v>4107412004</v>
      </c>
      <c r="J361" s="4">
        <v>19250</v>
      </c>
      <c r="K361" s="4">
        <v>2272318410</v>
      </c>
      <c r="L361" s="4">
        <v>0</v>
      </c>
      <c r="M361" s="4">
        <v>1793300377</v>
      </c>
      <c r="N361" s="4">
        <v>84600</v>
      </c>
      <c r="O361" s="4">
        <v>541611334</v>
      </c>
      <c r="Q361" s="3"/>
      <c r="R361" s="3">
        <f t="shared" si="135"/>
        <v>14912280087900</v>
      </c>
      <c r="S361" s="3">
        <f t="shared" si="117"/>
        <v>13554459613200</v>
      </c>
      <c r="T361" s="3">
        <f t="shared" si="118"/>
        <v>2840398012500</v>
      </c>
      <c r="U361" s="3">
        <f t="shared" si="136"/>
        <v>0</v>
      </c>
      <c r="V361" s="3">
        <f t="shared" si="120"/>
        <v>2978862337000</v>
      </c>
      <c r="X361" s="2">
        <f t="shared" si="121"/>
        <v>14912.280087900001</v>
      </c>
      <c r="Y361" s="2">
        <f t="shared" si="122"/>
        <v>13554.459613200001</v>
      </c>
      <c r="Z361" s="2">
        <f t="shared" si="123"/>
        <v>2840.3980124999998</v>
      </c>
      <c r="AA361" s="2">
        <f t="shared" si="124"/>
        <v>0</v>
      </c>
      <c r="AB361" s="2">
        <f t="shared" si="125"/>
        <v>2978.862337</v>
      </c>
      <c r="AC361" s="2"/>
      <c r="AD361" s="8">
        <f t="shared" si="126"/>
        <v>3.5713826651273086</v>
      </c>
      <c r="AE361" s="8">
        <f t="shared" si="127"/>
        <v>3.2461945331237199</v>
      </c>
      <c r="AF361" s="8">
        <f t="shared" si="128"/>
        <v>0.68025467360525516</v>
      </c>
      <c r="AG361" s="8">
        <f t="shared" si="129"/>
        <v>0</v>
      </c>
      <c r="AH361" s="11">
        <f t="shared" si="130"/>
        <v>0.71341587265348883</v>
      </c>
      <c r="AI361" s="8">
        <f t="shared" si="131"/>
        <v>7.4978318718562829</v>
      </c>
      <c r="AJ361" s="9">
        <f t="shared" si="132"/>
        <v>31.417755005395421</v>
      </c>
      <c r="AK361" s="9"/>
      <c r="AL361" s="7">
        <f t="shared" si="133"/>
        <v>1136.9222449946044</v>
      </c>
      <c r="AM361" s="42">
        <f t="shared" si="134"/>
        <v>75.268572128280496</v>
      </c>
    </row>
    <row r="362" spans="1:39" x14ac:dyDescent="0.25">
      <c r="A362" s="1">
        <v>45756</v>
      </c>
      <c r="B362" s="7">
        <v>1094.3</v>
      </c>
      <c r="C362" s="3">
        <v>4569241</v>
      </c>
      <c r="E362" s="5">
        <v>45756</v>
      </c>
      <c r="F362" s="4">
        <v>57000</v>
      </c>
      <c r="G362" s="4">
        <v>3823661561</v>
      </c>
      <c r="H362" s="4">
        <v>48500</v>
      </c>
      <c r="I362" s="4">
        <v>4107412004</v>
      </c>
      <c r="J362" s="4">
        <v>18000</v>
      </c>
      <c r="K362" s="4">
        <v>2272318410</v>
      </c>
      <c r="L362" s="4">
        <v>0</v>
      </c>
      <c r="M362" s="4">
        <v>1793300377</v>
      </c>
      <c r="N362" s="4">
        <v>79100</v>
      </c>
      <c r="O362" s="4">
        <v>541611334</v>
      </c>
      <c r="Q362" s="3"/>
      <c r="R362" s="3">
        <f t="shared" si="135"/>
        <v>7264956965900</v>
      </c>
      <c r="S362" s="3">
        <f t="shared" si="117"/>
        <v>6161118006000</v>
      </c>
      <c r="T362" s="3">
        <f t="shared" si="118"/>
        <v>1136159205000</v>
      </c>
      <c r="U362" s="3">
        <f t="shared" si="136"/>
        <v>0</v>
      </c>
      <c r="V362" s="3">
        <f t="shared" si="120"/>
        <v>-1895639669000</v>
      </c>
      <c r="X362" s="2">
        <f t="shared" si="121"/>
        <v>7264.9569658999999</v>
      </c>
      <c r="Y362" s="2">
        <f t="shared" si="122"/>
        <v>6161.1180059999997</v>
      </c>
      <c r="Z362" s="2">
        <f t="shared" si="123"/>
        <v>1136.1592049999999</v>
      </c>
      <c r="AA362" s="2">
        <f t="shared" si="124"/>
        <v>0</v>
      </c>
      <c r="AB362" s="2">
        <f t="shared" si="125"/>
        <v>-1895.6396689999999</v>
      </c>
      <c r="AC362" s="2"/>
      <c r="AD362" s="8">
        <f t="shared" si="126"/>
        <v>1.7399406792640582</v>
      </c>
      <c r="AE362" s="8">
        <f t="shared" si="127"/>
        <v>1.4755737575188297</v>
      </c>
      <c r="AF362" s="8">
        <f t="shared" si="128"/>
        <v>0.27210754697910527</v>
      </c>
      <c r="AG362" s="8">
        <f t="shared" si="129"/>
        <v>0</v>
      </c>
      <c r="AH362" s="11">
        <f t="shared" si="130"/>
        <v>-0.45400139172209852</v>
      </c>
      <c r="AI362" s="8">
        <f t="shared" si="131"/>
        <v>3.4876219837619931</v>
      </c>
      <c r="AJ362" s="9">
        <f t="shared" si="132"/>
        <v>23.91992313353914</v>
      </c>
      <c r="AK362" s="9"/>
      <c r="AL362" s="7">
        <f t="shared" si="133"/>
        <v>1070.3800768664607</v>
      </c>
      <c r="AM362" s="42">
        <f t="shared" si="134"/>
        <v>70.421982581538387</v>
      </c>
    </row>
    <row r="363" spans="1:39" x14ac:dyDescent="0.25">
      <c r="A363" s="1">
        <v>45755</v>
      </c>
      <c r="B363" s="7">
        <v>1132.79</v>
      </c>
      <c r="C363" s="3">
        <v>4729857</v>
      </c>
      <c r="E363" s="5">
        <v>45755</v>
      </c>
      <c r="F363" s="4">
        <v>55100</v>
      </c>
      <c r="G363" s="4">
        <v>3823661561</v>
      </c>
      <c r="H363" s="4">
        <v>47000</v>
      </c>
      <c r="I363" s="4">
        <v>4107412004</v>
      </c>
      <c r="J363" s="4">
        <v>17500</v>
      </c>
      <c r="K363" s="4">
        <v>2272318410</v>
      </c>
      <c r="L363" s="4">
        <v>0</v>
      </c>
      <c r="M363" s="4">
        <v>1793300377</v>
      </c>
      <c r="N363" s="4">
        <v>82600</v>
      </c>
      <c r="O363" s="4">
        <v>541611334</v>
      </c>
      <c r="Q363" s="3"/>
      <c r="R363" s="3">
        <f t="shared" si="135"/>
        <v>-12235716995200</v>
      </c>
      <c r="S363" s="3">
        <f t="shared" si="117"/>
        <v>-13554459613200</v>
      </c>
      <c r="T363" s="3">
        <f t="shared" si="118"/>
        <v>-2954013933000</v>
      </c>
      <c r="U363" s="3">
        <f t="shared" si="136"/>
        <v>0</v>
      </c>
      <c r="V363" s="3">
        <f t="shared" si="120"/>
        <v>-2003961935800</v>
      </c>
      <c r="X363" s="2">
        <f t="shared" si="121"/>
        <v>-12235.7169952</v>
      </c>
      <c r="Y363" s="2">
        <f t="shared" si="122"/>
        <v>-13554.459613200001</v>
      </c>
      <c r="Z363" s="2">
        <f t="shared" si="123"/>
        <v>-2954.0139330000002</v>
      </c>
      <c r="AA363" s="2">
        <f t="shared" si="124"/>
        <v>0</v>
      </c>
      <c r="AB363" s="2">
        <f t="shared" si="125"/>
        <v>-2003.9619358</v>
      </c>
      <c r="AC363" s="2"/>
      <c r="AD363" s="8">
        <f t="shared" si="126"/>
        <v>-2.9304116476053386</v>
      </c>
      <c r="AE363" s="8">
        <f t="shared" si="127"/>
        <v>-3.2462459162057615</v>
      </c>
      <c r="AF363" s="8">
        <f t="shared" si="128"/>
        <v>-0.7074760588077954</v>
      </c>
      <c r="AG363" s="8">
        <f t="shared" si="129"/>
        <v>0</v>
      </c>
      <c r="AH363" s="11">
        <f t="shared" si="130"/>
        <v>-0.47994191107311346</v>
      </c>
      <c r="AI363" s="8">
        <f t="shared" si="131"/>
        <v>-6.8841336226188954</v>
      </c>
      <c r="AJ363" s="9">
        <f t="shared" si="132"/>
        <v>20.432301149777146</v>
      </c>
      <c r="AK363" s="9"/>
      <c r="AL363" s="7">
        <f t="shared" si="133"/>
        <v>1112.3576988502227</v>
      </c>
      <c r="AM363" s="42">
        <f t="shared" si="134"/>
        <v>53.285236585650146</v>
      </c>
    </row>
    <row r="364" spans="1:39" x14ac:dyDescent="0.25">
      <c r="A364" s="1">
        <v>45751</v>
      </c>
      <c r="B364" s="7">
        <v>1210.67</v>
      </c>
      <c r="C364" s="3">
        <v>5055063</v>
      </c>
      <c r="E364" s="5">
        <v>45751</v>
      </c>
      <c r="F364" s="4">
        <v>58300</v>
      </c>
      <c r="G364" s="4">
        <v>3823661561</v>
      </c>
      <c r="H364" s="4">
        <v>50300</v>
      </c>
      <c r="I364" s="4">
        <v>4107412004</v>
      </c>
      <c r="J364" s="4">
        <v>18800</v>
      </c>
      <c r="K364" s="4">
        <v>2272318410</v>
      </c>
      <c r="L364" s="4">
        <v>0</v>
      </c>
      <c r="M364" s="4">
        <v>1793300377</v>
      </c>
      <c r="N364" s="4">
        <v>86300</v>
      </c>
      <c r="O364" s="4">
        <v>541611334</v>
      </c>
      <c r="Q364" s="3"/>
      <c r="R364" s="3">
        <f t="shared" si="135"/>
        <v>8029689278100</v>
      </c>
      <c r="S364" s="3">
        <f t="shared" si="117"/>
        <v>4107412004000</v>
      </c>
      <c r="T364" s="3">
        <f t="shared" si="118"/>
        <v>113615920500</v>
      </c>
      <c r="U364" s="3">
        <f t="shared" si="136"/>
        <v>0</v>
      </c>
      <c r="V364" s="3">
        <f t="shared" si="120"/>
        <v>-1137383801400</v>
      </c>
      <c r="X364" s="2">
        <f t="shared" si="121"/>
        <v>8029.6892780999997</v>
      </c>
      <c r="Y364" s="2">
        <f t="shared" si="122"/>
        <v>4107.4120039999998</v>
      </c>
      <c r="Z364" s="2">
        <f t="shared" si="123"/>
        <v>113.6159205</v>
      </c>
      <c r="AA364" s="2">
        <f t="shared" si="124"/>
        <v>0</v>
      </c>
      <c r="AB364" s="2">
        <f t="shared" si="125"/>
        <v>-1137.3838014</v>
      </c>
      <c r="AC364" s="2"/>
      <c r="AD364" s="8">
        <f t="shared" si="126"/>
        <v>1.9231526459869188</v>
      </c>
      <c r="AE364" s="8">
        <f t="shared" si="127"/>
        <v>0.98374669181721452</v>
      </c>
      <c r="AF364" s="8">
        <f t="shared" si="128"/>
        <v>2.7211608141768154E-2</v>
      </c>
      <c r="AG364" s="8">
        <f t="shared" si="129"/>
        <v>0</v>
      </c>
      <c r="AH364" s="11">
        <f t="shared" si="130"/>
        <v>-0.2724093786705839</v>
      </c>
      <c r="AI364" s="8">
        <f t="shared" si="131"/>
        <v>2.9341109459459016</v>
      </c>
      <c r="AJ364" s="9">
        <f t="shared" si="132"/>
        <v>27.316434772396043</v>
      </c>
      <c r="AK364" s="9"/>
      <c r="AL364" s="7">
        <f t="shared" si="133"/>
        <v>1183.3535652276041</v>
      </c>
      <c r="AM364" s="42">
        <f t="shared" si="134"/>
        <v>35.753570389278693</v>
      </c>
    </row>
    <row r="365" spans="1:39" x14ac:dyDescent="0.25">
      <c r="A365" s="1">
        <v>45750</v>
      </c>
      <c r="B365" s="7">
        <v>1229.8399999999999</v>
      </c>
      <c r="C365" s="3">
        <v>5134919</v>
      </c>
      <c r="E365" s="5">
        <v>45750</v>
      </c>
      <c r="F365" s="4">
        <v>56200</v>
      </c>
      <c r="G365" s="4">
        <v>3823661561</v>
      </c>
      <c r="H365" s="4">
        <v>49300</v>
      </c>
      <c r="I365" s="4">
        <v>4107412004</v>
      </c>
      <c r="J365" s="4">
        <v>18750</v>
      </c>
      <c r="K365" s="4">
        <v>2272318410</v>
      </c>
      <c r="L365" s="4">
        <v>0</v>
      </c>
      <c r="M365" s="4">
        <v>1793300377</v>
      </c>
      <c r="N365" s="4">
        <v>88400</v>
      </c>
      <c r="O365" s="4">
        <v>541611334</v>
      </c>
      <c r="Q365" s="3"/>
      <c r="R365" s="3">
        <f t="shared" si="135"/>
        <v>-16059378556200</v>
      </c>
      <c r="S365" s="3">
        <f t="shared" si="117"/>
        <v>-15197424414800</v>
      </c>
      <c r="T365" s="3">
        <f t="shared" si="118"/>
        <v>-3181245774000</v>
      </c>
      <c r="U365" s="3">
        <f t="shared" si="136"/>
        <v>0</v>
      </c>
      <c r="V365" s="3">
        <f t="shared" si="120"/>
        <v>-3574634804400</v>
      </c>
      <c r="X365" s="2">
        <f t="shared" si="121"/>
        <v>-16059.378556199999</v>
      </c>
      <c r="Y365" s="2">
        <f t="shared" si="122"/>
        <v>-15197.4244148</v>
      </c>
      <c r="Z365" s="2">
        <f t="shared" si="123"/>
        <v>-3181.245774</v>
      </c>
      <c r="AA365" s="2">
        <f t="shared" si="124"/>
        <v>0</v>
      </c>
      <c r="AB365" s="2">
        <f t="shared" si="125"/>
        <v>-3574.6348044000001</v>
      </c>
      <c r="AC365" s="2"/>
      <c r="AD365" s="8">
        <f t="shared" si="126"/>
        <v>-3.8462957578250325</v>
      </c>
      <c r="AE365" s="8">
        <f t="shared" si="127"/>
        <v>-3.6398537373007329</v>
      </c>
      <c r="AF365" s="8">
        <f t="shared" si="128"/>
        <v>-0.76192313932416078</v>
      </c>
      <c r="AG365" s="8">
        <f t="shared" si="129"/>
        <v>0</v>
      </c>
      <c r="AH365" s="11">
        <f t="shared" si="130"/>
        <v>-0.85614163934315868</v>
      </c>
      <c r="AI365" s="8">
        <f t="shared" si="131"/>
        <v>-8.248072634449926</v>
      </c>
      <c r="AJ365" s="9">
        <f t="shared" si="132"/>
        <v>24.38232382645014</v>
      </c>
      <c r="AK365" s="9"/>
      <c r="AL365" s="7">
        <f t="shared" si="133"/>
        <v>1205.4576761735498</v>
      </c>
      <c r="AM365" s="42">
        <f t="shared" si="134"/>
        <v>25.195092145995837</v>
      </c>
    </row>
    <row r="366" spans="1:39" x14ac:dyDescent="0.25">
      <c r="A366" s="1">
        <v>45749</v>
      </c>
      <c r="B366" s="7">
        <v>1317.83</v>
      </c>
      <c r="C366" s="3">
        <v>5502315</v>
      </c>
      <c r="E366" s="5">
        <v>45749</v>
      </c>
      <c r="F366" s="4">
        <v>60400</v>
      </c>
      <c r="G366" s="4">
        <v>3823661561</v>
      </c>
      <c r="H366" s="4">
        <v>53000</v>
      </c>
      <c r="I366" s="4">
        <v>4107412004</v>
      </c>
      <c r="J366" s="4">
        <v>20150</v>
      </c>
      <c r="K366" s="4">
        <v>2272318410</v>
      </c>
      <c r="L366" s="4">
        <v>0</v>
      </c>
      <c r="M366" s="4">
        <v>1793300377</v>
      </c>
      <c r="N366" s="4">
        <v>95000</v>
      </c>
      <c r="O366" s="4">
        <v>541611334</v>
      </c>
      <c r="Q366" s="3"/>
      <c r="R366" s="3">
        <f t="shared" ref="R366:R397" si="137">G366*F366-G367*F367</f>
        <v>2676563092700</v>
      </c>
      <c r="S366" s="3">
        <f t="shared" si="117"/>
        <v>0</v>
      </c>
      <c r="T366" s="3">
        <f t="shared" si="118"/>
        <v>340847761500</v>
      </c>
      <c r="U366" s="3">
        <f t="shared" si="136"/>
        <v>0</v>
      </c>
      <c r="V366" s="3">
        <f t="shared" si="120"/>
        <v>-108322266800</v>
      </c>
      <c r="X366" s="2">
        <f t="shared" si="121"/>
        <v>2676.5630927000002</v>
      </c>
      <c r="Y366" s="2">
        <f t="shared" si="122"/>
        <v>0</v>
      </c>
      <c r="Z366" s="2">
        <f t="shared" si="123"/>
        <v>340.84776149999999</v>
      </c>
      <c r="AA366" s="2">
        <f t="shared" si="124"/>
        <v>0</v>
      </c>
      <c r="AB366" s="2">
        <f t="shared" si="125"/>
        <v>-108.32226679999999</v>
      </c>
      <c r="AC366" s="2"/>
      <c r="AD366" s="8">
        <f t="shared" si="126"/>
        <v>0.6410453720117083</v>
      </c>
      <c r="AE366" s="8">
        <f t="shared" si="127"/>
        <v>0</v>
      </c>
      <c r="AF366" s="8">
        <f t="shared" si="128"/>
        <v>8.1634122754682903E-2</v>
      </c>
      <c r="AG366" s="8">
        <f t="shared" si="129"/>
        <v>0</v>
      </c>
      <c r="AH366" s="11">
        <f t="shared" si="130"/>
        <v>-2.5943527356909787E-2</v>
      </c>
      <c r="AI366" s="8">
        <f t="shared" si="131"/>
        <v>0.72267949476639126</v>
      </c>
      <c r="AJ366" s="9">
        <f t="shared" si="132"/>
        <v>32.630396460900066</v>
      </c>
      <c r="AK366" s="9"/>
      <c r="AL366" s="7">
        <f t="shared" si="133"/>
        <v>1285.1996035390998</v>
      </c>
      <c r="AM366" s="42">
        <f t="shared" si="134"/>
        <v>12.344759060774688</v>
      </c>
    </row>
    <row r="367" spans="1:39" x14ac:dyDescent="0.25">
      <c r="A367" s="1">
        <v>45748</v>
      </c>
      <c r="B367" s="7">
        <v>1317.33</v>
      </c>
      <c r="C367" s="3">
        <v>5500261</v>
      </c>
      <c r="E367" s="5">
        <v>45748</v>
      </c>
      <c r="F367" s="4">
        <v>59700</v>
      </c>
      <c r="G367" s="4">
        <v>3823661561</v>
      </c>
      <c r="H367" s="4">
        <v>53000</v>
      </c>
      <c r="I367" s="4">
        <v>4107412004</v>
      </c>
      <c r="J367" s="4">
        <v>20000</v>
      </c>
      <c r="K367" s="4">
        <v>2272318410</v>
      </c>
      <c r="L367" s="4">
        <v>0</v>
      </c>
      <c r="M367" s="4">
        <v>1793300377</v>
      </c>
      <c r="N367" s="4">
        <v>95200</v>
      </c>
      <c r="O367" s="4">
        <v>541611334</v>
      </c>
      <c r="Q367" s="3"/>
      <c r="R367" s="3">
        <f t="shared" si="137"/>
        <v>6500224653700</v>
      </c>
      <c r="S367" s="3">
        <f t="shared" si="117"/>
        <v>6982600406800</v>
      </c>
      <c r="T367" s="3">
        <f t="shared" si="118"/>
        <v>1931470648500</v>
      </c>
      <c r="U367" s="3">
        <f t="shared" si="136"/>
        <v>0</v>
      </c>
      <c r="V367" s="3">
        <f t="shared" si="120"/>
        <v>108322266800</v>
      </c>
      <c r="X367" s="2">
        <f t="shared" si="121"/>
        <v>6500.2246537000001</v>
      </c>
      <c r="Y367" s="2">
        <f t="shared" si="122"/>
        <v>6982.6004068000002</v>
      </c>
      <c r="Z367" s="2">
        <f t="shared" si="123"/>
        <v>1931.4706484999999</v>
      </c>
      <c r="AA367" s="2">
        <f t="shared" si="124"/>
        <v>0</v>
      </c>
      <c r="AB367" s="2">
        <f t="shared" si="125"/>
        <v>108.32226679999999</v>
      </c>
      <c r="AC367" s="2"/>
      <c r="AD367" s="8">
        <f t="shared" si="126"/>
        <v>1.5568243337331678</v>
      </c>
      <c r="AE367" s="8">
        <f t="shared" si="127"/>
        <v>1.6723548500517813</v>
      </c>
      <c r="AF367" s="8">
        <f t="shared" si="128"/>
        <v>0.46259332033464207</v>
      </c>
      <c r="AG367" s="8">
        <f t="shared" si="129"/>
        <v>0</v>
      </c>
      <c r="AH367" s="11">
        <f t="shared" si="130"/>
        <v>2.5943525004691242E-2</v>
      </c>
      <c r="AI367" s="8">
        <f t="shared" si="131"/>
        <v>3.6917725041195912</v>
      </c>
      <c r="AJ367" s="9">
        <f t="shared" si="132"/>
        <v>31.907716966133673</v>
      </c>
      <c r="AK367" s="9"/>
      <c r="AL367" s="7">
        <f t="shared" si="133"/>
        <v>1285.4222830338663</v>
      </c>
      <c r="AM367" s="42">
        <f t="shared" si="134"/>
        <v>11.541528397680782</v>
      </c>
    </row>
    <row r="368" spans="1:39" x14ac:dyDescent="0.25">
      <c r="A368" s="1">
        <v>45747</v>
      </c>
      <c r="B368" s="7">
        <v>1306.8599999999999</v>
      </c>
      <c r="C368" s="3">
        <v>5456546</v>
      </c>
      <c r="E368" s="5">
        <v>45747</v>
      </c>
      <c r="F368" s="4">
        <v>58000</v>
      </c>
      <c r="G368" s="4">
        <v>3823661561</v>
      </c>
      <c r="H368" s="4">
        <v>51300</v>
      </c>
      <c r="I368" s="4">
        <v>4107412004</v>
      </c>
      <c r="J368" s="4">
        <v>19150</v>
      </c>
      <c r="K368" s="4">
        <v>2272318410</v>
      </c>
      <c r="L368" s="4">
        <v>0</v>
      </c>
      <c r="M368" s="4">
        <v>1793300377</v>
      </c>
      <c r="N368" s="4">
        <v>95000</v>
      </c>
      <c r="O368" s="4">
        <v>541611334</v>
      </c>
      <c r="Q368" s="3"/>
      <c r="R368" s="3">
        <f t="shared" si="137"/>
        <v>0</v>
      </c>
      <c r="S368" s="3">
        <f t="shared" si="117"/>
        <v>410741200400</v>
      </c>
      <c r="T368" s="3">
        <f t="shared" si="118"/>
        <v>-795311443500</v>
      </c>
      <c r="U368" s="3">
        <f t="shared" si="136"/>
        <v>0</v>
      </c>
      <c r="V368" s="3">
        <f t="shared" si="120"/>
        <v>-541611334000</v>
      </c>
      <c r="X368" s="2">
        <f t="shared" si="121"/>
        <v>0</v>
      </c>
      <c r="Y368" s="2">
        <f t="shared" si="122"/>
        <v>410.74120040000003</v>
      </c>
      <c r="Z368" s="2">
        <f t="shared" si="123"/>
        <v>-795.3114435</v>
      </c>
      <c r="AA368" s="2">
        <f t="shared" si="124"/>
        <v>0</v>
      </c>
      <c r="AB368" s="2">
        <f t="shared" si="125"/>
        <v>-541.61133400000006</v>
      </c>
      <c r="AC368" s="2"/>
      <c r="AD368" s="8">
        <f t="shared" si="126"/>
        <v>0</v>
      </c>
      <c r="AE368" s="8">
        <f t="shared" si="127"/>
        <v>9.8410799039667485E-2</v>
      </c>
      <c r="AF368" s="8">
        <f t="shared" si="128"/>
        <v>-0.19055121464320079</v>
      </c>
      <c r="AG368" s="8">
        <f t="shared" si="129"/>
        <v>0</v>
      </c>
      <c r="AH368" s="11">
        <f t="shared" si="130"/>
        <v>-0.1297663932811553</v>
      </c>
      <c r="AI368" s="8">
        <f t="shared" si="131"/>
        <v>-9.214041560353331E-2</v>
      </c>
      <c r="AJ368" s="9">
        <f t="shared" si="132"/>
        <v>28.215944462014082</v>
      </c>
      <c r="AK368" s="9"/>
      <c r="AL368" s="7">
        <f t="shared" si="133"/>
        <v>1278.6440555379859</v>
      </c>
      <c r="AM368" s="42">
        <f t="shared" si="134"/>
        <v>10.56724546217206</v>
      </c>
    </row>
    <row r="369" spans="1:39" x14ac:dyDescent="0.25">
      <c r="A369" s="1">
        <v>45744</v>
      </c>
      <c r="B369" s="7">
        <v>1317.46</v>
      </c>
      <c r="C369" s="3">
        <v>5498737</v>
      </c>
      <c r="E369" s="5">
        <v>45744</v>
      </c>
      <c r="F369" s="4">
        <v>58000</v>
      </c>
      <c r="G369" s="4">
        <v>3823661561</v>
      </c>
      <c r="H369" s="4">
        <v>51200</v>
      </c>
      <c r="I369" s="4">
        <v>4107412004</v>
      </c>
      <c r="J369" s="4">
        <v>19500</v>
      </c>
      <c r="K369" s="4">
        <v>2272318410</v>
      </c>
      <c r="L369" s="4">
        <v>0</v>
      </c>
      <c r="M369" s="4">
        <v>1793300377</v>
      </c>
      <c r="N369" s="4">
        <v>96000</v>
      </c>
      <c r="O369" s="4">
        <v>541611334</v>
      </c>
      <c r="Q369" s="3"/>
      <c r="R369" s="3">
        <f t="shared" si="137"/>
        <v>3441295404900</v>
      </c>
      <c r="S369" s="3">
        <f t="shared" si="117"/>
        <v>0</v>
      </c>
      <c r="T369" s="3">
        <f t="shared" si="118"/>
        <v>-340847761500</v>
      </c>
      <c r="U369" s="3">
        <f t="shared" si="136"/>
        <v>0</v>
      </c>
      <c r="V369" s="3">
        <f t="shared" si="120"/>
        <v>-270805667000</v>
      </c>
      <c r="X369" s="2">
        <f t="shared" si="121"/>
        <v>3441.2954049</v>
      </c>
      <c r="Y369" s="2">
        <f t="shared" si="122"/>
        <v>0</v>
      </c>
      <c r="Z369" s="2">
        <f t="shared" si="123"/>
        <v>-340.84776149999999</v>
      </c>
      <c r="AA369" s="2">
        <f t="shared" si="124"/>
        <v>0</v>
      </c>
      <c r="AB369" s="2">
        <f t="shared" si="125"/>
        <v>-270.80566700000003</v>
      </c>
      <c r="AC369" s="2"/>
      <c r="AD369" s="8">
        <f t="shared" si="126"/>
        <v>0.82455549215913382</v>
      </c>
      <c r="AE369" s="8">
        <f t="shared" si="127"/>
        <v>0</v>
      </c>
      <c r="AF369" s="8">
        <f t="shared" si="128"/>
        <v>-8.1669214835434475E-2</v>
      </c>
      <c r="AG369" s="8">
        <f t="shared" si="129"/>
        <v>0</v>
      </c>
      <c r="AH369" s="11">
        <f t="shared" si="130"/>
        <v>-6.4886699268747072E-2</v>
      </c>
      <c r="AI369" s="8">
        <f t="shared" si="131"/>
        <v>0.74288627732369938</v>
      </c>
      <c r="AJ369" s="9">
        <f t="shared" si="132"/>
        <v>28.308084877617617</v>
      </c>
      <c r="AK369" s="9"/>
      <c r="AL369" s="7">
        <f t="shared" si="133"/>
        <v>1289.1519151223824</v>
      </c>
      <c r="AM369" s="42">
        <f t="shared" si="134"/>
        <v>8.3307615310333922</v>
      </c>
    </row>
    <row r="370" spans="1:39" x14ac:dyDescent="0.25">
      <c r="A370" s="1">
        <v>45743</v>
      </c>
      <c r="B370" s="7">
        <v>1323.81</v>
      </c>
      <c r="C370" s="3">
        <v>5524942</v>
      </c>
      <c r="E370" s="5">
        <v>45743</v>
      </c>
      <c r="F370" s="4">
        <v>57100</v>
      </c>
      <c r="G370" s="4">
        <v>3823661561</v>
      </c>
      <c r="H370" s="4">
        <v>51200</v>
      </c>
      <c r="I370" s="4">
        <v>4107412004</v>
      </c>
      <c r="J370" s="4">
        <v>19650</v>
      </c>
      <c r="K370" s="4">
        <v>2272318410</v>
      </c>
      <c r="L370" s="4">
        <v>0</v>
      </c>
      <c r="M370" s="4">
        <v>1793300377</v>
      </c>
      <c r="N370" s="4">
        <v>96500</v>
      </c>
      <c r="O370" s="4">
        <v>541611334</v>
      </c>
      <c r="Q370" s="3"/>
      <c r="R370" s="3">
        <f t="shared" si="137"/>
        <v>382366156100</v>
      </c>
      <c r="S370" s="3">
        <f t="shared" si="117"/>
        <v>-1232223601200</v>
      </c>
      <c r="T370" s="3">
        <f t="shared" si="118"/>
        <v>-681695523000</v>
      </c>
      <c r="U370" s="3">
        <f t="shared" si="136"/>
        <v>0</v>
      </c>
      <c r="V370" s="3">
        <f t="shared" si="120"/>
        <v>-108322266800</v>
      </c>
      <c r="X370" s="2">
        <f t="shared" si="121"/>
        <v>382.36615610000001</v>
      </c>
      <c r="Y370" s="2">
        <f t="shared" si="122"/>
        <v>-1232.2236012000001</v>
      </c>
      <c r="Z370" s="2">
        <f t="shared" si="123"/>
        <v>-681.69552299999998</v>
      </c>
      <c r="AA370" s="2">
        <f t="shared" si="124"/>
        <v>0</v>
      </c>
      <c r="AB370" s="2">
        <f t="shared" si="125"/>
        <v>-108.32226679999999</v>
      </c>
      <c r="AC370" s="2"/>
      <c r="AD370" s="8">
        <f t="shared" si="126"/>
        <v>9.1616475967800745E-2</v>
      </c>
      <c r="AE370" s="8">
        <f t="shared" si="127"/>
        <v>-0.29524575369785633</v>
      </c>
      <c r="AF370" s="8">
        <f t="shared" si="128"/>
        <v>-0.16333700172970633</v>
      </c>
      <c r="AG370" s="8">
        <f t="shared" si="129"/>
        <v>0</v>
      </c>
      <c r="AH370" s="11">
        <f t="shared" si="130"/>
        <v>-2.5954452805871379E-2</v>
      </c>
      <c r="AI370" s="8">
        <f t="shared" si="131"/>
        <v>-0.3669662794597619</v>
      </c>
      <c r="AJ370" s="9">
        <f t="shared" si="132"/>
        <v>27.565198600293918</v>
      </c>
      <c r="AK370" s="9"/>
      <c r="AL370" s="7">
        <f t="shared" si="133"/>
        <v>1296.2448013997059</v>
      </c>
      <c r="AM370" s="42">
        <f t="shared" si="134"/>
        <v>7.1901277858924617</v>
      </c>
    </row>
    <row r="371" spans="1:39" x14ac:dyDescent="0.25">
      <c r="A371" s="1">
        <v>45742</v>
      </c>
      <c r="B371" s="7">
        <v>1326.09</v>
      </c>
      <c r="C371" s="3">
        <v>5534506</v>
      </c>
      <c r="E371" s="5">
        <v>45742</v>
      </c>
      <c r="F371" s="4">
        <v>57000</v>
      </c>
      <c r="G371" s="4">
        <v>3823661561</v>
      </c>
      <c r="H371" s="4">
        <v>51500</v>
      </c>
      <c r="I371" s="4">
        <v>4107412004</v>
      </c>
      <c r="J371" s="4">
        <v>19950</v>
      </c>
      <c r="K371" s="4">
        <v>2272318410</v>
      </c>
      <c r="L371" s="4">
        <v>0</v>
      </c>
      <c r="M371" s="4">
        <v>1793300377</v>
      </c>
      <c r="N371" s="4">
        <v>96700</v>
      </c>
      <c r="O371" s="4">
        <v>541611334</v>
      </c>
      <c r="Q371" s="3"/>
      <c r="R371" s="3">
        <f t="shared" si="137"/>
        <v>382366156100</v>
      </c>
      <c r="S371" s="3">
        <f t="shared" si="117"/>
        <v>0</v>
      </c>
      <c r="T371" s="3">
        <f t="shared" si="118"/>
        <v>340847761500</v>
      </c>
      <c r="U371" s="3">
        <f t="shared" si="136"/>
        <v>0</v>
      </c>
      <c r="V371" s="3">
        <f t="shared" si="120"/>
        <v>0</v>
      </c>
      <c r="X371" s="2">
        <f t="shared" si="121"/>
        <v>382.36615610000001</v>
      </c>
      <c r="Y371" s="2">
        <f t="shared" si="122"/>
        <v>0</v>
      </c>
      <c r="Z371" s="2">
        <f t="shared" si="123"/>
        <v>340.84776149999999</v>
      </c>
      <c r="AA371" s="2">
        <f t="shared" si="124"/>
        <v>0</v>
      </c>
      <c r="AB371" s="2">
        <f t="shared" si="125"/>
        <v>0</v>
      </c>
      <c r="AC371" s="2"/>
      <c r="AD371" s="8">
        <f t="shared" si="126"/>
        <v>9.1616225619334066E-2</v>
      </c>
      <c r="AE371" s="8">
        <f t="shared" si="127"/>
        <v>0</v>
      </c>
      <c r="AF371" s="8">
        <f t="shared" si="128"/>
        <v>8.166827769992839E-2</v>
      </c>
      <c r="AG371" s="8">
        <f t="shared" si="129"/>
        <v>0</v>
      </c>
      <c r="AH371" s="11">
        <f t="shared" si="130"/>
        <v>0</v>
      </c>
      <c r="AI371" s="8">
        <f t="shared" si="131"/>
        <v>0.17328450331926246</v>
      </c>
      <c r="AJ371" s="9">
        <f t="shared" si="132"/>
        <v>27.932164879753682</v>
      </c>
      <c r="AK371" s="9"/>
      <c r="AL371" s="7">
        <f t="shared" si="133"/>
        <v>1298.1578351202463</v>
      </c>
      <c r="AM371" s="42">
        <f t="shared" si="134"/>
        <v>6.6234157761335846</v>
      </c>
    </row>
    <row r="372" spans="1:39" x14ac:dyDescent="0.25">
      <c r="A372" s="1">
        <v>45741</v>
      </c>
      <c r="B372" s="7">
        <v>1331.92</v>
      </c>
      <c r="C372" s="3">
        <v>5558853</v>
      </c>
      <c r="E372" s="5">
        <v>45741</v>
      </c>
      <c r="F372" s="4">
        <v>56900</v>
      </c>
      <c r="G372" s="4">
        <v>3823661561</v>
      </c>
      <c r="H372" s="4">
        <v>51500</v>
      </c>
      <c r="I372" s="4">
        <v>4107412004</v>
      </c>
      <c r="J372" s="4">
        <v>19800</v>
      </c>
      <c r="K372" s="4">
        <v>2272318410</v>
      </c>
      <c r="L372" s="4">
        <v>0</v>
      </c>
      <c r="M372" s="4">
        <v>1793300377</v>
      </c>
      <c r="N372" s="4">
        <v>96700</v>
      </c>
      <c r="O372" s="4">
        <v>541611334</v>
      </c>
      <c r="Q372" s="3"/>
      <c r="R372" s="3">
        <f t="shared" si="137"/>
        <v>764732312200</v>
      </c>
      <c r="S372" s="3">
        <f t="shared" si="117"/>
        <v>821482400800</v>
      </c>
      <c r="T372" s="3">
        <f t="shared" si="118"/>
        <v>1477006966500</v>
      </c>
      <c r="U372" s="3">
        <f t="shared" si="136"/>
        <v>0</v>
      </c>
      <c r="V372" s="3">
        <f t="shared" si="120"/>
        <v>54161133400</v>
      </c>
      <c r="X372" s="2">
        <f t="shared" si="121"/>
        <v>764.73231220000002</v>
      </c>
      <c r="Y372" s="2">
        <f t="shared" si="122"/>
        <v>821.48240080000005</v>
      </c>
      <c r="Z372" s="2">
        <f t="shared" si="123"/>
        <v>1477.0069665000001</v>
      </c>
      <c r="AA372" s="2">
        <f t="shared" si="124"/>
        <v>0</v>
      </c>
      <c r="AB372" s="2">
        <f t="shared" si="125"/>
        <v>54.161133399999997</v>
      </c>
      <c r="AC372" s="2"/>
      <c r="AD372" s="8">
        <f t="shared" si="126"/>
        <v>0.18325150516408142</v>
      </c>
      <c r="AE372" s="8">
        <f t="shared" si="127"/>
        <v>0.19685043251191026</v>
      </c>
      <c r="AF372" s="8">
        <f t="shared" si="128"/>
        <v>0.35393267085878338</v>
      </c>
      <c r="AG372" s="8">
        <f t="shared" si="129"/>
        <v>0</v>
      </c>
      <c r="AH372" s="11">
        <f t="shared" si="130"/>
        <v>1.2978540410290512E-2</v>
      </c>
      <c r="AI372" s="8">
        <f t="shared" si="131"/>
        <v>0.73403460853477509</v>
      </c>
      <c r="AJ372" s="9">
        <f t="shared" si="132"/>
        <v>27.758880376434419</v>
      </c>
      <c r="AK372" s="9"/>
      <c r="AL372" s="7">
        <f t="shared" si="133"/>
        <v>1304.1611196235656</v>
      </c>
      <c r="AM372" s="42">
        <f t="shared" si="134"/>
        <v>6.3527772147936297</v>
      </c>
    </row>
    <row r="373" spans="1:39" x14ac:dyDescent="0.25">
      <c r="A373" s="1">
        <v>45740</v>
      </c>
      <c r="B373" s="7">
        <v>1330.32</v>
      </c>
      <c r="C373" s="3">
        <v>5551598</v>
      </c>
      <c r="E373" s="5">
        <v>45740</v>
      </c>
      <c r="F373" s="4">
        <v>56700</v>
      </c>
      <c r="G373" s="4">
        <v>3823661561</v>
      </c>
      <c r="H373" s="4">
        <v>51300</v>
      </c>
      <c r="I373" s="4">
        <v>4107412004</v>
      </c>
      <c r="J373" s="4">
        <v>19150</v>
      </c>
      <c r="K373" s="4">
        <v>2272318410</v>
      </c>
      <c r="L373" s="4">
        <v>0</v>
      </c>
      <c r="M373" s="4">
        <v>1793300377</v>
      </c>
      <c r="N373" s="4">
        <v>96600</v>
      </c>
      <c r="O373" s="4">
        <v>541611334</v>
      </c>
      <c r="Q373" s="3"/>
      <c r="R373" s="3">
        <f t="shared" si="137"/>
        <v>14147547775700</v>
      </c>
      <c r="S373" s="3">
        <f t="shared" si="117"/>
        <v>12527606612200</v>
      </c>
      <c r="T373" s="3">
        <f t="shared" si="118"/>
        <v>1590622887000</v>
      </c>
      <c r="U373" s="3">
        <f t="shared" si="136"/>
        <v>0</v>
      </c>
      <c r="V373" s="3">
        <f t="shared" si="120"/>
        <v>0</v>
      </c>
      <c r="X373" s="2">
        <f t="shared" si="121"/>
        <v>14147.547775700001</v>
      </c>
      <c r="Y373" s="2">
        <f t="shared" si="122"/>
        <v>12527.606612199999</v>
      </c>
      <c r="Z373" s="2">
        <f t="shared" si="123"/>
        <v>1590.622887</v>
      </c>
      <c r="AA373" s="2">
        <f t="shared" si="124"/>
        <v>0</v>
      </c>
      <c r="AB373" s="2">
        <f t="shared" si="125"/>
        <v>0</v>
      </c>
      <c r="AC373" s="2"/>
      <c r="AD373" s="8">
        <f t="shared" si="126"/>
        <v>3.3978022994628283</v>
      </c>
      <c r="AE373" s="8">
        <f t="shared" si="127"/>
        <v>3.0087426618775117</v>
      </c>
      <c r="AF373" s="8">
        <f t="shared" si="128"/>
        <v>0.38201829664854331</v>
      </c>
      <c r="AG373" s="8">
        <f t="shared" si="129"/>
        <v>0</v>
      </c>
      <c r="AH373" s="11">
        <f t="shared" si="130"/>
        <v>0</v>
      </c>
      <c r="AI373" s="8">
        <f t="shared" si="131"/>
        <v>6.7885632579888835</v>
      </c>
      <c r="AJ373" s="9">
        <f t="shared" si="132"/>
        <v>27.024845767899645</v>
      </c>
      <c r="AK373" s="9"/>
      <c r="AL373" s="7">
        <f t="shared" si="133"/>
        <v>1303.2951542321002</v>
      </c>
      <c r="AM373" s="42">
        <f t="shared" si="134"/>
        <v>6.4457033143209568</v>
      </c>
    </row>
    <row r="374" spans="1:39" x14ac:dyDescent="0.25">
      <c r="A374" s="1">
        <v>45737</v>
      </c>
      <c r="B374" s="7">
        <v>1324.88</v>
      </c>
      <c r="C374" s="3">
        <v>5516449</v>
      </c>
      <c r="E374" s="5">
        <v>45737</v>
      </c>
      <c r="F374" s="4">
        <v>53000</v>
      </c>
      <c r="G374" s="4">
        <v>3823661561</v>
      </c>
      <c r="H374" s="4">
        <v>48250</v>
      </c>
      <c r="I374" s="4">
        <v>4107412004</v>
      </c>
      <c r="J374" s="4">
        <v>18450</v>
      </c>
      <c r="K374" s="4">
        <v>2272318410</v>
      </c>
      <c r="L374" s="4">
        <v>0</v>
      </c>
      <c r="M374" s="4">
        <v>1793300377</v>
      </c>
      <c r="N374" s="4">
        <v>96600</v>
      </c>
      <c r="O374" s="4">
        <v>541611334</v>
      </c>
      <c r="Q374" s="3"/>
      <c r="R374" s="3">
        <f t="shared" si="137"/>
        <v>5735492341500</v>
      </c>
      <c r="S374" s="3">
        <f t="shared" si="117"/>
        <v>3696670803600</v>
      </c>
      <c r="T374" s="3">
        <f t="shared" si="118"/>
        <v>113615920500</v>
      </c>
      <c r="U374" s="3">
        <f t="shared" ref="U374:U405" si="138">M374*L374-M375*L375</f>
        <v>0</v>
      </c>
      <c r="V374" s="3">
        <f t="shared" si="120"/>
        <v>216644533600</v>
      </c>
      <c r="X374" s="2">
        <f t="shared" si="121"/>
        <v>5735.4923415000003</v>
      </c>
      <c r="Y374" s="2">
        <f t="shared" si="122"/>
        <v>3696.6708036</v>
      </c>
      <c r="Z374" s="2">
        <f t="shared" si="123"/>
        <v>113.6159205</v>
      </c>
      <c r="AA374" s="2">
        <f t="shared" si="124"/>
        <v>0</v>
      </c>
      <c r="AB374" s="2">
        <f t="shared" si="125"/>
        <v>216.64453359999999</v>
      </c>
      <c r="AC374" s="2"/>
      <c r="AD374" s="8">
        <f t="shared" si="126"/>
        <v>1.3743508911703437</v>
      </c>
      <c r="AE374" s="8">
        <f t="shared" si="127"/>
        <v>0.88580413167500538</v>
      </c>
      <c r="AF374" s="8">
        <f t="shared" si="128"/>
        <v>2.7224888866206141E-2</v>
      </c>
      <c r="AG374" s="8">
        <f t="shared" si="129"/>
        <v>0</v>
      </c>
      <c r="AH374" s="11">
        <f t="shared" si="130"/>
        <v>5.191282458281065E-2</v>
      </c>
      <c r="AI374" s="8">
        <f t="shared" si="131"/>
        <v>2.2873799117115552</v>
      </c>
      <c r="AJ374" s="9">
        <f t="shared" si="132"/>
        <v>20.236282509910762</v>
      </c>
      <c r="AK374" s="9"/>
      <c r="AL374" s="7">
        <f t="shared" si="133"/>
        <v>1304.6437174900893</v>
      </c>
      <c r="AM374" s="42">
        <f t="shared" si="134"/>
        <v>6.4079665443225391</v>
      </c>
    </row>
    <row r="375" spans="1:39" x14ac:dyDescent="0.25">
      <c r="A375" s="1">
        <v>45736</v>
      </c>
      <c r="B375" s="7">
        <v>1323.93</v>
      </c>
      <c r="C375" s="3">
        <v>5525074</v>
      </c>
      <c r="E375" s="5">
        <v>45736</v>
      </c>
      <c r="F375" s="4">
        <v>51500</v>
      </c>
      <c r="G375" s="4">
        <v>3823661561</v>
      </c>
      <c r="H375" s="4">
        <v>47350</v>
      </c>
      <c r="I375" s="4">
        <v>4107412004</v>
      </c>
      <c r="J375" s="4">
        <v>18400</v>
      </c>
      <c r="K375" s="4">
        <v>2272318410</v>
      </c>
      <c r="L375" s="4">
        <v>0</v>
      </c>
      <c r="M375" s="4">
        <v>1793300377</v>
      </c>
      <c r="N375" s="4">
        <v>96200</v>
      </c>
      <c r="O375" s="4">
        <v>541611334</v>
      </c>
      <c r="Q375" s="3"/>
      <c r="R375" s="3">
        <f t="shared" si="137"/>
        <v>-1529464624400</v>
      </c>
      <c r="S375" s="3">
        <f t="shared" si="117"/>
        <v>0</v>
      </c>
      <c r="T375" s="3">
        <f t="shared" si="118"/>
        <v>-113615920500</v>
      </c>
      <c r="U375" s="3">
        <f t="shared" si="138"/>
        <v>0</v>
      </c>
      <c r="V375" s="3">
        <f t="shared" si="120"/>
        <v>-866578134400</v>
      </c>
      <c r="X375" s="2">
        <f t="shared" si="121"/>
        <v>-1529.4646244</v>
      </c>
      <c r="Y375" s="2">
        <f t="shared" si="122"/>
        <v>0</v>
      </c>
      <c r="Z375" s="2">
        <f t="shared" si="123"/>
        <v>-113.6159205</v>
      </c>
      <c r="AA375" s="2">
        <f t="shared" si="124"/>
        <v>0</v>
      </c>
      <c r="AB375" s="2">
        <f t="shared" si="125"/>
        <v>-866.57813439999995</v>
      </c>
      <c r="AC375" s="2"/>
      <c r="AD375" s="8">
        <f t="shared" si="126"/>
        <v>-0.36649312453558669</v>
      </c>
      <c r="AE375" s="8">
        <f t="shared" si="127"/>
        <v>0</v>
      </c>
      <c r="AF375" s="8">
        <f t="shared" si="128"/>
        <v>-2.7224855702279959E-2</v>
      </c>
      <c r="AG375" s="8">
        <f t="shared" si="129"/>
        <v>0</v>
      </c>
      <c r="AH375" s="11">
        <f t="shared" si="130"/>
        <v>-0.2076510453813642</v>
      </c>
      <c r="AI375" s="8">
        <f t="shared" si="131"/>
        <v>-0.39371798023786664</v>
      </c>
      <c r="AJ375" s="9">
        <f t="shared" si="132"/>
        <v>17.948902598199208</v>
      </c>
      <c r="AK375" s="9"/>
      <c r="AL375" s="7">
        <f t="shared" si="133"/>
        <v>1305.9810974018008</v>
      </c>
      <c r="AM375" s="42">
        <f t="shared" si="134"/>
        <v>6.9570423191845219</v>
      </c>
    </row>
    <row r="376" spans="1:39" x14ac:dyDescent="0.25">
      <c r="A376" s="1">
        <v>45735</v>
      </c>
      <c r="B376" s="7">
        <v>1324.63</v>
      </c>
      <c r="C376" s="3">
        <v>5528002</v>
      </c>
      <c r="E376" s="5">
        <v>45735</v>
      </c>
      <c r="F376" s="4">
        <v>51900</v>
      </c>
      <c r="G376" s="4">
        <v>3823661561</v>
      </c>
      <c r="H376" s="4">
        <v>47350</v>
      </c>
      <c r="I376" s="4">
        <v>4107412004</v>
      </c>
      <c r="J376" s="4">
        <v>18450</v>
      </c>
      <c r="K376" s="4">
        <v>2272318410</v>
      </c>
      <c r="L376" s="4">
        <v>0</v>
      </c>
      <c r="M376" s="4">
        <v>1793300377</v>
      </c>
      <c r="N376" s="4">
        <v>97800</v>
      </c>
      <c r="O376" s="4">
        <v>541611334</v>
      </c>
      <c r="Q376" s="3"/>
      <c r="R376" s="3">
        <f t="shared" si="137"/>
        <v>2294196936600</v>
      </c>
      <c r="S376" s="3">
        <f t="shared" si="117"/>
        <v>205370600200</v>
      </c>
      <c r="T376" s="3">
        <f t="shared" si="118"/>
        <v>0</v>
      </c>
      <c r="U376" s="3">
        <f t="shared" si="138"/>
        <v>0</v>
      </c>
      <c r="V376" s="3">
        <f t="shared" si="120"/>
        <v>-324966800400</v>
      </c>
      <c r="X376" s="2">
        <f t="shared" si="121"/>
        <v>2294.1969365999998</v>
      </c>
      <c r="Y376" s="2">
        <f t="shared" si="122"/>
        <v>205.37060020000001</v>
      </c>
      <c r="Z376" s="2">
        <f t="shared" si="123"/>
        <v>0</v>
      </c>
      <c r="AA376" s="2">
        <f t="shared" si="124"/>
        <v>0</v>
      </c>
      <c r="AB376" s="2">
        <f t="shared" si="125"/>
        <v>-324.96680040000001</v>
      </c>
      <c r="AC376" s="2"/>
      <c r="AD376" s="8">
        <f t="shared" si="126"/>
        <v>0.54982633680883641</v>
      </c>
      <c r="AE376" s="8">
        <f t="shared" si="127"/>
        <v>4.9219037387236181E-2</v>
      </c>
      <c r="AF376" s="8">
        <f t="shared" si="128"/>
        <v>0</v>
      </c>
      <c r="AG376" s="8">
        <f t="shared" si="129"/>
        <v>0</v>
      </c>
      <c r="AH376" s="11">
        <f t="shared" si="130"/>
        <v>-7.7881415757278943E-2</v>
      </c>
      <c r="AI376" s="8">
        <f t="shared" si="131"/>
        <v>0.59904537419607262</v>
      </c>
      <c r="AJ376" s="9">
        <f t="shared" si="132"/>
        <v>18.342620578437074</v>
      </c>
      <c r="AK376" s="9"/>
      <c r="AL376" s="7">
        <f t="shared" si="133"/>
        <v>1306.2873794215629</v>
      </c>
      <c r="AM376" s="42">
        <f t="shared" si="134"/>
        <v>7.8829366161702534</v>
      </c>
    </row>
    <row r="377" spans="1:39" x14ac:dyDescent="0.25">
      <c r="A377" s="1">
        <v>45734</v>
      </c>
      <c r="B377" s="7">
        <v>1330.97</v>
      </c>
      <c r="C377" s="3">
        <v>5553585</v>
      </c>
      <c r="E377" s="5">
        <v>45734</v>
      </c>
      <c r="F377" s="4">
        <v>51300</v>
      </c>
      <c r="G377" s="4">
        <v>3823661561</v>
      </c>
      <c r="H377" s="4">
        <v>47300</v>
      </c>
      <c r="I377" s="4">
        <v>4107412004</v>
      </c>
      <c r="J377" s="4">
        <v>18450</v>
      </c>
      <c r="K377" s="4">
        <v>2272318410</v>
      </c>
      <c r="L377" s="4">
        <v>0</v>
      </c>
      <c r="M377" s="4">
        <v>1793300377</v>
      </c>
      <c r="N377" s="4">
        <v>98400</v>
      </c>
      <c r="O377" s="4">
        <v>541611334</v>
      </c>
      <c r="Q377" s="3"/>
      <c r="R377" s="3">
        <f t="shared" si="137"/>
        <v>-3058929248800</v>
      </c>
      <c r="S377" s="3">
        <f t="shared" si="117"/>
        <v>-2053706002000</v>
      </c>
      <c r="T377" s="3">
        <f t="shared" si="118"/>
        <v>-568079602500</v>
      </c>
      <c r="U377" s="3">
        <f t="shared" si="138"/>
        <v>0</v>
      </c>
      <c r="V377" s="3">
        <f t="shared" si="120"/>
        <v>-379127933800</v>
      </c>
      <c r="X377" s="2">
        <f t="shared" si="121"/>
        <v>-3058.9292488000001</v>
      </c>
      <c r="Y377" s="2">
        <f t="shared" si="122"/>
        <v>-2053.7060019999999</v>
      </c>
      <c r="Z377" s="2">
        <f t="shared" si="123"/>
        <v>-568.07960249999996</v>
      </c>
      <c r="AA377" s="2">
        <f t="shared" si="124"/>
        <v>0</v>
      </c>
      <c r="AB377" s="2">
        <f t="shared" si="125"/>
        <v>-379.12793379999999</v>
      </c>
      <c r="AC377" s="2"/>
      <c r="AD377" s="8">
        <f t="shared" si="126"/>
        <v>-0.7331015158746208</v>
      </c>
      <c r="AE377" s="8">
        <f t="shared" si="127"/>
        <v>-0.49219019492446092</v>
      </c>
      <c r="AF377" s="8">
        <f t="shared" si="128"/>
        <v>-0.13614568492997239</v>
      </c>
      <c r="AG377" s="8">
        <f t="shared" si="129"/>
        <v>0</v>
      </c>
      <c r="AH377" s="11">
        <f t="shared" si="130"/>
        <v>-9.0861618681839992E-2</v>
      </c>
      <c r="AI377" s="8">
        <f t="shared" si="131"/>
        <v>-1.3614373957290542</v>
      </c>
      <c r="AJ377" s="9">
        <f t="shared" si="132"/>
        <v>17.743575204241001</v>
      </c>
      <c r="AK377" s="9"/>
      <c r="AL377" s="7">
        <f t="shared" si="133"/>
        <v>1313.2264247957589</v>
      </c>
      <c r="AM377" s="42">
        <f t="shared" si="134"/>
        <v>8.8900522555858288</v>
      </c>
    </row>
    <row r="378" spans="1:39" x14ac:dyDescent="0.25">
      <c r="A378" s="1">
        <v>45733</v>
      </c>
      <c r="B378" s="7">
        <v>1336.26</v>
      </c>
      <c r="C378" s="3">
        <v>5575660</v>
      </c>
      <c r="E378" s="5">
        <v>45733</v>
      </c>
      <c r="F378" s="4">
        <v>52100</v>
      </c>
      <c r="G378" s="4">
        <v>3823661561</v>
      </c>
      <c r="H378" s="4">
        <v>47800</v>
      </c>
      <c r="I378" s="4">
        <v>4107412004</v>
      </c>
      <c r="J378" s="4">
        <v>18700</v>
      </c>
      <c r="K378" s="4">
        <v>2272318410</v>
      </c>
      <c r="L378" s="4">
        <v>0</v>
      </c>
      <c r="M378" s="4">
        <v>1793300377</v>
      </c>
      <c r="N378" s="4">
        <v>99100</v>
      </c>
      <c r="O378" s="4">
        <v>541611334</v>
      </c>
      <c r="Q378" s="3"/>
      <c r="R378" s="3">
        <f t="shared" si="137"/>
        <v>-382366156100</v>
      </c>
      <c r="S378" s="3">
        <f t="shared" si="117"/>
        <v>-410741200400</v>
      </c>
      <c r="T378" s="3">
        <f t="shared" si="118"/>
        <v>-113615920500</v>
      </c>
      <c r="U378" s="3">
        <f t="shared" si="138"/>
        <v>0</v>
      </c>
      <c r="V378" s="3">
        <f t="shared" si="120"/>
        <v>270805667000</v>
      </c>
      <c r="X378" s="2">
        <f t="shared" si="121"/>
        <v>-382.36615610000001</v>
      </c>
      <c r="Y378" s="2">
        <f t="shared" si="122"/>
        <v>-410.74120040000003</v>
      </c>
      <c r="Z378" s="2">
        <f t="shared" si="123"/>
        <v>-113.6159205</v>
      </c>
      <c r="AA378" s="2">
        <f t="shared" si="124"/>
        <v>0</v>
      </c>
      <c r="AB378" s="2">
        <f t="shared" si="125"/>
        <v>270.80566700000003</v>
      </c>
      <c r="AC378" s="2"/>
      <c r="AD378" s="8">
        <f t="shared" si="126"/>
        <v>-9.1636615604480151E-2</v>
      </c>
      <c r="AE378" s="8">
        <f t="shared" si="127"/>
        <v>-9.8436885413399025E-2</v>
      </c>
      <c r="AF378" s="8">
        <f t="shared" si="128"/>
        <v>-2.7228817894345211E-2</v>
      </c>
      <c r="AG378" s="8">
        <f t="shared" si="129"/>
        <v>0</v>
      </c>
      <c r="AH378" s="11">
        <f t="shared" si="130"/>
        <v>6.4900395640412847E-2</v>
      </c>
      <c r="AI378" s="8">
        <f t="shared" si="131"/>
        <v>-0.2173023189122244</v>
      </c>
      <c r="AJ378" s="9">
        <f t="shared" si="132"/>
        <v>19.105012599970056</v>
      </c>
      <c r="AK378" s="9"/>
      <c r="AL378" s="7">
        <f t="shared" si="133"/>
        <v>1317.15498740003</v>
      </c>
      <c r="AM378" s="42">
        <f t="shared" si="134"/>
        <v>10.657511100372313</v>
      </c>
    </row>
    <row r="379" spans="1:39" x14ac:dyDescent="0.25">
      <c r="A379" s="1">
        <v>45730</v>
      </c>
      <c r="B379" s="7">
        <v>1326.15</v>
      </c>
      <c r="C379" s="3">
        <v>5533540</v>
      </c>
      <c r="E379" s="5">
        <v>45730</v>
      </c>
      <c r="F379" s="4">
        <v>52200</v>
      </c>
      <c r="G379" s="4">
        <v>3823661561</v>
      </c>
      <c r="H379" s="4">
        <v>47900</v>
      </c>
      <c r="I379" s="4">
        <v>4107412004</v>
      </c>
      <c r="J379" s="4">
        <v>18750</v>
      </c>
      <c r="K379" s="4">
        <v>2272318410</v>
      </c>
      <c r="L379" s="4">
        <v>0</v>
      </c>
      <c r="M379" s="4">
        <v>1793300377</v>
      </c>
      <c r="N379" s="4">
        <v>98600</v>
      </c>
      <c r="O379" s="4">
        <v>541611334</v>
      </c>
      <c r="Q379" s="3"/>
      <c r="R379" s="3">
        <f t="shared" si="137"/>
        <v>3058929248800</v>
      </c>
      <c r="S379" s="3">
        <f t="shared" si="117"/>
        <v>410741200400</v>
      </c>
      <c r="T379" s="3">
        <f t="shared" si="118"/>
        <v>-113615920500</v>
      </c>
      <c r="U379" s="3">
        <f t="shared" si="138"/>
        <v>0</v>
      </c>
      <c r="V379" s="3">
        <f t="shared" si="120"/>
        <v>704094734200</v>
      </c>
      <c r="X379" s="2">
        <f t="shared" si="121"/>
        <v>3058.9292488000001</v>
      </c>
      <c r="Y379" s="2">
        <f t="shared" si="122"/>
        <v>410.74120040000003</v>
      </c>
      <c r="Z379" s="2">
        <f t="shared" si="123"/>
        <v>-113.6159205</v>
      </c>
      <c r="AA379" s="2">
        <f t="shared" si="124"/>
        <v>0</v>
      </c>
      <c r="AB379" s="2">
        <f t="shared" si="125"/>
        <v>704.09473419999995</v>
      </c>
      <c r="AC379" s="2"/>
      <c r="AD379" s="8">
        <f t="shared" si="126"/>
        <v>0.73309964326028343</v>
      </c>
      <c r="AE379" s="8">
        <f t="shared" si="127"/>
        <v>9.8437787537474411E-2</v>
      </c>
      <c r="AF379" s="8">
        <f t="shared" si="128"/>
        <v>-2.7229067432636308E-2</v>
      </c>
      <c r="AG379" s="8">
        <f t="shared" si="129"/>
        <v>0</v>
      </c>
      <c r="AH379" s="11">
        <f t="shared" si="130"/>
        <v>0.16874257509092605</v>
      </c>
      <c r="AI379" s="8">
        <f t="shared" si="131"/>
        <v>0.80430836336512157</v>
      </c>
      <c r="AJ379" s="9">
        <f t="shared" si="132"/>
        <v>19.322314918882281</v>
      </c>
      <c r="AK379" s="9"/>
      <c r="AL379" s="7">
        <f t="shared" si="133"/>
        <v>1306.8276850811178</v>
      </c>
      <c r="AM379" s="42">
        <f t="shared" si="134"/>
        <v>12.299682081137748</v>
      </c>
    </row>
    <row r="380" spans="1:39" x14ac:dyDescent="0.25">
      <c r="A380" s="1">
        <v>45729</v>
      </c>
      <c r="B380" s="7">
        <v>1326.27</v>
      </c>
      <c r="C380" s="3">
        <v>5533990</v>
      </c>
      <c r="E380" s="5">
        <v>45729</v>
      </c>
      <c r="F380" s="4">
        <v>51400</v>
      </c>
      <c r="G380" s="4">
        <v>3823661561</v>
      </c>
      <c r="H380" s="4">
        <v>47800</v>
      </c>
      <c r="I380" s="4">
        <v>4107412004</v>
      </c>
      <c r="J380" s="4">
        <v>18800</v>
      </c>
      <c r="K380" s="4">
        <v>2272318410</v>
      </c>
      <c r="L380" s="4">
        <v>0</v>
      </c>
      <c r="M380" s="4">
        <v>1793300377</v>
      </c>
      <c r="N380" s="4">
        <v>97300</v>
      </c>
      <c r="O380" s="4">
        <v>541611334</v>
      </c>
      <c r="Q380" s="3"/>
      <c r="R380" s="3">
        <f t="shared" si="137"/>
        <v>12618083151300</v>
      </c>
      <c r="S380" s="3">
        <f t="shared" si="117"/>
        <v>3491300203400</v>
      </c>
      <c r="T380" s="3">
        <f t="shared" si="118"/>
        <v>1136159205000</v>
      </c>
      <c r="U380" s="3">
        <f t="shared" si="138"/>
        <v>0</v>
      </c>
      <c r="V380" s="3">
        <f t="shared" si="120"/>
        <v>-54161133400</v>
      </c>
      <c r="X380" s="2">
        <f t="shared" si="121"/>
        <v>12618.083151299999</v>
      </c>
      <c r="Y380" s="2">
        <f t="shared" si="122"/>
        <v>3491.3002034000001</v>
      </c>
      <c r="Z380" s="2">
        <f t="shared" si="123"/>
        <v>1136.1592049999999</v>
      </c>
      <c r="AA380" s="2">
        <f t="shared" si="124"/>
        <v>0</v>
      </c>
      <c r="AB380" s="2">
        <f t="shared" si="125"/>
        <v>-54.161133399999997</v>
      </c>
      <c r="AC380" s="2"/>
      <c r="AD380" s="8">
        <f t="shared" si="126"/>
        <v>3.0240001497706692</v>
      </c>
      <c r="AE380" s="8">
        <f t="shared" si="127"/>
        <v>0.8367112667892227</v>
      </c>
      <c r="AF380" s="8">
        <f t="shared" si="128"/>
        <v>0.27228744373342878</v>
      </c>
      <c r="AG380" s="8">
        <f t="shared" si="129"/>
        <v>0</v>
      </c>
      <c r="AH380" s="11">
        <f t="shared" si="130"/>
        <v>-1.2980044080346321E-2</v>
      </c>
      <c r="AI380" s="8">
        <f t="shared" si="131"/>
        <v>4.1329988602933208</v>
      </c>
      <c r="AJ380" s="9">
        <f t="shared" si="132"/>
        <v>18.518006555517161</v>
      </c>
      <c r="AK380" s="9"/>
      <c r="AL380" s="7">
        <f t="shared" si="133"/>
        <v>1307.7519934444829</v>
      </c>
      <c r="AM380" s="42">
        <f t="shared" si="134"/>
        <v>13.510597850675667</v>
      </c>
    </row>
    <row r="381" spans="1:39" x14ac:dyDescent="0.25">
      <c r="A381" s="1">
        <v>45728</v>
      </c>
      <c r="B381" s="7">
        <v>1334.41</v>
      </c>
      <c r="C381" s="3">
        <v>5568021</v>
      </c>
      <c r="E381" s="5">
        <v>45728</v>
      </c>
      <c r="F381" s="4">
        <v>48100</v>
      </c>
      <c r="G381" s="4">
        <v>3823661561</v>
      </c>
      <c r="H381" s="4">
        <v>46950</v>
      </c>
      <c r="I381" s="4">
        <v>4107412004</v>
      </c>
      <c r="J381" s="4">
        <v>18300</v>
      </c>
      <c r="K381" s="4">
        <v>2272318410</v>
      </c>
      <c r="L381" s="4">
        <v>0</v>
      </c>
      <c r="M381" s="4">
        <v>1793300377</v>
      </c>
      <c r="N381" s="4">
        <v>97400</v>
      </c>
      <c r="O381" s="4">
        <v>541611334</v>
      </c>
      <c r="Q381" s="3"/>
      <c r="R381" s="3">
        <f t="shared" si="137"/>
        <v>3058929248800</v>
      </c>
      <c r="S381" s="3">
        <f t="shared" si="117"/>
        <v>5955747405800</v>
      </c>
      <c r="T381" s="3">
        <f t="shared" si="118"/>
        <v>227231841000</v>
      </c>
      <c r="U381" s="3">
        <f t="shared" si="138"/>
        <v>0</v>
      </c>
      <c r="V381" s="3">
        <f t="shared" si="120"/>
        <v>-162483400200</v>
      </c>
      <c r="X381" s="2">
        <f t="shared" si="121"/>
        <v>3058.9292488000001</v>
      </c>
      <c r="Y381" s="2">
        <f t="shared" si="122"/>
        <v>5955.7474057999998</v>
      </c>
      <c r="Z381" s="2">
        <f t="shared" si="123"/>
        <v>227.231841</v>
      </c>
      <c r="AA381" s="2">
        <f t="shared" si="124"/>
        <v>0</v>
      </c>
      <c r="AB381" s="2">
        <f t="shared" si="125"/>
        <v>-162.48340020000001</v>
      </c>
      <c r="AC381" s="2"/>
      <c r="AD381" s="8">
        <f t="shared" si="126"/>
        <v>0.73308186811147547</v>
      </c>
      <c r="AE381" s="8">
        <f t="shared" si="127"/>
        <v>1.4273133110079987</v>
      </c>
      <c r="AF381" s="8">
        <f t="shared" si="128"/>
        <v>5.4456814442517085E-2</v>
      </c>
      <c r="AG381" s="8">
        <f t="shared" si="129"/>
        <v>0</v>
      </c>
      <c r="AH381" s="11">
        <f t="shared" si="130"/>
        <v>-3.8939650076067658E-2</v>
      </c>
      <c r="AI381" s="8">
        <f t="shared" si="131"/>
        <v>2.2148519935619913</v>
      </c>
      <c r="AJ381" s="9">
        <f t="shared" si="132"/>
        <v>14.385007695223841</v>
      </c>
      <c r="AK381" s="9"/>
      <c r="AL381" s="7">
        <f t="shared" si="133"/>
        <v>1320.0249923047763</v>
      </c>
      <c r="AM381" s="42">
        <f t="shared" si="134"/>
        <v>14.961758507619269</v>
      </c>
    </row>
    <row r="382" spans="1:39" x14ac:dyDescent="0.25">
      <c r="A382" s="1">
        <v>45727</v>
      </c>
      <c r="B382" s="7">
        <v>1332.54</v>
      </c>
      <c r="C382" s="3">
        <v>5560287</v>
      </c>
      <c r="E382" s="5">
        <v>45727</v>
      </c>
      <c r="F382" s="4">
        <v>47300</v>
      </c>
      <c r="G382" s="4">
        <v>3823661561</v>
      </c>
      <c r="H382" s="4">
        <v>45500</v>
      </c>
      <c r="I382" s="4">
        <v>4107412004</v>
      </c>
      <c r="J382" s="4">
        <v>18200</v>
      </c>
      <c r="K382" s="4">
        <v>2272318410</v>
      </c>
      <c r="L382" s="4">
        <v>0</v>
      </c>
      <c r="M382" s="4">
        <v>1793300377</v>
      </c>
      <c r="N382" s="4">
        <v>97700</v>
      </c>
      <c r="O382" s="4">
        <v>541611334</v>
      </c>
      <c r="Q382" s="3"/>
      <c r="R382" s="3">
        <f t="shared" si="137"/>
        <v>0</v>
      </c>
      <c r="S382" s="3">
        <f t="shared" si="117"/>
        <v>821482400800</v>
      </c>
      <c r="T382" s="3">
        <f t="shared" si="118"/>
        <v>-113615920500</v>
      </c>
      <c r="U382" s="3">
        <f t="shared" si="138"/>
        <v>0</v>
      </c>
      <c r="V382" s="3">
        <f t="shared" si="120"/>
        <v>0</v>
      </c>
      <c r="X382" s="2">
        <f t="shared" si="121"/>
        <v>0</v>
      </c>
      <c r="Y382" s="2">
        <f t="shared" si="122"/>
        <v>821.48240080000005</v>
      </c>
      <c r="Z382" s="2">
        <f t="shared" si="123"/>
        <v>-113.6159205</v>
      </c>
      <c r="AA382" s="2">
        <f t="shared" si="124"/>
        <v>0</v>
      </c>
      <c r="AB382" s="2">
        <f t="shared" si="125"/>
        <v>0</v>
      </c>
      <c r="AC382" s="2"/>
      <c r="AD382" s="8">
        <f t="shared" si="126"/>
        <v>0</v>
      </c>
      <c r="AE382" s="8">
        <f t="shared" si="127"/>
        <v>0.19686979790361792</v>
      </c>
      <c r="AF382" s="8">
        <f t="shared" si="128"/>
        <v>-2.7228268415349987E-2</v>
      </c>
      <c r="AG382" s="8">
        <f t="shared" si="129"/>
        <v>0</v>
      </c>
      <c r="AH382" s="11">
        <f t="shared" si="130"/>
        <v>0</v>
      </c>
      <c r="AI382" s="8">
        <f t="shared" si="131"/>
        <v>0.16964152948826794</v>
      </c>
      <c r="AJ382" s="9">
        <f t="shared" si="132"/>
        <v>12.17015570166185</v>
      </c>
      <c r="AK382" s="9"/>
      <c r="AL382" s="7">
        <f t="shared" si="133"/>
        <v>1320.3698442983382</v>
      </c>
      <c r="AM382" s="42">
        <f t="shared" si="134"/>
        <v>15.62802190405619</v>
      </c>
    </row>
    <row r="383" spans="1:39" x14ac:dyDescent="0.25">
      <c r="A383" s="1">
        <v>45726</v>
      </c>
      <c r="B383" s="7">
        <v>1330.28</v>
      </c>
      <c r="C383" s="3">
        <v>5550885</v>
      </c>
      <c r="E383" s="5">
        <v>45726</v>
      </c>
      <c r="F383" s="4">
        <v>47300</v>
      </c>
      <c r="G383" s="4">
        <v>3823661561</v>
      </c>
      <c r="H383" s="4">
        <v>45300</v>
      </c>
      <c r="I383" s="4">
        <v>4107412004</v>
      </c>
      <c r="J383" s="4">
        <v>18250</v>
      </c>
      <c r="K383" s="4">
        <v>2272318410</v>
      </c>
      <c r="L383" s="4">
        <v>0</v>
      </c>
      <c r="M383" s="4">
        <v>1793300377</v>
      </c>
      <c r="N383" s="4">
        <v>97700</v>
      </c>
      <c r="O383" s="4">
        <v>541611334</v>
      </c>
      <c r="Q383" s="3"/>
      <c r="R383" s="3">
        <f t="shared" si="137"/>
        <v>7647323122000</v>
      </c>
      <c r="S383" s="3">
        <f t="shared" si="117"/>
        <v>1437594201400</v>
      </c>
      <c r="T383" s="3">
        <f t="shared" si="118"/>
        <v>113615920500</v>
      </c>
      <c r="U383" s="3">
        <f t="shared" si="138"/>
        <v>0</v>
      </c>
      <c r="V383" s="3">
        <f t="shared" si="120"/>
        <v>379127933800</v>
      </c>
      <c r="X383" s="2">
        <f t="shared" si="121"/>
        <v>7647.3231219999998</v>
      </c>
      <c r="Y383" s="2">
        <f t="shared" si="122"/>
        <v>1437.5942014</v>
      </c>
      <c r="Z383" s="2">
        <f t="shared" si="123"/>
        <v>113.6159205</v>
      </c>
      <c r="AA383" s="2">
        <f t="shared" si="124"/>
        <v>0</v>
      </c>
      <c r="AB383" s="2">
        <f t="shared" si="125"/>
        <v>379.12793379999999</v>
      </c>
      <c r="AC383" s="2"/>
      <c r="AD383" s="8">
        <f t="shared" si="126"/>
        <v>1.8327010897870262</v>
      </c>
      <c r="AE383" s="8">
        <f t="shared" si="127"/>
        <v>0.34452322957268255</v>
      </c>
      <c r="AF383" s="8">
        <f t="shared" si="128"/>
        <v>2.7228354026062055E-2</v>
      </c>
      <c r="AG383" s="8">
        <f t="shared" si="129"/>
        <v>0</v>
      </c>
      <c r="AH383" s="11">
        <f t="shared" si="130"/>
        <v>9.0859006002383419E-2</v>
      </c>
      <c r="AI383" s="8">
        <f t="shared" si="131"/>
        <v>2.204452673385771</v>
      </c>
      <c r="AJ383" s="9">
        <f t="shared" si="132"/>
        <v>12.000514172173581</v>
      </c>
      <c r="AK383" s="9"/>
      <c r="AL383" s="7">
        <f t="shared" si="133"/>
        <v>1318.2794858278264</v>
      </c>
      <c r="AM383" s="42">
        <f t="shared" si="134"/>
        <v>15.684960747989891</v>
      </c>
    </row>
    <row r="384" spans="1:39" x14ac:dyDescent="0.25">
      <c r="A384" s="1">
        <v>45723</v>
      </c>
      <c r="B384" s="7">
        <v>1326.05</v>
      </c>
      <c r="C384" s="3">
        <v>5533217</v>
      </c>
      <c r="E384" s="5">
        <v>45723</v>
      </c>
      <c r="F384" s="4">
        <v>45300</v>
      </c>
      <c r="G384" s="4">
        <v>3823661561</v>
      </c>
      <c r="H384" s="4">
        <v>44950</v>
      </c>
      <c r="I384" s="4">
        <v>4107412004</v>
      </c>
      <c r="J384" s="4">
        <v>18200</v>
      </c>
      <c r="K384" s="4">
        <v>2272318410</v>
      </c>
      <c r="L384" s="4">
        <v>0</v>
      </c>
      <c r="M384" s="4">
        <v>1793300377</v>
      </c>
      <c r="N384" s="4">
        <v>97000</v>
      </c>
      <c r="O384" s="4">
        <v>541611334</v>
      </c>
      <c r="Q384" s="3"/>
      <c r="R384" s="3">
        <f t="shared" si="137"/>
        <v>11279801604950</v>
      </c>
      <c r="S384" s="3">
        <f t="shared" si="117"/>
        <v>5545006205400</v>
      </c>
      <c r="T384" s="3">
        <f t="shared" si="118"/>
        <v>795311443500</v>
      </c>
      <c r="U384" s="3">
        <f t="shared" si="138"/>
        <v>0</v>
      </c>
      <c r="V384" s="3">
        <f t="shared" si="120"/>
        <v>270805667000</v>
      </c>
      <c r="X384" s="2">
        <f t="shared" si="121"/>
        <v>11279.80160495</v>
      </c>
      <c r="Y384" s="2">
        <f t="shared" si="122"/>
        <v>5545.0062054</v>
      </c>
      <c r="Z384" s="2">
        <f t="shared" si="123"/>
        <v>795.3114435</v>
      </c>
      <c r="AA384" s="2">
        <f t="shared" si="124"/>
        <v>0</v>
      </c>
      <c r="AB384" s="2">
        <f t="shared" si="125"/>
        <v>270.80566700000003</v>
      </c>
      <c r="AC384" s="2"/>
      <c r="AD384" s="8">
        <f t="shared" si="126"/>
        <v>2.7032310166158244</v>
      </c>
      <c r="AE384" s="8">
        <f t="shared" si="127"/>
        <v>1.3288737946584601</v>
      </c>
      <c r="AF384" s="8">
        <f t="shared" si="128"/>
        <v>0.19059826025621251</v>
      </c>
      <c r="AG384" s="8">
        <f t="shared" si="129"/>
        <v>0</v>
      </c>
      <c r="AH384" s="11">
        <f t="shared" si="130"/>
        <v>6.4899215797242865E-2</v>
      </c>
      <c r="AI384" s="8">
        <f t="shared" si="131"/>
        <v>4.2227030715304972</v>
      </c>
      <c r="AJ384" s="9">
        <f t="shared" si="132"/>
        <v>9.796061498787811</v>
      </c>
      <c r="AK384" s="9"/>
      <c r="AL384" s="7">
        <f t="shared" si="133"/>
        <v>1316.2539385012121</v>
      </c>
      <c r="AM384" s="42">
        <f t="shared" si="134"/>
        <v>15.956837594451109</v>
      </c>
    </row>
    <row r="385" spans="1:39" x14ac:dyDescent="0.25">
      <c r="A385" s="1">
        <v>45722</v>
      </c>
      <c r="B385" s="7">
        <v>1318.22</v>
      </c>
      <c r="C385" s="3">
        <v>5500551</v>
      </c>
      <c r="E385" s="5">
        <v>45722</v>
      </c>
      <c r="F385" s="4">
        <v>42350</v>
      </c>
      <c r="G385" s="4">
        <v>3823661561</v>
      </c>
      <c r="H385" s="4">
        <v>43600</v>
      </c>
      <c r="I385" s="4">
        <v>4107412004</v>
      </c>
      <c r="J385" s="4">
        <v>17850</v>
      </c>
      <c r="K385" s="4">
        <v>2272318410</v>
      </c>
      <c r="L385" s="4">
        <v>0</v>
      </c>
      <c r="M385" s="4">
        <v>1793300377</v>
      </c>
      <c r="N385" s="4">
        <v>96500</v>
      </c>
      <c r="O385" s="4">
        <v>541611334</v>
      </c>
      <c r="Q385" s="3"/>
      <c r="R385" s="3">
        <f t="shared" si="137"/>
        <v>382366156100</v>
      </c>
      <c r="S385" s="3">
        <f t="shared" si="117"/>
        <v>3696670803600</v>
      </c>
      <c r="T385" s="3">
        <f t="shared" si="118"/>
        <v>227231841000</v>
      </c>
      <c r="U385" s="3">
        <f t="shared" si="138"/>
        <v>0</v>
      </c>
      <c r="V385" s="3">
        <f t="shared" si="120"/>
        <v>54161133400</v>
      </c>
      <c r="X385" s="2">
        <f t="shared" si="121"/>
        <v>382.36615610000001</v>
      </c>
      <c r="Y385" s="2">
        <f t="shared" si="122"/>
        <v>3696.6708036</v>
      </c>
      <c r="Z385" s="2">
        <f t="shared" si="123"/>
        <v>227.231841</v>
      </c>
      <c r="AA385" s="2">
        <f t="shared" si="124"/>
        <v>0</v>
      </c>
      <c r="AB385" s="2">
        <f t="shared" si="125"/>
        <v>54.161133399999997</v>
      </c>
      <c r="AC385" s="2"/>
      <c r="AD385" s="8">
        <f t="shared" si="126"/>
        <v>9.1645195922974612E-2</v>
      </c>
      <c r="AE385" s="8">
        <f t="shared" si="127"/>
        <v>0.88601492222564948</v>
      </c>
      <c r="AF385" s="8">
        <f t="shared" si="128"/>
        <v>5.446273488424782E-2</v>
      </c>
      <c r="AG385" s="8">
        <f t="shared" si="129"/>
        <v>0</v>
      </c>
      <c r="AH385" s="11">
        <f t="shared" si="130"/>
        <v>1.2981294507025447E-2</v>
      </c>
      <c r="AI385" s="8">
        <f t="shared" si="131"/>
        <v>1.0321228530328719</v>
      </c>
      <c r="AJ385" s="9">
        <f t="shared" si="132"/>
        <v>5.5733584272573138</v>
      </c>
      <c r="AK385" s="9"/>
      <c r="AL385" s="7">
        <f t="shared" si="133"/>
        <v>1312.6466415727427</v>
      </c>
      <c r="AM385" s="42">
        <f t="shared" si="134"/>
        <v>15.308285730014456</v>
      </c>
    </row>
    <row r="386" spans="1:39" x14ac:dyDescent="0.25">
      <c r="A386" s="1">
        <v>45721</v>
      </c>
      <c r="B386" s="7">
        <v>1304.71</v>
      </c>
      <c r="C386" s="3">
        <v>5443569</v>
      </c>
      <c r="E386" s="5">
        <v>45721</v>
      </c>
      <c r="F386" s="4">
        <v>42250</v>
      </c>
      <c r="G386" s="4">
        <v>3823661561</v>
      </c>
      <c r="H386" s="4">
        <v>42700</v>
      </c>
      <c r="I386" s="4">
        <v>4107412004</v>
      </c>
      <c r="J386" s="4">
        <v>17750</v>
      </c>
      <c r="K386" s="4">
        <v>2272318410</v>
      </c>
      <c r="L386" s="4">
        <v>0</v>
      </c>
      <c r="M386" s="4">
        <v>1793300377</v>
      </c>
      <c r="N386" s="4">
        <v>96400</v>
      </c>
      <c r="O386" s="4">
        <v>541611334</v>
      </c>
      <c r="Q386" s="3"/>
      <c r="R386" s="3">
        <f t="shared" si="137"/>
        <v>1147098468300</v>
      </c>
      <c r="S386" s="3">
        <f t="shared" si="117"/>
        <v>2669817802600</v>
      </c>
      <c r="T386" s="3">
        <f t="shared" si="118"/>
        <v>113615920500</v>
      </c>
      <c r="U386" s="3">
        <f t="shared" si="138"/>
        <v>0</v>
      </c>
      <c r="V386" s="3">
        <f t="shared" si="120"/>
        <v>-216644533600</v>
      </c>
      <c r="X386" s="2">
        <f t="shared" si="121"/>
        <v>1147.0984682999999</v>
      </c>
      <c r="Y386" s="2">
        <f t="shared" si="122"/>
        <v>2669.8178026000001</v>
      </c>
      <c r="Z386" s="2">
        <f t="shared" si="123"/>
        <v>113.6159205</v>
      </c>
      <c r="AA386" s="2">
        <f t="shared" si="124"/>
        <v>0</v>
      </c>
      <c r="AB386" s="2">
        <f t="shared" si="125"/>
        <v>-216.64453359999999</v>
      </c>
      <c r="AC386" s="2"/>
      <c r="AD386" s="8">
        <f t="shared" si="126"/>
        <v>0.2749363492336942</v>
      </c>
      <c r="AE386" s="8">
        <f t="shared" si="127"/>
        <v>0.63990143832534285</v>
      </c>
      <c r="AF386" s="8">
        <f t="shared" si="128"/>
        <v>2.72314428624328E-2</v>
      </c>
      <c r="AG386" s="8">
        <f t="shared" si="129"/>
        <v>0</v>
      </c>
      <c r="AH386" s="11">
        <f t="shared" si="130"/>
        <v>-5.1925321840672875E-2</v>
      </c>
      <c r="AI386" s="8">
        <f t="shared" si="131"/>
        <v>0.94206923042146984</v>
      </c>
      <c r="AJ386" s="9">
        <f t="shared" si="132"/>
        <v>4.5412355742244417</v>
      </c>
      <c r="AK386" s="9"/>
      <c r="AL386" s="7">
        <f t="shared" si="133"/>
        <v>1300.1687644257756</v>
      </c>
      <c r="AM386" s="42">
        <f t="shared" si="134"/>
        <v>14.855113770265493</v>
      </c>
    </row>
    <row r="387" spans="1:39" x14ac:dyDescent="0.25">
      <c r="A387" s="1">
        <v>45720</v>
      </c>
      <c r="B387" s="7">
        <v>1311.91</v>
      </c>
      <c r="C387" s="3">
        <v>5473594</v>
      </c>
      <c r="E387" s="5">
        <v>45720</v>
      </c>
      <c r="F387" s="4">
        <v>41950</v>
      </c>
      <c r="G387" s="4">
        <v>3823661561</v>
      </c>
      <c r="H387" s="4">
        <v>42050</v>
      </c>
      <c r="I387" s="4">
        <v>4107412004</v>
      </c>
      <c r="J387" s="4">
        <v>17700</v>
      </c>
      <c r="K387" s="4">
        <v>2272318410</v>
      </c>
      <c r="L387" s="4">
        <v>0</v>
      </c>
      <c r="M387" s="4">
        <v>1793300377</v>
      </c>
      <c r="N387" s="4">
        <v>96800</v>
      </c>
      <c r="O387" s="4">
        <v>541611334</v>
      </c>
      <c r="Q387" s="3"/>
      <c r="R387" s="3">
        <f t="shared" si="137"/>
        <v>-382366156100</v>
      </c>
      <c r="S387" s="3">
        <f t="shared" si="117"/>
        <v>-2053706002000</v>
      </c>
      <c r="T387" s="3">
        <f t="shared" si="118"/>
        <v>0</v>
      </c>
      <c r="U387" s="3">
        <f t="shared" si="138"/>
        <v>0</v>
      </c>
      <c r="V387" s="3">
        <f t="shared" si="120"/>
        <v>-54161133400</v>
      </c>
      <c r="X387" s="2">
        <f t="shared" si="121"/>
        <v>-382.36615610000001</v>
      </c>
      <c r="Y387" s="2">
        <f t="shared" si="122"/>
        <v>-2053.7060019999999</v>
      </c>
      <c r="Z387" s="2">
        <f t="shared" si="123"/>
        <v>0</v>
      </c>
      <c r="AA387" s="2">
        <f t="shared" si="124"/>
        <v>0</v>
      </c>
      <c r="AB387" s="2">
        <f t="shared" si="125"/>
        <v>-54.161133399999997</v>
      </c>
      <c r="AC387" s="2"/>
      <c r="AD387" s="8">
        <f t="shared" si="126"/>
        <v>-9.173400222265897E-2</v>
      </c>
      <c r="AE387" s="8">
        <f t="shared" si="127"/>
        <v>-0.49270749501921213</v>
      </c>
      <c r="AF387" s="8">
        <f t="shared" si="128"/>
        <v>0</v>
      </c>
      <c r="AG387" s="8">
        <f t="shared" si="129"/>
        <v>0</v>
      </c>
      <c r="AH387" s="11">
        <f t="shared" si="130"/>
        <v>-1.2993873679546946E-2</v>
      </c>
      <c r="AI387" s="8">
        <f t="shared" si="131"/>
        <v>-0.58444149724187111</v>
      </c>
      <c r="AJ387" s="9">
        <f t="shared" si="132"/>
        <v>3.5991663438029717</v>
      </c>
      <c r="AK387" s="9"/>
      <c r="AL387" s="7">
        <f t="shared" si="133"/>
        <v>1308.310833656197</v>
      </c>
      <c r="AM387" s="42">
        <f t="shared" si="134"/>
        <v>15.064759054204707</v>
      </c>
    </row>
    <row r="388" spans="1:39" x14ac:dyDescent="0.25">
      <c r="A388" s="1">
        <v>45719</v>
      </c>
      <c r="B388" s="7">
        <v>1309.3699999999999</v>
      </c>
      <c r="C388" s="3">
        <v>5457723</v>
      </c>
      <c r="E388" s="5">
        <v>45719</v>
      </c>
      <c r="F388" s="4">
        <v>42050</v>
      </c>
      <c r="G388" s="4">
        <v>3823661561</v>
      </c>
      <c r="H388" s="4">
        <v>42550</v>
      </c>
      <c r="I388" s="4">
        <v>4107412004</v>
      </c>
      <c r="J388" s="4">
        <v>17700</v>
      </c>
      <c r="K388" s="4">
        <v>2272318410</v>
      </c>
      <c r="L388" s="4">
        <v>0</v>
      </c>
      <c r="M388" s="4">
        <v>1793300377</v>
      </c>
      <c r="N388" s="4">
        <v>96900</v>
      </c>
      <c r="O388" s="4">
        <v>541611334</v>
      </c>
      <c r="Q388" s="3"/>
      <c r="R388" s="3">
        <f t="shared" si="137"/>
        <v>3250112326850</v>
      </c>
      <c r="S388" s="3">
        <f t="shared" si="117"/>
        <v>5545006205400</v>
      </c>
      <c r="T388" s="3">
        <f t="shared" si="118"/>
        <v>681695523000</v>
      </c>
      <c r="U388" s="3">
        <f t="shared" si="138"/>
        <v>0</v>
      </c>
      <c r="V388" s="3">
        <f t="shared" si="120"/>
        <v>487450200600</v>
      </c>
      <c r="X388" s="2">
        <f t="shared" si="121"/>
        <v>3250.11232685</v>
      </c>
      <c r="Y388" s="2">
        <f t="shared" si="122"/>
        <v>5545.0062054</v>
      </c>
      <c r="Z388" s="2">
        <f t="shared" si="123"/>
        <v>681.69552299999998</v>
      </c>
      <c r="AA388" s="2">
        <f t="shared" si="124"/>
        <v>0</v>
      </c>
      <c r="AB388" s="2">
        <f t="shared" si="125"/>
        <v>487.45020060000002</v>
      </c>
      <c r="AC388" s="2"/>
      <c r="AD388" s="8">
        <f t="shared" si="126"/>
        <v>0.77973994991674622</v>
      </c>
      <c r="AE388" s="8">
        <f t="shared" si="127"/>
        <v>1.3303118249691774</v>
      </c>
      <c r="AF388" s="8">
        <f t="shared" si="128"/>
        <v>0.16354672685348762</v>
      </c>
      <c r="AG388" s="8">
        <f t="shared" si="129"/>
        <v>0</v>
      </c>
      <c r="AH388" s="11">
        <f t="shared" si="130"/>
        <v>0.11694500275045221</v>
      </c>
      <c r="AI388" s="8">
        <f t="shared" si="131"/>
        <v>2.2735985017394116</v>
      </c>
      <c r="AJ388" s="9">
        <f t="shared" si="132"/>
        <v>4.183607841044843</v>
      </c>
      <c r="AK388" s="9"/>
      <c r="AL388" s="7">
        <f t="shared" si="133"/>
        <v>1305.186392158955</v>
      </c>
      <c r="AM388" s="42">
        <f t="shared" si="134"/>
        <v>14.849832121731605</v>
      </c>
    </row>
    <row r="389" spans="1:39" x14ac:dyDescent="0.25">
      <c r="A389" s="1">
        <v>45716</v>
      </c>
      <c r="B389" s="7">
        <v>1305.3599999999999</v>
      </c>
      <c r="C389" s="3">
        <v>5441002</v>
      </c>
      <c r="E389" s="5">
        <v>45716</v>
      </c>
      <c r="F389" s="4">
        <v>41200</v>
      </c>
      <c r="G389" s="4">
        <v>3823661561</v>
      </c>
      <c r="H389" s="4">
        <v>41200</v>
      </c>
      <c r="I389" s="4">
        <v>4107412004</v>
      </c>
      <c r="J389" s="4">
        <v>17400</v>
      </c>
      <c r="K389" s="4">
        <v>2272318410</v>
      </c>
      <c r="L389" s="4">
        <v>0</v>
      </c>
      <c r="M389" s="4">
        <v>1793300377</v>
      </c>
      <c r="N389" s="4">
        <v>96000</v>
      </c>
      <c r="O389" s="4">
        <v>541611334</v>
      </c>
      <c r="Q389" s="3"/>
      <c r="R389" s="3">
        <f t="shared" si="137"/>
        <v>573549234150</v>
      </c>
      <c r="S389" s="3">
        <f t="shared" si="117"/>
        <v>616111800600</v>
      </c>
      <c r="T389" s="3">
        <f t="shared" si="118"/>
        <v>454463682000</v>
      </c>
      <c r="U389" s="3">
        <f t="shared" si="138"/>
        <v>0</v>
      </c>
      <c r="V389" s="3">
        <f t="shared" si="120"/>
        <v>-487450200600</v>
      </c>
      <c r="X389" s="2">
        <f t="shared" si="121"/>
        <v>573.54923414999996</v>
      </c>
      <c r="Y389" s="2">
        <f t="shared" si="122"/>
        <v>616.11180060000004</v>
      </c>
      <c r="Z389" s="2">
        <f t="shared" si="123"/>
        <v>454.46368200000001</v>
      </c>
      <c r="AA389" s="2">
        <f t="shared" si="124"/>
        <v>0</v>
      </c>
      <c r="AB389" s="2">
        <f t="shared" si="125"/>
        <v>-487.45020060000002</v>
      </c>
      <c r="AC389" s="2"/>
      <c r="AD389" s="8">
        <f t="shared" si="126"/>
        <v>0.13760196047421447</v>
      </c>
      <c r="AE389" s="8">
        <f t="shared" si="127"/>
        <v>0.14781327667449437</v>
      </c>
      <c r="AF389" s="8">
        <f t="shared" si="128"/>
        <v>0.10903177946041022</v>
      </c>
      <c r="AG389" s="8">
        <f t="shared" si="129"/>
        <v>0</v>
      </c>
      <c r="AH389" s="11">
        <f t="shared" si="130"/>
        <v>-0.11694567657389159</v>
      </c>
      <c r="AI389" s="8">
        <f t="shared" si="131"/>
        <v>0.39444701660911907</v>
      </c>
      <c r="AJ389" s="9">
        <f t="shared" si="132"/>
        <v>1.9100093393054309</v>
      </c>
      <c r="AK389" s="9"/>
      <c r="AL389" s="7">
        <f t="shared" si="133"/>
        <v>1303.4499906606945</v>
      </c>
      <c r="AM389" s="42">
        <f t="shared" si="134"/>
        <v>15.498519002087592</v>
      </c>
    </row>
    <row r="390" spans="1:39" x14ac:dyDescent="0.25">
      <c r="A390" s="1">
        <v>45715</v>
      </c>
      <c r="B390" s="7">
        <v>1307.8</v>
      </c>
      <c r="C390" s="3">
        <v>5451141</v>
      </c>
      <c r="E390" s="5">
        <v>45715</v>
      </c>
      <c r="F390" s="4">
        <v>41050</v>
      </c>
      <c r="G390" s="4">
        <v>3823661561</v>
      </c>
      <c r="H390" s="4">
        <v>41050</v>
      </c>
      <c r="I390" s="4">
        <v>4107412004</v>
      </c>
      <c r="J390" s="4">
        <v>17200</v>
      </c>
      <c r="K390" s="4">
        <v>2272318410</v>
      </c>
      <c r="L390" s="4">
        <v>0</v>
      </c>
      <c r="M390" s="4">
        <v>1793300377</v>
      </c>
      <c r="N390" s="4">
        <v>96900</v>
      </c>
      <c r="O390" s="4">
        <v>541611334</v>
      </c>
      <c r="Q390" s="3"/>
      <c r="R390" s="3">
        <f t="shared" si="137"/>
        <v>191183078050</v>
      </c>
      <c r="S390" s="3">
        <f t="shared" si="117"/>
        <v>1437594201400</v>
      </c>
      <c r="T390" s="3">
        <f t="shared" si="118"/>
        <v>113615920500</v>
      </c>
      <c r="U390" s="3">
        <f t="shared" si="138"/>
        <v>0</v>
      </c>
      <c r="V390" s="3">
        <f t="shared" si="120"/>
        <v>-108322266800</v>
      </c>
      <c r="X390" s="2">
        <f t="shared" si="121"/>
        <v>191.18307805000001</v>
      </c>
      <c r="Y390" s="2">
        <f t="shared" si="122"/>
        <v>1437.5942014</v>
      </c>
      <c r="Z390" s="2">
        <f t="shared" si="123"/>
        <v>113.6159205</v>
      </c>
      <c r="AA390" s="2">
        <f t="shared" si="124"/>
        <v>0</v>
      </c>
      <c r="AB390" s="2">
        <f t="shared" si="125"/>
        <v>-108.32226679999999</v>
      </c>
      <c r="AC390" s="2"/>
      <c r="AD390" s="8">
        <f t="shared" si="126"/>
        <v>4.5871328657428788E-2</v>
      </c>
      <c r="AE390" s="8">
        <f t="shared" si="127"/>
        <v>0.3449277873389342</v>
      </c>
      <c r="AF390" s="8">
        <f t="shared" si="128"/>
        <v>2.7260327028570931E-2</v>
      </c>
      <c r="AG390" s="8">
        <f t="shared" si="129"/>
        <v>0</v>
      </c>
      <c r="AH390" s="11">
        <f t="shared" si="130"/>
        <v>-2.5990199299966165E-2</v>
      </c>
      <c r="AI390" s="8">
        <f t="shared" si="131"/>
        <v>0.41805944302493392</v>
      </c>
      <c r="AJ390" s="9">
        <f t="shared" si="132"/>
        <v>1.515562322696312</v>
      </c>
      <c r="AK390" s="9"/>
      <c r="AL390" s="7">
        <f t="shared" si="133"/>
        <v>1306.2844376773037</v>
      </c>
      <c r="AM390" s="42">
        <f t="shared" si="134"/>
        <v>15.094504243717022</v>
      </c>
    </row>
    <row r="391" spans="1:39" x14ac:dyDescent="0.25">
      <c r="A391" s="1">
        <v>45714</v>
      </c>
      <c r="B391" s="7">
        <v>1302.96</v>
      </c>
      <c r="C391" s="3">
        <v>5430492.437582491</v>
      </c>
      <c r="E391" s="5">
        <v>45714</v>
      </c>
      <c r="F391" s="4">
        <v>41000</v>
      </c>
      <c r="G391" s="4">
        <v>3823661561</v>
      </c>
      <c r="H391" s="4">
        <v>40700</v>
      </c>
      <c r="I391" s="4">
        <v>4107412004</v>
      </c>
      <c r="J391" s="4">
        <v>17150</v>
      </c>
      <c r="K391" s="4">
        <v>2272318410</v>
      </c>
      <c r="L391" s="4">
        <v>0</v>
      </c>
      <c r="M391" s="4">
        <v>1793300377</v>
      </c>
      <c r="N391" s="4">
        <v>97100</v>
      </c>
      <c r="O391" s="4">
        <v>541611334</v>
      </c>
      <c r="Q391" s="3"/>
      <c r="R391" s="3">
        <f t="shared" si="137"/>
        <v>1147098468300</v>
      </c>
      <c r="S391" s="3">
        <f t="shared" si="117"/>
        <v>-205370600200</v>
      </c>
      <c r="T391" s="3">
        <f t="shared" si="118"/>
        <v>-227231841000</v>
      </c>
      <c r="U391" s="3">
        <f t="shared" si="138"/>
        <v>0</v>
      </c>
      <c r="V391" s="3">
        <f t="shared" si="120"/>
        <v>541611334000</v>
      </c>
      <c r="X391" s="2">
        <f t="shared" si="121"/>
        <v>1147.0984682999999</v>
      </c>
      <c r="Y391" s="2">
        <f t="shared" si="122"/>
        <v>-205.37060020000001</v>
      </c>
      <c r="Z391" s="2">
        <f t="shared" si="123"/>
        <v>-227.231841</v>
      </c>
      <c r="AA391" s="2">
        <f t="shared" si="124"/>
        <v>0</v>
      </c>
      <c r="AB391" s="2">
        <f t="shared" si="125"/>
        <v>541.61133400000006</v>
      </c>
      <c r="AC391" s="2"/>
      <c r="AD391" s="8">
        <f t="shared" si="126"/>
        <v>0.27522797194457266</v>
      </c>
      <c r="AE391" s="8">
        <f t="shared" si="127"/>
        <v>-4.9275398191276319E-2</v>
      </c>
      <c r="AF391" s="8">
        <f t="shared" si="128"/>
        <v>-5.4520654057141849E-2</v>
      </c>
      <c r="AG391" s="8">
        <f t="shared" si="129"/>
        <v>0</v>
      </c>
      <c r="AH391" s="11">
        <f t="shared" si="130"/>
        <v>0.12995099649983083</v>
      </c>
      <c r="AI391" s="8">
        <f t="shared" si="131"/>
        <v>0.17143191969615448</v>
      </c>
      <c r="AJ391" s="9">
        <f t="shared" si="132"/>
        <v>1.0975028796713782</v>
      </c>
      <c r="AK391" s="9"/>
      <c r="AL391" s="7">
        <f t="shared" si="133"/>
        <v>1301.8624971203287</v>
      </c>
      <c r="AM391" s="42">
        <f t="shared" si="134"/>
        <v>14.4526449362818</v>
      </c>
    </row>
    <row r="392" spans="1:39" x14ac:dyDescent="0.25">
      <c r="A392" s="1">
        <v>45713</v>
      </c>
      <c r="B392" s="7">
        <v>1303.1600000000001</v>
      </c>
      <c r="C392" s="3">
        <v>5431326</v>
      </c>
      <c r="E392" s="5">
        <v>45713</v>
      </c>
      <c r="F392" s="4">
        <v>40700</v>
      </c>
      <c r="G392" s="4">
        <v>3823661561</v>
      </c>
      <c r="H392" s="4">
        <v>40750</v>
      </c>
      <c r="I392" s="4">
        <v>4107412004</v>
      </c>
      <c r="J392" s="4">
        <v>17250</v>
      </c>
      <c r="K392" s="4">
        <v>2272318410</v>
      </c>
      <c r="L392" s="4">
        <v>0</v>
      </c>
      <c r="M392" s="4">
        <v>1793300377</v>
      </c>
      <c r="N392" s="4">
        <v>96100</v>
      </c>
      <c r="O392" s="4">
        <v>541611334</v>
      </c>
      <c r="Q392" s="3"/>
      <c r="R392" s="3">
        <f t="shared" si="137"/>
        <v>382366156100</v>
      </c>
      <c r="S392" s="3">
        <f t="shared" ref="S392:S426" si="139">I392*H392-I393*H393</f>
        <v>2053706002000</v>
      </c>
      <c r="T392" s="3">
        <f t="shared" ref="T392:T426" si="140">K392*J392-K393*J393</f>
        <v>-227231841000</v>
      </c>
      <c r="U392" s="3">
        <f t="shared" si="138"/>
        <v>0</v>
      </c>
      <c r="V392" s="3">
        <f t="shared" ref="V392:V426" si="141">O392*N392-O393*N393</f>
        <v>-270805667000</v>
      </c>
      <c r="X392" s="2">
        <f t="shared" ref="X392:X426" si="142">R392/10^9</f>
        <v>382.36615610000001</v>
      </c>
      <c r="Y392" s="2">
        <f t="shared" ref="Y392:Y426" si="143">S392/10^9</f>
        <v>2053.7060019999999</v>
      </c>
      <c r="Z392" s="2">
        <f t="shared" ref="Z392:Z426" si="144">T392/10^9</f>
        <v>-227.231841</v>
      </c>
      <c r="AA392" s="2">
        <f t="shared" ref="AA392:AA426" si="145">U392/10^9</f>
        <v>0</v>
      </c>
      <c r="AB392" s="2">
        <f t="shared" ref="AB392:AB426" si="146">V392/10^9</f>
        <v>-270.80566700000003</v>
      </c>
      <c r="AC392" s="2"/>
      <c r="AD392" s="8">
        <f t="shared" ref="AD392:AD425" si="147">X392/$C393*$B393</f>
        <v>9.1742841856821314E-2</v>
      </c>
      <c r="AE392" s="8">
        <f t="shared" ref="AE392:AE425" si="148">Y392/$C393*$B393</f>
        <v>0.49275497309603739</v>
      </c>
      <c r="AF392" s="8">
        <f t="shared" ref="AF392:AF425" si="149">Z392/$C393*$B393</f>
        <v>-5.4520763726393424E-2</v>
      </c>
      <c r="AG392" s="8">
        <f t="shared" ref="AG392:AG425" si="150">AA392/$C393*$B393</f>
        <v>0</v>
      </c>
      <c r="AH392" s="11">
        <f t="shared" ref="AH392:AH425" si="151">AB392/$C393*$B393</f>
        <v>-6.4975628949269379E-2</v>
      </c>
      <c r="AI392" s="8">
        <f t="shared" ref="AI392:AI425" si="152">SUM(AD392:AG392)</f>
        <v>0.52997705122646521</v>
      </c>
      <c r="AJ392" s="9">
        <f t="shared" ref="AJ392:AJ455" si="153">AI392+AJ393</f>
        <v>0.92607095997522371</v>
      </c>
      <c r="AK392" s="9"/>
      <c r="AL392" s="7">
        <f t="shared" ref="AL392:AL426" si="154">B392-AJ392</f>
        <v>1302.2339290400248</v>
      </c>
      <c r="AM392" s="42">
        <f t="shared" ref="AM392:AM455" si="155">_xlfn.STDEV.S(AL392:AL411)</f>
        <v>15.312555065051981</v>
      </c>
    </row>
    <row r="393" spans="1:39" x14ac:dyDescent="0.25">
      <c r="A393" s="1">
        <v>45712</v>
      </c>
      <c r="B393" s="7">
        <v>1304.56</v>
      </c>
      <c r="C393" s="3">
        <v>5437150</v>
      </c>
      <c r="E393" s="5">
        <v>45712</v>
      </c>
      <c r="F393" s="4">
        <v>40600</v>
      </c>
      <c r="G393" s="4">
        <v>3823661561</v>
      </c>
      <c r="H393" s="4">
        <v>40250</v>
      </c>
      <c r="I393" s="4">
        <v>4107412004</v>
      </c>
      <c r="J393" s="4">
        <v>17350</v>
      </c>
      <c r="K393" s="4">
        <v>2272318410</v>
      </c>
      <c r="L393" s="4">
        <v>0</v>
      </c>
      <c r="M393" s="4">
        <v>1793300377</v>
      </c>
      <c r="N393" s="4">
        <v>96600</v>
      </c>
      <c r="O393" s="4">
        <v>541611334</v>
      </c>
      <c r="Q393" s="3"/>
      <c r="R393" s="3">
        <f t="shared" si="137"/>
        <v>-191183078050</v>
      </c>
      <c r="S393" s="3">
        <f t="shared" si="139"/>
        <v>-205370600200</v>
      </c>
      <c r="T393" s="3">
        <f t="shared" si="140"/>
        <v>227231841000</v>
      </c>
      <c r="U393" s="3">
        <f t="shared" si="138"/>
        <v>0</v>
      </c>
      <c r="V393" s="3">
        <f t="shared" si="141"/>
        <v>0</v>
      </c>
      <c r="X393" s="2">
        <f t="shared" si="142"/>
        <v>-191.18307805000001</v>
      </c>
      <c r="Y393" s="2">
        <f t="shared" si="143"/>
        <v>-205.37060020000001</v>
      </c>
      <c r="Z393" s="2">
        <f t="shared" si="144"/>
        <v>227.231841</v>
      </c>
      <c r="AA393" s="2">
        <f t="shared" si="145"/>
        <v>0</v>
      </c>
      <c r="AB393" s="2">
        <f t="shared" si="146"/>
        <v>0</v>
      </c>
      <c r="AC393" s="2"/>
      <c r="AD393" s="8">
        <f t="shared" si="147"/>
        <v>-4.5871238050057078E-2</v>
      </c>
      <c r="AE393" s="8">
        <f t="shared" si="148"/>
        <v>-4.9275300860014054E-2</v>
      </c>
      <c r="AF393" s="8">
        <f t="shared" si="149"/>
        <v>5.4520546365184538E-2</v>
      </c>
      <c r="AG393" s="8">
        <f t="shared" si="150"/>
        <v>0</v>
      </c>
      <c r="AH393" s="11">
        <f t="shared" si="151"/>
        <v>0</v>
      </c>
      <c r="AI393" s="8">
        <f t="shared" si="152"/>
        <v>-4.0625992544886594E-2</v>
      </c>
      <c r="AJ393" s="9">
        <f t="shared" si="153"/>
        <v>0.39609390874875844</v>
      </c>
      <c r="AK393" s="9"/>
      <c r="AL393" s="7">
        <f t="shared" si="154"/>
        <v>1304.1639060912512</v>
      </c>
      <c r="AM393" s="42">
        <f t="shared" si="155"/>
        <v>15.257150700288202</v>
      </c>
    </row>
    <row r="394" spans="1:39" x14ac:dyDescent="0.25">
      <c r="A394" s="1">
        <v>45709</v>
      </c>
      <c r="B394" s="7">
        <v>1296.75</v>
      </c>
      <c r="C394" s="3">
        <v>5404621</v>
      </c>
      <c r="E394" s="5">
        <v>45709</v>
      </c>
      <c r="F394" s="4">
        <v>40650</v>
      </c>
      <c r="G394" s="4">
        <v>3823661561</v>
      </c>
      <c r="H394" s="4">
        <v>40300</v>
      </c>
      <c r="I394" s="4">
        <v>4107412004</v>
      </c>
      <c r="J394" s="4">
        <v>17250</v>
      </c>
      <c r="K394" s="4">
        <v>2272318410</v>
      </c>
      <c r="L394" s="4">
        <v>0</v>
      </c>
      <c r="M394" s="4">
        <v>1793300377</v>
      </c>
      <c r="N394" s="4">
        <v>96600</v>
      </c>
      <c r="O394" s="4">
        <v>541611334</v>
      </c>
      <c r="Q394" s="3"/>
      <c r="R394" s="3">
        <f t="shared" si="137"/>
        <v>-1147098468300</v>
      </c>
      <c r="S394" s="3">
        <f t="shared" si="139"/>
        <v>-1026853001000</v>
      </c>
      <c r="T394" s="3">
        <f t="shared" si="140"/>
        <v>-227231841000</v>
      </c>
      <c r="U394" s="3">
        <f t="shared" si="138"/>
        <v>0</v>
      </c>
      <c r="V394" s="3">
        <f t="shared" si="141"/>
        <v>-162483400200</v>
      </c>
      <c r="X394" s="2">
        <f t="shared" si="142"/>
        <v>-1147.0984682999999</v>
      </c>
      <c r="Y394" s="2">
        <f t="shared" si="143"/>
        <v>-1026.8530009999999</v>
      </c>
      <c r="Z394" s="2">
        <f t="shared" si="144"/>
        <v>-227.231841</v>
      </c>
      <c r="AA394" s="2">
        <f t="shared" si="145"/>
        <v>0</v>
      </c>
      <c r="AB394" s="2">
        <f t="shared" si="146"/>
        <v>-162.48340020000001</v>
      </c>
      <c r="AC394" s="2"/>
      <c r="AD394" s="8">
        <f t="shared" si="147"/>
        <v>-0.27523439060745825</v>
      </c>
      <c r="AE394" s="8">
        <f t="shared" si="148"/>
        <v>-0.24638273677806002</v>
      </c>
      <c r="AF394" s="8">
        <f t="shared" si="149"/>
        <v>-5.4521925547449397E-2</v>
      </c>
      <c r="AG394" s="8">
        <f t="shared" si="150"/>
        <v>0</v>
      </c>
      <c r="AH394" s="11">
        <f t="shared" si="151"/>
        <v>-3.8986208136212855E-2</v>
      </c>
      <c r="AI394" s="8">
        <f t="shared" si="152"/>
        <v>-0.57613905293296763</v>
      </c>
      <c r="AJ394" s="9">
        <f t="shared" si="153"/>
        <v>0.43671990129364502</v>
      </c>
      <c r="AK394" s="9"/>
      <c r="AL394" s="7">
        <f t="shared" si="154"/>
        <v>1296.3132800987064</v>
      </c>
      <c r="AM394" s="42">
        <f t="shared" si="155"/>
        <v>14.140945529890653</v>
      </c>
    </row>
    <row r="395" spans="1:39" x14ac:dyDescent="0.25">
      <c r="A395" s="1">
        <v>45708</v>
      </c>
      <c r="B395" s="7">
        <v>1292.98</v>
      </c>
      <c r="C395" s="3">
        <v>5388772</v>
      </c>
      <c r="E395" s="5">
        <v>45708</v>
      </c>
      <c r="F395" s="4">
        <v>40950</v>
      </c>
      <c r="G395" s="4">
        <v>3823661561</v>
      </c>
      <c r="H395" s="4">
        <v>40550</v>
      </c>
      <c r="I395" s="4">
        <v>4107412004</v>
      </c>
      <c r="J395" s="4">
        <v>17350</v>
      </c>
      <c r="K395" s="4">
        <v>2272318410</v>
      </c>
      <c r="L395" s="4">
        <v>0</v>
      </c>
      <c r="M395" s="4">
        <v>1793300377</v>
      </c>
      <c r="N395" s="4">
        <v>96900</v>
      </c>
      <c r="O395" s="4">
        <v>541611334</v>
      </c>
      <c r="Q395" s="3"/>
      <c r="R395" s="3">
        <f t="shared" si="137"/>
        <v>2103013858550</v>
      </c>
      <c r="S395" s="3">
        <f t="shared" si="139"/>
        <v>5955747405800</v>
      </c>
      <c r="T395" s="3">
        <f t="shared" si="140"/>
        <v>340847761500</v>
      </c>
      <c r="U395" s="3">
        <f t="shared" si="138"/>
        <v>0</v>
      </c>
      <c r="V395" s="3">
        <f t="shared" si="141"/>
        <v>-270805667000</v>
      </c>
      <c r="X395" s="2">
        <f t="shared" si="142"/>
        <v>2103.0138585499999</v>
      </c>
      <c r="Y395" s="2">
        <f t="shared" si="143"/>
        <v>5955.7474057999998</v>
      </c>
      <c r="Z395" s="2">
        <f t="shared" si="144"/>
        <v>340.84776149999999</v>
      </c>
      <c r="AA395" s="2">
        <f t="shared" si="145"/>
        <v>0</v>
      </c>
      <c r="AB395" s="2">
        <f t="shared" si="146"/>
        <v>-270.80566700000003</v>
      </c>
      <c r="AC395" s="2"/>
      <c r="AD395" s="8">
        <f t="shared" si="147"/>
        <v>0.50459720024780319</v>
      </c>
      <c r="AE395" s="8">
        <f t="shared" si="148"/>
        <v>1.4290221883853296</v>
      </c>
      <c r="AF395" s="8">
        <f t="shared" si="149"/>
        <v>8.1783020812909127E-2</v>
      </c>
      <c r="AG395" s="8">
        <f t="shared" si="150"/>
        <v>0</v>
      </c>
      <c r="AH395" s="11">
        <f t="shared" si="151"/>
        <v>-6.497711882586249E-2</v>
      </c>
      <c r="AI395" s="8">
        <f t="shared" si="152"/>
        <v>2.0154024094460419</v>
      </c>
      <c r="AJ395" s="9">
        <f t="shared" si="153"/>
        <v>1.0128589542266127</v>
      </c>
      <c r="AK395" s="9"/>
      <c r="AL395" s="7">
        <f t="shared" si="154"/>
        <v>1291.9671410457734</v>
      </c>
      <c r="AM395" s="42">
        <f t="shared" si="155"/>
        <v>13.410758272642973</v>
      </c>
    </row>
    <row r="396" spans="1:39" x14ac:dyDescent="0.25">
      <c r="A396" s="1">
        <v>45707</v>
      </c>
      <c r="B396" s="7">
        <v>1288.56</v>
      </c>
      <c r="C396" s="3">
        <v>5370342</v>
      </c>
      <c r="E396" s="5">
        <v>45707</v>
      </c>
      <c r="F396" s="4">
        <v>40400</v>
      </c>
      <c r="G396" s="4">
        <v>3823661561</v>
      </c>
      <c r="H396" s="4">
        <v>39100</v>
      </c>
      <c r="I396" s="4">
        <v>4107412004</v>
      </c>
      <c r="J396" s="4">
        <v>17200</v>
      </c>
      <c r="K396" s="4">
        <v>2272318410</v>
      </c>
      <c r="L396" s="4">
        <v>0</v>
      </c>
      <c r="M396" s="4">
        <v>1793300377</v>
      </c>
      <c r="N396" s="4">
        <v>97400</v>
      </c>
      <c r="O396" s="4">
        <v>541611334</v>
      </c>
      <c r="Q396" s="3"/>
      <c r="R396" s="3">
        <f t="shared" si="137"/>
        <v>764732312200</v>
      </c>
      <c r="S396" s="3">
        <f t="shared" si="139"/>
        <v>821482400800</v>
      </c>
      <c r="T396" s="3">
        <f t="shared" si="140"/>
        <v>795311443500</v>
      </c>
      <c r="U396" s="3">
        <f t="shared" si="138"/>
        <v>0</v>
      </c>
      <c r="V396" s="3">
        <f t="shared" si="141"/>
        <v>0</v>
      </c>
      <c r="X396" s="2">
        <f t="shared" si="142"/>
        <v>764.73231220000002</v>
      </c>
      <c r="Y396" s="2">
        <f t="shared" si="143"/>
        <v>821.48240080000005</v>
      </c>
      <c r="Z396" s="2">
        <f t="shared" si="144"/>
        <v>795.3114435</v>
      </c>
      <c r="AA396" s="2">
        <f t="shared" si="145"/>
        <v>0</v>
      </c>
      <c r="AB396" s="2">
        <f t="shared" si="146"/>
        <v>0</v>
      </c>
      <c r="AC396" s="2"/>
      <c r="AD396" s="8">
        <f t="shared" si="147"/>
        <v>0.18348863308772845</v>
      </c>
      <c r="AE396" s="8">
        <f t="shared" si="148"/>
        <v>0.19710515748286628</v>
      </c>
      <c r="AF396" s="8">
        <f t="shared" si="149"/>
        <v>0.19082574035223715</v>
      </c>
      <c r="AG396" s="8">
        <f t="shared" si="150"/>
        <v>0</v>
      </c>
      <c r="AH396" s="11">
        <f t="shared" si="151"/>
        <v>0</v>
      </c>
      <c r="AI396" s="8">
        <f t="shared" si="152"/>
        <v>0.57141953092283182</v>
      </c>
      <c r="AJ396" s="9">
        <f t="shared" si="153"/>
        <v>-1.0025434552194292</v>
      </c>
      <c r="AK396" s="9"/>
      <c r="AL396" s="7">
        <f t="shared" si="154"/>
        <v>1289.5625434552194</v>
      </c>
      <c r="AM396" s="42">
        <f t="shared" si="155"/>
        <v>13.220184241184437</v>
      </c>
    </row>
    <row r="397" spans="1:39" x14ac:dyDescent="0.25">
      <c r="A397" s="1">
        <v>45706</v>
      </c>
      <c r="B397" s="7">
        <v>1278.1400000000001</v>
      </c>
      <c r="C397" s="3">
        <v>5326951</v>
      </c>
      <c r="E397" s="5">
        <v>45706</v>
      </c>
      <c r="F397" s="4">
        <v>40200</v>
      </c>
      <c r="G397" s="4">
        <v>3823661561</v>
      </c>
      <c r="H397" s="4">
        <v>38900</v>
      </c>
      <c r="I397" s="4">
        <v>4107412004</v>
      </c>
      <c r="J397" s="4">
        <v>16850</v>
      </c>
      <c r="K397" s="4">
        <v>2272318410</v>
      </c>
      <c r="L397" s="4">
        <v>0</v>
      </c>
      <c r="M397" s="4">
        <v>1793300414</v>
      </c>
      <c r="N397" s="4">
        <v>97400</v>
      </c>
      <c r="O397" s="4">
        <v>541611334</v>
      </c>
      <c r="Q397" s="3"/>
      <c r="R397" s="3">
        <f t="shared" si="137"/>
        <v>382366156100</v>
      </c>
      <c r="S397" s="3">
        <f t="shared" si="139"/>
        <v>410741200400</v>
      </c>
      <c r="T397" s="3">
        <f t="shared" si="140"/>
        <v>908927364000</v>
      </c>
      <c r="U397" s="3">
        <f t="shared" si="138"/>
        <v>0</v>
      </c>
      <c r="V397" s="3">
        <f t="shared" si="141"/>
        <v>-54161133400</v>
      </c>
      <c r="X397" s="2">
        <f t="shared" si="142"/>
        <v>382.36615610000001</v>
      </c>
      <c r="Y397" s="2">
        <f t="shared" si="143"/>
        <v>410.74120040000003</v>
      </c>
      <c r="Z397" s="2">
        <f t="shared" si="144"/>
        <v>908.92736400000001</v>
      </c>
      <c r="AA397" s="2">
        <f t="shared" si="145"/>
        <v>0</v>
      </c>
      <c r="AB397" s="2">
        <f t="shared" si="146"/>
        <v>-54.161133399999997</v>
      </c>
      <c r="AC397" s="2"/>
      <c r="AD397" s="8">
        <f t="shared" si="147"/>
        <v>9.1744625573226768E-2</v>
      </c>
      <c r="AE397" s="8">
        <f t="shared" si="148"/>
        <v>9.8552910703583338E-2</v>
      </c>
      <c r="AF397" s="8">
        <f t="shared" si="149"/>
        <v>0.21808729500011312</v>
      </c>
      <c r="AG397" s="8">
        <f t="shared" si="150"/>
        <v>0</v>
      </c>
      <c r="AH397" s="11">
        <f t="shared" si="151"/>
        <v>-1.2995378448465636E-2</v>
      </c>
      <c r="AI397" s="8">
        <f t="shared" si="152"/>
        <v>0.40838483127692327</v>
      </c>
      <c r="AJ397" s="9">
        <f t="shared" si="153"/>
        <v>-1.573962986142261</v>
      </c>
      <c r="AK397" s="9"/>
      <c r="AL397" s="7">
        <f t="shared" si="154"/>
        <v>1279.7139629861424</v>
      </c>
      <c r="AM397" s="42">
        <f t="shared" si="155"/>
        <v>13.357438757302802</v>
      </c>
    </row>
    <row r="398" spans="1:39" x14ac:dyDescent="0.25">
      <c r="A398" s="1">
        <v>45705</v>
      </c>
      <c r="B398" s="7">
        <v>1272.72</v>
      </c>
      <c r="C398" s="3">
        <v>5304344</v>
      </c>
      <c r="E398" s="5">
        <v>45705</v>
      </c>
      <c r="F398" s="4">
        <v>40100</v>
      </c>
      <c r="G398" s="4">
        <v>3823661561</v>
      </c>
      <c r="H398" s="4">
        <v>38800</v>
      </c>
      <c r="I398" s="4">
        <v>4107412004</v>
      </c>
      <c r="J398" s="4">
        <v>16450</v>
      </c>
      <c r="K398" s="4">
        <v>2272318410</v>
      </c>
      <c r="L398" s="4">
        <v>0</v>
      </c>
      <c r="M398" s="4">
        <v>1793300414</v>
      </c>
      <c r="N398" s="4">
        <v>97500</v>
      </c>
      <c r="O398" s="4">
        <v>541611334</v>
      </c>
      <c r="Q398" s="3"/>
      <c r="R398" s="3">
        <f t="shared" ref="R398:R426" si="156">G398*F398-G399*F399</f>
        <v>-573549234150</v>
      </c>
      <c r="S398" s="3">
        <f t="shared" si="139"/>
        <v>0</v>
      </c>
      <c r="T398" s="3">
        <f t="shared" si="140"/>
        <v>-340847761500</v>
      </c>
      <c r="U398" s="3">
        <f t="shared" si="138"/>
        <v>0</v>
      </c>
      <c r="V398" s="3">
        <f t="shared" si="141"/>
        <v>433289067200</v>
      </c>
      <c r="X398" s="2">
        <f t="shared" si="142"/>
        <v>-573.54923414999996</v>
      </c>
      <c r="Y398" s="2">
        <f t="shared" si="143"/>
        <v>0</v>
      </c>
      <c r="Z398" s="2">
        <f t="shared" si="144"/>
        <v>-340.84776149999999</v>
      </c>
      <c r="AA398" s="2">
        <f t="shared" si="145"/>
        <v>0</v>
      </c>
      <c r="AB398" s="2">
        <f t="shared" si="146"/>
        <v>433.28906719999998</v>
      </c>
      <c r="AC398" s="2"/>
      <c r="AD398" s="8">
        <f t="shared" si="147"/>
        <v>-0.13761692666860686</v>
      </c>
      <c r="AE398" s="8">
        <f t="shared" si="148"/>
        <v>0</v>
      </c>
      <c r="AF398" s="8">
        <f t="shared" si="149"/>
        <v>-8.1782728677198255E-2</v>
      </c>
      <c r="AG398" s="8">
        <f t="shared" si="150"/>
        <v>0</v>
      </c>
      <c r="AH398" s="11">
        <f t="shared" si="151"/>
        <v>0.10396301875555641</v>
      </c>
      <c r="AI398" s="8">
        <f t="shared" si="152"/>
        <v>-0.21939965534580513</v>
      </c>
      <c r="AJ398" s="9">
        <f t="shared" si="153"/>
        <v>-1.9823478174191844</v>
      </c>
      <c r="AK398" s="9"/>
      <c r="AL398" s="7">
        <f t="shared" si="154"/>
        <v>1274.7023478174192</v>
      </c>
      <c r="AM398" s="42">
        <f t="shared" si="155"/>
        <v>14.565070930049705</v>
      </c>
    </row>
    <row r="399" spans="1:39" x14ac:dyDescent="0.25">
      <c r="A399" s="1">
        <v>45702</v>
      </c>
      <c r="B399" s="7">
        <v>1276.08</v>
      </c>
      <c r="C399" s="3">
        <v>5318348</v>
      </c>
      <c r="E399" s="5">
        <v>45702</v>
      </c>
      <c r="F399" s="4">
        <v>40250</v>
      </c>
      <c r="G399" s="4">
        <v>3823661561</v>
      </c>
      <c r="H399" s="4">
        <v>38800</v>
      </c>
      <c r="I399" s="4">
        <v>4107412004</v>
      </c>
      <c r="J399" s="4">
        <v>16600</v>
      </c>
      <c r="K399" s="4">
        <v>2272318410</v>
      </c>
      <c r="L399" s="4">
        <v>0</v>
      </c>
      <c r="M399" s="4">
        <v>1793300414</v>
      </c>
      <c r="N399" s="4">
        <v>96700</v>
      </c>
      <c r="O399" s="4">
        <v>541611334</v>
      </c>
      <c r="Q399" s="3"/>
      <c r="R399" s="3">
        <f t="shared" si="156"/>
        <v>0</v>
      </c>
      <c r="S399" s="3">
        <f t="shared" si="139"/>
        <v>205370600200</v>
      </c>
      <c r="T399" s="3">
        <f t="shared" si="140"/>
        <v>-113615920500</v>
      </c>
      <c r="U399" s="3">
        <f t="shared" si="138"/>
        <v>0</v>
      </c>
      <c r="V399" s="3">
        <f t="shared" si="141"/>
        <v>270805667000</v>
      </c>
      <c r="X399" s="2">
        <f t="shared" si="142"/>
        <v>0</v>
      </c>
      <c r="Y399" s="2">
        <f t="shared" si="143"/>
        <v>205.37060020000001</v>
      </c>
      <c r="Z399" s="2">
        <f t="shared" si="144"/>
        <v>-113.6159205</v>
      </c>
      <c r="AA399" s="2">
        <f t="shared" si="145"/>
        <v>0</v>
      </c>
      <c r="AB399" s="2">
        <f t="shared" si="146"/>
        <v>270.80566700000003</v>
      </c>
      <c r="AC399" s="2"/>
      <c r="AD399" s="8">
        <f t="shared" si="147"/>
        <v>0</v>
      </c>
      <c r="AE399" s="8">
        <f t="shared" si="148"/>
        <v>4.9276562358934017E-2</v>
      </c>
      <c r="AF399" s="8">
        <f t="shared" si="149"/>
        <v>-2.7260971073920733E-2</v>
      </c>
      <c r="AG399" s="8">
        <f t="shared" si="150"/>
        <v>0</v>
      </c>
      <c r="AH399" s="11">
        <f t="shared" si="151"/>
        <v>6.4977033344026922E-2</v>
      </c>
      <c r="AI399" s="8">
        <f t="shared" si="152"/>
        <v>2.2015591285013285E-2</v>
      </c>
      <c r="AJ399" s="9">
        <f t="shared" si="153"/>
        <v>-1.7629481620733793</v>
      </c>
      <c r="AK399" s="9"/>
      <c r="AL399" s="7">
        <f t="shared" si="154"/>
        <v>1277.8429481620733</v>
      </c>
      <c r="AM399" s="42">
        <f t="shared" si="155"/>
        <v>15.066675855191612</v>
      </c>
    </row>
    <row r="400" spans="1:39" x14ac:dyDescent="0.25">
      <c r="A400" s="1">
        <v>45701</v>
      </c>
      <c r="B400" s="7">
        <v>1270.3499999999999</v>
      </c>
      <c r="C400" s="3">
        <v>5294455</v>
      </c>
      <c r="E400" s="5">
        <v>45701</v>
      </c>
      <c r="F400" s="4">
        <v>40250</v>
      </c>
      <c r="G400" s="4">
        <v>3823661561</v>
      </c>
      <c r="H400" s="4">
        <v>38750</v>
      </c>
      <c r="I400" s="4">
        <v>4107412004</v>
      </c>
      <c r="J400" s="4">
        <v>16650</v>
      </c>
      <c r="K400" s="4">
        <v>2272318410</v>
      </c>
      <c r="L400" s="4">
        <v>0</v>
      </c>
      <c r="M400" s="4">
        <v>1793300414</v>
      </c>
      <c r="N400" s="4">
        <v>96200</v>
      </c>
      <c r="O400" s="4">
        <v>541611334</v>
      </c>
      <c r="Q400" s="3"/>
      <c r="R400" s="3">
        <f t="shared" si="156"/>
        <v>1338281546350</v>
      </c>
      <c r="S400" s="3">
        <f t="shared" si="139"/>
        <v>3080559003000</v>
      </c>
      <c r="T400" s="3">
        <f t="shared" si="140"/>
        <v>568079602500</v>
      </c>
      <c r="U400" s="3">
        <f t="shared" si="138"/>
        <v>0</v>
      </c>
      <c r="V400" s="3">
        <f t="shared" si="141"/>
        <v>54161133400</v>
      </c>
      <c r="X400" s="2">
        <f t="shared" si="142"/>
        <v>1338.2815463500001</v>
      </c>
      <c r="Y400" s="2">
        <f t="shared" si="143"/>
        <v>3080.5590029999998</v>
      </c>
      <c r="Z400" s="2">
        <f t="shared" si="144"/>
        <v>568.07960249999996</v>
      </c>
      <c r="AA400" s="2">
        <f t="shared" si="145"/>
        <v>0</v>
      </c>
      <c r="AB400" s="2">
        <f t="shared" si="146"/>
        <v>54.161133399999997</v>
      </c>
      <c r="AC400" s="2"/>
      <c r="AD400" s="8">
        <f t="shared" si="147"/>
        <v>0.32110433658947429</v>
      </c>
      <c r="AE400" s="8">
        <f t="shared" si="148"/>
        <v>0.73914256509096876</v>
      </c>
      <c r="AF400" s="8">
        <f t="shared" si="149"/>
        <v>0.13630377284083722</v>
      </c>
      <c r="AG400" s="8">
        <f t="shared" si="150"/>
        <v>0</v>
      </c>
      <c r="AH400" s="11">
        <f t="shared" si="151"/>
        <v>1.299530345970463E-2</v>
      </c>
      <c r="AI400" s="8">
        <f t="shared" si="152"/>
        <v>1.1965506745212802</v>
      </c>
      <c r="AJ400" s="9">
        <f t="shared" si="153"/>
        <v>-1.7849637533583926</v>
      </c>
      <c r="AK400" s="9"/>
      <c r="AL400" s="7">
        <f t="shared" si="154"/>
        <v>1272.1349637533583</v>
      </c>
      <c r="AM400" s="42">
        <f t="shared" si="155"/>
        <v>15.499712127766134</v>
      </c>
    </row>
    <row r="401" spans="1:39" x14ac:dyDescent="0.25">
      <c r="A401" s="1">
        <v>45700</v>
      </c>
      <c r="B401" s="7">
        <v>1266.9100000000001</v>
      </c>
      <c r="C401" s="3">
        <v>5280160</v>
      </c>
      <c r="E401" s="5">
        <v>45700</v>
      </c>
      <c r="F401" s="4">
        <v>39900</v>
      </c>
      <c r="G401" s="4">
        <v>3823661561</v>
      </c>
      <c r="H401" s="4">
        <v>38000</v>
      </c>
      <c r="I401" s="4">
        <v>4107412004</v>
      </c>
      <c r="J401" s="4">
        <v>16400</v>
      </c>
      <c r="K401" s="4">
        <v>2272318410</v>
      </c>
      <c r="L401" s="4">
        <v>0</v>
      </c>
      <c r="M401" s="4">
        <v>1793300414</v>
      </c>
      <c r="N401" s="4">
        <v>96100</v>
      </c>
      <c r="O401" s="4">
        <v>541611334</v>
      </c>
      <c r="Q401" s="3"/>
      <c r="R401" s="3">
        <f t="shared" si="156"/>
        <v>-191183078050</v>
      </c>
      <c r="S401" s="3">
        <f t="shared" si="139"/>
        <v>1026853001000</v>
      </c>
      <c r="T401" s="3">
        <f t="shared" si="140"/>
        <v>0</v>
      </c>
      <c r="U401" s="3">
        <f t="shared" si="138"/>
        <v>0</v>
      </c>
      <c r="V401" s="3">
        <f t="shared" si="141"/>
        <v>-216644533600</v>
      </c>
      <c r="X401" s="2">
        <f t="shared" si="142"/>
        <v>-191.18307805000001</v>
      </c>
      <c r="Y401" s="2">
        <f t="shared" si="143"/>
        <v>1026.8530009999999</v>
      </c>
      <c r="Z401" s="2">
        <f t="shared" si="144"/>
        <v>0</v>
      </c>
      <c r="AA401" s="2">
        <f t="shared" si="145"/>
        <v>0</v>
      </c>
      <c r="AB401" s="2">
        <f t="shared" si="146"/>
        <v>-216.64453359999999</v>
      </c>
      <c r="AC401" s="2"/>
      <c r="AD401" s="8">
        <f t="shared" si="147"/>
        <v>-4.5900624999649364E-2</v>
      </c>
      <c r="AE401" s="8">
        <f t="shared" si="148"/>
        <v>0.24653434294189394</v>
      </c>
      <c r="AF401" s="8">
        <f t="shared" si="149"/>
        <v>0</v>
      </c>
      <c r="AG401" s="8">
        <f t="shared" si="150"/>
        <v>0</v>
      </c>
      <c r="AH401" s="11">
        <f t="shared" si="151"/>
        <v>-5.2013596581999041E-2</v>
      </c>
      <c r="AI401" s="8">
        <f t="shared" si="152"/>
        <v>0.20063371794224458</v>
      </c>
      <c r="AJ401" s="9">
        <f t="shared" si="153"/>
        <v>-2.9815144278796728</v>
      </c>
      <c r="AK401" s="9"/>
      <c r="AL401" s="7">
        <f t="shared" si="154"/>
        <v>1269.8915144278797</v>
      </c>
      <c r="AM401" s="42">
        <f t="shared" si="155"/>
        <v>15.166117697268248</v>
      </c>
    </row>
    <row r="402" spans="1:39" x14ac:dyDescent="0.25">
      <c r="A402" s="1">
        <v>45699</v>
      </c>
      <c r="B402" s="7">
        <v>1268.45</v>
      </c>
      <c r="C402" s="3">
        <v>5283287</v>
      </c>
      <c r="E402" s="5">
        <v>45699</v>
      </c>
      <c r="F402" s="4">
        <v>39950</v>
      </c>
      <c r="G402" s="4">
        <v>3823661561</v>
      </c>
      <c r="H402" s="4">
        <v>37750</v>
      </c>
      <c r="I402" s="4">
        <v>4107412004</v>
      </c>
      <c r="J402" s="4">
        <v>16400</v>
      </c>
      <c r="K402" s="4">
        <v>2272318410</v>
      </c>
      <c r="L402" s="4">
        <v>0</v>
      </c>
      <c r="M402" s="4">
        <v>1793300414</v>
      </c>
      <c r="N402" s="4">
        <v>96500</v>
      </c>
      <c r="O402" s="4">
        <v>541611334</v>
      </c>
      <c r="Q402" s="3"/>
      <c r="R402" s="3">
        <f t="shared" si="156"/>
        <v>-191183078050</v>
      </c>
      <c r="S402" s="3">
        <f t="shared" si="139"/>
        <v>-205370600200</v>
      </c>
      <c r="T402" s="3">
        <f t="shared" si="140"/>
        <v>-454463682000</v>
      </c>
      <c r="U402" s="3">
        <f t="shared" si="138"/>
        <v>0</v>
      </c>
      <c r="V402" s="3">
        <f t="shared" si="141"/>
        <v>-162483400200</v>
      </c>
      <c r="X402" s="2">
        <f t="shared" si="142"/>
        <v>-191.18307805000001</v>
      </c>
      <c r="Y402" s="2">
        <f t="shared" si="143"/>
        <v>-205.37060020000001</v>
      </c>
      <c r="Z402" s="2">
        <f t="shared" si="144"/>
        <v>-454.46368200000001</v>
      </c>
      <c r="AA402" s="2">
        <f t="shared" si="145"/>
        <v>0</v>
      </c>
      <c r="AB402" s="2">
        <f t="shared" si="146"/>
        <v>-162.48340020000001</v>
      </c>
      <c r="AC402" s="2"/>
      <c r="AD402" s="8">
        <f t="shared" si="147"/>
        <v>-4.5900580172177685E-2</v>
      </c>
      <c r="AE402" s="8">
        <f t="shared" si="148"/>
        <v>-4.9306820434301249E-2</v>
      </c>
      <c r="AF402" s="8">
        <f t="shared" si="149"/>
        <v>-0.10911084225523622</v>
      </c>
      <c r="AG402" s="8">
        <f t="shared" si="150"/>
        <v>0</v>
      </c>
      <c r="AH402" s="11">
        <f t="shared" si="151"/>
        <v>-3.9010159338357463E-2</v>
      </c>
      <c r="AI402" s="8">
        <f t="shared" si="152"/>
        <v>-0.20431824286171515</v>
      </c>
      <c r="AJ402" s="9">
        <f t="shared" si="153"/>
        <v>-3.1821481458219174</v>
      </c>
      <c r="AK402" s="9"/>
      <c r="AL402" s="7">
        <f t="shared" si="154"/>
        <v>1271.6321481458219</v>
      </c>
      <c r="AM402" s="42">
        <f t="shared" si="155"/>
        <v>14.731924531044632</v>
      </c>
    </row>
    <row r="403" spans="1:39" x14ac:dyDescent="0.25">
      <c r="A403" s="1">
        <v>45698</v>
      </c>
      <c r="B403" s="7">
        <v>1263.26</v>
      </c>
      <c r="C403" s="3">
        <v>5261675</v>
      </c>
      <c r="E403" s="5">
        <v>45698</v>
      </c>
      <c r="F403" s="4">
        <v>40000</v>
      </c>
      <c r="G403" s="4">
        <v>3823661561</v>
      </c>
      <c r="H403" s="4">
        <v>37800</v>
      </c>
      <c r="I403" s="4">
        <v>4107412004</v>
      </c>
      <c r="J403" s="4">
        <v>16600</v>
      </c>
      <c r="K403" s="4">
        <v>2272318410</v>
      </c>
      <c r="L403" s="4">
        <v>0</v>
      </c>
      <c r="M403" s="4">
        <v>1793300414</v>
      </c>
      <c r="N403" s="4">
        <v>96800</v>
      </c>
      <c r="O403" s="4">
        <v>541611334</v>
      </c>
      <c r="Q403" s="3"/>
      <c r="R403" s="3">
        <f t="shared" si="156"/>
        <v>-2485380014650</v>
      </c>
      <c r="S403" s="3">
        <f t="shared" si="139"/>
        <v>-3902041403800</v>
      </c>
      <c r="T403" s="3">
        <f t="shared" si="140"/>
        <v>-568079602500</v>
      </c>
      <c r="U403" s="3">
        <f t="shared" si="138"/>
        <v>0</v>
      </c>
      <c r="V403" s="3">
        <f t="shared" si="141"/>
        <v>-704094734200</v>
      </c>
      <c r="X403" s="2">
        <f t="shared" si="142"/>
        <v>-2485.3800146499998</v>
      </c>
      <c r="Y403" s="2">
        <f t="shared" si="143"/>
        <v>-3902.0414037999999</v>
      </c>
      <c r="Z403" s="2">
        <f t="shared" si="144"/>
        <v>-568.07960249999996</v>
      </c>
      <c r="AA403" s="2">
        <f t="shared" si="145"/>
        <v>0</v>
      </c>
      <c r="AB403" s="2">
        <f t="shared" si="146"/>
        <v>-704.09473419999995</v>
      </c>
      <c r="AC403" s="2"/>
      <c r="AD403" s="8">
        <f t="shared" si="147"/>
        <v>-0.59670731338552163</v>
      </c>
      <c r="AE403" s="8">
        <f t="shared" si="148"/>
        <v>-0.93682922895332665</v>
      </c>
      <c r="AF403" s="8">
        <f t="shared" si="149"/>
        <v>-0.13638850051050483</v>
      </c>
      <c r="AG403" s="8">
        <f t="shared" si="150"/>
        <v>0</v>
      </c>
      <c r="AH403" s="11">
        <f t="shared" si="151"/>
        <v>-0.16904395896679017</v>
      </c>
      <c r="AI403" s="8">
        <f t="shared" si="152"/>
        <v>-1.6699250428493531</v>
      </c>
      <c r="AJ403" s="9">
        <f t="shared" si="153"/>
        <v>-2.9778299029602024</v>
      </c>
      <c r="AK403" s="9"/>
      <c r="AL403" s="7">
        <f t="shared" si="154"/>
        <v>1266.2378299029601</v>
      </c>
      <c r="AM403" s="42">
        <f t="shared" si="155"/>
        <v>14.150389487949292</v>
      </c>
    </row>
    <row r="404" spans="1:39" x14ac:dyDescent="0.25">
      <c r="A404" s="1">
        <v>45695</v>
      </c>
      <c r="B404" s="7">
        <v>1275.2</v>
      </c>
      <c r="C404" s="3">
        <v>5311409</v>
      </c>
      <c r="E404" s="5">
        <v>45695</v>
      </c>
      <c r="F404" s="4">
        <v>40650</v>
      </c>
      <c r="G404" s="4">
        <v>3823661561</v>
      </c>
      <c r="H404" s="4">
        <v>38750</v>
      </c>
      <c r="I404" s="4">
        <v>4107412004</v>
      </c>
      <c r="J404" s="4">
        <v>16850</v>
      </c>
      <c r="K404" s="4">
        <v>2272318410</v>
      </c>
      <c r="L404" s="4">
        <v>0</v>
      </c>
      <c r="M404" s="4">
        <v>1793300414</v>
      </c>
      <c r="N404" s="4">
        <v>98100</v>
      </c>
      <c r="O404" s="4">
        <v>541611334</v>
      </c>
      <c r="Q404" s="3"/>
      <c r="R404" s="3">
        <f t="shared" si="156"/>
        <v>764732312200</v>
      </c>
      <c r="S404" s="3">
        <f t="shared" si="139"/>
        <v>-205370600200</v>
      </c>
      <c r="T404" s="3">
        <f t="shared" si="140"/>
        <v>340847761500</v>
      </c>
      <c r="U404" s="3">
        <f t="shared" si="138"/>
        <v>0</v>
      </c>
      <c r="V404" s="3">
        <f t="shared" si="141"/>
        <v>54161133400</v>
      </c>
      <c r="X404" s="2">
        <f t="shared" si="142"/>
        <v>764.73231220000002</v>
      </c>
      <c r="Y404" s="2">
        <f t="shared" si="143"/>
        <v>-205.37060020000001</v>
      </c>
      <c r="Z404" s="2">
        <f t="shared" si="144"/>
        <v>340.84776149999999</v>
      </c>
      <c r="AA404" s="2">
        <f t="shared" si="145"/>
        <v>0</v>
      </c>
      <c r="AB404" s="2">
        <f t="shared" si="146"/>
        <v>54.161133399999997</v>
      </c>
      <c r="AC404" s="2"/>
      <c r="AD404" s="8">
        <f t="shared" si="147"/>
        <v>0.18360341561981022</v>
      </c>
      <c r="AE404" s="8">
        <f t="shared" si="148"/>
        <v>-4.9307114480536103E-2</v>
      </c>
      <c r="AF404" s="8">
        <f t="shared" si="149"/>
        <v>8.1833619711624936E-2</v>
      </c>
      <c r="AG404" s="8">
        <f t="shared" si="150"/>
        <v>0</v>
      </c>
      <c r="AH404" s="11">
        <f t="shared" si="151"/>
        <v>1.3003463993135796E-2</v>
      </c>
      <c r="AI404" s="8">
        <f t="shared" si="152"/>
        <v>0.21612992085089905</v>
      </c>
      <c r="AJ404" s="9">
        <f t="shared" si="153"/>
        <v>-1.3079048601108494</v>
      </c>
      <c r="AK404" s="9"/>
      <c r="AL404" s="7">
        <f t="shared" si="154"/>
        <v>1276.5079048601108</v>
      </c>
      <c r="AM404" s="42">
        <f t="shared" si="155"/>
        <v>13.809553115781565</v>
      </c>
    </row>
    <row r="405" spans="1:39" x14ac:dyDescent="0.25">
      <c r="A405" s="1">
        <v>45694</v>
      </c>
      <c r="B405" s="7">
        <v>1271.48</v>
      </c>
      <c r="C405" s="3">
        <v>5295881</v>
      </c>
      <c r="E405" s="5">
        <v>45694</v>
      </c>
      <c r="F405" s="4">
        <v>40450</v>
      </c>
      <c r="G405" s="4">
        <v>3823661561</v>
      </c>
      <c r="H405" s="4">
        <v>38800</v>
      </c>
      <c r="I405" s="4">
        <v>4107412004</v>
      </c>
      <c r="J405" s="4">
        <v>16700</v>
      </c>
      <c r="K405" s="4">
        <v>2272318410</v>
      </c>
      <c r="L405" s="4">
        <v>0</v>
      </c>
      <c r="M405" s="4">
        <v>1793300414</v>
      </c>
      <c r="N405" s="4">
        <v>98000</v>
      </c>
      <c r="O405" s="4">
        <v>541611334</v>
      </c>
      <c r="Q405" s="3"/>
      <c r="R405" s="3">
        <f t="shared" si="156"/>
        <v>1529464624400</v>
      </c>
      <c r="S405" s="3">
        <f t="shared" si="139"/>
        <v>-205370600200</v>
      </c>
      <c r="T405" s="3">
        <f t="shared" si="140"/>
        <v>-340847761500</v>
      </c>
      <c r="U405" s="3">
        <f t="shared" si="138"/>
        <v>0</v>
      </c>
      <c r="V405" s="3">
        <f t="shared" si="141"/>
        <v>162483400200</v>
      </c>
      <c r="X405" s="2">
        <f t="shared" si="142"/>
        <v>1529.4646244</v>
      </c>
      <c r="Y405" s="2">
        <f t="shared" si="143"/>
        <v>-205.37060020000001</v>
      </c>
      <c r="Z405" s="2">
        <f t="shared" si="144"/>
        <v>-340.84776149999999</v>
      </c>
      <c r="AA405" s="2">
        <f t="shared" si="145"/>
        <v>0</v>
      </c>
      <c r="AB405" s="2">
        <f t="shared" si="146"/>
        <v>162.48340020000001</v>
      </c>
      <c r="AC405" s="2"/>
      <c r="AD405" s="8">
        <f t="shared" si="147"/>
        <v>0.36720559553119808</v>
      </c>
      <c r="AE405" s="8">
        <f t="shared" si="148"/>
        <v>-4.9306948554383702E-2</v>
      </c>
      <c r="AF405" s="8">
        <f t="shared" si="149"/>
        <v>-8.1833344328694921E-2</v>
      </c>
      <c r="AG405" s="8">
        <f t="shared" si="150"/>
        <v>0</v>
      </c>
      <c r="AH405" s="11">
        <f t="shared" si="151"/>
        <v>3.9010260703336727E-2</v>
      </c>
      <c r="AI405" s="8">
        <f t="shared" si="152"/>
        <v>0.23606530264811942</v>
      </c>
      <c r="AJ405" s="9">
        <f t="shared" si="153"/>
        <v>-1.5240347809617485</v>
      </c>
      <c r="AK405" s="9"/>
      <c r="AL405" s="7">
        <f t="shared" si="154"/>
        <v>1273.0040347809618</v>
      </c>
      <c r="AM405" s="42">
        <f t="shared" si="155"/>
        <v>12.509105120812555</v>
      </c>
    </row>
    <row r="406" spans="1:39" x14ac:dyDescent="0.25">
      <c r="A406" s="1">
        <v>45693</v>
      </c>
      <c r="B406" s="7">
        <v>1269.6099999999999</v>
      </c>
      <c r="C406" s="3">
        <v>5288110</v>
      </c>
      <c r="E406" s="5">
        <v>45693</v>
      </c>
      <c r="F406" s="4">
        <v>40050</v>
      </c>
      <c r="G406" s="4">
        <v>3823661561</v>
      </c>
      <c r="H406" s="4">
        <v>38850</v>
      </c>
      <c r="I406" s="4">
        <v>4107412004</v>
      </c>
      <c r="J406" s="4">
        <v>16850</v>
      </c>
      <c r="K406" s="4">
        <v>2272318410</v>
      </c>
      <c r="L406" s="4">
        <v>0</v>
      </c>
      <c r="M406" s="4">
        <v>1793300414</v>
      </c>
      <c r="N406" s="4">
        <v>97700</v>
      </c>
      <c r="O406" s="4">
        <v>541611334</v>
      </c>
      <c r="Q406" s="3"/>
      <c r="R406" s="3">
        <f t="shared" si="156"/>
        <v>-191183078050</v>
      </c>
      <c r="S406" s="3">
        <f t="shared" si="139"/>
        <v>410741200400</v>
      </c>
      <c r="T406" s="3">
        <f t="shared" si="140"/>
        <v>1249775125500</v>
      </c>
      <c r="U406" s="3">
        <f t="shared" ref="U406:U426" si="157">M406*L406-M407*L407</f>
        <v>0</v>
      </c>
      <c r="V406" s="3">
        <f t="shared" si="141"/>
        <v>-270805667000</v>
      </c>
      <c r="X406" s="2">
        <f t="shared" si="142"/>
        <v>-191.18307805000001</v>
      </c>
      <c r="Y406" s="2">
        <f t="shared" si="143"/>
        <v>410.74120040000003</v>
      </c>
      <c r="Z406" s="2">
        <f t="shared" si="144"/>
        <v>1249.7751255000001</v>
      </c>
      <c r="AA406" s="2">
        <f t="shared" si="145"/>
        <v>0</v>
      </c>
      <c r="AB406" s="2">
        <f t="shared" si="146"/>
        <v>-270.80566700000003</v>
      </c>
      <c r="AC406" s="2"/>
      <c r="AD406" s="8">
        <f t="shared" si="147"/>
        <v>-4.5900750279212997E-2</v>
      </c>
      <c r="AE406" s="8">
        <f t="shared" si="148"/>
        <v>9.8614006329649548E-2</v>
      </c>
      <c r="AF406" s="8">
        <f t="shared" si="149"/>
        <v>0.30005592820168314</v>
      </c>
      <c r="AG406" s="8">
        <f t="shared" si="150"/>
        <v>0</v>
      </c>
      <c r="AH406" s="11">
        <f t="shared" si="151"/>
        <v>-6.5017173182617419E-2</v>
      </c>
      <c r="AI406" s="8">
        <f t="shared" si="152"/>
        <v>0.35276918425211967</v>
      </c>
      <c r="AJ406" s="9">
        <f t="shared" si="153"/>
        <v>-1.7601000836098679</v>
      </c>
      <c r="AK406" s="9"/>
      <c r="AL406" s="7">
        <f t="shared" si="154"/>
        <v>1271.3701000836097</v>
      </c>
      <c r="AM406" s="42">
        <f t="shared" si="155"/>
        <v>12.20363753474285</v>
      </c>
    </row>
    <row r="407" spans="1:39" x14ac:dyDescent="0.25">
      <c r="A407" s="1">
        <v>45692</v>
      </c>
      <c r="B407" s="7">
        <v>1264.68</v>
      </c>
      <c r="C407" s="3">
        <v>5267570</v>
      </c>
      <c r="E407" s="5">
        <v>45692</v>
      </c>
      <c r="F407" s="4">
        <v>40100</v>
      </c>
      <c r="G407" s="4">
        <v>3823661561</v>
      </c>
      <c r="H407" s="4">
        <v>38750</v>
      </c>
      <c r="I407" s="4">
        <v>4107412004</v>
      </c>
      <c r="J407" s="4">
        <v>16300</v>
      </c>
      <c r="K407" s="4">
        <v>2272318410</v>
      </c>
      <c r="L407" s="4">
        <v>0</v>
      </c>
      <c r="M407" s="4">
        <v>1793300414</v>
      </c>
      <c r="N407" s="4">
        <v>98200</v>
      </c>
      <c r="O407" s="4">
        <v>541611334</v>
      </c>
      <c r="Q407" s="3"/>
      <c r="R407" s="3">
        <f t="shared" si="156"/>
        <v>191183078050</v>
      </c>
      <c r="S407" s="3">
        <f t="shared" si="139"/>
        <v>-1026853001000</v>
      </c>
      <c r="T407" s="3">
        <f t="shared" si="140"/>
        <v>0</v>
      </c>
      <c r="U407" s="3">
        <f t="shared" si="157"/>
        <v>0</v>
      </c>
      <c r="V407" s="3">
        <f t="shared" si="141"/>
        <v>-324966800400</v>
      </c>
      <c r="X407" s="2">
        <f t="shared" si="142"/>
        <v>191.18307805000001</v>
      </c>
      <c r="Y407" s="2">
        <f t="shared" si="143"/>
        <v>-1026.8530009999999</v>
      </c>
      <c r="Z407" s="2">
        <f t="shared" si="144"/>
        <v>0</v>
      </c>
      <c r="AA407" s="2">
        <f t="shared" si="145"/>
        <v>0</v>
      </c>
      <c r="AB407" s="2">
        <f t="shared" si="146"/>
        <v>-324.96680040000001</v>
      </c>
      <c r="AC407" s="2"/>
      <c r="AD407" s="8">
        <f t="shared" si="147"/>
        <v>4.5881463462509195E-2</v>
      </c>
      <c r="AE407" s="8">
        <f t="shared" si="148"/>
        <v>-0.24643142545507005</v>
      </c>
      <c r="AF407" s="8">
        <f t="shared" si="149"/>
        <v>0</v>
      </c>
      <c r="AG407" s="8">
        <f t="shared" si="150"/>
        <v>0</v>
      </c>
      <c r="AH407" s="11">
        <f t="shared" si="151"/>
        <v>-7.7987824713135576E-2</v>
      </c>
      <c r="AI407" s="8">
        <f t="shared" si="152"/>
        <v>-0.20054996199256087</v>
      </c>
      <c r="AJ407" s="9">
        <f t="shared" si="153"/>
        <v>-2.1128692678619876</v>
      </c>
      <c r="AK407" s="9"/>
      <c r="AL407" s="7">
        <f t="shared" si="154"/>
        <v>1266.792869267862</v>
      </c>
      <c r="AM407" s="42">
        <f t="shared" si="155"/>
        <v>11.817537929621448</v>
      </c>
    </row>
    <row r="408" spans="1:39" x14ac:dyDescent="0.25">
      <c r="A408" s="1">
        <v>45691</v>
      </c>
      <c r="B408" s="7">
        <v>1253.03</v>
      </c>
      <c r="C408" s="3">
        <v>5221240</v>
      </c>
      <c r="E408" s="5">
        <v>45691</v>
      </c>
      <c r="F408" s="4">
        <v>40050</v>
      </c>
      <c r="G408" s="4">
        <v>3823661561</v>
      </c>
      <c r="H408" s="4">
        <v>39000</v>
      </c>
      <c r="I408" s="4">
        <v>4107412004</v>
      </c>
      <c r="J408" s="4">
        <v>16300</v>
      </c>
      <c r="K408" s="4">
        <v>2272318410</v>
      </c>
      <c r="L408" s="4">
        <v>0</v>
      </c>
      <c r="M408" s="4">
        <v>1793300414</v>
      </c>
      <c r="N408" s="4">
        <v>98800</v>
      </c>
      <c r="O408" s="4">
        <v>541611334</v>
      </c>
      <c r="Q408" s="3"/>
      <c r="R408" s="3">
        <f t="shared" si="156"/>
        <v>-1338281546350</v>
      </c>
      <c r="S408" s="3">
        <f t="shared" si="139"/>
        <v>-2053706002000</v>
      </c>
      <c r="T408" s="3">
        <f t="shared" si="140"/>
        <v>-568079602500</v>
      </c>
      <c r="U408" s="3">
        <f t="shared" si="157"/>
        <v>0</v>
      </c>
      <c r="V408" s="3">
        <f t="shared" si="141"/>
        <v>-541611334000</v>
      </c>
      <c r="X408" s="2">
        <f t="shared" si="142"/>
        <v>-1338.2815463500001</v>
      </c>
      <c r="Y408" s="2">
        <f t="shared" si="143"/>
        <v>-2053.7060019999999</v>
      </c>
      <c r="Z408" s="2">
        <f t="shared" si="144"/>
        <v>-568.07960249999996</v>
      </c>
      <c r="AA408" s="2">
        <f t="shared" si="145"/>
        <v>0</v>
      </c>
      <c r="AB408" s="2">
        <f t="shared" si="146"/>
        <v>-541.61133400000006</v>
      </c>
      <c r="AC408" s="2"/>
      <c r="AD408" s="8">
        <f t="shared" si="147"/>
        <v>-0.32116957618343644</v>
      </c>
      <c r="AE408" s="8">
        <f t="shared" si="148"/>
        <v>-0.49286182572468801</v>
      </c>
      <c r="AF408" s="8">
        <f t="shared" si="149"/>
        <v>-0.13633146602894577</v>
      </c>
      <c r="AG408" s="8">
        <f t="shared" si="150"/>
        <v>0</v>
      </c>
      <c r="AH408" s="11">
        <f t="shared" si="151"/>
        <v>-0.12997943748933147</v>
      </c>
      <c r="AI408" s="8">
        <f t="shared" si="152"/>
        <v>-0.95036286793707025</v>
      </c>
      <c r="AJ408" s="9">
        <f t="shared" si="153"/>
        <v>-1.9123193058694266</v>
      </c>
      <c r="AK408" s="9"/>
      <c r="AL408" s="7">
        <f t="shared" si="154"/>
        <v>1254.9423193058694</v>
      </c>
      <c r="AM408" s="42">
        <f t="shared" si="155"/>
        <v>11.421764654680279</v>
      </c>
    </row>
    <row r="409" spans="1:39" x14ac:dyDescent="0.25">
      <c r="A409" s="1">
        <v>45681</v>
      </c>
      <c r="B409" s="7">
        <v>1265.05</v>
      </c>
      <c r="C409" s="3">
        <v>5271337</v>
      </c>
      <c r="E409" s="5">
        <v>45681</v>
      </c>
      <c r="F409" s="4">
        <v>40400</v>
      </c>
      <c r="G409" s="4">
        <v>3823661561</v>
      </c>
      <c r="H409" s="4">
        <v>39500</v>
      </c>
      <c r="I409" s="4">
        <v>4107412004</v>
      </c>
      <c r="J409" s="4">
        <v>16550</v>
      </c>
      <c r="K409" s="4">
        <v>2272318410</v>
      </c>
      <c r="L409" s="4">
        <v>0</v>
      </c>
      <c r="M409" s="4">
        <v>1793300414</v>
      </c>
      <c r="N409" s="4">
        <v>99800</v>
      </c>
      <c r="O409" s="4">
        <v>541611334</v>
      </c>
      <c r="Q409" s="3"/>
      <c r="R409" s="3">
        <f t="shared" si="156"/>
        <v>0</v>
      </c>
      <c r="S409" s="3">
        <f t="shared" si="139"/>
        <v>0</v>
      </c>
      <c r="T409" s="3">
        <f t="shared" si="140"/>
        <v>227231841000</v>
      </c>
      <c r="U409" s="3">
        <f t="shared" si="157"/>
        <v>0</v>
      </c>
      <c r="V409" s="3">
        <f t="shared" si="141"/>
        <v>433289067200</v>
      </c>
      <c r="X409" s="2">
        <f t="shared" si="142"/>
        <v>0</v>
      </c>
      <c r="Y409" s="2">
        <f t="shared" si="143"/>
        <v>0</v>
      </c>
      <c r="Z409" s="2">
        <f t="shared" si="144"/>
        <v>227.231841</v>
      </c>
      <c r="AA409" s="2">
        <f t="shared" si="145"/>
        <v>0</v>
      </c>
      <c r="AB409" s="2">
        <f t="shared" si="146"/>
        <v>433.28906719999998</v>
      </c>
      <c r="AC409" s="2"/>
      <c r="AD409" s="8">
        <f t="shared" si="147"/>
        <v>0</v>
      </c>
      <c r="AE409" s="8">
        <f t="shared" si="148"/>
        <v>0</v>
      </c>
      <c r="AF409" s="8">
        <f t="shared" si="149"/>
        <v>5.45311256828497E-2</v>
      </c>
      <c r="AG409" s="8">
        <f t="shared" si="150"/>
        <v>0</v>
      </c>
      <c r="AH409" s="11">
        <f t="shared" si="151"/>
        <v>0.10398076465211542</v>
      </c>
      <c r="AI409" s="8">
        <f t="shared" si="152"/>
        <v>5.45311256828497E-2</v>
      </c>
      <c r="AJ409" s="9">
        <f t="shared" si="153"/>
        <v>-0.9619564379323563</v>
      </c>
      <c r="AK409" s="9"/>
      <c r="AL409" s="7">
        <f t="shared" si="154"/>
        <v>1266.0119564379322</v>
      </c>
      <c r="AM409" s="42">
        <f t="shared" si="155"/>
        <v>11.655050952656772</v>
      </c>
    </row>
    <row r="410" spans="1:39" x14ac:dyDescent="0.25">
      <c r="A410" s="1">
        <v>45680</v>
      </c>
      <c r="B410" s="7">
        <v>1259.6300000000001</v>
      </c>
      <c r="C410" s="3">
        <v>5248893</v>
      </c>
      <c r="E410" s="5">
        <v>45680</v>
      </c>
      <c r="F410" s="4">
        <v>40400</v>
      </c>
      <c r="G410" s="4">
        <v>3823661561</v>
      </c>
      <c r="H410" s="4">
        <v>39500</v>
      </c>
      <c r="I410" s="4">
        <v>4107412004</v>
      </c>
      <c r="J410" s="4">
        <v>16450</v>
      </c>
      <c r="K410" s="4">
        <v>2272318410</v>
      </c>
      <c r="L410" s="4">
        <v>0</v>
      </c>
      <c r="M410" s="4">
        <v>1793300414</v>
      </c>
      <c r="N410" s="4">
        <v>99000</v>
      </c>
      <c r="O410" s="4">
        <v>541611334</v>
      </c>
      <c r="Q410" s="3"/>
      <c r="R410" s="3">
        <f t="shared" si="156"/>
        <v>0</v>
      </c>
      <c r="S410" s="3">
        <f t="shared" si="139"/>
        <v>0</v>
      </c>
      <c r="T410" s="3">
        <f t="shared" si="140"/>
        <v>340847761500</v>
      </c>
      <c r="U410" s="3">
        <f t="shared" si="157"/>
        <v>0</v>
      </c>
      <c r="V410" s="3">
        <f t="shared" si="141"/>
        <v>108322266800</v>
      </c>
      <c r="X410" s="2">
        <f t="shared" si="142"/>
        <v>0</v>
      </c>
      <c r="Y410" s="2">
        <f t="shared" si="143"/>
        <v>0</v>
      </c>
      <c r="Z410" s="2">
        <f t="shared" si="144"/>
        <v>340.84776149999999</v>
      </c>
      <c r="AA410" s="2">
        <f t="shared" si="145"/>
        <v>0</v>
      </c>
      <c r="AB410" s="2">
        <f t="shared" si="146"/>
        <v>108.32226679999999</v>
      </c>
      <c r="AC410" s="2"/>
      <c r="AD410" s="8">
        <f t="shared" si="147"/>
        <v>0</v>
      </c>
      <c r="AE410" s="8">
        <f t="shared" si="148"/>
        <v>0</v>
      </c>
      <c r="AF410" s="8">
        <f t="shared" si="149"/>
        <v>8.179662689950791E-2</v>
      </c>
      <c r="AG410" s="8">
        <f t="shared" si="150"/>
        <v>0</v>
      </c>
      <c r="AH410" s="11">
        <f t="shared" si="151"/>
        <v>2.5995171578524656E-2</v>
      </c>
      <c r="AI410" s="8">
        <f t="shared" si="152"/>
        <v>8.179662689950791E-2</v>
      </c>
      <c r="AJ410" s="9">
        <f t="shared" si="153"/>
        <v>-1.016487563615206</v>
      </c>
      <c r="AK410" s="9"/>
      <c r="AL410" s="7">
        <f t="shared" si="154"/>
        <v>1260.6464875636152</v>
      </c>
      <c r="AM410" s="42">
        <f t="shared" si="155"/>
        <v>11.140404715754832</v>
      </c>
    </row>
    <row r="411" spans="1:39" x14ac:dyDescent="0.25">
      <c r="A411" s="1">
        <v>45679</v>
      </c>
      <c r="B411" s="7">
        <v>1242.53</v>
      </c>
      <c r="C411" s="3">
        <v>5177641</v>
      </c>
      <c r="E411" s="5">
        <v>45679</v>
      </c>
      <c r="F411" s="4">
        <v>40400</v>
      </c>
      <c r="G411" s="4">
        <v>3823661561</v>
      </c>
      <c r="H411" s="4">
        <v>39500</v>
      </c>
      <c r="I411" s="4">
        <v>4107412004</v>
      </c>
      <c r="J411" s="4">
        <v>16300</v>
      </c>
      <c r="K411" s="4">
        <v>2272318410</v>
      </c>
      <c r="L411" s="4">
        <v>0</v>
      </c>
      <c r="M411" s="4">
        <v>1793300414</v>
      </c>
      <c r="N411" s="4">
        <v>98800</v>
      </c>
      <c r="O411" s="4">
        <v>541611334</v>
      </c>
      <c r="Q411" s="3"/>
      <c r="R411" s="3">
        <f t="shared" si="156"/>
        <v>-191183078050</v>
      </c>
      <c r="S411" s="3">
        <f t="shared" si="139"/>
        <v>-2053706002000</v>
      </c>
      <c r="T411" s="3">
        <f t="shared" si="140"/>
        <v>-681695523000</v>
      </c>
      <c r="U411" s="3">
        <f t="shared" si="157"/>
        <v>0</v>
      </c>
      <c r="V411" s="3">
        <f t="shared" si="141"/>
        <v>0</v>
      </c>
      <c r="X411" s="2">
        <f t="shared" si="142"/>
        <v>-191.18307805000001</v>
      </c>
      <c r="Y411" s="2">
        <f t="shared" si="143"/>
        <v>-2053.7060019999999</v>
      </c>
      <c r="Z411" s="2">
        <f t="shared" si="144"/>
        <v>-681.69552299999998</v>
      </c>
      <c r="AA411" s="2">
        <f t="shared" si="145"/>
        <v>0</v>
      </c>
      <c r="AB411" s="2">
        <f t="shared" si="146"/>
        <v>0</v>
      </c>
      <c r="AC411" s="2"/>
      <c r="AD411" s="8">
        <f t="shared" si="147"/>
        <v>-4.5879985827090727E-2</v>
      </c>
      <c r="AE411" s="8">
        <f t="shared" si="148"/>
        <v>-0.49284697801616523</v>
      </c>
      <c r="AF411" s="8">
        <f t="shared" si="149"/>
        <v>-0.16359283077057457</v>
      </c>
      <c r="AG411" s="8">
        <f t="shared" si="150"/>
        <v>0</v>
      </c>
      <c r="AH411" s="11">
        <f t="shared" si="151"/>
        <v>0</v>
      </c>
      <c r="AI411" s="8">
        <f t="shared" si="152"/>
        <v>-0.70231979461383043</v>
      </c>
      <c r="AJ411" s="9">
        <f t="shared" si="153"/>
        <v>-1.0982841905147138</v>
      </c>
      <c r="AK411" s="9"/>
      <c r="AL411" s="7">
        <f t="shared" si="154"/>
        <v>1243.6282841905147</v>
      </c>
      <c r="AM411" s="42">
        <f t="shared" si="155"/>
        <v>10.961120355882459</v>
      </c>
    </row>
    <row r="412" spans="1:39" x14ac:dyDescent="0.25">
      <c r="A412" s="1">
        <v>45678</v>
      </c>
      <c r="B412" s="7">
        <v>1246.0899999999999</v>
      </c>
      <c r="C412" s="3">
        <v>5192489</v>
      </c>
      <c r="E412" s="5">
        <v>45678</v>
      </c>
      <c r="F412" s="4">
        <v>40450</v>
      </c>
      <c r="G412" s="4">
        <v>3823661561</v>
      </c>
      <c r="H412" s="4">
        <v>40000</v>
      </c>
      <c r="I412" s="4">
        <v>4107412004</v>
      </c>
      <c r="J412" s="4">
        <v>16600</v>
      </c>
      <c r="K412" s="4">
        <v>2272318410</v>
      </c>
      <c r="L412" s="4">
        <v>0</v>
      </c>
      <c r="M412" s="4">
        <v>1793300414</v>
      </c>
      <c r="N412" s="4">
        <v>98800</v>
      </c>
      <c r="O412" s="4">
        <v>541611334</v>
      </c>
      <c r="Q412" s="3"/>
      <c r="R412" s="3">
        <f t="shared" si="156"/>
        <v>191183078050</v>
      </c>
      <c r="S412" s="3">
        <f t="shared" si="139"/>
        <v>0</v>
      </c>
      <c r="T412" s="3">
        <f t="shared" si="140"/>
        <v>0</v>
      </c>
      <c r="U412" s="3">
        <f t="shared" si="157"/>
        <v>0</v>
      </c>
      <c r="V412" s="3">
        <f t="shared" si="141"/>
        <v>0</v>
      </c>
      <c r="X412" s="2">
        <f t="shared" si="142"/>
        <v>191.18307805000001</v>
      </c>
      <c r="Y412" s="2">
        <f t="shared" si="143"/>
        <v>0</v>
      </c>
      <c r="Z412" s="2">
        <f t="shared" si="144"/>
        <v>0</v>
      </c>
      <c r="AA412" s="2">
        <f t="shared" si="145"/>
        <v>0</v>
      </c>
      <c r="AB412" s="2">
        <f t="shared" si="146"/>
        <v>0</v>
      </c>
      <c r="AC412" s="2"/>
      <c r="AD412" s="8">
        <f t="shared" si="147"/>
        <v>4.5880029080128164E-2</v>
      </c>
      <c r="AE412" s="8">
        <f t="shared" si="148"/>
        <v>0</v>
      </c>
      <c r="AF412" s="8">
        <f t="shared" si="149"/>
        <v>0</v>
      </c>
      <c r="AG412" s="8">
        <f t="shared" si="150"/>
        <v>0</v>
      </c>
      <c r="AH412" s="11">
        <f t="shared" si="151"/>
        <v>0</v>
      </c>
      <c r="AI412" s="8">
        <f t="shared" si="152"/>
        <v>4.5880029080128164E-2</v>
      </c>
      <c r="AJ412" s="9">
        <f t="shared" si="153"/>
        <v>-0.3959643959008835</v>
      </c>
      <c r="AK412" s="9"/>
      <c r="AL412" s="7">
        <f t="shared" si="154"/>
        <v>1246.4859643959007</v>
      </c>
      <c r="AM412" s="42">
        <f t="shared" si="155"/>
        <v>11.314491035449986</v>
      </c>
    </row>
    <row r="413" spans="1:39" x14ac:dyDescent="0.25">
      <c r="A413" s="1">
        <v>45677</v>
      </c>
      <c r="B413" s="7">
        <v>1249.55</v>
      </c>
      <c r="C413" s="3">
        <v>5206902</v>
      </c>
      <c r="E413" s="5">
        <v>45677</v>
      </c>
      <c r="F413" s="4">
        <v>40400</v>
      </c>
      <c r="G413" s="4">
        <v>3823661561</v>
      </c>
      <c r="H413" s="4">
        <v>40000</v>
      </c>
      <c r="I413" s="4">
        <v>4107412004</v>
      </c>
      <c r="J413" s="4">
        <v>16600</v>
      </c>
      <c r="K413" s="4">
        <v>2272318410</v>
      </c>
      <c r="L413" s="4">
        <v>0</v>
      </c>
      <c r="M413" s="4">
        <v>1793300414</v>
      </c>
      <c r="N413" s="4">
        <v>98800</v>
      </c>
      <c r="O413" s="4">
        <v>541611334</v>
      </c>
      <c r="Q413" s="3"/>
      <c r="R413" s="3">
        <f t="shared" si="156"/>
        <v>-191183078050</v>
      </c>
      <c r="S413" s="3">
        <f t="shared" si="139"/>
        <v>-410741200400</v>
      </c>
      <c r="T413" s="3">
        <f t="shared" si="140"/>
        <v>113615920500</v>
      </c>
      <c r="U413" s="3">
        <f t="shared" si="157"/>
        <v>0</v>
      </c>
      <c r="V413" s="3">
        <f t="shared" si="141"/>
        <v>-108322266800</v>
      </c>
      <c r="X413" s="2">
        <f t="shared" si="142"/>
        <v>-191.18307805000001</v>
      </c>
      <c r="Y413" s="2">
        <f t="shared" si="143"/>
        <v>-410.74120040000003</v>
      </c>
      <c r="Z413" s="2">
        <f t="shared" si="144"/>
        <v>113.6159205</v>
      </c>
      <c r="AA413" s="2">
        <f t="shared" si="145"/>
        <v>0</v>
      </c>
      <c r="AB413" s="2">
        <f t="shared" si="146"/>
        <v>-108.32226679999999</v>
      </c>
      <c r="AC413" s="2"/>
      <c r="AD413" s="8">
        <f t="shared" si="147"/>
        <v>-4.5879989506974347E-2</v>
      </c>
      <c r="AE413" s="8">
        <f t="shared" si="148"/>
        <v>-9.8569403509161921E-2</v>
      </c>
      <c r="AF413" s="8">
        <f t="shared" si="149"/>
        <v>2.7265473981970087E-2</v>
      </c>
      <c r="AG413" s="8">
        <f t="shared" si="150"/>
        <v>0</v>
      </c>
      <c r="AH413" s="11">
        <f t="shared" si="151"/>
        <v>-2.5995106443761302E-2</v>
      </c>
      <c r="AI413" s="8">
        <f t="shared" si="152"/>
        <v>-0.11718391903416618</v>
      </c>
      <c r="AJ413" s="9">
        <f t="shared" si="153"/>
        <v>-0.44184442498101167</v>
      </c>
      <c r="AK413" s="9"/>
      <c r="AL413" s="7">
        <f t="shared" si="154"/>
        <v>1249.9918444249809</v>
      </c>
      <c r="AM413" s="42">
        <f t="shared" si="155"/>
        <v>11.741042856192511</v>
      </c>
    </row>
    <row r="414" spans="1:39" x14ac:dyDescent="0.25">
      <c r="A414" s="1">
        <v>45674</v>
      </c>
      <c r="B414" s="7">
        <v>1249.1099999999999</v>
      </c>
      <c r="C414" s="3">
        <v>5205073</v>
      </c>
      <c r="E414" s="5">
        <v>45674</v>
      </c>
      <c r="F414" s="4">
        <v>40450</v>
      </c>
      <c r="G414" s="4">
        <v>3823661561</v>
      </c>
      <c r="H414" s="4">
        <v>40100</v>
      </c>
      <c r="I414" s="4">
        <v>4107412004</v>
      </c>
      <c r="J414" s="4">
        <v>16550</v>
      </c>
      <c r="K414" s="4">
        <v>2272318410</v>
      </c>
      <c r="L414" s="4">
        <v>0</v>
      </c>
      <c r="M414" s="4">
        <v>1793300414</v>
      </c>
      <c r="N414" s="4">
        <v>99000</v>
      </c>
      <c r="O414" s="4">
        <v>541611334</v>
      </c>
      <c r="Q414" s="3"/>
      <c r="R414" s="3">
        <f t="shared" si="156"/>
        <v>0</v>
      </c>
      <c r="S414" s="3">
        <f t="shared" si="139"/>
        <v>410741200400</v>
      </c>
      <c r="T414" s="3">
        <f t="shared" si="140"/>
        <v>0</v>
      </c>
      <c r="U414" s="3">
        <f t="shared" si="157"/>
        <v>0</v>
      </c>
      <c r="V414" s="3">
        <f t="shared" si="141"/>
        <v>54161133400</v>
      </c>
      <c r="X414" s="2">
        <f t="shared" si="142"/>
        <v>0</v>
      </c>
      <c r="Y414" s="2">
        <f t="shared" si="143"/>
        <v>410.74120040000003</v>
      </c>
      <c r="Z414" s="2">
        <f t="shared" si="144"/>
        <v>0</v>
      </c>
      <c r="AA414" s="2">
        <f t="shared" si="145"/>
        <v>0</v>
      </c>
      <c r="AB414" s="2">
        <f t="shared" si="146"/>
        <v>54.161133399999997</v>
      </c>
      <c r="AC414" s="2"/>
      <c r="AD414" s="8">
        <f t="shared" si="147"/>
        <v>0</v>
      </c>
      <c r="AE414" s="8">
        <f t="shared" si="148"/>
        <v>9.9864835514592271E-2</v>
      </c>
      <c r="AF414" s="8">
        <f t="shared" si="149"/>
        <v>0</v>
      </c>
      <c r="AG414" s="8">
        <f t="shared" si="150"/>
        <v>0</v>
      </c>
      <c r="AH414" s="11">
        <f t="shared" si="151"/>
        <v>1.3168371405175669E-2</v>
      </c>
      <c r="AI414" s="8">
        <f t="shared" si="152"/>
        <v>9.9864835514592271E-2</v>
      </c>
      <c r="AJ414" s="9">
        <f t="shared" si="153"/>
        <v>-0.32466050594684548</v>
      </c>
      <c r="AK414" s="9"/>
      <c r="AL414" s="7">
        <f t="shared" si="154"/>
        <v>1249.4346605059468</v>
      </c>
      <c r="AM414" s="42">
        <f t="shared" si="155"/>
        <v>12.185624657154186</v>
      </c>
    </row>
    <row r="415" spans="1:39" x14ac:dyDescent="0.25">
      <c r="A415" s="1">
        <v>45673</v>
      </c>
      <c r="B415" s="7">
        <v>1242.3599999999999</v>
      </c>
      <c r="C415" s="3">
        <v>5109791</v>
      </c>
      <c r="E415" s="5">
        <v>45673</v>
      </c>
      <c r="F415" s="4">
        <v>40450</v>
      </c>
      <c r="G415" s="4">
        <v>3823661561</v>
      </c>
      <c r="H415" s="4">
        <v>40000</v>
      </c>
      <c r="I415" s="4">
        <v>4107412004</v>
      </c>
      <c r="J415" s="4">
        <v>16550</v>
      </c>
      <c r="K415" s="4">
        <v>2272318410</v>
      </c>
      <c r="L415" s="4">
        <v>0</v>
      </c>
      <c r="M415" s="4">
        <v>1793300414</v>
      </c>
      <c r="N415" s="4">
        <v>98900</v>
      </c>
      <c r="O415" s="4">
        <v>541611334</v>
      </c>
      <c r="Q415" s="3"/>
      <c r="R415" s="3">
        <f t="shared" si="156"/>
        <v>764732312200</v>
      </c>
      <c r="S415" s="3">
        <f t="shared" si="139"/>
        <v>0</v>
      </c>
      <c r="T415" s="3">
        <f t="shared" si="140"/>
        <v>113615920500</v>
      </c>
      <c r="U415" s="3">
        <f t="shared" si="157"/>
        <v>0</v>
      </c>
      <c r="V415" s="3">
        <f t="shared" si="141"/>
        <v>108322266800</v>
      </c>
      <c r="X415" s="2">
        <f t="shared" si="142"/>
        <v>764.73231220000002</v>
      </c>
      <c r="Y415" s="2">
        <f t="shared" si="143"/>
        <v>0</v>
      </c>
      <c r="Z415" s="2">
        <f t="shared" si="144"/>
        <v>113.6159205</v>
      </c>
      <c r="AA415" s="2">
        <f t="shared" si="145"/>
        <v>0</v>
      </c>
      <c r="AB415" s="2">
        <f t="shared" si="146"/>
        <v>108.32226679999999</v>
      </c>
      <c r="AC415" s="2"/>
      <c r="AD415" s="8">
        <f t="shared" si="147"/>
        <v>0.18593216176013286</v>
      </c>
      <c r="AE415" s="8">
        <f t="shared" si="148"/>
        <v>0</v>
      </c>
      <c r="AF415" s="8">
        <f t="shared" si="149"/>
        <v>2.7623853957680845E-2</v>
      </c>
      <c r="AG415" s="8">
        <f t="shared" si="150"/>
        <v>0</v>
      </c>
      <c r="AH415" s="11">
        <f t="shared" si="151"/>
        <v>2.6336788588075911E-2</v>
      </c>
      <c r="AI415" s="8">
        <f t="shared" si="152"/>
        <v>0.21355601571781371</v>
      </c>
      <c r="AJ415" s="9">
        <f t="shared" si="153"/>
        <v>-0.42452534146143772</v>
      </c>
      <c r="AK415" s="9"/>
      <c r="AL415" s="7">
        <f t="shared" si="154"/>
        <v>1242.7845253414614</v>
      </c>
      <c r="AM415" s="42">
        <f t="shared" si="155"/>
        <v>12.698011808861086</v>
      </c>
    </row>
    <row r="416" spans="1:39" x14ac:dyDescent="0.25">
      <c r="A416" s="1">
        <v>45672</v>
      </c>
      <c r="B416" s="7">
        <v>1236.18</v>
      </c>
      <c r="C416" s="3">
        <v>5084364</v>
      </c>
      <c r="E416" s="5">
        <v>45672</v>
      </c>
      <c r="F416" s="4">
        <v>40250</v>
      </c>
      <c r="G416" s="4">
        <v>3823661561</v>
      </c>
      <c r="H416" s="4">
        <v>40000</v>
      </c>
      <c r="I416" s="4">
        <v>4107412004</v>
      </c>
      <c r="J416" s="4">
        <v>16500</v>
      </c>
      <c r="K416" s="4">
        <v>2272318410</v>
      </c>
      <c r="L416" s="4">
        <v>0</v>
      </c>
      <c r="M416" s="4">
        <v>1793300414</v>
      </c>
      <c r="N416" s="4">
        <v>98700</v>
      </c>
      <c r="O416" s="4">
        <v>541611334</v>
      </c>
      <c r="Q416" s="3"/>
      <c r="R416" s="3">
        <f t="shared" si="156"/>
        <v>191183078050</v>
      </c>
      <c r="S416" s="3">
        <f t="shared" si="139"/>
        <v>0</v>
      </c>
      <c r="T416" s="3">
        <f t="shared" si="140"/>
        <v>908927364000</v>
      </c>
      <c r="U416" s="3">
        <f t="shared" si="157"/>
        <v>0</v>
      </c>
      <c r="V416" s="3">
        <f t="shared" si="141"/>
        <v>108322266800</v>
      </c>
      <c r="X416" s="2">
        <f t="shared" si="142"/>
        <v>191.18307805000001</v>
      </c>
      <c r="Y416" s="2">
        <f t="shared" si="143"/>
        <v>0</v>
      </c>
      <c r="Z416" s="2">
        <f t="shared" si="144"/>
        <v>908.92736400000001</v>
      </c>
      <c r="AA416" s="2">
        <f t="shared" si="145"/>
        <v>0</v>
      </c>
      <c r="AB416" s="2">
        <f t="shared" si="146"/>
        <v>108.32226679999999</v>
      </c>
      <c r="AC416" s="2"/>
      <c r="AD416" s="8">
        <f t="shared" si="147"/>
        <v>4.6482836536753461E-2</v>
      </c>
      <c r="AE416" s="8">
        <f t="shared" si="148"/>
        <v>0</v>
      </c>
      <c r="AF416" s="8">
        <f t="shared" si="149"/>
        <v>0.22098986225938216</v>
      </c>
      <c r="AG416" s="8">
        <f t="shared" si="150"/>
        <v>0</v>
      </c>
      <c r="AH416" s="11">
        <f t="shared" si="151"/>
        <v>2.6336673058680236E-2</v>
      </c>
      <c r="AI416" s="8">
        <f t="shared" si="152"/>
        <v>0.26747269879613561</v>
      </c>
      <c r="AJ416" s="9">
        <f t="shared" si="153"/>
        <v>-0.63808135717925141</v>
      </c>
      <c r="AK416" s="9"/>
      <c r="AL416" s="7">
        <f t="shared" si="154"/>
        <v>1236.8180813571794</v>
      </c>
      <c r="AM416" s="42">
        <f t="shared" si="155"/>
        <v>13.262731411213869</v>
      </c>
    </row>
    <row r="417" spans="1:39" x14ac:dyDescent="0.25">
      <c r="A417" s="1">
        <v>45671</v>
      </c>
      <c r="B417" s="7">
        <v>1229.07</v>
      </c>
      <c r="C417" s="3">
        <v>5055143</v>
      </c>
      <c r="E417" s="5">
        <v>45671</v>
      </c>
      <c r="F417" s="4">
        <v>40200</v>
      </c>
      <c r="G417" s="4">
        <v>3823661561</v>
      </c>
      <c r="H417" s="4">
        <v>40000</v>
      </c>
      <c r="I417" s="4">
        <v>4107412004</v>
      </c>
      <c r="J417" s="4">
        <v>16100</v>
      </c>
      <c r="K417" s="4">
        <v>2272318410</v>
      </c>
      <c r="L417" s="4">
        <v>0</v>
      </c>
      <c r="M417" s="4">
        <v>1793300414</v>
      </c>
      <c r="N417" s="4">
        <v>98500</v>
      </c>
      <c r="O417" s="4">
        <v>541611334</v>
      </c>
      <c r="Q417" s="3"/>
      <c r="R417" s="3">
        <f t="shared" si="156"/>
        <v>-382366156100</v>
      </c>
      <c r="S417" s="3">
        <f t="shared" si="139"/>
        <v>0</v>
      </c>
      <c r="T417" s="3">
        <f t="shared" si="140"/>
        <v>-1363391046000</v>
      </c>
      <c r="U417" s="3">
        <f t="shared" si="157"/>
        <v>0</v>
      </c>
      <c r="V417" s="3">
        <f t="shared" si="141"/>
        <v>-54161133400</v>
      </c>
      <c r="X417" s="2">
        <f t="shared" si="142"/>
        <v>-382.36615610000001</v>
      </c>
      <c r="Y417" s="2">
        <f t="shared" si="143"/>
        <v>0</v>
      </c>
      <c r="Z417" s="2">
        <f t="shared" si="144"/>
        <v>-1363.391046</v>
      </c>
      <c r="AA417" s="2">
        <f t="shared" si="145"/>
        <v>0</v>
      </c>
      <c r="AB417" s="2">
        <f t="shared" si="146"/>
        <v>-54.161133399999997</v>
      </c>
      <c r="AC417" s="2"/>
      <c r="AD417" s="8">
        <f t="shared" si="147"/>
        <v>-9.297149814890944E-2</v>
      </c>
      <c r="AE417" s="8">
        <f t="shared" si="148"/>
        <v>0</v>
      </c>
      <c r="AF417" s="8">
        <f t="shared" si="149"/>
        <v>-0.3315055636782826</v>
      </c>
      <c r="AG417" s="8">
        <f t="shared" si="150"/>
        <v>0</v>
      </c>
      <c r="AH417" s="11">
        <f t="shared" si="151"/>
        <v>-1.3169161635539784E-2</v>
      </c>
      <c r="AI417" s="8">
        <f t="shared" si="152"/>
        <v>-0.42447706182719203</v>
      </c>
      <c r="AJ417" s="9">
        <f t="shared" si="153"/>
        <v>-0.90555405597538707</v>
      </c>
      <c r="AK417" s="9"/>
      <c r="AL417" s="7">
        <f t="shared" si="154"/>
        <v>1229.9755540559754</v>
      </c>
      <c r="AM417" s="42">
        <f t="shared" si="155"/>
        <v>13.539386368346143</v>
      </c>
    </row>
    <row r="418" spans="1:39" x14ac:dyDescent="0.25">
      <c r="A418" s="1">
        <v>45670</v>
      </c>
      <c r="B418" s="7">
        <v>1235.6500000000001</v>
      </c>
      <c r="C418" s="3">
        <v>5081888</v>
      </c>
      <c r="E418" s="5">
        <v>45670</v>
      </c>
      <c r="F418" s="4">
        <v>40300</v>
      </c>
      <c r="G418" s="4">
        <v>3823661561</v>
      </c>
      <c r="H418" s="4">
        <v>40000</v>
      </c>
      <c r="I418" s="4">
        <v>4107412004</v>
      </c>
      <c r="J418" s="4">
        <v>16700</v>
      </c>
      <c r="K418" s="4">
        <v>2272318410</v>
      </c>
      <c r="L418" s="4">
        <v>0</v>
      </c>
      <c r="M418" s="4">
        <v>1793300414</v>
      </c>
      <c r="N418" s="4">
        <v>98600</v>
      </c>
      <c r="O418" s="4">
        <v>541611334</v>
      </c>
      <c r="Q418" s="3"/>
      <c r="R418" s="3">
        <f t="shared" si="156"/>
        <v>-764732312200</v>
      </c>
      <c r="S418" s="3">
        <f t="shared" si="139"/>
        <v>0</v>
      </c>
      <c r="T418" s="3">
        <f t="shared" si="140"/>
        <v>-340847761500</v>
      </c>
      <c r="U418" s="3">
        <f t="shared" si="157"/>
        <v>0</v>
      </c>
      <c r="V418" s="3">
        <f t="shared" si="141"/>
        <v>0</v>
      </c>
      <c r="X418" s="2">
        <f t="shared" si="142"/>
        <v>-764.73231220000002</v>
      </c>
      <c r="Y418" s="2">
        <f t="shared" si="143"/>
        <v>0</v>
      </c>
      <c r="Z418" s="2">
        <f t="shared" si="144"/>
        <v>-340.84776149999999</v>
      </c>
      <c r="AA418" s="2">
        <f t="shared" si="145"/>
        <v>0</v>
      </c>
      <c r="AB418" s="2">
        <f t="shared" si="146"/>
        <v>0</v>
      </c>
      <c r="AC418" s="2"/>
      <c r="AD418" s="8">
        <f t="shared" si="147"/>
        <v>-0.18594252651856466</v>
      </c>
      <c r="AE418" s="8">
        <f t="shared" si="148"/>
        <v>0</v>
      </c>
      <c r="AF418" s="8">
        <f t="shared" si="149"/>
        <v>-8.2876181534921101E-2</v>
      </c>
      <c r="AG418" s="8">
        <f t="shared" si="150"/>
        <v>0</v>
      </c>
      <c r="AH418" s="11">
        <f t="shared" si="151"/>
        <v>0</v>
      </c>
      <c r="AI418" s="8">
        <f t="shared" si="152"/>
        <v>-0.26881870805348573</v>
      </c>
      <c r="AJ418" s="9">
        <f t="shared" si="153"/>
        <v>-0.48107699414819505</v>
      </c>
      <c r="AK418" s="9"/>
      <c r="AL418" s="7">
        <f t="shared" si="154"/>
        <v>1236.1310769941483</v>
      </c>
      <c r="AM418" s="42">
        <f t="shared" si="155"/>
        <v>12.736569497901488</v>
      </c>
    </row>
    <row r="419" spans="1:39" x14ac:dyDescent="0.25">
      <c r="A419" s="1">
        <v>45667</v>
      </c>
      <c r="B419" s="7">
        <v>1230.48</v>
      </c>
      <c r="C419" s="3">
        <v>5060638</v>
      </c>
      <c r="E419" s="5">
        <v>45667</v>
      </c>
      <c r="F419" s="4">
        <v>40500</v>
      </c>
      <c r="G419" s="4">
        <v>3823661561</v>
      </c>
      <c r="H419" s="4">
        <v>40000</v>
      </c>
      <c r="I419" s="4">
        <v>4107412004</v>
      </c>
      <c r="J419" s="4">
        <v>16850</v>
      </c>
      <c r="K419" s="4">
        <v>2272318410</v>
      </c>
      <c r="L419" s="4">
        <v>0</v>
      </c>
      <c r="M419" s="4">
        <v>1793300414</v>
      </c>
      <c r="N419" s="4">
        <v>98600</v>
      </c>
      <c r="O419" s="4">
        <v>541611334</v>
      </c>
      <c r="Q419" s="3"/>
      <c r="R419" s="3">
        <f t="shared" si="156"/>
        <v>-955915390250</v>
      </c>
      <c r="S419" s="3">
        <f t="shared" si="139"/>
        <v>-1642964801600</v>
      </c>
      <c r="T419" s="3">
        <f t="shared" si="140"/>
        <v>-340847761500</v>
      </c>
      <c r="U419" s="3">
        <f t="shared" si="157"/>
        <v>0</v>
      </c>
      <c r="V419" s="3">
        <f t="shared" si="141"/>
        <v>-379127933800</v>
      </c>
      <c r="X419" s="2">
        <f t="shared" si="142"/>
        <v>-955.91539024999997</v>
      </c>
      <c r="Y419" s="2">
        <f t="shared" si="143"/>
        <v>-1642.9648016000001</v>
      </c>
      <c r="Z419" s="2">
        <f t="shared" si="144"/>
        <v>-340.84776149999999</v>
      </c>
      <c r="AA419" s="2">
        <f t="shared" si="145"/>
        <v>0</v>
      </c>
      <c r="AB419" s="2">
        <f t="shared" si="146"/>
        <v>-379.12793379999999</v>
      </c>
      <c r="AC419" s="2"/>
      <c r="AD419" s="8">
        <f t="shared" si="147"/>
        <v>-0.23243504094214207</v>
      </c>
      <c r="AE419" s="8">
        <f t="shared" si="148"/>
        <v>-0.39949413391756439</v>
      </c>
      <c r="AF419" s="8">
        <f t="shared" si="149"/>
        <v>-8.2878635711232052E-2</v>
      </c>
      <c r="AG419" s="8">
        <f t="shared" si="150"/>
        <v>0</v>
      </c>
      <c r="AH419" s="11">
        <f t="shared" si="151"/>
        <v>-9.2186628350094946E-2</v>
      </c>
      <c r="AI419" s="8">
        <f t="shared" si="152"/>
        <v>-0.71480781057093856</v>
      </c>
      <c r="AJ419" s="9">
        <f t="shared" si="153"/>
        <v>-0.21225828609470931</v>
      </c>
      <c r="AK419" s="9"/>
      <c r="AL419" s="7">
        <f t="shared" si="154"/>
        <v>1230.6922582860948</v>
      </c>
      <c r="AM419" s="42">
        <f t="shared" si="155"/>
        <v>12.472686062338193</v>
      </c>
    </row>
    <row r="420" spans="1:39" x14ac:dyDescent="0.25">
      <c r="A420" s="1">
        <v>45666</v>
      </c>
      <c r="B420" s="7">
        <v>1245.77</v>
      </c>
      <c r="C420" s="3">
        <v>5123370</v>
      </c>
      <c r="E420" s="5">
        <v>45666</v>
      </c>
      <c r="F420" s="4">
        <v>40750</v>
      </c>
      <c r="G420" s="4">
        <v>3823661561</v>
      </c>
      <c r="H420" s="4">
        <v>40400</v>
      </c>
      <c r="I420" s="4">
        <v>4107412004</v>
      </c>
      <c r="J420" s="4">
        <v>17000</v>
      </c>
      <c r="K420" s="4">
        <v>2272318410</v>
      </c>
      <c r="L420" s="4">
        <v>0</v>
      </c>
      <c r="M420" s="4">
        <v>1793300414</v>
      </c>
      <c r="N420" s="4">
        <v>99300</v>
      </c>
      <c r="O420" s="4">
        <v>541611334</v>
      </c>
      <c r="Q420" s="3"/>
      <c r="R420" s="3">
        <f t="shared" si="156"/>
        <v>955915390250</v>
      </c>
      <c r="S420" s="3">
        <f t="shared" si="139"/>
        <v>1642964801600</v>
      </c>
      <c r="T420" s="3">
        <f t="shared" si="140"/>
        <v>113615920500</v>
      </c>
      <c r="U420" s="3">
        <f t="shared" si="157"/>
        <v>0</v>
      </c>
      <c r="V420" s="3">
        <f t="shared" si="141"/>
        <v>-54161133400</v>
      </c>
      <c r="X420" s="2">
        <f t="shared" si="142"/>
        <v>955.91539024999997</v>
      </c>
      <c r="Y420" s="2">
        <f t="shared" si="143"/>
        <v>1642.9648016000001</v>
      </c>
      <c r="Z420" s="2">
        <f t="shared" si="144"/>
        <v>113.6159205</v>
      </c>
      <c r="AA420" s="2">
        <f t="shared" si="145"/>
        <v>0</v>
      </c>
      <c r="AB420" s="2">
        <f t="shared" si="146"/>
        <v>-54.161133399999997</v>
      </c>
      <c r="AC420" s="2"/>
      <c r="AD420" s="8">
        <f t="shared" si="147"/>
        <v>0.23243599954723573</v>
      </c>
      <c r="AE420" s="8">
        <f t="shared" si="148"/>
        <v>0.39949578150525217</v>
      </c>
      <c r="AF420" s="8">
        <f t="shared" si="149"/>
        <v>2.7626325839350898E-2</v>
      </c>
      <c r="AG420" s="8">
        <f t="shared" si="150"/>
        <v>0</v>
      </c>
      <c r="AH420" s="11">
        <f t="shared" si="151"/>
        <v>-1.3169572649256939E-2</v>
      </c>
      <c r="AI420" s="8">
        <f t="shared" si="152"/>
        <v>0.6595581068918388</v>
      </c>
      <c r="AJ420" s="9">
        <f t="shared" si="153"/>
        <v>0.50254952447622925</v>
      </c>
      <c r="AK420" s="9"/>
      <c r="AL420" s="7">
        <f t="shared" si="154"/>
        <v>1245.2674504755237</v>
      </c>
      <c r="AM420" s="42">
        <f t="shared" si="155"/>
        <v>9.9683108153671078</v>
      </c>
    </row>
    <row r="421" spans="1:39" x14ac:dyDescent="0.25">
      <c r="A421" s="1">
        <v>45665</v>
      </c>
      <c r="B421" s="7">
        <v>1251.02</v>
      </c>
      <c r="C421" s="3">
        <v>5144940</v>
      </c>
      <c r="E421" s="5">
        <v>45665</v>
      </c>
      <c r="F421" s="4">
        <v>40500</v>
      </c>
      <c r="G421" s="4">
        <v>3823661561</v>
      </c>
      <c r="H421" s="4">
        <v>40000</v>
      </c>
      <c r="I421" s="4">
        <v>4107412004</v>
      </c>
      <c r="J421" s="4">
        <v>16950</v>
      </c>
      <c r="K421" s="4">
        <v>2272318410</v>
      </c>
      <c r="L421" s="4">
        <v>0</v>
      </c>
      <c r="M421" s="4">
        <v>1723212204</v>
      </c>
      <c r="N421" s="4">
        <v>99400</v>
      </c>
      <c r="O421" s="4">
        <v>541611334</v>
      </c>
      <c r="Q421" s="3"/>
      <c r="R421" s="3">
        <f t="shared" si="156"/>
        <v>0</v>
      </c>
      <c r="S421" s="3">
        <f t="shared" si="139"/>
        <v>0</v>
      </c>
      <c r="T421" s="3">
        <f t="shared" si="140"/>
        <v>0</v>
      </c>
      <c r="U421" s="3">
        <f t="shared" si="157"/>
        <v>0</v>
      </c>
      <c r="V421" s="3">
        <f t="shared" si="141"/>
        <v>-54161133400</v>
      </c>
      <c r="X421" s="2">
        <f t="shared" si="142"/>
        <v>0</v>
      </c>
      <c r="Y421" s="2">
        <f t="shared" si="143"/>
        <v>0</v>
      </c>
      <c r="Z421" s="2">
        <f t="shared" si="144"/>
        <v>0</v>
      </c>
      <c r="AA421" s="2">
        <f t="shared" si="145"/>
        <v>0</v>
      </c>
      <c r="AB421" s="2">
        <f t="shared" si="146"/>
        <v>-54.161133399999997</v>
      </c>
      <c r="AC421" s="2"/>
      <c r="AD421" s="8">
        <f t="shared" si="147"/>
        <v>0</v>
      </c>
      <c r="AE421" s="8">
        <f t="shared" si="148"/>
        <v>0</v>
      </c>
      <c r="AF421" s="8">
        <f t="shared" si="149"/>
        <v>0</v>
      </c>
      <c r="AG421" s="8">
        <f t="shared" si="150"/>
        <v>0</v>
      </c>
      <c r="AH421" s="11">
        <f t="shared" si="151"/>
        <v>-1.3169602782488559E-2</v>
      </c>
      <c r="AI421" s="8">
        <f t="shared" si="152"/>
        <v>0</v>
      </c>
      <c r="AJ421" s="9">
        <f t="shared" si="153"/>
        <v>-0.15700858241560955</v>
      </c>
      <c r="AK421" s="9"/>
      <c r="AL421" s="7">
        <f t="shared" si="154"/>
        <v>1251.1770085824155</v>
      </c>
      <c r="AM421" s="42">
        <f t="shared" si="155"/>
        <v>9.9839833629675443</v>
      </c>
    </row>
    <row r="422" spans="1:39" x14ac:dyDescent="0.25">
      <c r="A422" s="1">
        <v>45664</v>
      </c>
      <c r="B422" s="7">
        <v>1246.95</v>
      </c>
      <c r="C422" s="3">
        <v>5128190</v>
      </c>
      <c r="E422" s="5">
        <v>45664</v>
      </c>
      <c r="F422" s="4">
        <v>40500</v>
      </c>
      <c r="G422" s="4">
        <v>3823661561</v>
      </c>
      <c r="H422" s="4">
        <v>40000</v>
      </c>
      <c r="I422" s="4">
        <v>4107412004</v>
      </c>
      <c r="J422" s="4">
        <v>16950</v>
      </c>
      <c r="K422" s="4">
        <v>2272318410</v>
      </c>
      <c r="L422" s="4">
        <v>0</v>
      </c>
      <c r="M422" s="4">
        <v>1723212204</v>
      </c>
      <c r="N422" s="4">
        <v>99500</v>
      </c>
      <c r="O422" s="4">
        <v>541611334</v>
      </c>
      <c r="Q422" s="3"/>
      <c r="R422" s="3">
        <f t="shared" si="156"/>
        <v>0</v>
      </c>
      <c r="S422" s="3">
        <f t="shared" si="139"/>
        <v>0</v>
      </c>
      <c r="T422" s="3">
        <f t="shared" si="140"/>
        <v>-454463682000</v>
      </c>
      <c r="U422" s="3">
        <f t="shared" si="157"/>
        <v>0</v>
      </c>
      <c r="V422" s="3">
        <f t="shared" si="141"/>
        <v>-108322266800</v>
      </c>
      <c r="X422" s="2">
        <f t="shared" si="142"/>
        <v>0</v>
      </c>
      <c r="Y422" s="2">
        <f t="shared" si="143"/>
        <v>0</v>
      </c>
      <c r="Z422" s="2">
        <f t="shared" si="144"/>
        <v>-454.46368200000001</v>
      </c>
      <c r="AA422" s="2">
        <f t="shared" si="145"/>
        <v>0</v>
      </c>
      <c r="AB422" s="2">
        <f t="shared" si="146"/>
        <v>-108.32226679999999</v>
      </c>
      <c r="AC422" s="2"/>
      <c r="AD422" s="8">
        <f t="shared" si="147"/>
        <v>0</v>
      </c>
      <c r="AE422" s="8">
        <f t="shared" si="148"/>
        <v>0</v>
      </c>
      <c r="AF422" s="8">
        <f t="shared" si="149"/>
        <v>-0.11050599704405367</v>
      </c>
      <c r="AG422" s="8">
        <f t="shared" si="150"/>
        <v>0</v>
      </c>
      <c r="AH422" s="11">
        <f t="shared" si="151"/>
        <v>-2.6339310640021599E-2</v>
      </c>
      <c r="AI422" s="8">
        <f t="shared" si="152"/>
        <v>-0.11050599704405367</v>
      </c>
      <c r="AJ422" s="9">
        <f t="shared" si="153"/>
        <v>-0.15700858241560955</v>
      </c>
      <c r="AK422" s="9"/>
      <c r="AL422" s="7">
        <f t="shared" si="154"/>
        <v>1247.1070085824156</v>
      </c>
      <c r="AM422" s="42">
        <f t="shared" si="155"/>
        <v>10.852057492420295</v>
      </c>
    </row>
    <row r="423" spans="1:39" x14ac:dyDescent="0.25">
      <c r="A423" s="1">
        <v>45663</v>
      </c>
      <c r="B423" s="7">
        <v>1246.3499999999999</v>
      </c>
      <c r="C423" s="3">
        <v>5125702</v>
      </c>
      <c r="E423" s="5">
        <v>45663</v>
      </c>
      <c r="F423" s="4">
        <v>40500</v>
      </c>
      <c r="G423" s="4">
        <v>3823661561</v>
      </c>
      <c r="H423" s="4">
        <v>40000</v>
      </c>
      <c r="I423" s="4">
        <v>4107412004</v>
      </c>
      <c r="J423" s="4">
        <v>17150</v>
      </c>
      <c r="K423" s="4">
        <v>2272318410</v>
      </c>
      <c r="L423" s="4">
        <v>0</v>
      </c>
      <c r="M423" s="4">
        <v>1723212204</v>
      </c>
      <c r="N423" s="4">
        <v>99700</v>
      </c>
      <c r="O423" s="4">
        <v>541611334</v>
      </c>
      <c r="Q423" s="3"/>
      <c r="R423" s="3">
        <f t="shared" si="156"/>
        <v>0</v>
      </c>
      <c r="S423" s="3">
        <f t="shared" si="139"/>
        <v>0</v>
      </c>
      <c r="T423" s="3">
        <f t="shared" si="140"/>
        <v>-113615920500</v>
      </c>
      <c r="U423" s="3">
        <f t="shared" si="157"/>
        <v>0</v>
      </c>
      <c r="V423" s="3">
        <f t="shared" si="141"/>
        <v>108322266800</v>
      </c>
      <c r="X423" s="2">
        <f t="shared" si="142"/>
        <v>0</v>
      </c>
      <c r="Y423" s="2">
        <f t="shared" si="143"/>
        <v>0</v>
      </c>
      <c r="Z423" s="2">
        <f t="shared" si="144"/>
        <v>-113.6159205</v>
      </c>
      <c r="AA423" s="2">
        <f t="shared" si="145"/>
        <v>0</v>
      </c>
      <c r="AB423" s="2">
        <f t="shared" si="146"/>
        <v>108.32226679999999</v>
      </c>
      <c r="AC423" s="2"/>
      <c r="AD423" s="8">
        <f t="shared" si="147"/>
        <v>0</v>
      </c>
      <c r="AE423" s="8">
        <f t="shared" si="148"/>
        <v>0</v>
      </c>
      <c r="AF423" s="8">
        <f t="shared" si="149"/>
        <v>-2.7636111497276451E-2</v>
      </c>
      <c r="AG423" s="8">
        <f t="shared" si="150"/>
        <v>0</v>
      </c>
      <c r="AH423" s="11">
        <f t="shared" si="151"/>
        <v>2.6348475017834556E-2</v>
      </c>
      <c r="AI423" s="8">
        <f t="shared" si="152"/>
        <v>-2.7636111497276451E-2</v>
      </c>
      <c r="AJ423" s="9">
        <f t="shared" si="153"/>
        <v>-4.6502585371555868E-2</v>
      </c>
      <c r="AK423" s="9"/>
      <c r="AL423" s="7">
        <f t="shared" si="154"/>
        <v>1246.3965025853715</v>
      </c>
      <c r="AM423" s="42">
        <f t="shared" si="155"/>
        <v>10.81811610065772</v>
      </c>
    </row>
    <row r="424" spans="1:39" x14ac:dyDescent="0.25">
      <c r="A424" s="1">
        <v>45660</v>
      </c>
      <c r="B424" s="7">
        <v>1254.5899999999999</v>
      </c>
      <c r="C424" s="3">
        <v>5157795</v>
      </c>
      <c r="E424" s="5">
        <v>45660</v>
      </c>
      <c r="F424" s="4">
        <v>40500</v>
      </c>
      <c r="G424" s="4">
        <v>3823661561</v>
      </c>
      <c r="H424" s="4">
        <v>40000</v>
      </c>
      <c r="I424" s="4">
        <v>4107412004</v>
      </c>
      <c r="J424" s="4">
        <v>17200</v>
      </c>
      <c r="K424" s="4">
        <v>2272318410</v>
      </c>
      <c r="L424" s="4">
        <v>0</v>
      </c>
      <c r="M424" s="4">
        <v>1723212204</v>
      </c>
      <c r="N424" s="4">
        <v>99500</v>
      </c>
      <c r="O424" s="4">
        <v>541611334</v>
      </c>
      <c r="Q424" s="3"/>
      <c r="R424" s="3">
        <f t="shared" si="156"/>
        <v>-191183078050</v>
      </c>
      <c r="S424" s="3">
        <f t="shared" si="139"/>
        <v>0</v>
      </c>
      <c r="T424" s="3">
        <f t="shared" si="140"/>
        <v>-227231841000</v>
      </c>
      <c r="U424" s="3">
        <f t="shared" si="157"/>
        <v>0</v>
      </c>
      <c r="V424" s="3">
        <f t="shared" si="141"/>
        <v>-216644533600</v>
      </c>
      <c r="X424" s="2">
        <f t="shared" si="142"/>
        <v>-191.18307805000001</v>
      </c>
      <c r="Y424" s="2">
        <f t="shared" si="143"/>
        <v>0</v>
      </c>
      <c r="Z424" s="2">
        <f t="shared" si="144"/>
        <v>-227.231841</v>
      </c>
      <c r="AA424" s="2">
        <f t="shared" si="145"/>
        <v>0</v>
      </c>
      <c r="AB424" s="2">
        <f t="shared" si="146"/>
        <v>-216.64453359999999</v>
      </c>
      <c r="AC424" s="2"/>
      <c r="AD424" s="8">
        <f t="shared" si="147"/>
        <v>-4.6503367350173637E-2</v>
      </c>
      <c r="AE424" s="8">
        <f t="shared" si="148"/>
        <v>0</v>
      </c>
      <c r="AF424" s="8">
        <f t="shared" si="149"/>
        <v>-5.5271867591312931E-2</v>
      </c>
      <c r="AG424" s="8">
        <f t="shared" si="150"/>
        <v>0</v>
      </c>
      <c r="AH424" s="11">
        <f t="shared" si="151"/>
        <v>-5.2696611191566871E-2</v>
      </c>
      <c r="AI424" s="8">
        <f t="shared" si="152"/>
        <v>-0.10177523494148658</v>
      </c>
      <c r="AJ424" s="9">
        <f t="shared" si="153"/>
        <v>-1.8866473874279421E-2</v>
      </c>
      <c r="AK424" s="9"/>
      <c r="AL424" s="7">
        <f t="shared" si="154"/>
        <v>1254.6088664738743</v>
      </c>
      <c r="AM424" s="42">
        <f t="shared" si="155"/>
        <v>7.9769406722063909</v>
      </c>
    </row>
    <row r="425" spans="1:39" x14ac:dyDescent="0.25">
      <c r="A425" s="1">
        <v>45659</v>
      </c>
      <c r="B425" s="7">
        <v>1269.71</v>
      </c>
      <c r="C425" s="3">
        <v>5219989</v>
      </c>
      <c r="E425" s="5">
        <v>45659</v>
      </c>
      <c r="F425" s="4">
        <v>40550</v>
      </c>
      <c r="G425" s="4">
        <v>3823661561</v>
      </c>
      <c r="H425" s="4">
        <v>40000</v>
      </c>
      <c r="I425" s="4">
        <v>4107412004</v>
      </c>
      <c r="J425" s="4">
        <v>17300</v>
      </c>
      <c r="K425" s="4">
        <v>2272318410</v>
      </c>
      <c r="L425" s="4">
        <v>0</v>
      </c>
      <c r="M425" s="4">
        <v>1723212204</v>
      </c>
      <c r="N425" s="4">
        <v>99900</v>
      </c>
      <c r="O425" s="4">
        <v>541611334</v>
      </c>
      <c r="Q425" s="3"/>
      <c r="R425" s="3">
        <f t="shared" si="156"/>
        <v>0</v>
      </c>
      <c r="S425" s="3">
        <f t="shared" si="139"/>
        <v>0</v>
      </c>
      <c r="T425" s="3">
        <f t="shared" si="140"/>
        <v>340847761500</v>
      </c>
      <c r="U425" s="3">
        <f t="shared" si="157"/>
        <v>0</v>
      </c>
      <c r="V425" s="3">
        <f t="shared" si="141"/>
        <v>-54161133400</v>
      </c>
      <c r="X425" s="2">
        <f t="shared" si="142"/>
        <v>0</v>
      </c>
      <c r="Y425" s="2">
        <f t="shared" si="143"/>
        <v>0</v>
      </c>
      <c r="Z425" s="2">
        <f t="shared" si="144"/>
        <v>340.84776149999999</v>
      </c>
      <c r="AA425" s="2">
        <f t="shared" si="145"/>
        <v>0</v>
      </c>
      <c r="AB425" s="2">
        <f t="shared" si="146"/>
        <v>-54.161133399999997</v>
      </c>
      <c r="AC425" s="2"/>
      <c r="AD425" s="8">
        <f t="shared" si="147"/>
        <v>0</v>
      </c>
      <c r="AE425" s="8">
        <f t="shared" si="148"/>
        <v>0</v>
      </c>
      <c r="AF425" s="8">
        <f t="shared" si="149"/>
        <v>8.2908761067207154E-2</v>
      </c>
      <c r="AG425" s="8">
        <f t="shared" si="150"/>
        <v>0</v>
      </c>
      <c r="AH425" s="11">
        <f t="shared" si="151"/>
        <v>-1.3174305292275574E-2</v>
      </c>
      <c r="AI425" s="8">
        <f t="shared" si="152"/>
        <v>8.2908761067207154E-2</v>
      </c>
      <c r="AJ425" s="9">
        <f t="shared" si="153"/>
        <v>8.2908761067207154E-2</v>
      </c>
      <c r="AK425" s="9"/>
      <c r="AL425" s="7">
        <f t="shared" si="154"/>
        <v>1269.6270912389327</v>
      </c>
      <c r="AM425" s="42">
        <f t="shared" si="155"/>
        <v>2.0131975217061653</v>
      </c>
    </row>
    <row r="426" spans="1:39" x14ac:dyDescent="0.25">
      <c r="A426" s="1">
        <v>45657</v>
      </c>
      <c r="B426" s="7">
        <v>1266.78</v>
      </c>
      <c r="C426" s="3">
        <v>5207883</v>
      </c>
      <c r="E426" s="5">
        <v>45657</v>
      </c>
      <c r="F426" s="4">
        <v>40550</v>
      </c>
      <c r="G426" s="4">
        <v>3823661561</v>
      </c>
      <c r="H426" s="4">
        <v>40000</v>
      </c>
      <c r="I426" s="4">
        <v>4107412004</v>
      </c>
      <c r="J426" s="4">
        <v>17150</v>
      </c>
      <c r="K426" s="4">
        <v>2272318410</v>
      </c>
      <c r="L426" s="4">
        <v>0</v>
      </c>
      <c r="M426" s="4">
        <v>1723212204</v>
      </c>
      <c r="N426" s="4">
        <v>100000</v>
      </c>
      <c r="O426" s="4">
        <v>541611334</v>
      </c>
      <c r="Q426" s="3"/>
      <c r="R426" s="3">
        <f t="shared" si="156"/>
        <v>155049476298550</v>
      </c>
      <c r="S426" s="3">
        <f t="shared" si="139"/>
        <v>164296480160000</v>
      </c>
      <c r="T426" s="3">
        <f t="shared" si="140"/>
        <v>38970260731500</v>
      </c>
      <c r="U426" s="3">
        <f t="shared" si="157"/>
        <v>0</v>
      </c>
      <c r="V426" s="3">
        <f t="shared" si="141"/>
        <v>54161133400000</v>
      </c>
      <c r="X426" s="2">
        <f t="shared" si="142"/>
        <v>155049.47629855</v>
      </c>
      <c r="Y426" s="2">
        <f t="shared" si="143"/>
        <v>164296.48016000001</v>
      </c>
      <c r="Z426" s="2">
        <f t="shared" si="144"/>
        <v>38970.260731499999</v>
      </c>
      <c r="AA426" s="2">
        <f t="shared" si="145"/>
        <v>0</v>
      </c>
      <c r="AB426" s="2">
        <f t="shared" si="146"/>
        <v>54161.133399999999</v>
      </c>
      <c r="AC426" s="2"/>
      <c r="AL426" s="7">
        <f t="shared" si="154"/>
        <v>1266.78</v>
      </c>
      <c r="AM426" s="42" t="e">
        <f t="shared" si="155"/>
        <v>#DIV/0!</v>
      </c>
    </row>
  </sheetData>
  <mergeCells count="5">
    <mergeCell ref="H1:I1"/>
    <mergeCell ref="L1:M1"/>
    <mergeCell ref="J1:K1"/>
    <mergeCell ref="F1:G1"/>
    <mergeCell ref="N1:O1"/>
  </mergeCells>
  <pageMargins left="0.7" right="0.7" top="0.75" bottom="0.75" header="0.3" footer="0.3"/>
  <pageSetup paperSize="9" orientation="portrait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2025-11-07T07:43:03Z</dcterms:created>
  <dcterms:modified xsi:type="dcterms:W3CDTF">2026-09-18T17:37:32Z</dcterms:modified>
</cp:coreProperties>
</file>