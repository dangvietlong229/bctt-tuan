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85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46255</v>
      </c>
      <c r="C10" s="23" t="n">
        <v>1768.12</v>
      </c>
      <c r="D10" s="21" t="n">
        <v>15509366455600</v>
      </c>
      <c r="E10" s="23" t="n">
        <v>1927.79</v>
      </c>
      <c r="F10" s="21" t="n">
        <v>8509130744900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46254</v>
      </c>
      <c r="C11" s="23" t="n">
        <v>1734.24</v>
      </c>
      <c r="D11" s="21" t="n">
        <v>9796519360780</v>
      </c>
      <c r="E11" s="23" t="n">
        <v>1887.06</v>
      </c>
      <c r="F11" s="21" t="n">
        <v>6218722075600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46253</v>
      </c>
      <c r="C12" s="23" t="n">
        <v>1726.69</v>
      </c>
      <c r="D12" s="21" t="n">
        <v>10040106686030</v>
      </c>
      <c r="E12" s="23" t="n">
        <v>1875.73</v>
      </c>
      <c r="F12" s="21" t="n">
        <v>5751949033950</v>
      </c>
      <c r="G12" s="3" t="n"/>
      <c r="H12" s="20" t="n"/>
      <c r="I12" s="3" t="n"/>
      <c r="J12" s="20" t="n"/>
      <c r="K12" s="3" t="n"/>
      <c r="L12" s="3" t="n"/>
    </row>
    <row r="13" ht="16" customFormat="1" customHeight="1" s="2">
      <c r="A13" s="21" t="inlineStr"/>
      <c r="B13" s="22" t="n">
        <v>46252</v>
      </c>
      <c r="C13" s="23" t="n">
        <v>1732.02</v>
      </c>
      <c r="D13" s="21" t="n">
        <v>11555852539020</v>
      </c>
      <c r="E13" s="23" t="n">
        <v>1876.14</v>
      </c>
      <c r="F13" s="21" t="n">
        <v>6883792010900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46251</v>
      </c>
      <c r="C14" s="23" t="n">
        <v>1727.46</v>
      </c>
      <c r="D14" s="21" t="n">
        <v>10577721542750</v>
      </c>
      <c r="E14" s="23" t="n">
        <v>1877.68</v>
      </c>
      <c r="F14" s="21" t="n">
        <v>6556446242900</v>
      </c>
      <c r="G14" s="3" t="n"/>
      <c r="H14" s="20">
        <f>SUM(D10:D14)</f>
        <v/>
      </c>
      <c r="I14" s="3">
        <f>H14/H19-1</f>
        <v/>
      </c>
      <c r="J14" s="20">
        <f>SUM(F10:F14)</f>
        <v/>
      </c>
      <c r="K14" s="3">
        <f>J14/J19-1</f>
        <v/>
      </c>
      <c r="L14" s="3" t="n"/>
    </row>
    <row r="15" ht="16" customFormat="1" customHeight="1" s="2">
      <c r="A15" s="21" t="n">
        <v>1</v>
      </c>
      <c r="B15" s="22" t="n">
        <v>46248</v>
      </c>
      <c r="C15" s="23" t="n">
        <v>1729.08</v>
      </c>
      <c r="D15" s="21" t="n">
        <v>16162701062000</v>
      </c>
      <c r="E15" s="23" t="n">
        <v>1876.81</v>
      </c>
      <c r="F15" s="21" t="n">
        <v>9560237967200</v>
      </c>
      <c r="G15" s="3" t="n"/>
      <c r="H15" s="20">
        <f>C15-C20</f>
        <v/>
      </c>
      <c r="I15" s="3">
        <f>C15/C20-1</f>
        <v/>
      </c>
      <c r="J15" s="20">
        <f>E15-E20</f>
        <v/>
      </c>
      <c r="K15" s="3">
        <f>E15/E20-1</f>
        <v/>
      </c>
      <c r="L15" s="3" t="n"/>
    </row>
    <row r="16" ht="16" customFormat="1" customHeight="1" s="2">
      <c r="A16" s="21" t="n">
        <v>2</v>
      </c>
      <c r="B16" s="22" t="n">
        <v>46247</v>
      </c>
      <c r="C16" s="23" t="n">
        <v>1765.63</v>
      </c>
      <c r="D16" s="21" t="n">
        <v>16336277534040</v>
      </c>
      <c r="E16" s="23" t="n">
        <v>1909.23</v>
      </c>
      <c r="F16" s="21" t="n">
        <v>9689272969950</v>
      </c>
      <c r="G16" s="3" t="n"/>
      <c r="H16" s="20" t="n"/>
      <c r="I16" s="3" t="n"/>
      <c r="J16" s="20" t="n"/>
      <c r="K16" s="3" t="n"/>
      <c r="L16" s="3" t="n"/>
    </row>
    <row r="17" ht="16" customFormat="1" customHeight="1" s="2">
      <c r="A17" s="21" t="n">
        <v>3</v>
      </c>
      <c r="B17" s="22" t="n">
        <v>46246</v>
      </c>
      <c r="C17" s="23" t="n">
        <v>1793.18</v>
      </c>
      <c r="D17" s="21" t="n">
        <v>11766331961440</v>
      </c>
      <c r="E17" s="23" t="n">
        <v>1936.46</v>
      </c>
      <c r="F17" s="21" t="n">
        <v>6772981105900</v>
      </c>
      <c r="G17" s="3" t="n"/>
      <c r="H17" s="20" t="n"/>
      <c r="I17" s="3" t="n"/>
      <c r="J17" s="20" t="n"/>
      <c r="K17" s="3" t="n"/>
      <c r="L17" s="3" t="n"/>
    </row>
    <row r="18" ht="16" customFormat="1" customHeight="1" s="2">
      <c r="A18" s="21" t="n">
        <v>4</v>
      </c>
      <c r="B18" s="22" t="n">
        <v>46245</v>
      </c>
      <c r="C18" s="23" t="n">
        <v>1773.41</v>
      </c>
      <c r="D18" s="21" t="n">
        <v>14202583766930</v>
      </c>
      <c r="E18" s="23" t="n">
        <v>1922.53</v>
      </c>
      <c r="F18" s="21" t="n">
        <v>7766105589850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46244</v>
      </c>
      <c r="C19" s="23" t="n">
        <v>1776.77</v>
      </c>
      <c r="D19" s="21" t="n">
        <v>15599388417780</v>
      </c>
      <c r="E19" s="23" t="n">
        <v>1925.18</v>
      </c>
      <c r="F19" s="21" t="n">
        <v>9459106447050</v>
      </c>
      <c r="G19" s="3" t="n"/>
      <c r="H19" s="20">
        <f>SUM(D15:D19)</f>
        <v/>
      </c>
      <c r="I19" s="3">
        <f>H19/H24-1</f>
        <v/>
      </c>
      <c r="J19" s="20">
        <f>SUM(F15:F19)</f>
        <v/>
      </c>
      <c r="K19" s="3">
        <f>J19/J24-1</f>
        <v/>
      </c>
      <c r="L19" s="3" t="n"/>
    </row>
    <row r="20" ht="16" customFormat="1" customHeight="1" s="2">
      <c r="A20" s="21" t="n">
        <v>6</v>
      </c>
      <c r="B20" s="22" t="n">
        <v>46241</v>
      </c>
      <c r="C20" s="23" t="n">
        <v>1768.06</v>
      </c>
      <c r="D20" s="21" t="n">
        <v>14540035540530</v>
      </c>
      <c r="E20" s="23" t="n">
        <v>1911.09</v>
      </c>
      <c r="F20" s="21" t="n">
        <v>9610032607200</v>
      </c>
      <c r="G20" s="3" t="n"/>
      <c r="H20" s="20">
        <f>C20-C25</f>
        <v/>
      </c>
      <c r="I20" s="3">
        <f>C20/C25-1</f>
        <v/>
      </c>
      <c r="J20" s="20">
        <f>E20-E25</f>
        <v/>
      </c>
      <c r="K20" s="3">
        <f>E20/E25-1</f>
        <v/>
      </c>
      <c r="L20" s="3" t="n"/>
    </row>
    <row r="21" ht="16" customFormat="1" customHeight="1" s="2">
      <c r="A21" s="21" t="n">
        <v>7</v>
      </c>
      <c r="B21" s="22" t="n">
        <v>46240</v>
      </c>
      <c r="C21" s="23" t="n">
        <v>1764.78</v>
      </c>
      <c r="D21" s="21" t="n">
        <v>12634686453800</v>
      </c>
      <c r="E21" s="23" t="n">
        <v>1902.79</v>
      </c>
      <c r="F21" s="21" t="n">
        <v>7442227824750</v>
      </c>
      <c r="G21" s="3" t="n"/>
      <c r="H21" s="20" t="n"/>
      <c r="I21" s="3" t="n"/>
      <c r="J21" s="20" t="n"/>
      <c r="K21" s="3" t="n"/>
      <c r="L21" s="3" t="n"/>
    </row>
    <row r="22" ht="16" customFormat="1" customHeight="1" s="2">
      <c r="A22" s="21" t="n">
        <v>8</v>
      </c>
      <c r="B22" s="22" t="n">
        <v>46239</v>
      </c>
      <c r="C22" s="23" t="n">
        <v>1776.46</v>
      </c>
      <c r="D22" s="21" t="n">
        <v>16513441108980</v>
      </c>
      <c r="E22" s="23" t="n">
        <v>1916.88</v>
      </c>
      <c r="F22" s="21" t="n">
        <v>9797482318700</v>
      </c>
      <c r="G22" s="3" t="n"/>
      <c r="H22" s="20" t="n"/>
      <c r="I22" s="3" t="n"/>
      <c r="J22" s="20" t="n"/>
      <c r="K22" s="3" t="n"/>
      <c r="L22" s="3" t="n"/>
    </row>
    <row r="23" ht="16" customFormat="1" customHeight="1" s="2">
      <c r="A23" s="21" t="n">
        <v>9</v>
      </c>
      <c r="B23" s="22" t="n">
        <v>46238</v>
      </c>
      <c r="C23" s="23" t="n">
        <v>1777.23</v>
      </c>
      <c r="D23" s="21" t="n">
        <v>14049064025720</v>
      </c>
      <c r="E23" s="23" t="n">
        <v>1927.35</v>
      </c>
      <c r="F23" s="21" t="n">
        <v>8537136415150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46237</v>
      </c>
      <c r="C24" s="23" t="n">
        <v>1762.84</v>
      </c>
      <c r="D24" s="21" t="n">
        <v>16470940209770</v>
      </c>
      <c r="E24" s="23" t="n">
        <v>1917.69</v>
      </c>
      <c r="F24" s="21" t="n">
        <v>10157342554600</v>
      </c>
      <c r="G24" s="3" t="n"/>
      <c r="H24" s="20">
        <f>SUM(D20:D24)</f>
        <v/>
      </c>
      <c r="I24" s="3">
        <f>H24/H29-1</f>
        <v/>
      </c>
      <c r="J24" s="20">
        <f>SUM(F20:F24)</f>
        <v/>
      </c>
      <c r="K24" s="3">
        <f>J24/J29-1</f>
        <v/>
      </c>
      <c r="L24" s="3" t="n"/>
    </row>
    <row r="25" ht="16" customFormat="1" customHeight="1" s="2">
      <c r="A25" s="21" t="n">
        <v>11</v>
      </c>
      <c r="B25" s="22" t="n">
        <v>46234</v>
      </c>
      <c r="C25" s="23" t="n">
        <v>1735.78</v>
      </c>
      <c r="D25" s="21" t="n">
        <v>15966634438390</v>
      </c>
      <c r="E25" s="23" t="n">
        <v>1872.07</v>
      </c>
      <c r="F25" s="21" t="n">
        <v>9613770268000</v>
      </c>
      <c r="G25" s="3" t="n"/>
      <c r="H25" s="20">
        <f>C25-C30</f>
        <v/>
      </c>
      <c r="I25" s="3">
        <f>C25/C30-1</f>
        <v/>
      </c>
      <c r="J25" s="20">
        <f>E25-E30</f>
        <v/>
      </c>
      <c r="K25" s="3">
        <f>E25/E30-1</f>
        <v/>
      </c>
      <c r="L25" s="3" t="n"/>
    </row>
    <row r="26" ht="16" customFormat="1" customHeight="1" s="2">
      <c r="A26" s="21" t="n">
        <v>12</v>
      </c>
      <c r="B26" s="22" t="n">
        <v>46233</v>
      </c>
      <c r="C26" s="23" t="n">
        <v>1744.66</v>
      </c>
      <c r="D26" s="21" t="n">
        <v>16699617640040</v>
      </c>
      <c r="E26" s="23" t="n">
        <v>1886.27</v>
      </c>
      <c r="F26" s="21" t="n">
        <v>9853776281550</v>
      </c>
      <c r="G26" s="3" t="n"/>
      <c r="H26" s="20" t="n"/>
      <c r="I26" s="3" t="n"/>
      <c r="J26" s="20" t="n"/>
      <c r="K26" s="3" t="n"/>
      <c r="L26" s="3" t="n"/>
    </row>
    <row r="27" ht="16" customFormat="1" customHeight="1" s="2">
      <c r="A27" s="21" t="n">
        <v>13</v>
      </c>
      <c r="B27" s="22" t="n">
        <v>46232</v>
      </c>
      <c r="C27" s="23" t="n">
        <v>1704.68</v>
      </c>
      <c r="D27" s="21" t="n">
        <v>11783576179300</v>
      </c>
      <c r="E27" s="23" t="n">
        <v>1849.12</v>
      </c>
      <c r="F27" s="21" t="n">
        <v>8028441073250</v>
      </c>
      <c r="G27" s="3" t="n"/>
      <c r="H27" s="20" t="n"/>
      <c r="I27" s="3" t="n"/>
      <c r="J27" s="20" t="n"/>
      <c r="K27" s="3" t="n"/>
      <c r="L27" s="3" t="n"/>
    </row>
    <row r="28" ht="16" customFormat="1" customHeight="1" s="2">
      <c r="A28" s="21" t="n">
        <v>14</v>
      </c>
      <c r="B28" s="22" t="n">
        <v>46231</v>
      </c>
      <c r="C28" s="23" t="n">
        <v>1680.62</v>
      </c>
      <c r="D28" s="21" t="n">
        <v>13642070827380</v>
      </c>
      <c r="E28" s="23" t="n">
        <v>1824.35</v>
      </c>
      <c r="F28" s="21" t="n">
        <v>7637680791850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46230</v>
      </c>
      <c r="C29" s="23" t="n">
        <v>1669.01</v>
      </c>
      <c r="D29" s="21" t="n">
        <v>12319205423710</v>
      </c>
      <c r="E29" s="23" t="n">
        <v>1806.5</v>
      </c>
      <c r="F29" s="21" t="n">
        <v>6990304040200</v>
      </c>
      <c r="G29" s="3" t="n"/>
      <c r="H29" s="20">
        <f>SUM(D25:D29)</f>
        <v/>
      </c>
      <c r="I29" s="3">
        <f>H29/H34-1</f>
        <v/>
      </c>
      <c r="J29" s="20">
        <f>SUM(F25:F29)</f>
        <v/>
      </c>
      <c r="K29" s="3">
        <f>J29/J34-1</f>
        <v/>
      </c>
      <c r="L29" s="3" t="n"/>
    </row>
    <row r="30" ht="16" customFormat="1" customHeight="1" s="2">
      <c r="A30" s="21" t="n">
        <v>16</v>
      </c>
      <c r="B30" s="22" t="n">
        <v>46227</v>
      </c>
      <c r="C30" s="23" t="n">
        <v>1686.11</v>
      </c>
      <c r="D30" s="21" t="n">
        <v>11912420930840</v>
      </c>
      <c r="E30" s="23" t="n">
        <v>1829.36</v>
      </c>
      <c r="F30" s="21" t="n">
        <v>6633836371350</v>
      </c>
      <c r="G30" s="3" t="n"/>
      <c r="H30" s="20">
        <f>C30-C35</f>
        <v/>
      </c>
      <c r="I30" s="3">
        <f>C30/C35-1</f>
        <v/>
      </c>
      <c r="J30" s="20">
        <f>E30-E35</f>
        <v/>
      </c>
      <c r="K30" s="3">
        <f>E30/E35-1</f>
        <v/>
      </c>
      <c r="L30" s="3" t="n"/>
    </row>
    <row r="31" ht="16" customFormat="1" customHeight="1" s="2">
      <c r="A31" s="21" t="n">
        <v>17</v>
      </c>
      <c r="B31" s="22" t="n">
        <v>46226</v>
      </c>
      <c r="C31" s="23" t="n">
        <v>1699.38</v>
      </c>
      <c r="D31" s="21" t="n">
        <v>17407657690930</v>
      </c>
      <c r="E31" s="23" t="n">
        <v>1845.32</v>
      </c>
      <c r="F31" s="21" t="n">
        <v>10661650723100</v>
      </c>
      <c r="G31" s="3" t="n"/>
      <c r="H31" s="20" t="n"/>
      <c r="I31" s="3" t="n"/>
      <c r="J31" s="20" t="n"/>
      <c r="K31" s="3" t="n"/>
      <c r="L31" s="3" t="n"/>
    </row>
    <row r="32" ht="16" customFormat="1" customHeight="1" s="2">
      <c r="A32" s="21" t="n">
        <v>18</v>
      </c>
      <c r="B32" s="22" t="n">
        <v>46225</v>
      </c>
      <c r="C32" s="23" t="n">
        <v>1668.53</v>
      </c>
      <c r="D32" s="21" t="n">
        <v>21348087301600</v>
      </c>
      <c r="E32" s="23" t="n">
        <v>1826.9</v>
      </c>
      <c r="F32" s="21" t="n">
        <v>13918127189650</v>
      </c>
      <c r="G32" s="3" t="n"/>
      <c r="H32" s="20" t="n"/>
      <c r="I32" s="3" t="n"/>
      <c r="J32" s="20" t="n"/>
      <c r="K32" s="3" t="n"/>
      <c r="L32" s="3" t="n"/>
    </row>
    <row r="33" ht="16" customFormat="1" customHeight="1" s="2">
      <c r="A33" s="21" t="n">
        <v>19</v>
      </c>
      <c r="B33" s="22" t="n">
        <v>46224</v>
      </c>
      <c r="C33" s="23" t="n">
        <v>1730.56</v>
      </c>
      <c r="D33" s="21" t="n">
        <v>13709230511900</v>
      </c>
      <c r="E33" s="23" t="n">
        <v>1881.32</v>
      </c>
      <c r="F33" s="21" t="n">
        <v>8225699474950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46223</v>
      </c>
      <c r="C34" s="23" t="n">
        <v>1743.51</v>
      </c>
      <c r="D34" s="21" t="n">
        <v>17882509506560</v>
      </c>
      <c r="E34" s="23" t="n">
        <v>1887.32</v>
      </c>
      <c r="F34" s="21" t="n">
        <v>10747202720050</v>
      </c>
      <c r="G34" s="3" t="n"/>
      <c r="H34" s="20">
        <f>SUM(D30:D34)</f>
        <v/>
      </c>
      <c r="I34" s="3">
        <f>H34/H39-1</f>
        <v/>
      </c>
      <c r="J34" s="20">
        <f>SUM(F30:F34)</f>
        <v/>
      </c>
      <c r="K34" s="3">
        <f>J34/J39-1</f>
        <v/>
      </c>
      <c r="L34" s="3" t="n"/>
    </row>
    <row r="35" ht="16" customFormat="1" customHeight="1" s="2">
      <c r="A35" s="21" t="n">
        <v>21</v>
      </c>
      <c r="B35" s="22" t="n">
        <v>46220</v>
      </c>
      <c r="C35" s="23" t="n">
        <v>1787.45</v>
      </c>
      <c r="D35" s="21" t="n">
        <v>10541592090330</v>
      </c>
      <c r="E35" s="23" t="n">
        <v>1931.65</v>
      </c>
      <c r="F35" s="21" t="n">
        <v>6554116635100</v>
      </c>
      <c r="G35" s="3" t="n"/>
      <c r="H35" s="20">
        <f>C35-C40</f>
        <v/>
      </c>
      <c r="I35" s="3">
        <f>C35/C40-1</f>
        <v/>
      </c>
      <c r="J35" s="20">
        <f>E35-E40</f>
        <v/>
      </c>
      <c r="K35" s="3">
        <f>E35/E40-1</f>
        <v/>
      </c>
      <c r="L35" s="3" t="n"/>
    </row>
    <row r="36" ht="16" customFormat="1" customHeight="1" s="2">
      <c r="A36" s="21" t="n">
        <v>22</v>
      </c>
      <c r="B36" s="22" t="n">
        <v>46219</v>
      </c>
      <c r="C36" s="23" t="n">
        <v>1804.24</v>
      </c>
      <c r="D36" s="21" t="n">
        <v>17774716542690</v>
      </c>
      <c r="E36" s="23" t="n">
        <v>1941.65</v>
      </c>
      <c r="F36" s="21" t="n">
        <v>10289806991550</v>
      </c>
      <c r="G36" s="3" t="n"/>
      <c r="H36" s="20" t="n"/>
      <c r="I36" s="3" t="n"/>
      <c r="J36" s="20" t="n"/>
      <c r="K36" s="3" t="n"/>
      <c r="L36" s="3" t="n"/>
    </row>
    <row r="37" ht="16" customFormat="1" customHeight="1" s="2">
      <c r="A37" s="21" t="n">
        <v>23</v>
      </c>
      <c r="B37" s="22" t="n">
        <v>46218</v>
      </c>
      <c r="C37" s="23" t="n">
        <v>1782.12</v>
      </c>
      <c r="D37" s="21" t="n">
        <v>13410478519850</v>
      </c>
      <c r="E37" s="23" t="n">
        <v>1916.05</v>
      </c>
      <c r="F37" s="21" t="n">
        <v>8125078458200</v>
      </c>
      <c r="G37" s="3" t="n"/>
      <c r="H37" s="20" t="n"/>
      <c r="I37" s="3" t="n"/>
      <c r="J37" s="20" t="n"/>
      <c r="K37" s="3" t="n"/>
      <c r="L37" s="3" t="n"/>
    </row>
    <row r="38" ht="16" customFormat="1" customHeight="1" s="2">
      <c r="A38" s="21" t="n">
        <v>24</v>
      </c>
      <c r="B38" s="22" t="n">
        <v>46217</v>
      </c>
      <c r="C38" s="23" t="n">
        <v>1806.63</v>
      </c>
      <c r="D38" s="21" t="n">
        <v>12735588643810</v>
      </c>
      <c r="E38" s="23" t="n">
        <v>1946.06</v>
      </c>
      <c r="F38" s="21" t="n">
        <v>7962492101850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46216</v>
      </c>
      <c r="C39" s="23" t="n">
        <v>1800.54</v>
      </c>
      <c r="D39" s="21" t="n">
        <v>17989560110530</v>
      </c>
      <c r="E39" s="23" t="n">
        <v>1939.84</v>
      </c>
      <c r="F39" s="21" t="n">
        <v>10902413806000</v>
      </c>
      <c r="G39" s="3" t="n"/>
      <c r="H39" s="20">
        <f>SUM(D35:D39)</f>
        <v/>
      </c>
      <c r="I39" s="3">
        <f>H39/H44-1</f>
        <v/>
      </c>
      <c r="J39" s="20">
        <f>SUM(F35:F39)</f>
        <v/>
      </c>
      <c r="K39" s="3">
        <f>J39/J44-1</f>
        <v/>
      </c>
      <c r="L39" s="3" t="n"/>
    </row>
    <row r="40" ht="16" customFormat="1" customHeight="1" s="2">
      <c r="A40" s="21" t="n">
        <v>26</v>
      </c>
      <c r="B40" s="22" t="n">
        <v>46213</v>
      </c>
      <c r="C40" s="23" t="n">
        <v>1828.34</v>
      </c>
      <c r="D40" s="21" t="n">
        <v>12763036517000</v>
      </c>
      <c r="E40" s="23" t="n">
        <v>1970.82</v>
      </c>
      <c r="F40" s="21" t="n">
        <v>7180848418200</v>
      </c>
      <c r="G40" s="3" t="n"/>
      <c r="H40" s="20">
        <f>C40-C45</f>
        <v/>
      </c>
      <c r="I40" s="3">
        <f>C40/C45-1</f>
        <v/>
      </c>
      <c r="J40" s="20">
        <f>E40-E45</f>
        <v/>
      </c>
      <c r="K40" s="3">
        <f>E40/E45-1</f>
        <v/>
      </c>
      <c r="L40" s="3" t="n"/>
    </row>
    <row r="41" ht="16" customFormat="1" customHeight="1" s="2">
      <c r="A41" s="21" t="n">
        <v>27</v>
      </c>
      <c r="B41" s="22" t="n">
        <v>46212</v>
      </c>
      <c r="C41" s="23" t="n">
        <v>1840.7</v>
      </c>
      <c r="D41" s="21" t="n">
        <v>11752612100520</v>
      </c>
      <c r="E41" s="23" t="n">
        <v>1987.11</v>
      </c>
      <c r="F41" s="21" t="n">
        <v>6066953527200</v>
      </c>
      <c r="G41" s="3" t="n"/>
      <c r="H41" s="20" t="n"/>
      <c r="I41" s="3" t="n"/>
      <c r="J41" s="20" t="n"/>
      <c r="K41" s="3" t="n"/>
      <c r="L41" s="3" t="n"/>
    </row>
    <row r="42" ht="16" customFormat="1" customHeight="1" s="2">
      <c r="A42" s="21" t="n">
        <v>28</v>
      </c>
      <c r="B42" s="22" t="n">
        <v>46211</v>
      </c>
      <c r="C42" s="23" t="n">
        <v>1853.7</v>
      </c>
      <c r="D42" s="21" t="n">
        <v>14770225552160</v>
      </c>
      <c r="E42" s="23" t="n">
        <v>1998.44</v>
      </c>
      <c r="F42" s="21" t="n">
        <v>7859085966250</v>
      </c>
      <c r="G42" s="3" t="n"/>
      <c r="H42" s="20" t="n"/>
      <c r="I42" s="3" t="n"/>
      <c r="J42" s="20" t="n"/>
      <c r="K42" s="3" t="n"/>
      <c r="L42" s="3" t="n"/>
    </row>
    <row r="43" ht="16" customFormat="1" customHeight="1" s="2">
      <c r="A43" s="21" t="n">
        <v>29</v>
      </c>
      <c r="B43" s="22" t="n">
        <v>46210</v>
      </c>
      <c r="C43" s="23" t="n">
        <v>1848.25</v>
      </c>
      <c r="D43" s="21" t="n">
        <v>12040605251560</v>
      </c>
      <c r="E43" s="23" t="n">
        <v>1995.91</v>
      </c>
      <c r="F43" s="21" t="n">
        <v>6974507968850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46209</v>
      </c>
      <c r="C44" s="23" t="n">
        <v>1843.5</v>
      </c>
      <c r="D44" s="21" t="n">
        <v>18314131078780</v>
      </c>
      <c r="E44" s="23" t="n">
        <v>1991.11</v>
      </c>
      <c r="F44" s="21" t="n">
        <v>9859184039150</v>
      </c>
      <c r="G44" s="3" t="n"/>
      <c r="H44" s="20">
        <f>SUM(D40:D44)</f>
        <v/>
      </c>
      <c r="I44" s="3">
        <f>H44/H49-1</f>
        <v/>
      </c>
      <c r="J44" s="20">
        <f>SUM(F40:F44)</f>
        <v/>
      </c>
      <c r="K44" s="3">
        <f>J44/J49-1</f>
        <v/>
      </c>
      <c r="L44" s="3" t="n"/>
    </row>
    <row r="45" ht="16" customFormat="1" customHeight="1" s="2">
      <c r="A45" s="21" t="n">
        <v>31</v>
      </c>
      <c r="B45" s="22" t="n">
        <v>46206</v>
      </c>
      <c r="C45" s="23" t="n">
        <v>1862.08</v>
      </c>
      <c r="D45" s="21" t="n">
        <v>13959586930810</v>
      </c>
      <c r="E45" s="23" t="n">
        <v>2002.56</v>
      </c>
      <c r="F45" s="21" t="n">
        <v>7407706477250</v>
      </c>
      <c r="G45" s="3" t="n"/>
      <c r="H45" s="20">
        <f>C45-C50</f>
        <v/>
      </c>
      <c r="I45" s="3">
        <f>C45/C50-1</f>
        <v/>
      </c>
      <c r="J45" s="20">
        <f>E45-E50</f>
        <v/>
      </c>
      <c r="K45" s="3">
        <f>E45/E50-1</f>
        <v/>
      </c>
      <c r="L45" s="3" t="n"/>
    </row>
    <row r="46" ht="16" customFormat="1" customHeight="1" s="2">
      <c r="A46" s="21" t="n">
        <v>32</v>
      </c>
      <c r="B46" s="22" t="n">
        <v>46205</v>
      </c>
      <c r="C46" s="23" t="n">
        <v>1866.35</v>
      </c>
      <c r="D46" s="21" t="n">
        <v>11933129577320</v>
      </c>
      <c r="E46" s="23" t="n">
        <v>2009.04</v>
      </c>
      <c r="F46" s="21" t="n">
        <v>6737551929300</v>
      </c>
      <c r="G46" s="3" t="n"/>
      <c r="H46" s="20" t="n"/>
      <c r="I46" s="3" t="n"/>
      <c r="J46" s="20" t="n"/>
      <c r="K46" s="3" t="n"/>
      <c r="L46" s="3" t="n"/>
    </row>
    <row r="47" ht="16" customFormat="1" customHeight="1" s="2">
      <c r="A47" s="21" t="n">
        <v>33</v>
      </c>
      <c r="B47" s="22" t="n">
        <v>46204</v>
      </c>
      <c r="C47" s="23" t="n">
        <v>1867.21</v>
      </c>
      <c r="D47" s="21" t="n">
        <v>13261750794170</v>
      </c>
      <c r="E47" s="23" t="n">
        <v>2013.35</v>
      </c>
      <c r="F47" s="21" t="n">
        <v>8714568865000</v>
      </c>
      <c r="G47" s="3" t="n"/>
      <c r="H47" s="20" t="n"/>
      <c r="I47" s="3" t="n"/>
      <c r="J47" s="20" t="n"/>
      <c r="K47" s="3" t="n"/>
      <c r="L47" s="3" t="n"/>
    </row>
    <row r="48" ht="16" customFormat="1" customHeight="1" s="2">
      <c r="A48" s="21" t="n">
        <v>34</v>
      </c>
      <c r="B48" s="22" t="n">
        <v>46203</v>
      </c>
      <c r="C48" s="23" t="n">
        <v>1860.01</v>
      </c>
      <c r="D48" s="21" t="n">
        <v>13703215162960</v>
      </c>
      <c r="E48" s="23" t="n">
        <v>1995.71</v>
      </c>
      <c r="F48" s="21" t="n">
        <v>8148164804400</v>
      </c>
      <c r="G48" s="3" t="n"/>
      <c r="H48" s="20" t="n"/>
      <c r="I48" s="3" t="n"/>
      <c r="J48" s="20" t="n"/>
      <c r="K48" s="3" t="n"/>
      <c r="L48" s="3" t="n"/>
    </row>
    <row r="49" ht="16" customFormat="1" customHeight="1" s="2">
      <c r="A49" s="21" t="n">
        <v>35</v>
      </c>
      <c r="B49" s="22" t="n">
        <v>46202</v>
      </c>
      <c r="C49" s="23" t="n">
        <v>1854.97</v>
      </c>
      <c r="D49" s="21" t="n">
        <v>12640658432390</v>
      </c>
      <c r="E49" s="23" t="n">
        <v>2004.29</v>
      </c>
      <c r="F49" s="21" t="n">
        <v>8217872239400</v>
      </c>
      <c r="G49" s="3" t="n"/>
      <c r="H49" s="20">
        <f>SUM(D45:D49)</f>
        <v/>
      </c>
      <c r="I49" s="3">
        <f>H49/H54-1</f>
        <v/>
      </c>
      <c r="J49" s="20">
        <f>SUM(F45:F49)</f>
        <v/>
      </c>
      <c r="K49" s="3">
        <f>J49/J54-1</f>
        <v/>
      </c>
      <c r="L49" s="3" t="n"/>
    </row>
    <row r="50" ht="16" customFormat="1" customHeight="1" s="2">
      <c r="A50" s="21" t="n">
        <v>36</v>
      </c>
      <c r="B50" s="22" t="n">
        <v>46199</v>
      </c>
      <c r="C50" s="23" t="n">
        <v>1871.91</v>
      </c>
      <c r="D50" s="21" t="n">
        <v>12276224187790</v>
      </c>
      <c r="E50" s="23" t="n">
        <v>2008.57</v>
      </c>
      <c r="F50" s="21" t="n">
        <v>7810644483250</v>
      </c>
      <c r="G50" s="3" t="n"/>
      <c r="H50" s="20">
        <f>C50-C55</f>
        <v/>
      </c>
      <c r="I50" s="3">
        <f>C50/C55-1</f>
        <v/>
      </c>
      <c r="J50" s="20">
        <f>E50-E55</f>
        <v/>
      </c>
      <c r="K50" s="3">
        <f>E50/E55-1</f>
        <v/>
      </c>
      <c r="L50" s="3" t="n"/>
    </row>
    <row r="51" ht="16" customFormat="1" customHeight="1" s="2">
      <c r="A51" s="21" t="n">
        <v>37</v>
      </c>
      <c r="B51" s="22" t="n">
        <v>46198</v>
      </c>
      <c r="C51" s="23" t="n">
        <v>1863.07</v>
      </c>
      <c r="D51" s="21" t="n">
        <v>11316087446280</v>
      </c>
      <c r="E51" s="23" t="n">
        <v>2004.62</v>
      </c>
      <c r="F51" s="21" t="n">
        <v>6976030833450</v>
      </c>
      <c r="G51" s="3" t="n"/>
      <c r="H51" s="20" t="n"/>
      <c r="I51" s="3" t="n"/>
      <c r="J51" s="20" t="n"/>
      <c r="K51" s="3" t="n"/>
      <c r="L51" s="3" t="n"/>
    </row>
    <row r="52" ht="16" customFormat="1" customHeight="1" s="2">
      <c r="A52" s="21" t="n">
        <v>38</v>
      </c>
      <c r="B52" s="22" t="n">
        <v>46197</v>
      </c>
      <c r="C52" s="23" t="n">
        <v>1878.02</v>
      </c>
      <c r="D52" s="21" t="n">
        <v>13692335274010</v>
      </c>
      <c r="E52" s="23" t="n">
        <v>2010.15</v>
      </c>
      <c r="F52" s="21" t="n">
        <v>8337790760650</v>
      </c>
      <c r="G52" s="3" t="n"/>
      <c r="H52" s="20" t="n"/>
      <c r="I52" s="3" t="n"/>
      <c r="J52" s="20" t="n"/>
      <c r="K52" s="3" t="n"/>
      <c r="L52" s="3" t="n"/>
    </row>
    <row r="53" ht="16" customFormat="1" customHeight="1" s="2">
      <c r="A53" s="21" t="n">
        <v>39</v>
      </c>
      <c r="B53" s="22" t="n">
        <v>46196</v>
      </c>
      <c r="C53" s="23" t="n">
        <v>1869.04</v>
      </c>
      <c r="D53" s="21" t="n">
        <v>19094776569180</v>
      </c>
      <c r="E53" s="23" t="n">
        <v>1995.12</v>
      </c>
      <c r="F53" s="21" t="n">
        <v>12223765812650</v>
      </c>
      <c r="G53" s="3" t="n"/>
      <c r="H53" s="20" t="n"/>
      <c r="I53" s="3" t="n"/>
      <c r="J53" s="20" t="n"/>
      <c r="K53" s="3" t="n"/>
      <c r="L53" s="3" t="n"/>
    </row>
    <row r="54" ht="16" customFormat="1" customHeight="1" s="2">
      <c r="A54" s="21" t="n">
        <v>40</v>
      </c>
      <c r="B54" s="22" t="n">
        <v>46195</v>
      </c>
      <c r="C54" s="23" t="n">
        <v>1857.91</v>
      </c>
      <c r="D54" s="21" t="n">
        <v>12290199713930</v>
      </c>
      <c r="E54" s="23" t="n">
        <v>1980.13</v>
      </c>
      <c r="F54" s="21" t="n">
        <v>6951673022650</v>
      </c>
      <c r="G54" s="3" t="n"/>
      <c r="H54" s="20">
        <f>SUM(D50:D54)</f>
        <v/>
      </c>
      <c r="I54" s="3">
        <f>H54/H59-1</f>
        <v/>
      </c>
      <c r="J54" s="20">
        <f>SUM(F50:F54)</f>
        <v/>
      </c>
      <c r="K54" s="3">
        <f>J54/J59-1</f>
        <v/>
      </c>
      <c r="L54" s="3" t="n"/>
    </row>
    <row r="55" ht="16" customFormat="1" customHeight="1" s="2">
      <c r="A55" s="21" t="n">
        <v>41</v>
      </c>
      <c r="B55" s="22" t="n">
        <v>46192</v>
      </c>
      <c r="C55" s="23" t="n">
        <v>1824.53</v>
      </c>
      <c r="D55" s="21" t="n">
        <v>15380739145890</v>
      </c>
      <c r="E55" s="23" t="n">
        <v>1963.57</v>
      </c>
      <c r="F55" s="21" t="n">
        <v>9098469824000</v>
      </c>
      <c r="G55" s="3" t="n"/>
      <c r="H55" s="20">
        <f>C55-C60</f>
        <v/>
      </c>
      <c r="I55" s="3">
        <f>C55/C60-1</f>
        <v/>
      </c>
      <c r="J55" s="20">
        <f>E55-E60</f>
        <v/>
      </c>
      <c r="K55" s="3">
        <f>E55/E60-1</f>
        <v/>
      </c>
      <c r="L55" s="3" t="n"/>
    </row>
    <row r="56" ht="16" customFormat="1" customHeight="1" s="2">
      <c r="A56" s="21" t="n">
        <v>42</v>
      </c>
      <c r="B56" s="22" t="n">
        <v>46191</v>
      </c>
      <c r="C56" s="23" t="n">
        <v>1830.47</v>
      </c>
      <c r="D56" s="21" t="n">
        <v>14185578709290</v>
      </c>
      <c r="E56" s="23" t="n">
        <v>1967.22</v>
      </c>
      <c r="F56" s="21" t="n">
        <v>8213572474150</v>
      </c>
      <c r="G56" s="3" t="n"/>
      <c r="H56" s="20" t="n"/>
      <c r="I56" s="3" t="n"/>
      <c r="J56" s="20" t="n"/>
      <c r="K56" s="3" t="n"/>
      <c r="L56" s="3" t="n"/>
    </row>
    <row r="57" ht="16" customFormat="1" customHeight="1" s="2">
      <c r="A57" s="21" t="n">
        <v>43</v>
      </c>
      <c r="B57" s="22" t="n">
        <v>46190</v>
      </c>
      <c r="C57" s="23" t="n">
        <v>1806.2</v>
      </c>
      <c r="D57" s="21" t="n">
        <v>17133210444700</v>
      </c>
      <c r="E57" s="23" t="n">
        <v>1957.17</v>
      </c>
      <c r="F57" s="21" t="n">
        <v>9880025694400</v>
      </c>
      <c r="G57" s="3" t="n"/>
      <c r="H57" s="20" t="n"/>
      <c r="I57" s="3" t="n"/>
      <c r="J57" s="20" t="n"/>
      <c r="K57" s="3" t="n"/>
      <c r="L57" s="3" t="n"/>
    </row>
    <row r="58" ht="16" customFormat="1" customHeight="1" s="2">
      <c r="A58" s="21" t="n">
        <v>44</v>
      </c>
      <c r="B58" s="22" t="n">
        <v>46189</v>
      </c>
      <c r="C58" s="23" t="n">
        <v>1807.94</v>
      </c>
      <c r="D58" s="21" t="n">
        <v>14345105773190</v>
      </c>
      <c r="E58" s="23" t="n">
        <v>1960.19</v>
      </c>
      <c r="F58" s="21" t="n">
        <v>6900254825450</v>
      </c>
      <c r="G58" s="3" t="n"/>
      <c r="H58" s="20" t="n"/>
      <c r="I58" s="3" t="n"/>
      <c r="J58" s="20" t="n"/>
      <c r="K58" s="3" t="n"/>
      <c r="L58" s="3" t="n"/>
    </row>
    <row r="59" ht="16" customFormat="1" customHeight="1" s="2">
      <c r="A59" s="21" t="n">
        <v>45</v>
      </c>
      <c r="B59" s="22" t="n">
        <v>46188</v>
      </c>
      <c r="C59" s="23" t="n">
        <v>1799.31</v>
      </c>
      <c r="D59" s="21" t="n">
        <v>16982054544760</v>
      </c>
      <c r="E59" s="23" t="n">
        <v>1962.48</v>
      </c>
      <c r="F59" s="21" t="n">
        <v>9993770513050</v>
      </c>
      <c r="G59" s="3" t="n"/>
      <c r="H59" s="20">
        <f>SUM(D55:D59)</f>
        <v/>
      </c>
      <c r="I59" s="3">
        <f>H59/H64-1</f>
        <v/>
      </c>
      <c r="J59" s="20">
        <f>SUM(F55:F59)</f>
        <v/>
      </c>
      <c r="K59" s="3">
        <f>J59/J64-1</f>
        <v/>
      </c>
      <c r="L59" s="3" t="n"/>
    </row>
    <row r="60" ht="16" customFormat="1" customHeight="1" s="2">
      <c r="A60" s="21" t="n">
        <v>46</v>
      </c>
      <c r="B60" s="22" t="n">
        <v>46185</v>
      </c>
      <c r="C60" s="23" t="n">
        <v>1791.65</v>
      </c>
      <c r="D60" s="21" t="n">
        <v>14684424706440</v>
      </c>
      <c r="E60" s="23" t="n">
        <v>1944.36</v>
      </c>
      <c r="F60" s="21" t="n">
        <v>9681881937150</v>
      </c>
      <c r="G60" s="3" t="n"/>
      <c r="H60" s="20">
        <f>C60-C65</f>
        <v/>
      </c>
      <c r="I60" s="3">
        <f>C60/C65-1</f>
        <v/>
      </c>
      <c r="J60" s="20">
        <f>E60-E65</f>
        <v/>
      </c>
      <c r="K60" s="3">
        <f>E60/E65-1</f>
        <v/>
      </c>
      <c r="L60" s="3" t="n"/>
    </row>
    <row r="61" ht="16" customFormat="1" customHeight="1" s="2">
      <c r="A61" s="21" t="n">
        <v>47</v>
      </c>
      <c r="B61" s="22" t="n">
        <v>46184</v>
      </c>
      <c r="C61" s="23" t="n">
        <v>1798.61</v>
      </c>
      <c r="D61" s="21" t="n">
        <v>9358782439180</v>
      </c>
      <c r="E61" s="23" t="n">
        <v>1947.28</v>
      </c>
      <c r="F61" s="21" t="n">
        <v>5213657059100</v>
      </c>
      <c r="G61" s="3" t="n"/>
      <c r="H61" s="3" t="n"/>
      <c r="I61" s="3" t="n"/>
      <c r="J61" s="3" t="n"/>
      <c r="K61" s="3" t="n"/>
      <c r="L61" s="3" t="n"/>
    </row>
    <row r="62" ht="16" customFormat="1" customHeight="1" s="2">
      <c r="A62" s="21" t="n">
        <v>48</v>
      </c>
      <c r="B62" s="22" t="n">
        <v>46183</v>
      </c>
      <c r="C62" s="23" t="n">
        <v>1803.71</v>
      </c>
      <c r="D62" s="21" t="n">
        <v>10851066654450</v>
      </c>
      <c r="E62" s="23" t="n">
        <v>1960.97</v>
      </c>
      <c r="F62" s="21" t="n">
        <v>5684547771150</v>
      </c>
      <c r="G62" s="3" t="n"/>
      <c r="H62" s="3" t="n"/>
      <c r="I62" s="3" t="n"/>
      <c r="J62" s="3" t="n"/>
      <c r="K62" s="3" t="n"/>
      <c r="L62" s="3" t="n"/>
    </row>
    <row r="63" ht="16" customFormat="1" customHeight="1" s="2">
      <c r="A63" s="21" t="n">
        <v>49</v>
      </c>
      <c r="B63" s="22" t="n">
        <v>46182</v>
      </c>
      <c r="C63" s="23" t="n">
        <v>1793.05</v>
      </c>
      <c r="D63" s="21" t="n">
        <v>11322712843660</v>
      </c>
      <c r="E63" s="23" t="n">
        <v>1951.92</v>
      </c>
      <c r="F63" s="21" t="n">
        <v>7004800904100</v>
      </c>
      <c r="G63" s="3" t="n"/>
      <c r="H63" s="3" t="n"/>
      <c r="I63" s="3" t="n"/>
      <c r="J63" s="3" t="n"/>
      <c r="K63" s="3" t="n"/>
      <c r="L63" s="3" t="n"/>
    </row>
    <row r="64" ht="16" customFormat="1" customHeight="1" s="2">
      <c r="A64" s="21" t="n">
        <v>50</v>
      </c>
      <c r="B64" s="22" t="n">
        <v>46181</v>
      </c>
      <c r="C64" s="23" t="n">
        <v>1790.53</v>
      </c>
      <c r="D64" s="21" t="n">
        <v>15959652819700</v>
      </c>
      <c r="E64" s="23" t="n">
        <v>1936.81</v>
      </c>
      <c r="F64" s="21" t="n">
        <v>9358782909700</v>
      </c>
      <c r="G64" s="3" t="n"/>
      <c r="H64" s="18">
        <f>SUM(D60:D64)</f>
        <v/>
      </c>
      <c r="I64">
        <f>H64/H69-1</f>
        <v/>
      </c>
      <c r="J64" s="18">
        <f>SUM(F60:F64)</f>
        <v/>
      </c>
      <c r="K64">
        <f>J64/J69-1</f>
        <v/>
      </c>
      <c r="L64" s="3" t="n"/>
    </row>
    <row r="65">
      <c r="A65" s="21" t="n">
        <v>51</v>
      </c>
      <c r="B65" s="16" t="n">
        <v>46178</v>
      </c>
      <c r="C65" s="17" t="n">
        <v>1838.9</v>
      </c>
      <c r="D65" s="15" t="n">
        <v>12231250341530</v>
      </c>
      <c r="E65" s="17" t="n">
        <v>1986.28</v>
      </c>
      <c r="F65" s="15" t="n">
        <v>8117140665550</v>
      </c>
      <c r="G65" s="3" t="n"/>
      <c r="H65" s="20">
        <f>C65-C70</f>
        <v/>
      </c>
      <c r="I65" s="3">
        <f>C65/C70-1</f>
        <v/>
      </c>
      <c r="J65" s="20">
        <f>E65-E70</f>
        <v/>
      </c>
      <c r="K65" s="3">
        <f>E65/E70-1</f>
        <v/>
      </c>
      <c r="L65" s="3" t="n"/>
    </row>
    <row r="66">
      <c r="A66" s="21" t="n">
        <v>52</v>
      </c>
      <c r="B66" s="16" t="n">
        <v>46177</v>
      </c>
      <c r="C66" s="17" t="n">
        <v>1831.55</v>
      </c>
      <c r="D66" s="15" t="n">
        <v>12936165161600</v>
      </c>
      <c r="E66" s="17" t="n">
        <v>1982.29</v>
      </c>
      <c r="F66" s="15" t="n">
        <v>8485998725500</v>
      </c>
      <c r="G66" s="3" t="n"/>
      <c r="H66" s="3" t="n"/>
      <c r="I66" s="3" t="n"/>
      <c r="J66" s="3" t="n"/>
      <c r="K66" s="3" t="n"/>
      <c r="L66" s="3" t="n"/>
    </row>
    <row r="67">
      <c r="A67" s="21" t="n">
        <v>53</v>
      </c>
      <c r="B67" s="16" t="n">
        <v>46176</v>
      </c>
      <c r="C67" s="17" t="n">
        <v>1819.01</v>
      </c>
      <c r="D67" s="15" t="n">
        <v>16886518838320</v>
      </c>
      <c r="E67" s="17" t="n">
        <v>1974.6</v>
      </c>
      <c r="F67" s="15" t="n">
        <v>11376039409800</v>
      </c>
      <c r="G67" s="3" t="n"/>
      <c r="H67" s="3" t="n"/>
      <c r="I67" s="3" t="n"/>
      <c r="J67" s="3" t="n"/>
      <c r="K67" s="3" t="n"/>
      <c r="L67" s="3" t="n"/>
    </row>
    <row r="68">
      <c r="A68" s="21" t="n">
        <v>54</v>
      </c>
      <c r="B68" s="16" t="n">
        <v>46175</v>
      </c>
      <c r="C68" s="17" t="n">
        <v>1826.47</v>
      </c>
      <c r="D68" s="15" t="n">
        <v>16374448306800</v>
      </c>
      <c r="E68" s="17" t="n">
        <v>1972.99</v>
      </c>
      <c r="F68" s="15" t="n">
        <v>10075299656200</v>
      </c>
      <c r="G68" s="3" t="n"/>
      <c r="H68" s="3" t="n"/>
      <c r="I68" s="3" t="n"/>
      <c r="J68" s="3" t="n"/>
      <c r="K68" s="3" t="n"/>
      <c r="L68" s="3" t="n"/>
    </row>
    <row r="69">
      <c r="A69" s="21" t="n">
        <v>55</v>
      </c>
      <c r="B69" s="16" t="n">
        <v>46174</v>
      </c>
      <c r="C69" s="17" t="n">
        <v>1844.54</v>
      </c>
      <c r="D69" s="15" t="n">
        <v>11481095686810</v>
      </c>
      <c r="E69" s="17" t="n">
        <v>1989.71</v>
      </c>
      <c r="F69" s="15" t="n">
        <v>6472665483750</v>
      </c>
      <c r="G69" s="3" t="n"/>
      <c r="H69" s="18">
        <f>SUM(D65:D69)</f>
        <v/>
      </c>
      <c r="I69">
        <f>H69/H74-1</f>
        <v/>
      </c>
      <c r="J69" s="18">
        <f>SUM(F65:F69)</f>
        <v/>
      </c>
      <c r="K69">
        <f>J69/J74-1</f>
        <v/>
      </c>
      <c r="L69" s="3" t="n"/>
    </row>
    <row r="70">
      <c r="A70" s="15" t="n">
        <v>56</v>
      </c>
      <c r="B70" s="16" t="n">
        <v>46171</v>
      </c>
      <c r="C70" s="17" t="n">
        <v>1863.49</v>
      </c>
      <c r="D70" s="15" t="n">
        <v>14769492423200</v>
      </c>
      <c r="E70" s="17" t="n">
        <v>1997.06</v>
      </c>
      <c r="F70" s="15" t="n">
        <v>8468083719000</v>
      </c>
      <c r="G70" s="3" t="n"/>
      <c r="H70" s="20">
        <f>C70-C75</f>
        <v/>
      </c>
      <c r="I70" s="3">
        <f>C70/C75-1</f>
        <v/>
      </c>
      <c r="J70" s="20">
        <f>E70-E75</f>
        <v/>
      </c>
      <c r="K70" s="3">
        <f>E70/E75-1</f>
        <v/>
      </c>
      <c r="L70" s="3" t="n"/>
    </row>
    <row r="71">
      <c r="A71" s="15" t="n">
        <v>57</v>
      </c>
      <c r="B71" s="16" t="n">
        <v>46170</v>
      </c>
      <c r="C71" s="17" t="n">
        <v>1863.67</v>
      </c>
      <c r="D71" s="15" t="n">
        <v>16679483894650</v>
      </c>
      <c r="E71" s="17" t="n">
        <v>1999.82</v>
      </c>
      <c r="F71" s="15" t="n">
        <v>9846246794200</v>
      </c>
      <c r="G71" s="3" t="n"/>
      <c r="H71" s="3" t="n"/>
      <c r="I71" s="3" t="n"/>
      <c r="J71" s="3" t="n"/>
      <c r="K71" s="3" t="n"/>
      <c r="L71" s="3" t="n"/>
    </row>
    <row r="72">
      <c r="A72" s="15" t="n">
        <v>58</v>
      </c>
      <c r="B72" s="16" t="n">
        <v>46169</v>
      </c>
      <c r="C72" s="17" t="n">
        <v>1874.43</v>
      </c>
      <c r="D72" s="15" t="n">
        <v>17875263826280</v>
      </c>
      <c r="E72" s="17" t="n">
        <v>2022.46</v>
      </c>
      <c r="F72" s="15" t="n">
        <v>11027063133700</v>
      </c>
      <c r="G72" s="3" t="n"/>
      <c r="H72" s="3" t="n"/>
      <c r="I72" s="3" t="n"/>
      <c r="J72" s="3" t="n"/>
      <c r="K72" s="3" t="n"/>
      <c r="L72" s="3" t="n"/>
    </row>
    <row r="73">
      <c r="A73" s="15" t="n">
        <v>59</v>
      </c>
      <c r="B73" s="16" t="n">
        <v>46168</v>
      </c>
      <c r="C73" s="17" t="n">
        <v>1884.18</v>
      </c>
      <c r="D73" s="15" t="n">
        <v>15263985183520</v>
      </c>
      <c r="E73" s="17" t="n">
        <v>2027.9</v>
      </c>
      <c r="F73" s="15" t="n">
        <v>8735764911250</v>
      </c>
      <c r="G73" s="3" t="n"/>
      <c r="H73" s="3" t="n"/>
      <c r="I73" s="3" t="n"/>
      <c r="J73" s="3" t="n"/>
      <c r="K73" s="3" t="n"/>
      <c r="L73" s="3" t="n"/>
    </row>
    <row r="74">
      <c r="A74" s="15" t="n">
        <v>60</v>
      </c>
      <c r="B74" s="16" t="n">
        <v>46167</v>
      </c>
      <c r="C74" s="17" t="n">
        <v>1886.03</v>
      </c>
      <c r="D74" s="15" t="n">
        <v>13906430732820</v>
      </c>
      <c r="E74" s="17" t="n">
        <v>2021.72</v>
      </c>
      <c r="F74" s="15" t="n">
        <v>8395199308550</v>
      </c>
      <c r="G74" s="3" t="n"/>
      <c r="H74" s="18">
        <f>SUM(D70:D74)</f>
        <v/>
      </c>
      <c r="I74">
        <f>H74/H79-1</f>
        <v/>
      </c>
      <c r="J74" s="18">
        <f>SUM(F70:F74)</f>
        <v/>
      </c>
      <c r="K74">
        <f>J74/J79-1</f>
        <v/>
      </c>
      <c r="L74" s="3" t="n"/>
    </row>
    <row r="75">
      <c r="A75" s="15" t="n">
        <v>61</v>
      </c>
      <c r="B75" s="16" t="n">
        <v>46164</v>
      </c>
      <c r="C75" s="17" t="n">
        <v>1877.13</v>
      </c>
      <c r="D75" s="15" t="n">
        <v>18700548460450</v>
      </c>
      <c r="E75" s="17" t="n">
        <v>2010.93</v>
      </c>
      <c r="F75" s="15" t="n">
        <v>9954408413000</v>
      </c>
      <c r="G75" s="3" t="n"/>
      <c r="H75" s="3" t="n"/>
      <c r="I75" s="3" t="n"/>
      <c r="J75" s="3" t="n"/>
      <c r="K75" s="3" t="n"/>
      <c r="L75" s="3" t="n"/>
    </row>
    <row r="76">
      <c r="A76" s="15" t="n">
        <v>62</v>
      </c>
      <c r="B76" s="16" t="n">
        <v>46163</v>
      </c>
      <c r="C76" s="17" t="n">
        <v>1896.89</v>
      </c>
      <c r="D76" s="15" t="n">
        <v>17596128677460</v>
      </c>
      <c r="E76" s="17" t="n">
        <v>2027.51</v>
      </c>
      <c r="F76" s="15" t="n">
        <v>11096276745000</v>
      </c>
      <c r="G76" s="3" t="n"/>
      <c r="H76" s="3" t="n"/>
      <c r="I76" s="3" t="n"/>
      <c r="J76" s="3" t="n"/>
      <c r="K76" s="3" t="n"/>
      <c r="L76" s="3" t="n"/>
    </row>
    <row r="77">
      <c r="A77" s="15" t="n">
        <v>63</v>
      </c>
      <c r="B77" s="16" t="n">
        <v>46162</v>
      </c>
      <c r="C77" s="17" t="n">
        <v>1913.23</v>
      </c>
      <c r="D77" s="15" t="n">
        <v>29212878080150</v>
      </c>
      <c r="E77" s="17" t="n">
        <v>2028.94</v>
      </c>
      <c r="F77" s="15" t="n">
        <v>17159783612050</v>
      </c>
      <c r="G77" s="3" t="n"/>
      <c r="H77" s="3" t="n"/>
      <c r="I77" s="3" t="n"/>
      <c r="J77" s="3" t="n"/>
      <c r="K77" s="3" t="n"/>
      <c r="L77" s="3" t="n"/>
    </row>
    <row r="78">
      <c r="A78" s="15" t="n">
        <v>64</v>
      </c>
      <c r="B78" s="16" t="n">
        <v>46161</v>
      </c>
      <c r="C78" s="17" t="n">
        <v>1912.93</v>
      </c>
      <c r="D78" s="15" t="n">
        <v>27066457070920</v>
      </c>
      <c r="E78" s="17" t="n">
        <v>2027.45</v>
      </c>
      <c r="F78" s="15" t="n">
        <v>15206222538950</v>
      </c>
      <c r="G78" s="3" t="n"/>
      <c r="H78" s="3" t="n"/>
      <c r="I78" s="3" t="n"/>
      <c r="J78" s="3" t="n"/>
      <c r="K78" s="3" t="n"/>
      <c r="L78" s="3" t="n"/>
    </row>
    <row r="79">
      <c r="A79" s="15" t="n">
        <v>65</v>
      </c>
      <c r="B79" s="16" t="n">
        <v>46160</v>
      </c>
      <c r="C79" s="17" t="n">
        <v>1927.94</v>
      </c>
      <c r="D79" s="15" t="n">
        <v>23842371865270</v>
      </c>
      <c r="E79" s="17" t="n">
        <v>2046.37</v>
      </c>
      <c r="F79" s="15" t="n">
        <v>13796585014200</v>
      </c>
      <c r="G79" s="3" t="n"/>
      <c r="H79" s="18">
        <f>SUM(D75:D79)</f>
        <v/>
      </c>
      <c r="I79">
        <f>H79/H84-1</f>
        <v/>
      </c>
      <c r="J79" s="18">
        <f>SUM(F75:F79)</f>
        <v/>
      </c>
      <c r="K79">
        <f>J79/J84-1</f>
        <v/>
      </c>
      <c r="L79" s="3" t="n"/>
    </row>
    <row r="80">
      <c r="A80" s="15" t="n">
        <v>66</v>
      </c>
      <c r="B80" s="16" t="n">
        <v>46157</v>
      </c>
      <c r="C80" s="17" t="n">
        <v>1921.6</v>
      </c>
      <c r="D80" s="15" t="n">
        <v>20883774453140</v>
      </c>
      <c r="E80" s="17" t="n">
        <v>2050.58</v>
      </c>
      <c r="F80" s="15" t="n">
        <v>12709813274600</v>
      </c>
      <c r="G80" s="3" t="n"/>
      <c r="H80" s="3" t="n"/>
      <c r="I80" s="3" t="n"/>
      <c r="J80" s="3" t="n"/>
      <c r="K80" s="3" t="n"/>
      <c r="L80" s="3" t="n"/>
    </row>
    <row r="81">
      <c r="A81" s="15" t="n">
        <v>67</v>
      </c>
      <c r="B81" s="16" t="n">
        <v>46156</v>
      </c>
      <c r="C81" s="17" t="n">
        <v>1925.46</v>
      </c>
      <c r="D81" s="15" t="n">
        <v>18191927185980</v>
      </c>
      <c r="E81" s="17" t="n">
        <v>2068.62</v>
      </c>
      <c r="F81" s="15" t="n">
        <v>11037791219100</v>
      </c>
      <c r="G81" s="3" t="n"/>
      <c r="H81" s="3" t="n"/>
      <c r="I81" s="3" t="n"/>
      <c r="J81" s="3" t="n"/>
      <c r="K81" s="3" t="n"/>
      <c r="L81" s="3" t="n"/>
    </row>
    <row r="82">
      <c r="A82" s="15" t="n">
        <v>68</v>
      </c>
      <c r="B82" s="16" t="n">
        <v>46155</v>
      </c>
      <c r="C82" s="17" t="n">
        <v>1898.37</v>
      </c>
      <c r="D82" s="15" t="n">
        <v>25057894679250</v>
      </c>
      <c r="E82" s="17" t="n">
        <v>2043.51</v>
      </c>
      <c r="F82" s="15" t="n">
        <v>14467786137350</v>
      </c>
      <c r="G82" s="3" t="n"/>
      <c r="H82" s="3" t="n"/>
      <c r="I82" s="3" t="n"/>
      <c r="J82" s="3" t="n"/>
      <c r="K82" s="3" t="n"/>
      <c r="L82" s="3" t="n"/>
    </row>
    <row r="83">
      <c r="A83" s="15" t="n">
        <v>69</v>
      </c>
      <c r="B83" s="16" t="n">
        <v>46154</v>
      </c>
      <c r="C83" s="17" t="n">
        <v>1901.1</v>
      </c>
      <c r="D83" s="15" t="n">
        <v>19186129349010</v>
      </c>
      <c r="E83" s="17" t="n">
        <v>2053.97</v>
      </c>
      <c r="F83" s="15" t="n">
        <v>9981313003250</v>
      </c>
      <c r="G83" s="3" t="n"/>
      <c r="H83" s="3" t="n"/>
      <c r="I83" s="3" t="n"/>
      <c r="J83" s="3" t="n"/>
      <c r="K83" s="3" t="n"/>
      <c r="L83" s="3" t="n"/>
    </row>
    <row r="84">
      <c r="A84" s="15" t="n">
        <v>70</v>
      </c>
      <c r="B84" s="16" t="n">
        <v>46153</v>
      </c>
      <c r="C84" s="17" t="n">
        <v>1895.5</v>
      </c>
      <c r="D84" s="15" t="n">
        <v>25474331160070</v>
      </c>
      <c r="E84" s="17" t="n">
        <v>2040.51</v>
      </c>
      <c r="F84" s="15" t="n">
        <v>12012243587100</v>
      </c>
      <c r="G84" s="3" t="n"/>
      <c r="H84" s="18">
        <f>SUM(D80:D84)</f>
        <v/>
      </c>
      <c r="I84">
        <f>H84/H89-1</f>
        <v/>
      </c>
      <c r="J84" s="18">
        <f>SUM(F80:F84)</f>
        <v/>
      </c>
      <c r="K84">
        <f>J84/J89-1</f>
        <v/>
      </c>
      <c r="L84" s="3" t="n"/>
    </row>
    <row r="85">
      <c r="A85" s="15" t="n">
        <v>71</v>
      </c>
      <c r="B85" s="16" t="n">
        <v>46150</v>
      </c>
      <c r="C85" s="17" t="n">
        <v>1915.37</v>
      </c>
      <c r="D85" s="15" t="n">
        <v>24061517328320</v>
      </c>
      <c r="E85" s="17" t="n">
        <v>2074.06</v>
      </c>
      <c r="F85" s="15" t="n">
        <v>12424441180350</v>
      </c>
      <c r="G85" s="3" t="n"/>
      <c r="H85" s="3" t="n"/>
      <c r="I85" s="3" t="n"/>
      <c r="J85" s="3" t="n"/>
      <c r="K85" s="3" t="n"/>
      <c r="L85" s="3" t="n"/>
    </row>
    <row r="86">
      <c r="A86" s="15" t="n">
        <v>72</v>
      </c>
      <c r="B86" s="16" t="n">
        <v>46149</v>
      </c>
      <c r="C86" s="17" t="n">
        <v>1909.01</v>
      </c>
      <c r="D86" s="15" t="n">
        <v>25954366354120</v>
      </c>
      <c r="E86" s="17" t="n">
        <v>2079.1</v>
      </c>
      <c r="F86" s="15" t="n">
        <v>13892886146050</v>
      </c>
      <c r="G86" s="3" t="n"/>
      <c r="H86" s="3" t="n"/>
      <c r="I86" s="3" t="n"/>
      <c r="J86" s="3" t="n"/>
      <c r="K86" s="3" t="n"/>
      <c r="L86" s="3" t="n"/>
    </row>
    <row r="87">
      <c r="A87" s="15" t="n">
        <v>73</v>
      </c>
      <c r="B87" s="16" t="n">
        <v>46148</v>
      </c>
      <c r="C87" s="17" t="n">
        <v>1891.2</v>
      </c>
      <c r="D87" s="15" t="n">
        <v>21819177275280</v>
      </c>
      <c r="E87" s="17" t="n">
        <v>2053.41</v>
      </c>
      <c r="F87" s="15" t="n">
        <v>10946921998450</v>
      </c>
      <c r="G87" s="3" t="n"/>
      <c r="H87" s="3" t="n"/>
      <c r="I87" s="3" t="n"/>
      <c r="J87" s="3" t="n"/>
      <c r="K87" s="3" t="n"/>
      <c r="L87" s="3" t="n"/>
    </row>
    <row r="88">
      <c r="A88" s="15" t="n">
        <v>74</v>
      </c>
      <c r="B88" s="16" t="n">
        <v>46147</v>
      </c>
      <c r="C88" s="17" t="n">
        <v>1874.85</v>
      </c>
      <c r="D88" s="15" t="n">
        <v>18965184530020</v>
      </c>
      <c r="E88" s="17" t="n">
        <v>2032.3</v>
      </c>
      <c r="F88" s="15" t="n">
        <v>10491825163300</v>
      </c>
      <c r="G88" s="3" t="n"/>
      <c r="H88" s="3" t="n"/>
      <c r="I88" s="3" t="n"/>
      <c r="J88" s="3" t="n"/>
      <c r="K88" s="3" t="n"/>
      <c r="L88" s="3" t="n"/>
    </row>
    <row r="89">
      <c r="A89" s="15" t="n">
        <v>75</v>
      </c>
      <c r="B89" s="16" t="n">
        <v>46146</v>
      </c>
      <c r="C89" s="17" t="n">
        <v>1854.06</v>
      </c>
      <c r="D89" s="15" t="n">
        <v>16989105532160</v>
      </c>
      <c r="E89" s="17" t="n">
        <v>2014.62</v>
      </c>
      <c r="F89" s="15" t="n">
        <v>9463872411350</v>
      </c>
      <c r="G89" s="3" t="n"/>
      <c r="H89" s="18">
        <f>SUM(D85:D89)</f>
        <v/>
      </c>
      <c r="I89">
        <f>H89/H94-1</f>
        <v/>
      </c>
      <c r="J89" s="18">
        <f>SUM(F85:F89)</f>
        <v/>
      </c>
      <c r="K89">
        <f>J89/J94-1</f>
        <v/>
      </c>
      <c r="L89" s="3" t="n"/>
    </row>
    <row r="90">
      <c r="A90" s="15" t="n">
        <v>76</v>
      </c>
      <c r="B90" s="16" t="n">
        <v>46136</v>
      </c>
      <c r="C90" s="17" t="n">
        <v>1853.29</v>
      </c>
      <c r="D90" s="15" t="n">
        <v>17361316530190</v>
      </c>
      <c r="E90" s="17" t="n">
        <v>2011.42</v>
      </c>
      <c r="F90" s="15" t="n">
        <v>10218414833550</v>
      </c>
      <c r="G90" s="19" t="n"/>
      <c r="L90" s="3" t="n"/>
    </row>
    <row r="91">
      <c r="A91" s="15" t="n">
        <v>77</v>
      </c>
      <c r="B91" s="16" t="n">
        <v>46135</v>
      </c>
      <c r="C91" s="17" t="n">
        <v>1870.36</v>
      </c>
      <c r="D91" s="15" t="n">
        <v>27000781801400</v>
      </c>
      <c r="E91" s="17" t="n">
        <v>2024.74</v>
      </c>
      <c r="F91" s="15" t="n">
        <v>14711390345150</v>
      </c>
      <c r="L91" s="3" t="n"/>
    </row>
    <row r="92">
      <c r="A92" s="15" t="n">
        <v>78</v>
      </c>
      <c r="B92" s="16" t="n">
        <v>46134</v>
      </c>
      <c r="C92" s="17" t="n">
        <v>1857.3</v>
      </c>
      <c r="D92" s="15" t="n">
        <v>17804879541030</v>
      </c>
      <c r="E92" s="17" t="n">
        <v>2025.41</v>
      </c>
      <c r="F92" s="15" t="n">
        <v>10131482588450</v>
      </c>
      <c r="L92" s="3" t="n"/>
    </row>
    <row r="93">
      <c r="A93" s="15" t="n">
        <v>79</v>
      </c>
      <c r="B93" s="16" t="n">
        <v>46133</v>
      </c>
      <c r="C93" s="17" t="n">
        <v>1833.48</v>
      </c>
      <c r="D93" s="15" t="n">
        <v>22150962667120</v>
      </c>
      <c r="E93" s="17" t="n">
        <v>2007.08</v>
      </c>
      <c r="F93" s="15" t="n">
        <v>12537145260700</v>
      </c>
      <c r="L93" s="3" t="n"/>
    </row>
    <row r="94">
      <c r="A94" s="15" t="n">
        <v>80</v>
      </c>
      <c r="B94" s="16" t="n">
        <v>46132</v>
      </c>
      <c r="C94" s="17" t="n">
        <v>1837.11</v>
      </c>
      <c r="D94" s="15" t="n">
        <v>18068871590940</v>
      </c>
      <c r="E94" s="17" t="n">
        <v>2009.04</v>
      </c>
      <c r="F94" s="15" t="n">
        <v>10255036218200</v>
      </c>
      <c r="H94" s="18">
        <f>SUM(D90:D94)</f>
        <v/>
      </c>
      <c r="I94">
        <f>H94/H99-1</f>
        <v/>
      </c>
      <c r="J94" s="18">
        <f>SUM(F90:F94)</f>
        <v/>
      </c>
      <c r="K94">
        <f>J94/J99-1</f>
        <v/>
      </c>
      <c r="L94" s="3" t="n"/>
    </row>
    <row r="95">
      <c r="A95" s="15" t="n">
        <v>81</v>
      </c>
      <c r="B95" s="16" t="n">
        <v>46129</v>
      </c>
      <c r="C95" s="17" t="n">
        <v>1817.17</v>
      </c>
      <c r="D95" s="15" t="n">
        <v>20479161231530</v>
      </c>
      <c r="E95" s="17" t="n">
        <v>1988.11</v>
      </c>
      <c r="F95" s="15" t="n">
        <v>12467566839200</v>
      </c>
      <c r="G95" s="19" t="n"/>
      <c r="L95" s="3" t="n"/>
    </row>
    <row r="96">
      <c r="A96" s="15" t="n">
        <v>82</v>
      </c>
      <c r="B96" s="16" t="n">
        <v>46128</v>
      </c>
      <c r="C96" s="17" t="n">
        <v>1819.83</v>
      </c>
      <c r="D96" s="15" t="n">
        <v>22474557308480</v>
      </c>
      <c r="E96" s="17" t="n">
        <v>1979.19</v>
      </c>
      <c r="F96" s="15" t="n">
        <v>12293534156600</v>
      </c>
      <c r="L96" s="3" t="n"/>
    </row>
    <row r="97">
      <c r="A97" s="15" t="n">
        <v>83</v>
      </c>
      <c r="B97" s="16" t="n">
        <v>46127</v>
      </c>
      <c r="C97" s="17" t="n">
        <v>1800.65</v>
      </c>
      <c r="D97" s="15" t="n">
        <v>22148433931050</v>
      </c>
      <c r="E97" s="17" t="n">
        <v>1961.6</v>
      </c>
      <c r="F97" s="15" t="n">
        <v>11109691784200</v>
      </c>
      <c r="L97" s="3" t="n"/>
    </row>
    <row r="98">
      <c r="A98" s="15" t="n">
        <v>84</v>
      </c>
      <c r="B98" s="16" t="n">
        <v>46126</v>
      </c>
      <c r="C98" s="17" t="n">
        <v>1775.65</v>
      </c>
      <c r="D98" s="15" t="n">
        <v>20258802548150</v>
      </c>
      <c r="E98" s="17" t="n">
        <v>1946.55</v>
      </c>
      <c r="F98" s="15" t="n">
        <v>10761396551700</v>
      </c>
      <c r="L98" s="3" t="n"/>
    </row>
    <row r="99">
      <c r="A99" s="15" t="n">
        <v>85</v>
      </c>
      <c r="B99" s="16" t="n">
        <v>46125</v>
      </c>
      <c r="C99" s="17" t="n">
        <v>1758.96</v>
      </c>
      <c r="D99" s="15" t="n">
        <v>19578618224140</v>
      </c>
      <c r="E99" s="17" t="n">
        <v>1925.66</v>
      </c>
      <c r="F99" s="15" t="n">
        <v>9734138523250</v>
      </c>
      <c r="H99" s="18">
        <f>SUM(D95:D99)</f>
        <v/>
      </c>
      <c r="I99">
        <f>H99/H104-1</f>
        <v/>
      </c>
      <c r="J99" s="18">
        <f>SUM(F95:F99)</f>
        <v/>
      </c>
      <c r="K99">
        <f>J99/J104-1</f>
        <v/>
      </c>
      <c r="L99" s="3" t="n"/>
    </row>
    <row r="100">
      <c r="A100" s="15" t="n">
        <v>86</v>
      </c>
      <c r="B100" s="16" t="n">
        <v>46122</v>
      </c>
      <c r="C100" s="17" t="n">
        <v>1750</v>
      </c>
      <c r="D100" s="15" t="n">
        <v>22105248723990</v>
      </c>
      <c r="E100" s="17" t="n">
        <v>1928.23</v>
      </c>
      <c r="F100" s="15" t="n">
        <v>11647398558350</v>
      </c>
      <c r="L100" s="3" t="n"/>
    </row>
    <row r="101">
      <c r="A101" s="15" t="n">
        <v>87</v>
      </c>
      <c r="B101" s="16" t="n">
        <v>46121</v>
      </c>
      <c r="C101" s="17" t="n">
        <v>1736.68</v>
      </c>
      <c r="D101" s="15" t="n">
        <v>23379799059430</v>
      </c>
      <c r="E101" s="17" t="n">
        <v>1915.01</v>
      </c>
      <c r="F101" s="15" t="n">
        <v>10917183617400</v>
      </c>
      <c r="L101" s="3" t="n"/>
    </row>
    <row r="102">
      <c r="A102" s="15" t="n">
        <v>88</v>
      </c>
      <c r="B102" s="16" t="n">
        <v>46120</v>
      </c>
      <c r="C102" s="17" t="n">
        <v>1756.55</v>
      </c>
      <c r="D102" s="15" t="n">
        <v>30461071298640</v>
      </c>
      <c r="E102" s="17" t="n">
        <v>1931.01</v>
      </c>
      <c r="F102" s="15" t="n">
        <v>16771069854950</v>
      </c>
      <c r="L102" s="3" t="n"/>
    </row>
    <row r="103">
      <c r="A103" s="15" t="n">
        <v>89</v>
      </c>
      <c r="B103" s="16" t="n">
        <v>46119</v>
      </c>
      <c r="C103" s="17" t="n">
        <v>1677.54</v>
      </c>
      <c r="D103" s="15" t="n">
        <v>13408500717830</v>
      </c>
      <c r="E103" s="17" t="n">
        <v>1840.96</v>
      </c>
      <c r="F103" s="15" t="n">
        <v>6957475522250</v>
      </c>
      <c r="L103" s="3" t="n"/>
    </row>
    <row r="104">
      <c r="A104" s="15" t="n">
        <v>90</v>
      </c>
      <c r="B104" s="16" t="n">
        <v>46118</v>
      </c>
      <c r="C104" s="17" t="n">
        <v>1674.99</v>
      </c>
      <c r="D104" s="15" t="n">
        <v>14527555993540</v>
      </c>
      <c r="E104" s="17" t="n">
        <v>1836.25</v>
      </c>
      <c r="F104" s="15" t="n">
        <v>7059560713050</v>
      </c>
      <c r="H104" s="18">
        <f>SUM(D100:D104)</f>
        <v/>
      </c>
      <c r="I104">
        <f>H104/H109-1</f>
        <v/>
      </c>
      <c r="J104" s="18">
        <f>SUM(F100:F104)</f>
        <v/>
      </c>
      <c r="K104">
        <f>J104/J109-1</f>
        <v/>
      </c>
      <c r="L104" s="3" t="n"/>
    </row>
    <row r="105">
      <c r="A105" s="15" t="n">
        <v>91</v>
      </c>
      <c r="B105" s="16" t="n">
        <v>46115</v>
      </c>
      <c r="C105" s="17" t="n">
        <v>1684.04</v>
      </c>
      <c r="D105" s="15" t="n">
        <v>18894965845710</v>
      </c>
      <c r="E105" s="17" t="n">
        <v>1837.43</v>
      </c>
      <c r="F105" s="15" t="n">
        <v>9627144396000</v>
      </c>
      <c r="L105" s="3" t="n"/>
    </row>
    <row r="106">
      <c r="A106" s="15" t="n">
        <v>92</v>
      </c>
      <c r="B106" s="16" t="n">
        <v>46114</v>
      </c>
      <c r="C106" s="17" t="n">
        <v>1694.82</v>
      </c>
      <c r="D106" s="15" t="n">
        <v>20623829635390</v>
      </c>
      <c r="E106" s="17" t="n">
        <v>1852.99</v>
      </c>
      <c r="F106" s="15" t="n">
        <v>11793611255100</v>
      </c>
      <c r="L106" s="3" t="n"/>
    </row>
    <row r="107">
      <c r="A107" s="15" t="n">
        <v>93</v>
      </c>
      <c r="B107" s="16" t="n">
        <v>46113</v>
      </c>
      <c r="C107" s="17" t="n">
        <v>1702.93</v>
      </c>
      <c r="D107" s="15" t="n">
        <v>22189626517470</v>
      </c>
      <c r="E107" s="17" t="n">
        <v>1861.84</v>
      </c>
      <c r="F107" s="15" t="n">
        <v>10833867095000</v>
      </c>
      <c r="L107" s="3" t="n"/>
    </row>
    <row r="108">
      <c r="A108" s="15" t="n">
        <v>94</v>
      </c>
      <c r="B108" s="16" t="n">
        <v>46112</v>
      </c>
      <c r="C108" s="17" t="n">
        <v>1674.49</v>
      </c>
      <c r="D108" s="15" t="n">
        <v>20987387962460</v>
      </c>
      <c r="E108" s="17" t="n">
        <v>1829.59</v>
      </c>
      <c r="F108" s="15" t="n">
        <v>9857551428700</v>
      </c>
      <c r="L108" s="3" t="n"/>
    </row>
    <row r="109">
      <c r="A109" s="15" t="n">
        <v>95</v>
      </c>
      <c r="B109" s="16" t="n">
        <v>46111</v>
      </c>
      <c r="C109" s="17" t="n">
        <v>1662.54</v>
      </c>
      <c r="D109" s="15" t="n">
        <v>19457753377320</v>
      </c>
      <c r="E109" s="17" t="n">
        <v>1811.92</v>
      </c>
      <c r="F109" s="15" t="n">
        <v>9551793108950</v>
      </c>
      <c r="H109" s="18">
        <f>SUM(D105:D109)</f>
        <v/>
      </c>
      <c r="I109">
        <f>H109/H114-1</f>
        <v/>
      </c>
      <c r="J109" s="18">
        <f>SUM(F105:F109)</f>
        <v/>
      </c>
      <c r="K109">
        <f>J109/J114-1</f>
        <v/>
      </c>
      <c r="L109" s="3" t="n"/>
    </row>
    <row r="110">
      <c r="A110" s="15" t="n">
        <v>96</v>
      </c>
      <c r="B110" s="16" t="n">
        <v>46108</v>
      </c>
      <c r="C110" s="17" t="n">
        <v>1672.8</v>
      </c>
      <c r="D110" s="15" t="n">
        <v>20309484918550</v>
      </c>
      <c r="E110" s="17" t="n">
        <v>1821.53</v>
      </c>
      <c r="F110" s="15" t="n">
        <v>9241316041650</v>
      </c>
    </row>
    <row r="111">
      <c r="A111" s="15" t="n">
        <v>97</v>
      </c>
      <c r="B111" s="16" t="n">
        <v>46107</v>
      </c>
      <c r="C111" s="17" t="n">
        <v>1644.63</v>
      </c>
      <c r="D111" s="15" t="n">
        <v>17530778603940</v>
      </c>
      <c r="E111" s="17" t="n">
        <v>1791.25</v>
      </c>
      <c r="F111" s="15" t="n">
        <v>8160073925350</v>
      </c>
    </row>
    <row r="112">
      <c r="A112" s="15" t="n">
        <v>98</v>
      </c>
      <c r="B112" s="16" t="n">
        <v>46106</v>
      </c>
      <c r="C112" s="17" t="n">
        <v>1658.19</v>
      </c>
      <c r="D112" s="15" t="n">
        <v>21339266414840</v>
      </c>
      <c r="E112" s="17" t="n">
        <v>1814.73</v>
      </c>
      <c r="F112" s="15" t="n">
        <v>9797514330800</v>
      </c>
      <c r="P112" t="inlineStr">
        <is>
          <t>td bán</t>
        </is>
      </c>
      <c r="Q112" t="n">
        <v>-781558848000</v>
      </c>
    </row>
    <row r="113">
      <c r="A113" s="15" t="n">
        <v>99</v>
      </c>
      <c r="B113" s="16" t="n">
        <v>46105</v>
      </c>
      <c r="C113" s="17" t="n">
        <v>1614.77</v>
      </c>
      <c r="D113" s="15" t="n">
        <v>17929328517140</v>
      </c>
      <c r="E113" s="17" t="n">
        <v>1770.16</v>
      </c>
      <c r="F113" s="15" t="n">
        <v>9004359793350</v>
      </c>
      <c r="P113" t="inlineStr">
        <is>
          <t>td mua</t>
        </is>
      </c>
      <c r="Q113" s="18" t="n">
        <v>2510288152000</v>
      </c>
    </row>
    <row r="114">
      <c r="A114" s="15" t="n">
        <v>100</v>
      </c>
      <c r="B114" s="16" t="n">
        <v>46104</v>
      </c>
      <c r="C114" s="17" t="n">
        <v>1591.17</v>
      </c>
      <c r="D114" s="15" t="n">
        <v>26126025574190</v>
      </c>
      <c r="E114" s="17" t="n">
        <v>1741.05</v>
      </c>
      <c r="F114" s="15" t="n">
        <v>14394357443300</v>
      </c>
      <c r="H114" s="18">
        <f>SUM(D110:D114)</f>
        <v/>
      </c>
      <c r="I114">
        <f>H114/H119-1</f>
        <v/>
      </c>
      <c r="J114" s="18">
        <f>SUM(F110:F114)</f>
        <v/>
      </c>
      <c r="K114">
        <f>J114/J119-1</f>
        <v/>
      </c>
      <c r="Q114" s="18">
        <f>Q112+Q113</f>
        <v/>
      </c>
    </row>
    <row r="115">
      <c r="A115" s="15" t="n">
        <v>101</v>
      </c>
      <c r="B115" s="16" t="n">
        <v>46101</v>
      </c>
      <c r="C115" s="17" t="n">
        <v>1647.81</v>
      </c>
      <c r="D115" s="15" t="n">
        <v>27182254123370</v>
      </c>
      <c r="E115" s="17" t="n">
        <v>1797.99</v>
      </c>
      <c r="F115" s="15" t="n">
        <v>15209621415400</v>
      </c>
    </row>
    <row r="116">
      <c r="A116" s="15" t="n">
        <v>102</v>
      </c>
      <c r="B116" s="16" t="n">
        <v>46100</v>
      </c>
      <c r="C116" s="17" t="n">
        <v>1699.13</v>
      </c>
      <c r="D116" s="15" t="n">
        <v>23033291673650</v>
      </c>
      <c r="E116" s="17" t="n">
        <v>1854.19</v>
      </c>
      <c r="F116" s="15" t="n">
        <v>13066556027850</v>
      </c>
      <c r="P116" t="inlineStr">
        <is>
          <t>nn bán</t>
        </is>
      </c>
      <c r="Q116" t="n">
        <v>-4370236114350</v>
      </c>
    </row>
    <row r="117">
      <c r="A117" s="15" t="n">
        <v>103</v>
      </c>
      <c r="B117" s="16" t="n">
        <v>46099</v>
      </c>
      <c r="C117" s="17" t="n">
        <v>1713.83</v>
      </c>
      <c r="D117" s="15" t="n">
        <v>21643864945340</v>
      </c>
      <c r="E117" s="17" t="n">
        <v>1868.84</v>
      </c>
      <c r="F117" s="15" t="n">
        <v>11635473595800</v>
      </c>
      <c r="P117" t="inlineStr">
        <is>
          <t>nn mua</t>
        </is>
      </c>
      <c r="Q117" s="18" t="n">
        <v>2012200364550</v>
      </c>
    </row>
    <row r="118">
      <c r="A118" s="15" t="n">
        <v>104</v>
      </c>
      <c r="B118" s="16" t="n">
        <v>46098</v>
      </c>
      <c r="C118" s="17" t="n">
        <v>1710.29</v>
      </c>
      <c r="D118" s="15" t="n">
        <v>20940984910660</v>
      </c>
      <c r="E118" s="17" t="n">
        <v>1873.65</v>
      </c>
      <c r="F118" s="15" t="n">
        <v>9842809192400</v>
      </c>
      <c r="Q118" s="18">
        <f>Q116+Q117</f>
        <v/>
      </c>
    </row>
    <row r="119">
      <c r="A119" s="15" t="n">
        <v>105</v>
      </c>
      <c r="B119" s="16" t="n">
        <v>46097</v>
      </c>
      <c r="C119" s="17" t="n">
        <v>1693.21</v>
      </c>
      <c r="D119" s="15" t="n">
        <v>20381707735910</v>
      </c>
      <c r="E119" s="17" t="n">
        <v>1852.99</v>
      </c>
      <c r="F119" s="15" t="n">
        <v>9984333437800</v>
      </c>
      <c r="H119" s="18">
        <f>SUM(D115:D119)</f>
        <v/>
      </c>
      <c r="I119">
        <f>H119/H124-1</f>
        <v/>
      </c>
      <c r="J119" s="18">
        <f>SUM(F115:F119)</f>
        <v/>
      </c>
      <c r="K119">
        <f>J119/J124-1</f>
        <v/>
      </c>
    </row>
    <row r="120" ht="16" customFormat="1" customHeight="1" s="2">
      <c r="A120" s="15" t="n">
        <v>106</v>
      </c>
      <c r="B120" s="16" t="n">
        <v>46094</v>
      </c>
      <c r="C120" s="17" t="n">
        <v>1696.24</v>
      </c>
      <c r="D120" s="15" t="n">
        <v>24769335062030</v>
      </c>
      <c r="E120" s="17" t="n">
        <v>1853.6</v>
      </c>
      <c r="F120" s="15" t="n">
        <v>11936395390600</v>
      </c>
    </row>
    <row r="121" ht="16" customFormat="1" customHeight="1" s="2">
      <c r="A121" s="15" t="n">
        <v>107</v>
      </c>
      <c r="B121" s="16" t="n">
        <v>46093</v>
      </c>
      <c r="C121" s="17" t="n">
        <v>1709.61</v>
      </c>
      <c r="D121" s="15" t="n">
        <v>24514391223640</v>
      </c>
      <c r="E121" s="17" t="n">
        <v>1859.8</v>
      </c>
      <c r="F121" s="15" t="n">
        <v>13379602252050</v>
      </c>
    </row>
    <row r="122" ht="16" customFormat="1" customHeight="1" s="2">
      <c r="A122" s="15" t="n">
        <v>108</v>
      </c>
      <c r="B122" s="16" t="n">
        <v>46092</v>
      </c>
      <c r="C122" s="17" t="n">
        <v>1728.34</v>
      </c>
      <c r="D122" s="15" t="n">
        <v>26110957336070</v>
      </c>
      <c r="E122" s="17" t="n">
        <v>1889.94</v>
      </c>
      <c r="F122" s="15" t="n">
        <v>14793442389800</v>
      </c>
    </row>
    <row r="123" ht="16" customFormat="1" customHeight="1" s="2">
      <c r="A123" s="15" t="n">
        <v>109</v>
      </c>
      <c r="B123" s="16" t="n">
        <v>46091</v>
      </c>
      <c r="C123" s="17" t="n">
        <v>1676.73</v>
      </c>
      <c r="D123" s="15" t="n">
        <v>38209597463770</v>
      </c>
      <c r="E123" s="17" t="n">
        <v>1836.96</v>
      </c>
      <c r="F123" s="15" t="n">
        <v>22412205268500</v>
      </c>
    </row>
    <row r="124" ht="16" customFormat="1" customHeight="1" s="2">
      <c r="A124" s="15" t="n">
        <v>110</v>
      </c>
      <c r="B124" s="16" t="n">
        <v>46090</v>
      </c>
      <c r="C124" s="17" t="n">
        <v>1652.79</v>
      </c>
      <c r="D124" s="15" t="n">
        <v>38338522915610</v>
      </c>
      <c r="E124" s="17" t="n">
        <v>1780.71</v>
      </c>
      <c r="F124" s="15" t="n">
        <v>24765842193150</v>
      </c>
      <c r="H124" s="18">
        <f>SUM(D120:D124)</f>
        <v/>
      </c>
      <c r="I124">
        <f>H124/H129-1</f>
        <v/>
      </c>
      <c r="J124" s="18">
        <f>SUM(F120:F124)</f>
        <v/>
      </c>
      <c r="K124">
        <f>J124/J129-1</f>
        <v/>
      </c>
    </row>
    <row r="125" ht="16" customFormat="1" customHeight="1" s="2">
      <c r="A125" s="15" t="n">
        <v>111</v>
      </c>
      <c r="B125" s="16" t="n">
        <v>46087</v>
      </c>
      <c r="C125" s="17" t="n">
        <v>1767.84</v>
      </c>
      <c r="D125" s="15" t="n">
        <v>29933579610010</v>
      </c>
      <c r="E125" s="17" t="n">
        <v>1904.19</v>
      </c>
      <c r="F125" s="15" t="n">
        <v>16421074679550</v>
      </c>
    </row>
    <row r="126" ht="16" customFormat="1" customHeight="1" s="2">
      <c r="A126" s="15" t="n">
        <v>112</v>
      </c>
      <c r="B126" s="16" t="n">
        <v>46086</v>
      </c>
      <c r="C126" s="17" t="n">
        <v>1808.51</v>
      </c>
      <c r="D126" s="15" t="n">
        <v>34268163945850</v>
      </c>
      <c r="E126" s="17" t="n">
        <v>1942.76</v>
      </c>
      <c r="F126" s="15" t="n">
        <v>17295010431650</v>
      </c>
    </row>
    <row r="127" ht="16" customFormat="1" customHeight="1" s="2">
      <c r="A127" s="15" t="n">
        <v>113</v>
      </c>
      <c r="B127" s="16" t="n">
        <v>46085</v>
      </c>
      <c r="C127" s="17" t="n">
        <v>1818.27</v>
      </c>
      <c r="D127" s="15" t="n">
        <v>44976903423940</v>
      </c>
      <c r="E127" s="17" t="n">
        <v>1956.53</v>
      </c>
      <c r="F127" s="15" t="n">
        <v>23198866241300</v>
      </c>
    </row>
    <row r="128" ht="16" customHeight="1">
      <c r="A128" s="15" t="n">
        <v>114</v>
      </c>
      <c r="B128" s="16" t="n">
        <v>46084</v>
      </c>
      <c r="C128" s="17" t="n">
        <v>1813.14</v>
      </c>
      <c r="D128" s="15" t="n">
        <v>40218800067570</v>
      </c>
      <c r="E128" s="17" t="n">
        <v>1959.35</v>
      </c>
      <c r="F128" s="15" t="n">
        <v>21859922611200</v>
      </c>
    </row>
    <row r="129" ht="16" customHeight="1">
      <c r="A129" s="15" t="n">
        <v>115</v>
      </c>
      <c r="B129" s="16" t="n">
        <v>46083</v>
      </c>
      <c r="C129" s="17" t="n">
        <v>1846.1</v>
      </c>
      <c r="D129" s="15" t="n">
        <v>43647294333590</v>
      </c>
      <c r="E129" s="17" t="n">
        <v>2010.75</v>
      </c>
      <c r="F129" s="15" t="n">
        <v>23781590179400</v>
      </c>
      <c r="H129" s="18">
        <f>SUM(D125:D129)</f>
        <v/>
      </c>
      <c r="I129">
        <f>H129/H134-1</f>
        <v/>
      </c>
      <c r="J129" s="18">
        <f>SUM(F125:F129)</f>
        <v/>
      </c>
      <c r="K129">
        <f>J129/J134-1</f>
        <v/>
      </c>
    </row>
    <row r="130" ht="16" customHeight="1">
      <c r="A130" s="15" t="n">
        <v>116</v>
      </c>
      <c r="B130" s="16" t="n">
        <v>46080</v>
      </c>
      <c r="C130" s="17" t="n">
        <v>1880.33</v>
      </c>
      <c r="D130" s="15" t="n">
        <v>27464921816790</v>
      </c>
      <c r="E130" s="17" t="n">
        <v>2061.75</v>
      </c>
      <c r="F130" s="15" t="n">
        <v>13543203419050</v>
      </c>
    </row>
    <row r="131">
      <c r="A131" s="15" t="n">
        <v>117</v>
      </c>
      <c r="B131" s="16" t="n">
        <v>46079</v>
      </c>
      <c r="C131" s="17" t="n">
        <v>1879.64</v>
      </c>
      <c r="D131" s="15" t="n">
        <v>25093760801140</v>
      </c>
      <c r="E131" s="17" t="n">
        <v>2069.82</v>
      </c>
      <c r="F131" s="15" t="n">
        <v>14438314315750</v>
      </c>
    </row>
    <row r="132">
      <c r="A132" s="15" t="n">
        <v>118</v>
      </c>
      <c r="B132" s="16" t="n">
        <v>46078</v>
      </c>
      <c r="C132" s="17" t="n">
        <v>1860.91</v>
      </c>
      <c r="D132" s="15" t="n">
        <v>35777689992000</v>
      </c>
      <c r="E132" s="17" t="n">
        <v>2049.64</v>
      </c>
      <c r="F132" s="15" t="n">
        <v>24058509731500</v>
      </c>
    </row>
    <row r="133">
      <c r="A133" s="15" t="n">
        <v>119</v>
      </c>
      <c r="B133" s="16" t="n">
        <v>46077</v>
      </c>
      <c r="C133" s="17" t="n">
        <v>1867.62</v>
      </c>
      <c r="D133" s="15" t="n">
        <v>31307466786880</v>
      </c>
      <c r="E133" s="17" t="n">
        <v>2050.85</v>
      </c>
      <c r="F133" s="15" t="n">
        <v>18246235952350</v>
      </c>
    </row>
    <row r="134">
      <c r="A134" s="15" t="n">
        <v>120</v>
      </c>
      <c r="B134" s="16" t="n">
        <v>46076</v>
      </c>
      <c r="C134" s="17" t="n">
        <v>1860.14</v>
      </c>
      <c r="D134" s="15" t="n">
        <v>22738803057100</v>
      </c>
      <c r="E134" s="17" t="n">
        <v>2039.8</v>
      </c>
      <c r="F134" s="15" t="n">
        <v>12045415097500</v>
      </c>
    </row>
    <row r="135">
      <c r="A135" s="15" t="n">
        <v>121</v>
      </c>
      <c r="B135" s="16" t="n">
        <v>46066</v>
      </c>
      <c r="C135" s="17" t="n">
        <v>1824.09</v>
      </c>
      <c r="D135" s="15" t="n">
        <v>19073856006180</v>
      </c>
      <c r="E135" s="17" t="n">
        <v>2018.64</v>
      </c>
      <c r="F135" s="15" t="n">
        <v>11165974633400</v>
      </c>
    </row>
    <row r="136">
      <c r="A136" s="15" t="n">
        <v>122</v>
      </c>
      <c r="B136" s="16" t="n">
        <v>46065</v>
      </c>
      <c r="C136" s="17" t="n">
        <v>1814.09</v>
      </c>
      <c r="D136" s="15" t="n">
        <v>14876378862690</v>
      </c>
      <c r="E136" s="17" t="n">
        <v>2016.47</v>
      </c>
      <c r="F136" s="15" t="n">
        <v>8783223389550</v>
      </c>
    </row>
    <row r="137">
      <c r="A137" s="15" t="n">
        <v>123</v>
      </c>
      <c r="B137" s="16" t="n">
        <v>46064</v>
      </c>
      <c r="C137" s="17" t="n">
        <v>1796.85</v>
      </c>
      <c r="D137" s="15" t="n">
        <v>24095779885700</v>
      </c>
      <c r="E137" s="17" t="n">
        <v>2000.9</v>
      </c>
      <c r="F137" s="15" t="n">
        <v>15190692025250</v>
      </c>
    </row>
    <row r="138">
      <c r="A138" s="15" t="n">
        <v>124</v>
      </c>
      <c r="B138" s="16" t="n">
        <v>46063</v>
      </c>
      <c r="C138" s="17" t="n">
        <v>1754.03</v>
      </c>
      <c r="D138" s="15" t="n">
        <v>23626618529850</v>
      </c>
      <c r="E138" s="17" t="n">
        <v>1951.58</v>
      </c>
      <c r="F138" s="15" t="n">
        <v>14807535061550</v>
      </c>
    </row>
    <row r="139">
      <c r="A139" s="15" t="n">
        <v>125</v>
      </c>
      <c r="B139" s="16" t="n">
        <v>46062</v>
      </c>
      <c r="C139" s="17" t="n">
        <v>1754.82</v>
      </c>
      <c r="D139" s="15" t="n">
        <v>15171119241310</v>
      </c>
      <c r="E139" s="17" t="n">
        <v>1947.75</v>
      </c>
      <c r="F139" s="15" t="n">
        <v>8466241220200</v>
      </c>
    </row>
    <row r="140">
      <c r="A140" s="15" t="n">
        <v>126</v>
      </c>
      <c r="B140" s="16" t="n">
        <v>46059</v>
      </c>
      <c r="C140" s="17" t="n">
        <v>1755.49</v>
      </c>
      <c r="D140" s="15" t="n">
        <v>32166263563180</v>
      </c>
      <c r="E140" s="17" t="n">
        <v>1943.6</v>
      </c>
      <c r="F140" s="15" t="n">
        <v>19169783015950</v>
      </c>
    </row>
    <row r="141">
      <c r="A141" s="15" t="n">
        <v>127</v>
      </c>
      <c r="B141" s="16" t="n">
        <v>46058</v>
      </c>
      <c r="C141" s="17" t="n">
        <v>1782.56</v>
      </c>
      <c r="D141" s="15" t="n">
        <v>24334696819800</v>
      </c>
      <c r="E141" s="17" t="n">
        <v>1969.27</v>
      </c>
      <c r="F141" s="15" t="n">
        <v>14633678763900</v>
      </c>
    </row>
    <row r="142">
      <c r="A142" s="15" t="n">
        <v>128</v>
      </c>
      <c r="B142" s="16" t="n">
        <v>46057</v>
      </c>
      <c r="C142" s="17" t="n">
        <v>1791.43</v>
      </c>
      <c r="D142" s="15" t="n">
        <v>31181809559660</v>
      </c>
      <c r="E142" s="17" t="n">
        <v>1988.19</v>
      </c>
      <c r="F142" s="15" t="n">
        <v>18769508048450</v>
      </c>
    </row>
    <row r="143">
      <c r="A143" s="15" t="n">
        <v>129</v>
      </c>
      <c r="B143" s="16" t="n">
        <v>46056</v>
      </c>
      <c r="C143" s="17" t="n">
        <v>1813.4</v>
      </c>
      <c r="D143" s="15" t="n">
        <v>30812814264540</v>
      </c>
      <c r="E143" s="17" t="n">
        <v>1997.69</v>
      </c>
      <c r="F143" s="15" t="n">
        <v>16845539268500</v>
      </c>
    </row>
    <row r="144">
      <c r="A144" s="15" t="n">
        <v>130</v>
      </c>
      <c r="B144" s="16" t="n">
        <v>46055</v>
      </c>
      <c r="C144" s="17" t="n">
        <v>1806.5</v>
      </c>
      <c r="D144" s="15" t="n">
        <v>29672723395010</v>
      </c>
      <c r="E144" s="17" t="n">
        <v>2004.31</v>
      </c>
      <c r="F144" s="15" t="n">
        <v>17054782461950</v>
      </c>
    </row>
    <row r="145">
      <c r="A145" s="15" t="n">
        <v>131</v>
      </c>
      <c r="B145" s="16" t="n">
        <v>46052</v>
      </c>
      <c r="C145" s="17" t="n">
        <v>1829.04</v>
      </c>
      <c r="D145" s="15" t="n">
        <v>27373999005330</v>
      </c>
      <c r="E145" s="17" t="n">
        <v>2029.81</v>
      </c>
      <c r="F145" s="15" t="n">
        <v>16584092714150</v>
      </c>
    </row>
    <row r="146">
      <c r="A146" s="15" t="n">
        <v>132</v>
      </c>
      <c r="B146" s="16" t="n">
        <v>46051</v>
      </c>
      <c r="C146" s="17" t="n">
        <v>1814.98</v>
      </c>
      <c r="D146" s="15" t="n">
        <v>23706278504550</v>
      </c>
      <c r="E146" s="17" t="n">
        <v>2018.98</v>
      </c>
      <c r="F146" s="15" t="n">
        <v>15077787388550</v>
      </c>
    </row>
    <row r="147">
      <c r="A147" s="15" t="n">
        <v>133</v>
      </c>
      <c r="B147" s="16" t="n">
        <v>46050</v>
      </c>
      <c r="C147" s="17" t="n">
        <v>1802.91</v>
      </c>
      <c r="D147" s="15" t="n">
        <v>29117669413330</v>
      </c>
      <c r="E147" s="17" t="n">
        <v>1997.13</v>
      </c>
      <c r="F147" s="15" t="n">
        <v>18157170456000</v>
      </c>
    </row>
    <row r="148">
      <c r="A148" s="15" t="n">
        <v>134</v>
      </c>
      <c r="B148" s="16" t="n">
        <v>46049</v>
      </c>
      <c r="C148" s="17" t="n">
        <v>1830.5</v>
      </c>
      <c r="D148" s="15" t="n">
        <v>24159706867050</v>
      </c>
      <c r="E148" s="17" t="n">
        <v>2019.88</v>
      </c>
      <c r="F148" s="15" t="n">
        <v>14261905611500</v>
      </c>
    </row>
    <row r="149">
      <c r="A149" s="15" t="n">
        <v>135</v>
      </c>
      <c r="B149" s="16" t="n">
        <v>46048</v>
      </c>
      <c r="C149" s="17" t="n">
        <v>1843.72</v>
      </c>
      <c r="D149" s="15" t="n">
        <v>29395035814920</v>
      </c>
      <c r="E149" s="17" t="n">
        <v>2032.28</v>
      </c>
      <c r="F149" s="15" t="n">
        <v>15506721157750</v>
      </c>
    </row>
    <row r="150">
      <c r="A150" s="15" t="n">
        <v>136</v>
      </c>
      <c r="B150" s="16" t="n">
        <v>46045</v>
      </c>
      <c r="C150" s="17" t="n">
        <v>1870.79</v>
      </c>
      <c r="D150" s="15" t="n">
        <v>27468483648320</v>
      </c>
      <c r="E150" s="17" t="n">
        <v>2077.76</v>
      </c>
      <c r="F150" s="15" t="n">
        <v>16244076095400</v>
      </c>
    </row>
    <row r="151">
      <c r="A151" s="15" t="n">
        <v>137</v>
      </c>
      <c r="B151" s="16" t="n">
        <v>46044</v>
      </c>
      <c r="C151" s="17" t="n">
        <v>1882.73</v>
      </c>
      <c r="D151" s="15" t="n">
        <v>28757250412430</v>
      </c>
      <c r="E151" s="17" t="n">
        <v>2082.35</v>
      </c>
      <c r="F151" s="15" t="n">
        <v>15739928397350</v>
      </c>
    </row>
    <row r="152">
      <c r="A152" s="15" t="n">
        <v>138</v>
      </c>
      <c r="B152" s="16" t="n">
        <v>46043</v>
      </c>
      <c r="C152" s="17" t="n">
        <v>1885.44</v>
      </c>
      <c r="D152" s="15" t="n">
        <v>34580430254540</v>
      </c>
      <c r="E152" s="17" t="n">
        <v>2080.38</v>
      </c>
      <c r="F152" s="15" t="n">
        <v>18933966490150</v>
      </c>
    </row>
    <row r="153">
      <c r="A153" s="15" t="n">
        <v>139</v>
      </c>
      <c r="B153" s="16" t="n">
        <v>46042</v>
      </c>
      <c r="C153" s="17" t="n">
        <v>1893.78</v>
      </c>
      <c r="D153" s="15" t="n">
        <v>33170178079540</v>
      </c>
      <c r="E153" s="17" t="n">
        <v>2085.61</v>
      </c>
      <c r="F153" s="15" t="n">
        <v>20110355584550</v>
      </c>
    </row>
    <row r="154">
      <c r="A154" s="15" t="n">
        <v>140</v>
      </c>
      <c r="B154" s="16" t="n">
        <v>46041</v>
      </c>
      <c r="C154" s="17" t="n">
        <v>1896.59</v>
      </c>
      <c r="D154" s="15" t="n">
        <v>26570929526830</v>
      </c>
      <c r="E154" s="17" t="n">
        <v>2094.24</v>
      </c>
      <c r="F154" s="15" t="n">
        <v>14620110167700</v>
      </c>
      <c r="H154" s="18">
        <f>SUM(D150:D154)</f>
        <v/>
      </c>
      <c r="I154">
        <f>H154/H159-1</f>
        <v/>
      </c>
      <c r="J154" s="18">
        <f>SUM(F150:F154)</f>
        <v/>
      </c>
      <c r="K154">
        <f>J154/J159-1</f>
        <v/>
      </c>
    </row>
    <row r="155">
      <c r="A155" s="15" t="n">
        <v>141</v>
      </c>
      <c r="B155" s="16" t="n">
        <v>46038</v>
      </c>
      <c r="C155" s="17" t="n">
        <v>1879.13</v>
      </c>
      <c r="D155" s="15" t="n">
        <v>33366465960220</v>
      </c>
      <c r="E155" s="17" t="n">
        <v>2080.35</v>
      </c>
      <c r="F155" s="15" t="n">
        <v>20003847326100</v>
      </c>
    </row>
    <row r="156">
      <c r="A156" s="15" t="n">
        <v>142</v>
      </c>
      <c r="B156" s="16" t="n">
        <v>46037</v>
      </c>
      <c r="C156" s="17" t="n">
        <v>1864.8</v>
      </c>
      <c r="D156" s="15" t="n">
        <v>39666530374630</v>
      </c>
      <c r="E156" s="17" t="n">
        <v>2047.48</v>
      </c>
      <c r="F156" s="15" t="n">
        <v>25085338528900</v>
      </c>
    </row>
    <row r="157">
      <c r="A157" s="15" t="n">
        <v>143</v>
      </c>
      <c r="B157" s="16" t="n">
        <v>46036</v>
      </c>
      <c r="C157" s="17" t="n">
        <v>1894.44</v>
      </c>
      <c r="D157" s="15" t="n">
        <v>42286224740060</v>
      </c>
      <c r="E157" s="17" t="n">
        <v>2067.1</v>
      </c>
      <c r="F157" s="15" t="n">
        <v>24878891120450</v>
      </c>
    </row>
    <row r="158">
      <c r="A158" s="15" t="n">
        <v>144</v>
      </c>
      <c r="B158" s="16" t="n">
        <v>46035</v>
      </c>
      <c r="C158" s="17" t="n">
        <v>1902.93</v>
      </c>
      <c r="D158" s="15" t="n">
        <v>40064535959910</v>
      </c>
      <c r="E158" s="17" t="n">
        <v>2089.21</v>
      </c>
      <c r="F158" s="15" t="n">
        <v>22660959140350</v>
      </c>
    </row>
    <row r="159">
      <c r="A159" s="15" t="n">
        <v>145</v>
      </c>
      <c r="B159" s="16" t="n">
        <v>46034</v>
      </c>
      <c r="C159" s="17" t="n">
        <v>1877.33</v>
      </c>
      <c r="D159" s="15" t="n">
        <v>39432680684240</v>
      </c>
      <c r="E159" s="17" t="n">
        <v>2080.24</v>
      </c>
      <c r="F159" s="15" t="n">
        <v>24938670999350</v>
      </c>
      <c r="H159" s="18">
        <f>SUM(D155:D159)</f>
        <v/>
      </c>
      <c r="I159">
        <f>H159/H164-1</f>
        <v/>
      </c>
      <c r="J159" s="18">
        <f>SUM(F155:F159)</f>
        <v/>
      </c>
      <c r="K159">
        <f>J159/J164-1</f>
        <v/>
      </c>
    </row>
    <row r="160">
      <c r="A160" s="15" t="n">
        <v>146</v>
      </c>
      <c r="B160" s="16" t="n">
        <v>46031</v>
      </c>
      <c r="C160" s="17" t="n">
        <v>1867.9</v>
      </c>
      <c r="D160" s="15" t="n">
        <v>36106809327810</v>
      </c>
      <c r="E160" s="17" t="n">
        <v>2066.21</v>
      </c>
      <c r="F160" s="15" t="n">
        <v>21947201506000</v>
      </c>
    </row>
    <row r="161">
      <c r="A161" s="15" t="n">
        <v>147</v>
      </c>
      <c r="B161" s="16" t="n">
        <v>46030</v>
      </c>
      <c r="C161" s="17" t="n">
        <v>1855.56</v>
      </c>
      <c r="D161" s="15" t="n">
        <v>36185853155170</v>
      </c>
      <c r="E161" s="17" t="n">
        <v>2074.03</v>
      </c>
      <c r="F161" s="15" t="n">
        <v>23136692160100</v>
      </c>
    </row>
    <row r="162">
      <c r="A162" s="15" t="n">
        <v>148</v>
      </c>
      <c r="B162" s="16" t="n">
        <v>46029</v>
      </c>
      <c r="C162" s="17" t="n">
        <v>1861.58</v>
      </c>
      <c r="D162" s="15" t="n">
        <v>29770887519100</v>
      </c>
      <c r="E162" s="17" t="n">
        <v>2096.76</v>
      </c>
      <c r="F162" s="15" t="n">
        <v>20135369347300</v>
      </c>
    </row>
    <row r="163">
      <c r="A163" s="15" t="n">
        <v>149</v>
      </c>
      <c r="B163" s="16" t="n">
        <v>46028</v>
      </c>
      <c r="C163" s="17" t="n">
        <v>1816.27</v>
      </c>
      <c r="D163" s="15" t="n">
        <v>24907457331850</v>
      </c>
      <c r="E163" s="17" t="n">
        <v>2055.96</v>
      </c>
      <c r="F163" s="15" t="n">
        <v>16064241371200</v>
      </c>
    </row>
    <row r="164">
      <c r="A164" s="15" t="n">
        <v>150</v>
      </c>
      <c r="B164" s="16" t="n">
        <v>46027</v>
      </c>
      <c r="C164" s="17" t="n">
        <v>1788.4</v>
      </c>
      <c r="D164" s="15" t="n">
        <v>24277128941970</v>
      </c>
      <c r="E164" s="17" t="n">
        <v>2028.68</v>
      </c>
      <c r="F164" s="15" t="n">
        <v>14178307531800</v>
      </c>
      <c r="H164" s="18">
        <f>SUM(D160:D164)</f>
        <v/>
      </c>
      <c r="I164">
        <f>H164/H169-1</f>
        <v/>
      </c>
      <c r="J164" s="18">
        <f>SUM(F160:F164)</f>
        <v/>
      </c>
      <c r="K164">
        <f>J164/J169-1</f>
        <v/>
      </c>
    </row>
    <row r="165">
      <c r="A165" t="inlineStr">
        <is>
          <t>mailto:fiinpro.support@fiingroup.vn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t="inlineStr">
        <is>
          <t>https://fiingroup.vn/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3" t="inlineStr">
        <is>
          <t>Contact</t>
        </is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3" t="inlineStr">
        <is>
          <t>CÔNG TY CỔ PHẦN FIINGROUP VIỆT NAM</t>
        </is>
      </c>
      <c r="B168" s="3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4" t="inlineStr">
        <is>
          <t>Trụ sở: Tầng 10, Tòa nhà PeakView, 36 Hoàng Cầu, Đống Đa, Hà Nội, Việt Nam</t>
        </is>
      </c>
      <c r="B169" s="4" t="n"/>
    </row>
    <row r="170">
      <c r="A170" s="4" t="inlineStr">
        <is>
          <t>Chi nhánh: Tầng 16, Tòa nhà Bitexco Financial Tower, số 2 Hải Triều , Phường Bến Nghé, Quận 1, TP. Hồ Chí Minh, Việt Nam</t>
        </is>
      </c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1" t="inlineStr">
        <is>
          <t>Website: https://fiingroup.vn</t>
        </is>
      </c>
      <c r="B171" s="5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t="inlineStr">
        <is>
          <t>mailto:fiinpro.support@fiingroup.vn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3" t="inlineStr">
        <is>
          <t>TRUNG TÂM CHĂM SÓC KHÁCH HÀNG</t>
        </is>
      </c>
      <c r="B173" s="3" t="n"/>
    </row>
    <row r="174">
      <c r="A174" s="4" t="inlineStr">
        <is>
          <t>T: (84-24) - 3562 6962 - Ext: 103</t>
        </is>
      </c>
      <c r="B174" s="4" t="n"/>
    </row>
    <row r="175">
      <c r="A175" s="1" t="inlineStr">
        <is>
          <t>Email: fiinpro.support@fiingroup.vn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2" t="n"/>
      <c r="N175" s="2" t="n"/>
    </row>
    <row r="176">
      <c r="A176" t="inlineStr">
        <is>
          <t>https://fiingroup.vn/</t>
        </is>
      </c>
    </row>
    <row r="177"/>
    <row r="178"/>
    <row r="179"/>
    <row r="180">
      <c r="A180" t="inlineStr">
        <is>
          <t>mailto:fiinpro.support@fiingroup.vn</t>
        </is>
      </c>
    </row>
    <row r="181">
      <c r="A181" t="inlineStr">
        <is>
          <t>https://fiingroup.vn/</t>
        </is>
      </c>
    </row>
    <row r="182"/>
    <row r="183"/>
    <row r="184"/>
    <row r="185">
      <c r="A185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2026-08-21T10:24:07Z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