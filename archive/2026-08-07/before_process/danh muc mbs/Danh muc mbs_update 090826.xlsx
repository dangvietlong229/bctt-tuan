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h mục" sheetId="1" state="visible" r:id="rId3"/>
    <sheet name="Cập nhật giá" sheetId="2" state="visible" r:id="rId4"/>
  </sheets>
  <definedNames>
    <definedName function="false" hidden="true" localSheetId="1" name="_xlnm._FilterDatabase" vbProcedure="false">'Cập nhật giá'!$A$8:$O$1608</definedName>
    <definedName function="false" hidden="true" localSheetId="0" name="_xlnm._FilterDatabase" vbProcedure="false">'Danh mục'!$A$3:$N$3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<sst xmlns="http://schemas.openxmlformats.org/spreadsheetml/2006/main" count="4902" uniqueCount="3230">
  <si>
    <t xml:space="preserve">STT</t>
  </si>
  <si>
    <t xml:space="preserve">Mã</t>
  </si>
  <si>
    <t xml:space="preserve">Giá đóng cửa</t>
  </si>
  <si>
    <t xml:space="preserve">% Thay đổi giá</t>
  </si>
  <si>
    <t xml:space="preserve">P/E</t>
  </si>
  <si>
    <t xml:space="preserve">PB</t>
  </si>
  <si>
    <t xml:space="preserve">So với P/E Trung vị 5 năm</t>
  </si>
  <si>
    <t xml:space="preserve">So với P/B Trung vị 5 năm</t>
  </si>
  <si>
    <t xml:space="preserve">52w high</t>
  </si>
  <si>
    <t xml:space="preserve">52w low</t>
  </si>
  <si>
    <t xml:space="preserve">P/E Tvi 5y</t>
  </si>
  <si>
    <t xml:space="preserve">P/B Tvi 5y</t>
  </si>
  <si>
    <t xml:space="preserve">1 tuần</t>
  </si>
  <si>
    <t xml:space="preserve">1 tháng</t>
  </si>
  <si>
    <t xml:space="preserve">YTD</t>
  </si>
  <si>
    <t xml:space="preserve">52w High</t>
  </si>
  <si>
    <t xml:space="preserve">52w Low</t>
  </si>
  <si>
    <t xml:space="preserve">VNĐ</t>
  </si>
  <si>
    <t xml:space="preserve">%</t>
  </si>
  <si>
    <t xml:space="preserve">Lần</t>
  </si>
  <si>
    <t xml:space="preserve">PNJ</t>
  </si>
  <si>
    <t xml:space="preserve">DGC</t>
  </si>
  <si>
    <t xml:space="preserve">PLX</t>
  </si>
  <si>
    <t xml:space="preserve">GEX</t>
  </si>
  <si>
    <t xml:space="preserve">GAS</t>
  </si>
  <si>
    <t xml:space="preserve">GVR</t>
  </si>
  <si>
    <t xml:space="preserve">BCM</t>
  </si>
  <si>
    <t xml:space="preserve">DGW</t>
  </si>
  <si>
    <t xml:space="preserve">NVL</t>
  </si>
  <si>
    <t xml:space="preserve">DIG</t>
  </si>
  <si>
    <t xml:space="preserve">FRT</t>
  </si>
  <si>
    <t xml:space="preserve">CTG</t>
  </si>
  <si>
    <t xml:space="preserve">FPT</t>
  </si>
  <si>
    <t xml:space="preserve">HDB</t>
  </si>
  <si>
    <t xml:space="preserve">CII</t>
  </si>
  <si>
    <t xml:space="preserve">STB</t>
  </si>
  <si>
    <t xml:space="preserve">VIX</t>
  </si>
  <si>
    <t xml:space="preserve">ACV</t>
  </si>
  <si>
    <t xml:space="preserve">PDR</t>
  </si>
  <si>
    <t xml:space="preserve">DXG</t>
  </si>
  <si>
    <t xml:space="preserve">SSI</t>
  </si>
  <si>
    <t xml:space="preserve">TPB</t>
  </si>
  <si>
    <t xml:space="preserve">TCH</t>
  </si>
  <si>
    <t xml:space="preserve">BSR</t>
  </si>
  <si>
    <t xml:space="preserve">IJC</t>
  </si>
  <si>
    <t xml:space="preserve">IDC</t>
  </si>
  <si>
    <t xml:space="preserve">DCM</t>
  </si>
  <si>
    <t xml:space="preserve">KDH</t>
  </si>
  <si>
    <t xml:space="preserve">BID</t>
  </si>
  <si>
    <t xml:space="preserve">SAB</t>
  </si>
  <si>
    <t xml:space="preserve">TCB</t>
  </si>
  <si>
    <t xml:space="preserve">HDG</t>
  </si>
  <si>
    <t xml:space="preserve">OCB</t>
  </si>
  <si>
    <t xml:space="preserve">ACB</t>
  </si>
  <si>
    <t xml:space="preserve">DBC</t>
  </si>
  <si>
    <t xml:space="preserve">VCI</t>
  </si>
  <si>
    <t xml:space="preserve">HAH</t>
  </si>
  <si>
    <t xml:space="preserve">MSN</t>
  </si>
  <si>
    <t xml:space="preserve">VNM</t>
  </si>
  <si>
    <t xml:space="preserve">CTD</t>
  </si>
  <si>
    <t xml:space="preserve">ANV</t>
  </si>
  <si>
    <t xml:space="preserve">VGC</t>
  </si>
  <si>
    <t xml:space="preserve">MWG</t>
  </si>
  <si>
    <t xml:space="preserve">HCM</t>
  </si>
  <si>
    <t xml:space="preserve">HPG</t>
  </si>
  <si>
    <t xml:space="preserve">REE</t>
  </si>
  <si>
    <t xml:space="preserve">EIB</t>
  </si>
  <si>
    <t xml:space="preserve">VIB</t>
  </si>
  <si>
    <t xml:space="preserve">VCG</t>
  </si>
  <si>
    <t xml:space="preserve">NKG</t>
  </si>
  <si>
    <t xml:space="preserve">HHV</t>
  </si>
  <si>
    <t xml:space="preserve">BVB</t>
  </si>
  <si>
    <t xml:space="preserve">VPB</t>
  </si>
  <si>
    <t xml:space="preserve">KBC</t>
  </si>
  <si>
    <t xml:space="preserve">VCB</t>
  </si>
  <si>
    <t xml:space="preserve">VRE</t>
  </si>
  <si>
    <t xml:space="preserve">PVS</t>
  </si>
  <si>
    <t xml:space="preserve">HSG</t>
  </si>
  <si>
    <t xml:space="preserve">VIC</t>
  </si>
  <si>
    <t xml:space="preserve">VND</t>
  </si>
  <si>
    <t xml:space="preserve">PVT</t>
  </si>
  <si>
    <t xml:space="preserve">GMD</t>
  </si>
  <si>
    <t xml:space="preserve">NLG</t>
  </si>
  <si>
    <t xml:space="preserve">POW</t>
  </si>
  <si>
    <t xml:space="preserve">PVD</t>
  </si>
  <si>
    <t xml:space="preserve">DPM</t>
  </si>
  <si>
    <t xml:space="preserve">VHM</t>
  </si>
  <si>
    <t xml:space="preserve">VHC</t>
  </si>
  <si>
    <t xml:space="preserve">MCH</t>
  </si>
  <si>
    <t xml:space="preserve">PC1</t>
  </si>
  <si>
    <t xml:space="preserve">Tính năng</t>
  </si>
  <si>
    <t xml:space="preserve">DE - Doanh nghiệp</t>
  </si>
  <si>
    <t xml:space="preserve">Ngày trích xuất</t>
  </si>
  <si>
    <t xml:space="preserve">Mã</t>
  </si>
  <si>
    <t xml:space="preserve">Tên công ty</t>
  </si>
  <si>
    <t xml:space="preserve">Sàn</t>
  </si>
  <si>
    <t xml:space="preserve">Giá đóng cửa điều chỉnh (D)
Ngày: Hôm nay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</si>
  <si>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</si>
  <si>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</si>
  <si>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</si>
  <si>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% tuần</t>
  </si>
  <si>
    <t xml:space="preserve">% tháng</t>
  </si>
  <si>
    <t xml:space="preserve">% ytd</t>
  </si>
  <si>
    <t xml:space="preserve">P/E pha loãng
Chỉ số TTM
Đơn vị: Lần</t>
  </si>
  <si>
    <t xml:space="preserve">P/B
Chỉ số TTM
Đơn vị: Lần</t>
  </si>
  <si>
    <t xml:space="preserve">Giá cao nhất 52 tuần
Đơn vị: VND</t>
  </si>
  <si>
    <t xml:space="preserve">Giá thấp nhất 52 tuần
Đơn vị: VND</t>
  </si>
  <si>
    <t xml:space="preserve">P/E Trung vị 5 năm
Đơn vị: Lần</t>
  </si>
  <si>
    <t xml:space="preserve">P/B Trung vị 5 năm
Đơn vị: Lần</t>
  </si>
  <si>
    <t xml:space="preserve">AG1</t>
  </si>
  <si>
    <t xml:space="preserve">28.1 JSC</t>
  </si>
  <si>
    <t xml:space="preserve">UPCoM</t>
  </si>
  <si>
    <t xml:space="preserve">MT9</t>
  </si>
  <si>
    <t xml:space="preserve">319 Miền Trung</t>
  </si>
  <si>
    <t xml:space="preserve">NBB</t>
  </si>
  <si>
    <t xml:space="preserve">577 CORP</t>
  </si>
  <si>
    <t xml:space="preserve">HOSE</t>
  </si>
  <si>
    <t xml:space="preserve">AAV</t>
  </si>
  <si>
    <t xml:space="preserve">AAV Group</t>
  </si>
  <si>
    <t xml:space="preserve">AGR</t>
  </si>
  <si>
    <t xml:space="preserve">Agriseco</t>
  </si>
  <si>
    <t xml:space="preserve">AAA</t>
  </si>
  <si>
    <t xml:space="preserve">An Phát Bioplastics</t>
  </si>
  <si>
    <t xml:space="preserve">HII</t>
  </si>
  <si>
    <t xml:space="preserve">An Tiến Industries</t>
  </si>
  <si>
    <t xml:space="preserve">VNS</t>
  </si>
  <si>
    <t xml:space="preserve">Ánh Dương Việt Nam</t>
  </si>
  <si>
    <t xml:space="preserve">AMP</t>
  </si>
  <si>
    <t xml:space="preserve">Armephaco</t>
  </si>
  <si>
    <t xml:space="preserve">ATG</t>
  </si>
  <si>
    <t xml:space="preserve">ATG Planet</t>
  </si>
  <si>
    <t xml:space="preserve">TSB</t>
  </si>
  <si>
    <t xml:space="preserve">Ắc quy Tia Sáng</t>
  </si>
  <si>
    <t xml:space="preserve">HNX</t>
  </si>
  <si>
    <t xml:space="preserve">BCG</t>
  </si>
  <si>
    <t xml:space="preserve">Bamboo Capital</t>
  </si>
  <si>
    <t xml:space="preserve">DBM</t>
  </si>
  <si>
    <t xml:space="preserve">BAMEPHARM</t>
  </si>
  <si>
    <t xml:space="preserve">ECI</t>
  </si>
  <si>
    <t xml:space="preserve">Bản đồ và tranh ảnh GD</t>
  </si>
  <si>
    <t xml:space="preserve">Bán lẻ FPT</t>
  </si>
  <si>
    <t xml:space="preserve">HCO</t>
  </si>
  <si>
    <t xml:space="preserve">Bánh kẹo Hải Châu</t>
  </si>
  <si>
    <t xml:space="preserve">HHC</t>
  </si>
  <si>
    <t xml:space="preserve">Bánh kẹo Hải Hà</t>
  </si>
  <si>
    <t xml:space="preserve">HNF</t>
  </si>
  <si>
    <t xml:space="preserve">Bánh kẹo Hữu Nghị</t>
  </si>
  <si>
    <t xml:space="preserve">SGC</t>
  </si>
  <si>
    <t xml:space="preserve">Bánh phồng tôm Sa Giang</t>
  </si>
  <si>
    <t xml:space="preserve">BAL</t>
  </si>
  <si>
    <t xml:space="preserve">Bao bì Balpac</t>
  </si>
  <si>
    <t xml:space="preserve">BPC</t>
  </si>
  <si>
    <t xml:space="preserve">Bao bì Bỉm Sơn</t>
  </si>
  <si>
    <t xml:space="preserve">PBP</t>
  </si>
  <si>
    <t xml:space="preserve">Bao bì Dầu khí VN</t>
  </si>
  <si>
    <t xml:space="preserve">PMP</t>
  </si>
  <si>
    <t xml:space="preserve">Bao bì Đạm Phú Mỹ</t>
  </si>
  <si>
    <t xml:space="preserve">BBH</t>
  </si>
  <si>
    <t xml:space="preserve">Bao bì Hoàng Thạch</t>
  </si>
  <si>
    <t xml:space="preserve">HPB</t>
  </si>
  <si>
    <t xml:space="preserve">Bao bì PP</t>
  </si>
  <si>
    <t xml:space="preserve">HBD</t>
  </si>
  <si>
    <t xml:space="preserve">Bao bì PP Bình Dương</t>
  </si>
  <si>
    <t xml:space="preserve">TKA</t>
  </si>
  <si>
    <t xml:space="preserve">Bao bì Tân Khánh An</t>
  </si>
  <si>
    <t xml:space="preserve">BTG</t>
  </si>
  <si>
    <t xml:space="preserve">Bao bì Tiền Giang</t>
  </si>
  <si>
    <t xml:space="preserve">INN</t>
  </si>
  <si>
    <t xml:space="preserve">Bao bì và In Nông Nghiệp</t>
  </si>
  <si>
    <t xml:space="preserve">PBT</t>
  </si>
  <si>
    <t xml:space="preserve">Bao bì và TM Dầu khí Bình Sơn</t>
  </si>
  <si>
    <t xml:space="preserve">BBS</t>
  </si>
  <si>
    <t xml:space="preserve">Bao bì Xi măng Bút Sơn</t>
  </si>
  <si>
    <t xml:space="preserve">BXH</t>
  </si>
  <si>
    <t xml:space="preserve">Bao bì Xi măng HP</t>
  </si>
  <si>
    <t xml:space="preserve">BLI</t>
  </si>
  <si>
    <t xml:space="preserve">Bảo hiểm Bảo Long</t>
  </si>
  <si>
    <t xml:space="preserve">BMI</t>
  </si>
  <si>
    <t xml:space="preserve">Bảo hiểm Bảo Minh</t>
  </si>
  <si>
    <t xml:space="preserve">BIC</t>
  </si>
  <si>
    <t xml:space="preserve">Bảo hiểm BIDV</t>
  </si>
  <si>
    <t xml:space="preserve">PTI</t>
  </si>
  <si>
    <t xml:space="preserve">Bảo hiểm Bưu điện</t>
  </si>
  <si>
    <t xml:space="preserve">AIC</t>
  </si>
  <si>
    <t xml:space="preserve">Bảo hiểm DBV</t>
  </si>
  <si>
    <t xml:space="preserve">PGI</t>
  </si>
  <si>
    <t xml:space="preserve">Bảo hiểm PJICO</t>
  </si>
  <si>
    <t xml:space="preserve">MIG</t>
  </si>
  <si>
    <t xml:space="preserve">Bảo hiểm Quân đội</t>
  </si>
  <si>
    <t xml:space="preserve">BHI</t>
  </si>
  <si>
    <t xml:space="preserve">Bảo hiểm Sài Gòn - Hà Nội</t>
  </si>
  <si>
    <t xml:space="preserve">BT1</t>
  </si>
  <si>
    <t xml:space="preserve">Bảo vệ thực vật 1 TW</t>
  </si>
  <si>
    <t xml:space="preserve">AGG</t>
  </si>
  <si>
    <t xml:space="preserve">Bất động sản An Gia</t>
  </si>
  <si>
    <t xml:space="preserve">PWA</t>
  </si>
  <si>
    <t xml:space="preserve">Bất động sản dầu khí</t>
  </si>
  <si>
    <t xml:space="preserve">HLD</t>
  </si>
  <si>
    <t xml:space="preserve">Bất động sản HUDLAND</t>
  </si>
  <si>
    <t xml:space="preserve">CRE</t>
  </si>
  <si>
    <t xml:space="preserve">Bất động sản Thế Kỷ</t>
  </si>
  <si>
    <t xml:space="preserve">VRC</t>
  </si>
  <si>
    <t xml:space="preserve">Bất động sản và Đầu tư VRC</t>
  </si>
  <si>
    <t xml:space="preserve">BGE</t>
  </si>
  <si>
    <t xml:space="preserve">BCG Energy</t>
  </si>
  <si>
    <t xml:space="preserve">BCR</t>
  </si>
  <si>
    <t xml:space="preserve">BCG Land</t>
  </si>
  <si>
    <t xml:space="preserve">MCO</t>
  </si>
  <si>
    <t xml:space="preserve">BDC Việt Nam</t>
  </si>
  <si>
    <t xml:space="preserve">HAR</t>
  </si>
  <si>
    <t xml:space="preserve">BĐS An Dương Thảo Điền</t>
  </si>
  <si>
    <t xml:space="preserve">MBT</t>
  </si>
  <si>
    <t xml:space="preserve">BĐS cho thuê Minh Bảo Tín</t>
  </si>
  <si>
    <t xml:space="preserve">DTA</t>
  </si>
  <si>
    <t xml:space="preserve">BĐS Đệ Tam</t>
  </si>
  <si>
    <t xml:space="preserve">LEC</t>
  </si>
  <si>
    <t xml:space="preserve">BĐS Điện lực Miền Trung</t>
  </si>
  <si>
    <t xml:space="preserve">BĐS Nam Long</t>
  </si>
  <si>
    <t xml:space="preserve">BĐS Phát Đạt</t>
  </si>
  <si>
    <t xml:space="preserve">LSG</t>
  </si>
  <si>
    <t xml:space="preserve">BĐS Sài Gòn Vina</t>
  </si>
  <si>
    <t xml:space="preserve">PPI</t>
  </si>
  <si>
    <t xml:space="preserve">BĐS Thái Bình Dương</t>
  </si>
  <si>
    <t xml:space="preserve">Becamex Group</t>
  </si>
  <si>
    <t xml:space="preserve">Becamex IJC</t>
  </si>
  <si>
    <t xml:space="preserve">TDC</t>
  </si>
  <si>
    <t xml:space="preserve">Becamex TDC</t>
  </si>
  <si>
    <t xml:space="preserve">UDJ</t>
  </si>
  <si>
    <t xml:space="preserve">Becamex UDJ</t>
  </si>
  <si>
    <t xml:space="preserve">BT6</t>
  </si>
  <si>
    <t xml:space="preserve">Bê tông 6</t>
  </si>
  <si>
    <t xml:space="preserve">ACE</t>
  </si>
  <si>
    <t xml:space="preserve">Bê tông An Giang</t>
  </si>
  <si>
    <t xml:space="preserve">BHC</t>
  </si>
  <si>
    <t xml:space="preserve">Bê tông Biên Hòa</t>
  </si>
  <si>
    <t xml:space="preserve">HCC</t>
  </si>
  <si>
    <t xml:space="preserve">Bê tông Hòa Cầm</t>
  </si>
  <si>
    <t xml:space="preserve">BTD</t>
  </si>
  <si>
    <t xml:space="preserve">Bê tông ly tâm Thủ Đức</t>
  </si>
  <si>
    <t xml:space="preserve">FCM</t>
  </si>
  <si>
    <t xml:space="preserve">Bê tông Phan Vũ Hà Nam</t>
  </si>
  <si>
    <t xml:space="preserve">XMC</t>
  </si>
  <si>
    <t xml:space="preserve">Bê tông Xuân Mai</t>
  </si>
  <si>
    <t xml:space="preserve">TPS</t>
  </si>
  <si>
    <t xml:space="preserve">Bến bãi vận tải Sài Gòn</t>
  </si>
  <si>
    <t xml:space="preserve">HNB</t>
  </si>
  <si>
    <t xml:space="preserve">Bến xe Hà Nội</t>
  </si>
  <si>
    <t xml:space="preserve">WCS</t>
  </si>
  <si>
    <t xml:space="preserve">Bến xe Miền Tây</t>
  </si>
  <si>
    <t xml:space="preserve">TTD</t>
  </si>
  <si>
    <t xml:space="preserve">Bệnh viện Tim Tâm Đức</t>
  </si>
  <si>
    <t xml:space="preserve">VC7</t>
  </si>
  <si>
    <t xml:space="preserve">BGI Group</t>
  </si>
  <si>
    <t xml:space="preserve">ABI</t>
  </si>
  <si>
    <t xml:space="preserve">BH NH Nông Nghiệp</t>
  </si>
  <si>
    <t xml:space="preserve">STD</t>
  </si>
  <si>
    <t xml:space="preserve">Bia - NGK Sài Gòn - Tây Đô</t>
  </si>
  <si>
    <t xml:space="preserve">HAD</t>
  </si>
  <si>
    <t xml:space="preserve">Bia Hà Nội - Hải Dương</t>
  </si>
  <si>
    <t xml:space="preserve">BHP</t>
  </si>
  <si>
    <t xml:space="preserve">Bia Hà Nội - Hải Phòng</t>
  </si>
  <si>
    <t xml:space="preserve">HHB</t>
  </si>
  <si>
    <t xml:space="preserve">Bia Hà Nội - Hồng Hà</t>
  </si>
  <si>
    <t xml:space="preserve">BHK</t>
  </si>
  <si>
    <t xml:space="preserve">Bia Hà Nội - Kim Bài</t>
  </si>
  <si>
    <t xml:space="preserve">BBM</t>
  </si>
  <si>
    <t xml:space="preserve">Bia Hà Nội - Nam Định</t>
  </si>
  <si>
    <t xml:space="preserve">BQB</t>
  </si>
  <si>
    <t xml:space="preserve">Bia Hà Nội - Quảng Bình</t>
  </si>
  <si>
    <t xml:space="preserve">BTB</t>
  </si>
  <si>
    <t xml:space="preserve">Bia Hà Nội - Thái Bình</t>
  </si>
  <si>
    <t xml:space="preserve">THB</t>
  </si>
  <si>
    <t xml:space="preserve">Bia Hà Nội - Thanh Hóa</t>
  </si>
  <si>
    <t xml:space="preserve">SBL</t>
  </si>
  <si>
    <t xml:space="preserve">Bia Sài Gòn - Bạc Liêu</t>
  </si>
  <si>
    <t xml:space="preserve">BSH</t>
  </si>
  <si>
    <t xml:space="preserve">Bia Sài Gòn - Hà Nội</t>
  </si>
  <si>
    <t xml:space="preserve">WSB</t>
  </si>
  <si>
    <t xml:space="preserve">Bia Sài Gòn - Miền Tây</t>
  </si>
  <si>
    <t xml:space="preserve">SMB</t>
  </si>
  <si>
    <t xml:space="preserve">Bia Sài Gòn - Miền Trung</t>
  </si>
  <si>
    <t xml:space="preserve">SB1</t>
  </si>
  <si>
    <t xml:space="preserve">Bia Sài Gòn - Nghệ Tĩnh</t>
  </si>
  <si>
    <t xml:space="preserve">BSP</t>
  </si>
  <si>
    <t xml:space="preserve">Bia Sài Gòn - Phú Thọ</t>
  </si>
  <si>
    <t xml:space="preserve">BSQ</t>
  </si>
  <si>
    <t xml:space="preserve">Bia Sài Gòn - Quảng Ngãi</t>
  </si>
  <si>
    <t xml:space="preserve">BSL</t>
  </si>
  <si>
    <t xml:space="preserve">Bia Sài Gòn - Sông Lam</t>
  </si>
  <si>
    <t xml:space="preserve">SBB</t>
  </si>
  <si>
    <t xml:space="preserve">Bia Sài Gòn Bình Tây</t>
  </si>
  <si>
    <t xml:space="preserve">HLB</t>
  </si>
  <si>
    <t xml:space="preserve">Bia và NGK Hạ Long</t>
  </si>
  <si>
    <t xml:space="preserve">BSD</t>
  </si>
  <si>
    <t xml:space="preserve">Bia, rượu Sài Gòn - Đồng Xuân</t>
  </si>
  <si>
    <t xml:space="preserve">BIDV</t>
  </si>
  <si>
    <t xml:space="preserve">BTH</t>
  </si>
  <si>
    <t xml:space="preserve">Biến thế và Vật liệu Điện Hà Nội</t>
  </si>
  <si>
    <t xml:space="preserve">BMK</t>
  </si>
  <si>
    <t xml:space="preserve">Black Cat</t>
  </si>
  <si>
    <t xml:space="preserve">Bluemarq Group</t>
  </si>
  <si>
    <t xml:space="preserve">PVB</t>
  </si>
  <si>
    <t xml:space="preserve">Bọc ống Dầu khí Việt Nam</t>
  </si>
  <si>
    <t xml:space="preserve">RAL</t>
  </si>
  <si>
    <t xml:space="preserve">Bóng đèn Phích nước Rạng Đông</t>
  </si>
  <si>
    <t xml:space="preserve">BOT</t>
  </si>
  <si>
    <t xml:space="preserve">BOT Cầu Thái Hà</t>
  </si>
  <si>
    <t xml:space="preserve">BBT</t>
  </si>
  <si>
    <t xml:space="preserve">Bông Bạch Tuyết</t>
  </si>
  <si>
    <t xml:space="preserve">BVN</t>
  </si>
  <si>
    <t xml:space="preserve">Bông Việt Nam</t>
  </si>
  <si>
    <t xml:space="preserve">LIX</t>
  </si>
  <si>
    <t xml:space="preserve">Bột Giặt LIX</t>
  </si>
  <si>
    <t xml:space="preserve">NET</t>
  </si>
  <si>
    <t xml:space="preserve">Bột giặt Net</t>
  </si>
  <si>
    <t xml:space="preserve">BMV</t>
  </si>
  <si>
    <t xml:space="preserve">Bột mỳ Vinafood 1</t>
  </si>
  <si>
    <t xml:space="preserve">CTB</t>
  </si>
  <si>
    <t xml:space="preserve">Bơm Hải Dương</t>
  </si>
  <si>
    <t xml:space="preserve">VTP</t>
  </si>
  <si>
    <t xml:space="preserve">Bưu chính Viettel</t>
  </si>
  <si>
    <t xml:space="preserve">BVL</t>
  </si>
  <si>
    <t xml:space="preserve">BV Land</t>
  </si>
  <si>
    <t xml:space="preserve">VCM</t>
  </si>
  <si>
    <t xml:space="preserve">BV Life</t>
  </si>
  <si>
    <t xml:space="preserve">SPC</t>
  </si>
  <si>
    <t xml:space="preserve">BV Thực vật Sài Gòn</t>
  </si>
  <si>
    <t xml:space="preserve">FGL</t>
  </si>
  <si>
    <t xml:space="preserve">Cà Phê Gia Lai</t>
  </si>
  <si>
    <t xml:space="preserve">PCF</t>
  </si>
  <si>
    <t xml:space="preserve">Cà phê PETEC</t>
  </si>
  <si>
    <t xml:space="preserve">CPA</t>
  </si>
  <si>
    <t xml:space="preserve">Cà phê Phước An</t>
  </si>
  <si>
    <t xml:space="preserve">CFV</t>
  </si>
  <si>
    <t xml:space="preserve">Cà phê Thắng Lợi</t>
  </si>
  <si>
    <t xml:space="preserve">TAN</t>
  </si>
  <si>
    <t xml:space="preserve">Cà phê Thuận An</t>
  </si>
  <si>
    <t xml:space="preserve">OTC</t>
  </si>
  <si>
    <t xml:space="preserve">CMM</t>
  </si>
  <si>
    <t xml:space="preserve">Camimex</t>
  </si>
  <si>
    <t xml:space="preserve">CMX</t>
  </si>
  <si>
    <t xml:space="preserve">CAMIMEX Group</t>
  </si>
  <si>
    <t xml:space="preserve">TTS</t>
  </si>
  <si>
    <t xml:space="preserve">Cán thép Thái Trung</t>
  </si>
  <si>
    <t xml:space="preserve">CAG</t>
  </si>
  <si>
    <t xml:space="preserve">Cảng An Giang</t>
  </si>
  <si>
    <t xml:space="preserve">CCR</t>
  </si>
  <si>
    <t xml:space="preserve">Cảng Cam Ranh</t>
  </si>
  <si>
    <t xml:space="preserve">CLL</t>
  </si>
  <si>
    <t xml:space="preserve">Cảng Cát Lái</t>
  </si>
  <si>
    <t xml:space="preserve">CCT</t>
  </si>
  <si>
    <t xml:space="preserve">Cảng Cần Thơ</t>
  </si>
  <si>
    <t xml:space="preserve">CMP</t>
  </si>
  <si>
    <t xml:space="preserve">Cảng Chân Mây</t>
  </si>
  <si>
    <t xml:space="preserve">CCP</t>
  </si>
  <si>
    <t xml:space="preserve">Cảng Cửa Cấm</t>
  </si>
  <si>
    <t xml:space="preserve">CDN</t>
  </si>
  <si>
    <t xml:space="preserve">Cảng Đà Nẵng</t>
  </si>
  <si>
    <t xml:space="preserve">DXP</t>
  </si>
  <si>
    <t xml:space="preserve">Cảng Đoạn Xá</t>
  </si>
  <si>
    <t xml:space="preserve">PDN</t>
  </si>
  <si>
    <t xml:space="preserve">Cảng Đồng Nai</t>
  </si>
  <si>
    <t xml:space="preserve">PHP</t>
  </si>
  <si>
    <t xml:space="preserve">Cảng Hải Phòng</t>
  </si>
  <si>
    <t xml:space="preserve">Cảng Hàng không VN</t>
  </si>
  <si>
    <t xml:space="preserve">NAP</t>
  </si>
  <si>
    <t xml:space="preserve">Cảng Nghệ Tĩnh</t>
  </si>
  <si>
    <t xml:space="preserve">PAP</t>
  </si>
  <si>
    <t xml:space="preserve">Cảng Phước An</t>
  </si>
  <si>
    <t xml:space="preserve">CQN</t>
  </si>
  <si>
    <t xml:space="preserve">Cảng Quảng Ninh</t>
  </si>
  <si>
    <t xml:space="preserve">QNP</t>
  </si>
  <si>
    <t xml:space="preserve">Cảng Quy Nhơn</t>
  </si>
  <si>
    <t xml:space="preserve">VGP</t>
  </si>
  <si>
    <t xml:space="preserve">Cảng Rau Quả</t>
  </si>
  <si>
    <t xml:space="preserve">SGP</t>
  </si>
  <si>
    <t xml:space="preserve">Cảng Sài Gòn</t>
  </si>
  <si>
    <t xml:space="preserve">TNP</t>
  </si>
  <si>
    <t xml:space="preserve">Cảng Thị Nại</t>
  </si>
  <si>
    <t xml:space="preserve">VGR</t>
  </si>
  <si>
    <t xml:space="preserve">Cảng xanh VIP</t>
  </si>
  <si>
    <t xml:space="preserve">BRR</t>
  </si>
  <si>
    <t xml:space="preserve">Cao su Bà Rịa</t>
  </si>
  <si>
    <t xml:space="preserve">BRC</t>
  </si>
  <si>
    <t xml:space="preserve">Cao su Bến Thành</t>
  </si>
  <si>
    <t xml:space="preserve">IRC</t>
  </si>
  <si>
    <t xml:space="preserve">Cao su Công nghiệp</t>
  </si>
  <si>
    <t xml:space="preserve">DRC</t>
  </si>
  <si>
    <t xml:space="preserve">Cao su Đà Nẵng</t>
  </si>
  <si>
    <t xml:space="preserve">DRG</t>
  </si>
  <si>
    <t xml:space="preserve">Cao su Đắk Lắk</t>
  </si>
  <si>
    <t xml:space="preserve">DPR</t>
  </si>
  <si>
    <t xml:space="preserve">Cao su Đồng Phú</t>
  </si>
  <si>
    <t xml:space="preserve">HRC</t>
  </si>
  <si>
    <t xml:space="preserve">Cao su Hòa Bình</t>
  </si>
  <si>
    <t xml:space="preserve">CSM</t>
  </si>
  <si>
    <t xml:space="preserve">Cao su Miền Nam</t>
  </si>
  <si>
    <t xml:space="preserve">PHR</t>
  </si>
  <si>
    <t xml:space="preserve">Cao su Phước Hòa</t>
  </si>
  <si>
    <t xml:space="preserve">SRC</t>
  </si>
  <si>
    <t xml:space="preserve">Cao su Sao Vàng</t>
  </si>
  <si>
    <t xml:space="preserve">SBR</t>
  </si>
  <si>
    <t xml:space="preserve">Cao su Sông Bé</t>
  </si>
  <si>
    <t xml:space="preserve">RTB</t>
  </si>
  <si>
    <t xml:space="preserve">Cao su Tân Biên</t>
  </si>
  <si>
    <t xml:space="preserve">TRC</t>
  </si>
  <si>
    <t xml:space="preserve">Cao su Tây Ninh</t>
  </si>
  <si>
    <t xml:space="preserve">TNC</t>
  </si>
  <si>
    <t xml:space="preserve">Cao su Thống Nhất</t>
  </si>
  <si>
    <t xml:space="preserve">MRF</t>
  </si>
  <si>
    <t xml:space="preserve">Cao su y tế MERUFA</t>
  </si>
  <si>
    <t xml:space="preserve">TCT</t>
  </si>
  <si>
    <t xml:space="preserve">Cáp treo Tây Ninh</t>
  </si>
  <si>
    <t xml:space="preserve">TGP</t>
  </si>
  <si>
    <t xml:space="preserve">Cáp Trường Phú</t>
  </si>
  <si>
    <t xml:space="preserve">BWS</t>
  </si>
  <si>
    <t xml:space="preserve">Cấp Nước Bà Rịa Vũng Tàu</t>
  </si>
  <si>
    <t xml:space="preserve">BTW</t>
  </si>
  <si>
    <t xml:space="preserve">Cấp nước Bến Thành</t>
  </si>
  <si>
    <t xml:space="preserve">CMW</t>
  </si>
  <si>
    <t xml:space="preserve">Cấp nước Cà Mau</t>
  </si>
  <si>
    <t xml:space="preserve">CLW</t>
  </si>
  <si>
    <t xml:space="preserve">Cấp nước Chợ Lớn</t>
  </si>
  <si>
    <t xml:space="preserve">DNN</t>
  </si>
  <si>
    <t xml:space="preserve">Cấp nước Đà Nẵng</t>
  </si>
  <si>
    <t xml:space="preserve">DWC</t>
  </si>
  <si>
    <t xml:space="preserve">Cấp nước Đắk Lắk</t>
  </si>
  <si>
    <t xml:space="preserve">DNW</t>
  </si>
  <si>
    <t xml:space="preserve">Cấp nước Đồng Nai</t>
  </si>
  <si>
    <t xml:space="preserve">DWS</t>
  </si>
  <si>
    <t xml:space="preserve">Cấp nước Đồng Tháp</t>
  </si>
  <si>
    <t xml:space="preserve">GDW</t>
  </si>
  <si>
    <t xml:space="preserve">Cấp nước Gia Định</t>
  </si>
  <si>
    <t xml:space="preserve">HPW</t>
  </si>
  <si>
    <t xml:space="preserve">Cấp nước Hải Phòng</t>
  </si>
  <si>
    <t xml:space="preserve">HWS</t>
  </si>
  <si>
    <t xml:space="preserve">Cấp nước Huế</t>
  </si>
  <si>
    <t xml:space="preserve">LKW</t>
  </si>
  <si>
    <t xml:space="preserve">Cấp nước Long Khánh</t>
  </si>
  <si>
    <t xml:space="preserve">NDW</t>
  </si>
  <si>
    <t xml:space="preserve">Cấp nước Nam Định</t>
  </si>
  <si>
    <t xml:space="preserve">NAW</t>
  </si>
  <si>
    <t xml:space="preserve">Cấp nước Nghệ An</t>
  </si>
  <si>
    <t xml:space="preserve">NBW</t>
  </si>
  <si>
    <t xml:space="preserve">Cấp nước Nhà Bè</t>
  </si>
  <si>
    <t xml:space="preserve">NTW</t>
  </si>
  <si>
    <t xml:space="preserve">Cấp nước Nhơn Trạch</t>
  </si>
  <si>
    <t xml:space="preserve">NNT</t>
  </si>
  <si>
    <t xml:space="preserve">Cấp nước Ninh Thuận</t>
  </si>
  <si>
    <t xml:space="preserve">PJS</t>
  </si>
  <si>
    <t xml:space="preserve">Cấp nước Phú Hòa Tân</t>
  </si>
  <si>
    <t xml:space="preserve">PMW</t>
  </si>
  <si>
    <t xml:space="preserve">Cấp Nước Phú Mỹ</t>
  </si>
  <si>
    <t xml:space="preserve">NQB</t>
  </si>
  <si>
    <t xml:space="preserve">Cấp nước Quảng Bình</t>
  </si>
  <si>
    <t xml:space="preserve">STW</t>
  </si>
  <si>
    <t xml:space="preserve">Cấp nước Sóc Trăng</t>
  </si>
  <si>
    <t xml:space="preserve">NSL</t>
  </si>
  <si>
    <t xml:space="preserve">Cấp nước Sơn La</t>
  </si>
  <si>
    <t xml:space="preserve">THW</t>
  </si>
  <si>
    <t xml:space="preserve">Cấp nước Tân Hòa</t>
  </si>
  <si>
    <t xml:space="preserve">THN</t>
  </si>
  <si>
    <t xml:space="preserve">Cấp nước Thanh Hóa</t>
  </si>
  <si>
    <t xml:space="preserve">TDW</t>
  </si>
  <si>
    <t xml:space="preserve">Cấp nước Thủ Đức</t>
  </si>
  <si>
    <t xml:space="preserve">TOW</t>
  </si>
  <si>
    <t xml:space="preserve">Cấp nước Trà Nóc - Ô Môn</t>
  </si>
  <si>
    <t xml:space="preserve">TAW</t>
  </si>
  <si>
    <t xml:space="preserve">Cấp nước Trung An</t>
  </si>
  <si>
    <t xml:space="preserve">VLW</t>
  </si>
  <si>
    <t xml:space="preserve">Cấp nước Vĩnh Long</t>
  </si>
  <si>
    <t xml:space="preserve">NBT</t>
  </si>
  <si>
    <t xml:space="preserve">Cấp thoát nước Bến Tre</t>
  </si>
  <si>
    <t xml:space="preserve">BDW</t>
  </si>
  <si>
    <t xml:space="preserve">Cấp thoát nước Bình Định</t>
  </si>
  <si>
    <t xml:space="preserve">CTW</t>
  </si>
  <si>
    <t xml:space="preserve">Cấp thoát nước Cần Thơ</t>
  </si>
  <si>
    <t xml:space="preserve">GLW</t>
  </si>
  <si>
    <t xml:space="preserve">Cấp thoát nước Gia Lai</t>
  </si>
  <si>
    <t xml:space="preserve">KHW</t>
  </si>
  <si>
    <t xml:space="preserve">Cấp thoát nước Khánh Hòa</t>
  </si>
  <si>
    <t xml:space="preserve">NLS</t>
  </si>
  <si>
    <t xml:space="preserve">Cấp thoát nước Lạng Sơn</t>
  </si>
  <si>
    <t xml:space="preserve">LDW</t>
  </si>
  <si>
    <t xml:space="preserve">Cấp thoát nước Lâm Đồng</t>
  </si>
  <si>
    <t xml:space="preserve">LAW</t>
  </si>
  <si>
    <t xml:space="preserve">Cấp thoát nước Long An</t>
  </si>
  <si>
    <t xml:space="preserve">PWS</t>
  </si>
  <si>
    <t xml:space="preserve">Cấp thoát nước Phú Yên</t>
  </si>
  <si>
    <t xml:space="preserve">VPW</t>
  </si>
  <si>
    <t xml:space="preserve">Cấp thoát nước số 1 Vĩnh Phúc</t>
  </si>
  <si>
    <t xml:space="preserve">TQW</t>
  </si>
  <si>
    <t xml:space="preserve">Cấp thoát nước Tuyên Quang</t>
  </si>
  <si>
    <t xml:space="preserve">BWA</t>
  </si>
  <si>
    <t xml:space="preserve">Cấp thoát nước và Xây dựng Bảo Lộc</t>
  </si>
  <si>
    <t xml:space="preserve">QNW</t>
  </si>
  <si>
    <t xml:space="preserve">Cấp thoát nước và XD Quảng Ngãi</t>
  </si>
  <si>
    <t xml:space="preserve">UPC</t>
  </si>
  <si>
    <t xml:space="preserve">Cây xanh Vũng Tàu</t>
  </si>
  <si>
    <t xml:space="preserve">CEN</t>
  </si>
  <si>
    <t xml:space="preserve">CENCON Việt Nam</t>
  </si>
  <si>
    <t xml:space="preserve">MLS</t>
  </si>
  <si>
    <t xml:space="preserve">Chăn nuôi Mitraco</t>
  </si>
  <si>
    <t xml:space="preserve">PSL</t>
  </si>
  <si>
    <t xml:space="preserve">Chăn nuôi Phú Sơn</t>
  </si>
  <si>
    <t xml:space="preserve">VLC</t>
  </si>
  <si>
    <t xml:space="preserve">Chăn nuôi Việt Nam</t>
  </si>
  <si>
    <t xml:space="preserve">BHG</t>
  </si>
  <si>
    <t xml:space="preserve">Chè Biển Hồ</t>
  </si>
  <si>
    <t xml:space="preserve">LAF</t>
  </si>
  <si>
    <t xml:space="preserve">Chế biến Hàng XK Long An</t>
  </si>
  <si>
    <t xml:space="preserve">VHF</t>
  </si>
  <si>
    <t xml:space="preserve">Chế biến lương thực Vĩnh Hà</t>
  </si>
  <si>
    <t xml:space="preserve">UXC</t>
  </si>
  <si>
    <t xml:space="preserve">Chế biến Thủy sản Út Xi</t>
  </si>
  <si>
    <t xml:space="preserve">PVY</t>
  </si>
  <si>
    <t xml:space="preserve">Chế tạo Giàn khoan Dầu khí</t>
  </si>
  <si>
    <t xml:space="preserve">CTT</t>
  </si>
  <si>
    <t xml:space="preserve">Chế tạo máy - Vinacomin</t>
  </si>
  <si>
    <t xml:space="preserve">CHS</t>
  </si>
  <si>
    <t xml:space="preserve">Chiếu sáng TPHCM</t>
  </si>
  <si>
    <t xml:space="preserve">APC</t>
  </si>
  <si>
    <t xml:space="preserve">Chiếu xạ An Phú</t>
  </si>
  <si>
    <t xml:space="preserve">CCS</t>
  </si>
  <si>
    <t xml:space="preserve">Chíp Sáng</t>
  </si>
  <si>
    <t xml:space="preserve">DKC</t>
  </si>
  <si>
    <t xml:space="preserve">Chợ Lạng Sơn</t>
  </si>
  <si>
    <t xml:space="preserve">EMS</t>
  </si>
  <si>
    <t xml:space="preserve">Chuyển phát nhanh Bưu điện</t>
  </si>
  <si>
    <t xml:space="preserve">ABW</t>
  </si>
  <si>
    <t xml:space="preserve">Chứng khoán An Bình</t>
  </si>
  <si>
    <t xml:space="preserve">APG</t>
  </si>
  <si>
    <t xml:space="preserve">Chứng khoán APG</t>
  </si>
  <si>
    <t xml:space="preserve">ART</t>
  </si>
  <si>
    <t xml:space="preserve">Chứng khoán ARTEX</t>
  </si>
  <si>
    <t xml:space="preserve">BMS</t>
  </si>
  <si>
    <t xml:space="preserve">Chứng khoán Bảo Minh</t>
  </si>
  <si>
    <t xml:space="preserve">BVS</t>
  </si>
  <si>
    <t xml:space="preserve">Chứng khoán Bảo Việt</t>
  </si>
  <si>
    <t xml:space="preserve">BSI</t>
  </si>
  <si>
    <t xml:space="preserve">Chứng khoán BIDV</t>
  </si>
  <si>
    <t xml:space="preserve">PSI</t>
  </si>
  <si>
    <t xml:space="preserve">Chứng khoán Dầu khí</t>
  </si>
  <si>
    <t xml:space="preserve">DSE</t>
  </si>
  <si>
    <t xml:space="preserve">Chứng Khoán DNSE</t>
  </si>
  <si>
    <t xml:space="preserve">DSC</t>
  </si>
  <si>
    <t xml:space="preserve">Chứng khoán DSC</t>
  </si>
  <si>
    <t xml:space="preserve">VIG</t>
  </si>
  <si>
    <t xml:space="preserve">Chứng khoán Đầu tư Tài chính Việt Nam</t>
  </si>
  <si>
    <t xml:space="preserve">EVS</t>
  </si>
  <si>
    <t xml:space="preserve">Chứng khoán EVS</t>
  </si>
  <si>
    <t xml:space="preserve">FTS</t>
  </si>
  <si>
    <t xml:space="preserve">Chứng khoán FPT</t>
  </si>
  <si>
    <t xml:space="preserve">IVS</t>
  </si>
  <si>
    <t xml:space="preserve">Chứng khoán Guotai Haitong (Việt Nam)</t>
  </si>
  <si>
    <t xml:space="preserve">HAC</t>
  </si>
  <si>
    <t xml:space="preserve">Chứng khoán Hải Phòng</t>
  </si>
  <si>
    <t xml:space="preserve">HBS</t>
  </si>
  <si>
    <t xml:space="preserve">Chứng khoán Hòa Bình</t>
  </si>
  <si>
    <t xml:space="preserve">Chứng khoán HSC</t>
  </si>
  <si>
    <t xml:space="preserve">CSI</t>
  </si>
  <si>
    <t xml:space="preserve">Chứng khoán Kirin</t>
  </si>
  <si>
    <t xml:space="preserve">MBS</t>
  </si>
  <si>
    <t xml:space="preserve">Chứng khoán MB</t>
  </si>
  <si>
    <t xml:space="preserve">VFS</t>
  </si>
  <si>
    <t xml:space="preserve">Chứng khoán Nhất Việt</t>
  </si>
  <si>
    <t xml:space="preserve">WSS</t>
  </si>
  <si>
    <t xml:space="preserve">Chứng khoán Phố Wall</t>
  </si>
  <si>
    <t xml:space="preserve">PHS</t>
  </si>
  <si>
    <t xml:space="preserve">Chứng khoán Phú Hưng</t>
  </si>
  <si>
    <t xml:space="preserve">VDS</t>
  </si>
  <si>
    <t xml:space="preserve">Chứng khoán Rồng Việt</t>
  </si>
  <si>
    <t xml:space="preserve">SBS</t>
  </si>
  <si>
    <t xml:space="preserve">Chứng khoán SBS</t>
  </si>
  <si>
    <t xml:space="preserve">SHS</t>
  </si>
  <si>
    <t xml:space="preserve">Chứng khoán SG - HN</t>
  </si>
  <si>
    <t xml:space="preserve">AAS</t>
  </si>
  <si>
    <t xml:space="preserve">Chứng khoán SmartInvest</t>
  </si>
  <si>
    <t xml:space="preserve">Chứng khoán SSI</t>
  </si>
  <si>
    <t xml:space="preserve">VUA</t>
  </si>
  <si>
    <t xml:space="preserve">Chứng khoán Stanley Brothers</t>
  </si>
  <si>
    <t xml:space="preserve">TVB</t>
  </si>
  <si>
    <t xml:space="preserve">Chứng khoán T-Cap</t>
  </si>
  <si>
    <t xml:space="preserve">TCX</t>
  </si>
  <si>
    <t xml:space="preserve">Chứng khoán TCBS</t>
  </si>
  <si>
    <t xml:space="preserve">TCI</t>
  </si>
  <si>
    <t xml:space="preserve">Chứng khoán Thành Công</t>
  </si>
  <si>
    <t xml:space="preserve">TVS</t>
  </si>
  <si>
    <t xml:space="preserve">Chứng khoán Thiên Việt</t>
  </si>
  <si>
    <t xml:space="preserve">ORS</t>
  </si>
  <si>
    <t xml:space="preserve">Chứng khoán Tiên Phong</t>
  </si>
  <si>
    <t xml:space="preserve">UPS</t>
  </si>
  <si>
    <t xml:space="preserve">Chứng khoán UP</t>
  </si>
  <si>
    <t xml:space="preserve">Chứng khoán Vietcap</t>
  </si>
  <si>
    <t xml:space="preserve">CTS</t>
  </si>
  <si>
    <t xml:space="preserve">Chứng khoán Vietinbank</t>
  </si>
  <si>
    <t xml:space="preserve">Chứng khoán VIX</t>
  </si>
  <si>
    <t xml:space="preserve">Chứng khoán VNDIRECT</t>
  </si>
  <si>
    <t xml:space="preserve">VPX</t>
  </si>
  <si>
    <t xml:space="preserve">Chứng khoán VPBank</t>
  </si>
  <si>
    <t xml:space="preserve">VCK</t>
  </si>
  <si>
    <t xml:space="preserve">Chứng Khoán VPS</t>
  </si>
  <si>
    <t xml:space="preserve">CDC</t>
  </si>
  <si>
    <t xml:space="preserve">Chương Dương Corp</t>
  </si>
  <si>
    <t xml:space="preserve">CCI</t>
  </si>
  <si>
    <t xml:space="preserve">CIDICO</t>
  </si>
  <si>
    <t xml:space="preserve">CTF</t>
  </si>
  <si>
    <t xml:space="preserve">City Auto</t>
  </si>
  <si>
    <t xml:space="preserve">APS</t>
  </si>
  <si>
    <t xml:space="preserve">CK Châu Á - TBD</t>
  </si>
  <si>
    <t xml:space="preserve">ADG</t>
  </si>
  <si>
    <t xml:space="preserve">Clever Group</t>
  </si>
  <si>
    <t xml:space="preserve">CVT</t>
  </si>
  <si>
    <t xml:space="preserve">CMC JSC</t>
  </si>
  <si>
    <t xml:space="preserve">CMI</t>
  </si>
  <si>
    <t xml:space="preserve">CMISTONE Việt Nam</t>
  </si>
  <si>
    <t xml:space="preserve">CMT</t>
  </si>
  <si>
    <t xml:space="preserve">CN mạng và Truyền thông</t>
  </si>
  <si>
    <t xml:space="preserve">VMA</t>
  </si>
  <si>
    <t xml:space="preserve">CN Ô tô - Vinacomin</t>
  </si>
  <si>
    <t xml:space="preserve">STP</t>
  </si>
  <si>
    <t xml:space="preserve">CN Thương Mại Sông Đà</t>
  </si>
  <si>
    <t xml:space="preserve">VIE</t>
  </si>
  <si>
    <t xml:space="preserve">CN Viễn thông VI TE CO</t>
  </si>
  <si>
    <t xml:space="preserve">KSQ</t>
  </si>
  <si>
    <t xml:space="preserve">CNC Capital Việt Nam</t>
  </si>
  <si>
    <t xml:space="preserve">CNG</t>
  </si>
  <si>
    <t xml:space="preserve">CNG Việt Nam</t>
  </si>
  <si>
    <t xml:space="preserve">PAI</t>
  </si>
  <si>
    <t xml:space="preserve">CNTT, VT và Tự động hóa Dầu khí - PAIC</t>
  </si>
  <si>
    <t xml:space="preserve">CKV</t>
  </si>
  <si>
    <t xml:space="preserve">CokyVina</t>
  </si>
  <si>
    <t xml:space="preserve">CMN</t>
  </si>
  <si>
    <t xml:space="preserve">Colusa -  Miliket</t>
  </si>
  <si>
    <t xml:space="preserve">TCK</t>
  </si>
  <si>
    <t xml:space="preserve">COMA</t>
  </si>
  <si>
    <t xml:space="preserve">CTX</t>
  </si>
  <si>
    <t xml:space="preserve">CONSTREXIM</t>
  </si>
  <si>
    <t xml:space="preserve">CX8</t>
  </si>
  <si>
    <t xml:space="preserve">Constrexim số 8</t>
  </si>
  <si>
    <t xml:space="preserve">VSM</t>
  </si>
  <si>
    <t xml:space="preserve">Container Miền Trung</t>
  </si>
  <si>
    <t xml:space="preserve">VSG</t>
  </si>
  <si>
    <t xml:space="preserve">Container Phía Nam</t>
  </si>
  <si>
    <t xml:space="preserve">HNR</t>
  </si>
  <si>
    <t xml:space="preserve">Cồn Rượu và Nước Giải Khát Hà Nội</t>
  </si>
  <si>
    <t xml:space="preserve">CNC</t>
  </si>
  <si>
    <t xml:space="preserve">Công nghệ cao Traphaco</t>
  </si>
  <si>
    <t xml:space="preserve">HLO</t>
  </si>
  <si>
    <t xml:space="preserve">Công Nghệ Ha Lô</t>
  </si>
  <si>
    <t xml:space="preserve">ITD</t>
  </si>
  <si>
    <t xml:space="preserve">Công nghệ ITD</t>
  </si>
  <si>
    <t xml:space="preserve">SBD</t>
  </si>
  <si>
    <t xml:space="preserve">Công nghệ Sao Bắc Đẩu</t>
  </si>
  <si>
    <t xml:space="preserve">SVT</t>
  </si>
  <si>
    <t xml:space="preserve">Công nghệ SG Viễn Đông</t>
  </si>
  <si>
    <t xml:space="preserve">TTN</t>
  </si>
  <si>
    <t xml:space="preserve">Công nghệ và Truyền thông VN</t>
  </si>
  <si>
    <t xml:space="preserve">FTI</t>
  </si>
  <si>
    <t xml:space="preserve">Công nghiệp - Thương mại Hữu Nghị</t>
  </si>
  <si>
    <t xml:space="preserve">HPO</t>
  </si>
  <si>
    <t xml:space="preserve">Công nghiệp Hapulico</t>
  </si>
  <si>
    <t xml:space="preserve">SCO</t>
  </si>
  <si>
    <t xml:space="preserve">Công nghiệp Thủy Sản</t>
  </si>
  <si>
    <t xml:space="preserve">TKU</t>
  </si>
  <si>
    <t xml:space="preserve">Công nghiệp Tung Kuang</t>
  </si>
  <si>
    <t xml:space="preserve">RBC</t>
  </si>
  <si>
    <t xml:space="preserve">Công Nghiệp và Xuất nhập khẩu Cao Su</t>
  </si>
  <si>
    <t xml:space="preserve">CT6</t>
  </si>
  <si>
    <t xml:space="preserve">Công trình 6</t>
  </si>
  <si>
    <t xml:space="preserve">HFB</t>
  </si>
  <si>
    <t xml:space="preserve">Công trình Cầu phà TP HCM</t>
  </si>
  <si>
    <t xml:space="preserve">VLP</t>
  </si>
  <si>
    <t xml:space="preserve">Công trình Công cộng Vĩnh Long</t>
  </si>
  <si>
    <t xml:space="preserve">BTU</t>
  </si>
  <si>
    <t xml:space="preserve">Công trình Đô thị Bến Tre</t>
  </si>
  <si>
    <t xml:space="preserve">UMC</t>
  </si>
  <si>
    <t xml:space="preserve">Công trình đô thị Nam Định</t>
  </si>
  <si>
    <t xml:space="preserve">NAU</t>
  </si>
  <si>
    <t xml:space="preserve">Công trình Đô thị Nghệ An</t>
  </si>
  <si>
    <t xml:space="preserve">USD</t>
  </si>
  <si>
    <t xml:space="preserve">Công trình Đô thị Sóc Trăng</t>
  </si>
  <si>
    <t xml:space="preserve">MTB</t>
  </si>
  <si>
    <t xml:space="preserve">Công trình đô thị tỉnh Thái Bình</t>
  </si>
  <si>
    <t xml:space="preserve">MTV</t>
  </si>
  <si>
    <t xml:space="preserve">Công trình đô thị Vũng Tàu</t>
  </si>
  <si>
    <t xml:space="preserve">RCC</t>
  </si>
  <si>
    <t xml:space="preserve">Công trình Đường sắt Việt Nam</t>
  </si>
  <si>
    <t xml:space="preserve">GH3</t>
  </si>
  <si>
    <t xml:space="preserve">Công trình giao thông Hà Nội</t>
  </si>
  <si>
    <t xml:space="preserve">GTS</t>
  </si>
  <si>
    <t xml:space="preserve">Công trình Giao thông Sài Gòn</t>
  </si>
  <si>
    <t xml:space="preserve">DGT</t>
  </si>
  <si>
    <t xml:space="preserve">Công trình GT Đồng Nai</t>
  </si>
  <si>
    <t xml:space="preserve">CTR</t>
  </si>
  <si>
    <t xml:space="preserve">Công trình Viettel</t>
  </si>
  <si>
    <t xml:space="preserve">C22</t>
  </si>
  <si>
    <t xml:space="preserve">Công ty 22</t>
  </si>
  <si>
    <t xml:space="preserve">X26</t>
  </si>
  <si>
    <t xml:space="preserve">Công ty 26</t>
  </si>
  <si>
    <t xml:space="preserve">A32</t>
  </si>
  <si>
    <t xml:space="preserve">Công ty 32</t>
  </si>
  <si>
    <t xml:space="preserve">BCB</t>
  </si>
  <si>
    <t xml:space="preserve">Công ty 397</t>
  </si>
  <si>
    <t xml:space="preserve">ALC</t>
  </si>
  <si>
    <t xml:space="preserve">Công ty Âu Lạc</t>
  </si>
  <si>
    <t xml:space="preserve">BCA</t>
  </si>
  <si>
    <t xml:space="preserve">Công ty B.C.H</t>
  </si>
  <si>
    <t xml:space="preserve">ANI</t>
  </si>
  <si>
    <t xml:space="preserve">Công ty Cổ phần ANI</t>
  </si>
  <si>
    <t xml:space="preserve">HJC</t>
  </si>
  <si>
    <t xml:space="preserve">Công ty Cổ phần Hoà Việt</t>
  </si>
  <si>
    <t xml:space="preserve">MT7</t>
  </si>
  <si>
    <t xml:space="preserve">Công Ty Cổ Phần Minh Thành</t>
  </si>
  <si>
    <t xml:space="preserve">PTB</t>
  </si>
  <si>
    <t xml:space="preserve">Công ty Cổ phần Phú Tài</t>
  </si>
  <si>
    <t xml:space="preserve">SDP</t>
  </si>
  <si>
    <t xml:space="preserve">Công ty Cổ phần SDP</t>
  </si>
  <si>
    <t xml:space="preserve">ILA</t>
  </si>
  <si>
    <t xml:space="preserve">Công ty ILA</t>
  </si>
  <si>
    <t xml:space="preserve">KOS</t>
  </si>
  <si>
    <t xml:space="preserve">Công ty KOSY</t>
  </si>
  <si>
    <t xml:space="preserve">MDD</t>
  </si>
  <si>
    <t xml:space="preserve">Công ty Mai Động</t>
  </si>
  <si>
    <t xml:space="preserve">THD</t>
  </si>
  <si>
    <t xml:space="preserve">Công ty Thaiholdings</t>
  </si>
  <si>
    <t xml:space="preserve">BAX</t>
  </si>
  <si>
    <t xml:space="preserve">Công ty Thống Nhất</t>
  </si>
  <si>
    <t xml:space="preserve">TDP</t>
  </si>
  <si>
    <t xml:space="preserve">Công ty Thuận Đức</t>
  </si>
  <si>
    <t xml:space="preserve">DSN</t>
  </si>
  <si>
    <t xml:space="preserve">Công viên nước Đầm Sen</t>
  </si>
  <si>
    <t xml:space="preserve">AME</t>
  </si>
  <si>
    <t xml:space="preserve">Cơ điện Alphanam</t>
  </si>
  <si>
    <t xml:space="preserve">MES</t>
  </si>
  <si>
    <t xml:space="preserve">Cơ điện Công trình</t>
  </si>
  <si>
    <t xml:space="preserve">DZM</t>
  </si>
  <si>
    <t xml:space="preserve">Cơ điện Dzĩ An</t>
  </si>
  <si>
    <t xml:space="preserve">Cơ Điện Lạnh REE</t>
  </si>
  <si>
    <t xml:space="preserve">CJC</t>
  </si>
  <si>
    <t xml:space="preserve">Cơ điện Miền Trung</t>
  </si>
  <si>
    <t xml:space="preserve">UEM</t>
  </si>
  <si>
    <t xml:space="preserve">Cơ điện Uông Bí - Vinacomin</t>
  </si>
  <si>
    <t xml:space="preserve">LG9</t>
  </si>
  <si>
    <t xml:space="preserve">Cơ giới và XL số 9 (Licogi 9)</t>
  </si>
  <si>
    <t xml:space="preserve">CK8</t>
  </si>
  <si>
    <t xml:space="preserve">Cơ khí 120</t>
  </si>
  <si>
    <t xml:space="preserve">CKA</t>
  </si>
  <si>
    <t xml:space="preserve">Cơ khí An Giang</t>
  </si>
  <si>
    <t xml:space="preserve">L35</t>
  </si>
  <si>
    <t xml:space="preserve">Cơ khí Lilama</t>
  </si>
  <si>
    <t xml:space="preserve">SDK</t>
  </si>
  <si>
    <t xml:space="preserve">Cơ khí Luyện Kim</t>
  </si>
  <si>
    <t xml:space="preserve">CMK</t>
  </si>
  <si>
    <t xml:space="preserve">Cơ khí Mạo Khê - Vinacomin</t>
  </si>
  <si>
    <t xml:space="preserve">FBC</t>
  </si>
  <si>
    <t xml:space="preserve">Cơ khí Phổ Yên</t>
  </si>
  <si>
    <t xml:space="preserve">MCF</t>
  </si>
  <si>
    <t xml:space="preserve">Cơ khí và Lương thực Thực phẩm</t>
  </si>
  <si>
    <t xml:space="preserve">APL</t>
  </si>
  <si>
    <t xml:space="preserve">Cơ khí và Thiết bị áp lực - VVMI</t>
  </si>
  <si>
    <t xml:space="preserve">PMS</t>
  </si>
  <si>
    <t xml:space="preserve">Cơ khí xăng dầu</t>
  </si>
  <si>
    <t xml:space="preserve">CRC</t>
  </si>
  <si>
    <t xml:space="preserve">Create Capital Việt Nam</t>
  </si>
  <si>
    <t xml:space="preserve">CBV</t>
  </si>
  <si>
    <t xml:space="preserve">CTCBIO Việt Nam</t>
  </si>
  <si>
    <t xml:space="preserve">NHV</t>
  </si>
  <si>
    <t xml:space="preserve">CTCP  Sức khỏe Hồi sinh Việt Nam</t>
  </si>
  <si>
    <t xml:space="preserve">DAC</t>
  </si>
  <si>
    <t xml:space="preserve">CTCP 382 Đông Anh</t>
  </si>
  <si>
    <t xml:space="preserve">MHC</t>
  </si>
  <si>
    <t xml:space="preserve">CTCP MHC</t>
  </si>
  <si>
    <t xml:space="preserve">LMH</t>
  </si>
  <si>
    <t xml:space="preserve">CTCP Quốc Tế Holding</t>
  </si>
  <si>
    <t xml:space="preserve">TRT</t>
  </si>
  <si>
    <t xml:space="preserve">CTCP RedstarCera</t>
  </si>
  <si>
    <t xml:space="preserve">TFC</t>
  </si>
  <si>
    <t xml:space="preserve">CTCP Trang</t>
  </si>
  <si>
    <t xml:space="preserve">CTP</t>
  </si>
  <si>
    <t xml:space="preserve">CTP Group</t>
  </si>
  <si>
    <t xml:space="preserve">CTI</t>
  </si>
  <si>
    <t xml:space="preserve">Cường Thuận IDICO</t>
  </si>
  <si>
    <t xml:space="preserve">DDV</t>
  </si>
  <si>
    <t xml:space="preserve">DAP - Vinachem</t>
  </si>
  <si>
    <t xml:space="preserve">ASP</t>
  </si>
  <si>
    <t xml:space="preserve">Dầu khí An Pha</t>
  </si>
  <si>
    <t xml:space="preserve">PFL</t>
  </si>
  <si>
    <t xml:space="preserve">Dầu khí Đông Đô</t>
  </si>
  <si>
    <t xml:space="preserve">PDC</t>
  </si>
  <si>
    <t xml:space="preserve">Dầu khí Phương Đông</t>
  </si>
  <si>
    <t xml:space="preserve">PVO</t>
  </si>
  <si>
    <t xml:space="preserve">Dầu nhờn PV Oil</t>
  </si>
  <si>
    <t xml:space="preserve">VTH</t>
  </si>
  <si>
    <t xml:space="preserve">Dây cáp điện Việt Thái</t>
  </si>
  <si>
    <t xml:space="preserve">TYA</t>
  </si>
  <si>
    <t xml:space="preserve">Dây và Cáp điện Taya</t>
  </si>
  <si>
    <t xml:space="preserve">NTT</t>
  </si>
  <si>
    <t xml:space="preserve">Dệt - May Nha Trang</t>
  </si>
  <si>
    <t xml:space="preserve">SFN</t>
  </si>
  <si>
    <t xml:space="preserve">Dệt lưới Sài Gòn</t>
  </si>
  <si>
    <t xml:space="preserve">DM7</t>
  </si>
  <si>
    <t xml:space="preserve">Dệt may 7</t>
  </si>
  <si>
    <t xml:space="preserve">HTG</t>
  </si>
  <si>
    <t xml:space="preserve">Dệt may Hòa Thọ</t>
  </si>
  <si>
    <t xml:space="preserve">HLT</t>
  </si>
  <si>
    <t xml:space="preserve">Dệt may Hoàng Thị Loan</t>
  </si>
  <si>
    <t xml:space="preserve">HDM</t>
  </si>
  <si>
    <t xml:space="preserve">Dệt May Huế</t>
  </si>
  <si>
    <t xml:space="preserve">NDT</t>
  </si>
  <si>
    <t xml:space="preserve">Dệt may Nam Định</t>
  </si>
  <si>
    <t xml:space="preserve">TCM</t>
  </si>
  <si>
    <t xml:space="preserve">Dệt may Thành Công</t>
  </si>
  <si>
    <t xml:space="preserve">ADS</t>
  </si>
  <si>
    <t xml:space="preserve">Dệt sợi DAMSAN</t>
  </si>
  <si>
    <t xml:space="preserve">DSD</t>
  </si>
  <si>
    <t xml:space="preserve">DHC Suối Đôi</t>
  </si>
  <si>
    <t xml:space="preserve">DID</t>
  </si>
  <si>
    <t xml:space="preserve">DIC - Đồng Tiến</t>
  </si>
  <si>
    <t xml:space="preserve">DIC Corp</t>
  </si>
  <si>
    <t xml:space="preserve">DC2</t>
  </si>
  <si>
    <t xml:space="preserve">DIC Số 2</t>
  </si>
  <si>
    <t xml:space="preserve">DC4</t>
  </si>
  <si>
    <t xml:space="preserve">Dicera Holdings</t>
  </si>
  <si>
    <t xml:space="preserve">DXS</t>
  </si>
  <si>
    <t xml:space="preserve">Dịch vụ BĐS Đất Xanh</t>
  </si>
  <si>
    <t xml:space="preserve">TOS</t>
  </si>
  <si>
    <t xml:space="preserve">Dịch vụ biển Tân Cảng</t>
  </si>
  <si>
    <t xml:space="preserve">SAC</t>
  </si>
  <si>
    <t xml:space="preserve">Dịch vụ cảng Sài Gòn</t>
  </si>
  <si>
    <t xml:space="preserve">DSP</t>
  </si>
  <si>
    <t xml:space="preserve">Dịch vụ Du lịch Phú Thọ</t>
  </si>
  <si>
    <t xml:space="preserve">BRS</t>
  </si>
  <si>
    <t xml:space="preserve">Dịch vụ Đô thị Bà Rịa</t>
  </si>
  <si>
    <t xml:space="preserve">DUS</t>
  </si>
  <si>
    <t xml:space="preserve">Dịch vụ Đô thị Đà Lạt</t>
  </si>
  <si>
    <t xml:space="preserve">HES</t>
  </si>
  <si>
    <t xml:space="preserve">Dịch vụ Giải trí Hà Nội</t>
  </si>
  <si>
    <t xml:space="preserve">AST</t>
  </si>
  <si>
    <t xml:space="preserve">Dịch vụ Hàng không Taseco</t>
  </si>
  <si>
    <t xml:space="preserve">TST</t>
  </si>
  <si>
    <t xml:space="preserve">Dịch vụ KT Viễn Thông</t>
  </si>
  <si>
    <t xml:space="preserve">SDV</t>
  </si>
  <si>
    <t xml:space="preserve">Dịch vụ Sonadezi</t>
  </si>
  <si>
    <t xml:space="preserve">PET</t>
  </si>
  <si>
    <t xml:space="preserve">Dịch vụ Tổng hợp Dầu khí</t>
  </si>
  <si>
    <t xml:space="preserve">STS</t>
  </si>
  <si>
    <t xml:space="preserve">Dịch vụ vận tải Sài Gòn</t>
  </si>
  <si>
    <t xml:space="preserve">TJC</t>
  </si>
  <si>
    <t xml:space="preserve">Dịch vụ Vận tải và Thương mại</t>
  </si>
  <si>
    <t xml:space="preserve">PDB</t>
  </si>
  <si>
    <t xml:space="preserve">DIN Capital</t>
  </si>
  <si>
    <t xml:space="preserve">VNG</t>
  </si>
  <si>
    <t xml:space="preserve">DL Thành Thành Công</t>
  </si>
  <si>
    <t xml:space="preserve">BCV</t>
  </si>
  <si>
    <t xml:space="preserve">DL và TM Bằng Giang - Vimico</t>
  </si>
  <si>
    <t xml:space="preserve">DNP</t>
  </si>
  <si>
    <t xml:space="preserve">DNP Holding</t>
  </si>
  <si>
    <t xml:space="preserve">DMN</t>
  </si>
  <si>
    <t xml:space="preserve">Domenal</t>
  </si>
  <si>
    <t xml:space="preserve">DTR</t>
  </si>
  <si>
    <t xml:space="preserve">Dong Tay Land Corp</t>
  </si>
  <si>
    <t xml:space="preserve">DRH</t>
  </si>
  <si>
    <t xml:space="preserve">DRH Holdings</t>
  </si>
  <si>
    <t xml:space="preserve">HOT</t>
  </si>
  <si>
    <t xml:space="preserve">Du lịch - DV Hội An</t>
  </si>
  <si>
    <t xml:space="preserve">TTT</t>
  </si>
  <si>
    <t xml:space="preserve">Du lịch - Thương Mại Tây Ninh</t>
  </si>
  <si>
    <t xml:space="preserve">DLD</t>
  </si>
  <si>
    <t xml:space="preserve">Du lịch Đắk Lắk</t>
  </si>
  <si>
    <t xml:space="preserve">DNT</t>
  </si>
  <si>
    <t xml:space="preserve">Du lịch Đồng Nai</t>
  </si>
  <si>
    <t xml:space="preserve">HGT</t>
  </si>
  <si>
    <t xml:space="preserve">Du lịch Hương Giang</t>
  </si>
  <si>
    <t xml:space="preserve">VTG</t>
  </si>
  <si>
    <t xml:space="preserve">Du lịch tỉnh BR-VT</t>
  </si>
  <si>
    <t xml:space="preserve">TSD</t>
  </si>
  <si>
    <t xml:space="preserve">Du lịch Trường Sơn Coecco</t>
  </si>
  <si>
    <t xml:space="preserve">DLT</t>
  </si>
  <si>
    <t xml:space="preserve">Du lịch và TM - Vinacomin</t>
  </si>
  <si>
    <t xml:space="preserve">DXL</t>
  </si>
  <si>
    <t xml:space="preserve">Du lịch và Xuất nhập khẩu Lạng Sơn</t>
  </si>
  <si>
    <t xml:space="preserve">VTD</t>
  </si>
  <si>
    <t xml:space="preserve">Du lịch Vietourist</t>
  </si>
  <si>
    <t xml:space="preserve">VTR</t>
  </si>
  <si>
    <t xml:space="preserve">Du lịch Vietravel</t>
  </si>
  <si>
    <t xml:space="preserve">VIR</t>
  </si>
  <si>
    <t xml:space="preserve">Du lịch Vũng Tàu</t>
  </si>
  <si>
    <t xml:space="preserve">DHQ</t>
  </si>
  <si>
    <t xml:space="preserve">Duyên hải Quảng Ninh</t>
  </si>
  <si>
    <t xml:space="preserve">DBD</t>
  </si>
  <si>
    <t xml:space="preserve">Dược - TB Y tế Bình Định</t>
  </si>
  <si>
    <t xml:space="preserve">DDN</t>
  </si>
  <si>
    <t xml:space="preserve">Dược - TB Y tế Đà Nẵng</t>
  </si>
  <si>
    <t xml:space="preserve">BCH</t>
  </si>
  <si>
    <t xml:space="preserve">Dược Bảo Châu</t>
  </si>
  <si>
    <t xml:space="preserve">DAN</t>
  </si>
  <si>
    <t xml:space="preserve">Dược Danapha</t>
  </si>
  <si>
    <t xml:space="preserve">DPP</t>
  </si>
  <si>
    <t xml:space="preserve">Dược Đồng Nai</t>
  </si>
  <si>
    <t xml:space="preserve">BCP</t>
  </si>
  <si>
    <t xml:space="preserve">Dược Enlie</t>
  </si>
  <si>
    <t xml:space="preserve">DHN</t>
  </si>
  <si>
    <t xml:space="preserve">Dược Hà Nội</t>
  </si>
  <si>
    <t xml:space="preserve">HDP</t>
  </si>
  <si>
    <t xml:space="preserve">Dược Hà Tĩnh</t>
  </si>
  <si>
    <t xml:space="preserve">DHG</t>
  </si>
  <si>
    <t xml:space="preserve">Dược Hậu Giang</t>
  </si>
  <si>
    <t xml:space="preserve">LDP</t>
  </si>
  <si>
    <t xml:space="preserve">Dược Lâm Đồng - Ladophar</t>
  </si>
  <si>
    <t xml:space="preserve">VHE</t>
  </si>
  <si>
    <t xml:space="preserve">Dược liệu và Thực phẩm VN</t>
  </si>
  <si>
    <t xml:space="preserve">DVM</t>
  </si>
  <si>
    <t xml:space="preserve">Dược liệu Việt Nam</t>
  </si>
  <si>
    <t xml:space="preserve">MTP</t>
  </si>
  <si>
    <t xml:space="preserve">Dược Medipharco</t>
  </si>
  <si>
    <t xml:space="preserve">MED</t>
  </si>
  <si>
    <t xml:space="preserve">Dược Mediplantex</t>
  </si>
  <si>
    <t xml:space="preserve">DMH</t>
  </si>
  <si>
    <t xml:space="preserve">Dược Minh Hải</t>
  </si>
  <si>
    <t xml:space="preserve">NTF</t>
  </si>
  <si>
    <t xml:space="preserve">Dược Nghệ An</t>
  </si>
  <si>
    <t xml:space="preserve">NDP</t>
  </si>
  <si>
    <t xml:space="preserve">Dược phẩm 2/9</t>
  </si>
  <si>
    <t xml:space="preserve">AGP</t>
  </si>
  <si>
    <t xml:space="preserve">Dược phẩm AGIMEXPHARM</t>
  </si>
  <si>
    <t xml:space="preserve">DBT</t>
  </si>
  <si>
    <t xml:space="preserve">Dược phẩm Bến Tre</t>
  </si>
  <si>
    <t xml:space="preserve">DTP</t>
  </si>
  <si>
    <t xml:space="preserve">Dược phẩm CPC1 Hà Nội</t>
  </si>
  <si>
    <t xml:space="preserve">DCL</t>
  </si>
  <si>
    <t xml:space="preserve">Dược phẩm Cửu Long</t>
  </si>
  <si>
    <t xml:space="preserve">DMC</t>
  </si>
  <si>
    <t xml:space="preserve">Dược phẩm DOMESCO</t>
  </si>
  <si>
    <t xml:space="preserve">DHT</t>
  </si>
  <si>
    <t xml:space="preserve">Dược phẩm Hà Tây</t>
  </si>
  <si>
    <t xml:space="preserve">DPH</t>
  </si>
  <si>
    <t xml:space="preserve">Dược phẩm Hải Phòng</t>
  </si>
  <si>
    <t xml:space="preserve">IMP</t>
  </si>
  <si>
    <t xml:space="preserve">Dược phẩm Imexpharm</t>
  </si>
  <si>
    <t xml:space="preserve">MKP</t>
  </si>
  <si>
    <t xml:space="preserve">Dược phẩm Mekophar</t>
  </si>
  <si>
    <t xml:space="preserve">NDC</t>
  </si>
  <si>
    <t xml:space="preserve">Dược phẩm Nam Dược</t>
  </si>
  <si>
    <t xml:space="preserve">NHD</t>
  </si>
  <si>
    <t xml:space="preserve">Dược phẩm Nam Hà</t>
  </si>
  <si>
    <t xml:space="preserve">OPC</t>
  </si>
  <si>
    <t xml:space="preserve">Dược phẩm OPC</t>
  </si>
  <si>
    <t xml:space="preserve">DTG</t>
  </si>
  <si>
    <t xml:space="preserve">Dược phẩm Tipharco</t>
  </si>
  <si>
    <t xml:space="preserve">DP1</t>
  </si>
  <si>
    <t xml:space="preserve">Dược phẩm Trung ương CPC1</t>
  </si>
  <si>
    <t xml:space="preserve">PBC</t>
  </si>
  <si>
    <t xml:space="preserve">Dược Phẩm TW 1- Pharbaco</t>
  </si>
  <si>
    <t xml:space="preserve">DP2</t>
  </si>
  <si>
    <t xml:space="preserve">Dược phẩm TW 2</t>
  </si>
  <si>
    <t xml:space="preserve">CDP</t>
  </si>
  <si>
    <t xml:space="preserve">Dược phẩm TW Codupha</t>
  </si>
  <si>
    <t xml:space="preserve">UPH</t>
  </si>
  <si>
    <t xml:space="preserve">Dược phẩm TW25</t>
  </si>
  <si>
    <t xml:space="preserve">DP3</t>
  </si>
  <si>
    <t xml:space="preserve">Dược Phẩm TW3</t>
  </si>
  <si>
    <t xml:space="preserve">VDP</t>
  </si>
  <si>
    <t xml:space="preserve">Dược phẩm VIDIPHA</t>
  </si>
  <si>
    <t xml:space="preserve">MKV</t>
  </si>
  <si>
    <t xml:space="preserve">Dược Thú Y Cai Lậy</t>
  </si>
  <si>
    <t xml:space="preserve">TW3</t>
  </si>
  <si>
    <t xml:space="preserve">Dược TW3</t>
  </si>
  <si>
    <t xml:space="preserve">DHD</t>
  </si>
  <si>
    <t xml:space="preserve">Dược Vật Tư Y Tế Hải Dương</t>
  </si>
  <si>
    <t xml:space="preserve">AMV</t>
  </si>
  <si>
    <t xml:space="preserve">Dược-TB Y tế Việt Mỹ</t>
  </si>
  <si>
    <t xml:space="preserve">HPT</t>
  </si>
  <si>
    <t xml:space="preserve">DV Công nghệ Tin học HPT</t>
  </si>
  <si>
    <t xml:space="preserve">PSP</t>
  </si>
  <si>
    <t xml:space="preserve">DV Dầu Khí Đình Vũ</t>
  </si>
  <si>
    <t xml:space="preserve">PQN</t>
  </si>
  <si>
    <t xml:space="preserve">DV Dầu khí Quảng Ngãi PTSC</t>
  </si>
  <si>
    <t xml:space="preserve">BTV</t>
  </si>
  <si>
    <t xml:space="preserve">DV Du lịch Bến Thành</t>
  </si>
  <si>
    <t xml:space="preserve">VSE</t>
  </si>
  <si>
    <t xml:space="preserve">DV Đường cao tốc Việt Nam</t>
  </si>
  <si>
    <t xml:space="preserve">NCT</t>
  </si>
  <si>
    <t xml:space="preserve">DV Hàng hóa Nội Bài</t>
  </si>
  <si>
    <t xml:space="preserve">SCS</t>
  </si>
  <si>
    <t xml:space="preserve">DV Hàng hóa Sài Gòn</t>
  </si>
  <si>
    <t xml:space="preserve">SAS</t>
  </si>
  <si>
    <t xml:space="preserve">DV Hàng không sân bay TSN</t>
  </si>
  <si>
    <t xml:space="preserve">NAS</t>
  </si>
  <si>
    <t xml:space="preserve">DV Hàng không SB Việt Nam</t>
  </si>
  <si>
    <t xml:space="preserve">ABS</t>
  </si>
  <si>
    <t xml:space="preserve">DV Nông nghiệp Bình Thuận</t>
  </si>
  <si>
    <t xml:space="preserve">CIA</t>
  </si>
  <si>
    <t xml:space="preserve">DV Sân Bay Cam Ranh</t>
  </si>
  <si>
    <t xml:space="preserve">DVW</t>
  </si>
  <si>
    <t xml:space="preserve">DV và XD cấp nước Đồng Nai</t>
  </si>
  <si>
    <t xml:space="preserve">DVKT Dầu khí PTSC</t>
  </si>
  <si>
    <t xml:space="preserve">PPS</t>
  </si>
  <si>
    <t xml:space="preserve">DVKT Điện lực Dầu khí</t>
  </si>
  <si>
    <t xml:space="preserve">HMR</t>
  </si>
  <si>
    <t xml:space="preserve">Đá Hoàng Mai</t>
  </si>
  <si>
    <t xml:space="preserve">NNC</t>
  </si>
  <si>
    <t xml:space="preserve">Đá Núi Nhỏ</t>
  </si>
  <si>
    <t xml:space="preserve">VSA</t>
  </si>
  <si>
    <t xml:space="preserve">Đại lý Hàng hải VN</t>
  </si>
  <si>
    <t xml:space="preserve">DTL</t>
  </si>
  <si>
    <t xml:space="preserve">Đại Thiên Lộc</t>
  </si>
  <si>
    <t xml:space="preserve">DDH</t>
  </si>
  <si>
    <t xml:space="preserve">Đảm bảo GTĐT Hải Phòng</t>
  </si>
  <si>
    <t xml:space="preserve">Đạm Cà Mau</t>
  </si>
  <si>
    <t xml:space="preserve">DHB</t>
  </si>
  <si>
    <t xml:space="preserve">Đạm Hà Bắc</t>
  </si>
  <si>
    <t xml:space="preserve">EIN</t>
  </si>
  <si>
    <t xml:space="preserve">Đầu tư - TM - DV Điện lực</t>
  </si>
  <si>
    <t xml:space="preserve">HCI</t>
  </si>
  <si>
    <t xml:space="preserve">Đầu tư - XD Hà Nội</t>
  </si>
  <si>
    <t xml:space="preserve">SVD</t>
  </si>
  <si>
    <t xml:space="preserve">Đầu tư &amp; Thương mại Vũ Đăng</t>
  </si>
  <si>
    <t xml:space="preserve">NCG</t>
  </si>
  <si>
    <t xml:space="preserve">Đầu tư Anova Agri</t>
  </si>
  <si>
    <t xml:space="preserve">TAL</t>
  </si>
  <si>
    <t xml:space="preserve">Đầu Tư Bất Động Sản Taseco</t>
  </si>
  <si>
    <t xml:space="preserve">BKG</t>
  </si>
  <si>
    <t xml:space="preserve">Đầu tư BKG Việt Nam</t>
  </si>
  <si>
    <t xml:space="preserve">CPI</t>
  </si>
  <si>
    <t xml:space="preserve">Đầu tư Cảng Cái Lân</t>
  </si>
  <si>
    <t xml:space="preserve">DRI</t>
  </si>
  <si>
    <t xml:space="preserve">Đầu tư Cao su Đắk Lắk</t>
  </si>
  <si>
    <t xml:space="preserve">LGC</t>
  </si>
  <si>
    <t xml:space="preserve">Đầu tư Cầu đường CII</t>
  </si>
  <si>
    <t xml:space="preserve">CFM</t>
  </si>
  <si>
    <t xml:space="preserve">CFM Private Equity</t>
  </si>
  <si>
    <t xml:space="preserve">API</t>
  </si>
  <si>
    <t xml:space="preserve">Đầu tư Châu Á - Thái Bình Dương</t>
  </si>
  <si>
    <t xml:space="preserve">CMC</t>
  </si>
  <si>
    <t xml:space="preserve">Đầu tư CMC</t>
  </si>
  <si>
    <t xml:space="preserve">ITA</t>
  </si>
  <si>
    <t xml:space="preserve">Đầu tư CN Tân Tạo</t>
  </si>
  <si>
    <t xml:space="preserve">DDG</t>
  </si>
  <si>
    <t xml:space="preserve">Đầu tư CN XNK Đông Dương</t>
  </si>
  <si>
    <t xml:space="preserve">G20</t>
  </si>
  <si>
    <t xml:space="preserve">Đầu tư Dệt may Vĩnh Phúc</t>
  </si>
  <si>
    <t xml:space="preserve">KSD</t>
  </si>
  <si>
    <t xml:space="preserve">Đầu tư DNA</t>
  </si>
  <si>
    <t xml:space="preserve">HHS</t>
  </si>
  <si>
    <t xml:space="preserve">Đầu tư DV Hoàng Huy</t>
  </si>
  <si>
    <t xml:space="preserve">PIC</t>
  </si>
  <si>
    <t xml:space="preserve">Đầu tư Điện lực 3</t>
  </si>
  <si>
    <t xml:space="preserve">DTI</t>
  </si>
  <si>
    <t xml:space="preserve">Đầu tư Đức Trung</t>
  </si>
  <si>
    <t xml:space="preserve">F88</t>
  </si>
  <si>
    <t xml:space="preserve">Đầu tư F88</t>
  </si>
  <si>
    <t xml:space="preserve">Đầu tư Hạ tầng Giao thông Đèo Cả</t>
  </si>
  <si>
    <t xml:space="preserve">HPX</t>
  </si>
  <si>
    <t xml:space="preserve">Đầu tư Hải Phát</t>
  </si>
  <si>
    <t xml:space="preserve">HVA</t>
  </si>
  <si>
    <t xml:space="preserve">Đầu tư HVA</t>
  </si>
  <si>
    <t xml:space="preserve">PTC</t>
  </si>
  <si>
    <t xml:space="preserve">Đầu tư ICAPITAL</t>
  </si>
  <si>
    <t xml:space="preserve">IDJ</t>
  </si>
  <si>
    <t xml:space="preserve">Đầu tư IDJ Việt Nam</t>
  </si>
  <si>
    <t xml:space="preserve">ITC</t>
  </si>
  <si>
    <t xml:space="preserve">Đầu tư kinh doanh Nhà</t>
  </si>
  <si>
    <t xml:space="preserve">LDG</t>
  </si>
  <si>
    <t xml:space="preserve">Đầu tư LDG</t>
  </si>
  <si>
    <t xml:space="preserve">MST</t>
  </si>
  <si>
    <t xml:space="preserve">Đầu tư MST</t>
  </si>
  <si>
    <t xml:space="preserve">ABR</t>
  </si>
  <si>
    <t xml:space="preserve">Đầu tư Nhãn Hiệu Việt</t>
  </si>
  <si>
    <t xml:space="preserve">VIW</t>
  </si>
  <si>
    <t xml:space="preserve">Đầu tư nước và môi trường VN - Viwaseen</t>
  </si>
  <si>
    <t xml:space="preserve">VVS</t>
  </si>
  <si>
    <t xml:space="preserve">Đầu tư Phát triển Máy Việt Nam</t>
  </si>
  <si>
    <t xml:space="preserve">HD2</t>
  </si>
  <si>
    <t xml:space="preserve">Đầu tư phát triển nhà HUD 2</t>
  </si>
  <si>
    <t xml:space="preserve">DTD</t>
  </si>
  <si>
    <t xml:space="preserve">Đầu tư Phát triển Thành Đạt</t>
  </si>
  <si>
    <t xml:space="preserve">SBM</t>
  </si>
  <si>
    <t xml:space="preserve">Đầu tư PT Bắc Minh</t>
  </si>
  <si>
    <t xml:space="preserve">PCG</t>
  </si>
  <si>
    <t xml:space="preserve">Đầu tư PT Gas Đô thị</t>
  </si>
  <si>
    <t xml:space="preserve">SID</t>
  </si>
  <si>
    <t xml:space="preserve">Đầu tư PT Sài Gòn Co.op</t>
  </si>
  <si>
    <t xml:space="preserve">PVR</t>
  </si>
  <si>
    <t xml:space="preserve">Đầu tư PVR Hà Nội</t>
  </si>
  <si>
    <t xml:space="preserve">VGI</t>
  </si>
  <si>
    <t xml:space="preserve">Đầu tư Quốc tế Viettel</t>
  </si>
  <si>
    <t xml:space="preserve">SIP</t>
  </si>
  <si>
    <t xml:space="preserve">Đầu tư Sài Gòn VRG</t>
  </si>
  <si>
    <t xml:space="preserve">SJF</t>
  </si>
  <si>
    <t xml:space="preserve">Đầu tư Sao Thái Dương</t>
  </si>
  <si>
    <t xml:space="preserve">DST</t>
  </si>
  <si>
    <t xml:space="preserve">Đầu tư Sao Thăng Long</t>
  </si>
  <si>
    <t xml:space="preserve">SGI</t>
  </si>
  <si>
    <t xml:space="preserve">Đầu tư SGI Holdings</t>
  </si>
  <si>
    <t xml:space="preserve">KPF</t>
  </si>
  <si>
    <t xml:space="preserve">Đầu tư Tài sản KOJI</t>
  </si>
  <si>
    <t xml:space="preserve">TDG</t>
  </si>
  <si>
    <t xml:space="preserve">Đầu tư TDG Global</t>
  </si>
  <si>
    <t xml:space="preserve">SMC</t>
  </si>
  <si>
    <t xml:space="preserve">Đầu tư Thương mại SMC</t>
  </si>
  <si>
    <t xml:space="preserve">VPG</t>
  </si>
  <si>
    <t xml:space="preserve">Đầu tư TMại XNK Việt Phát</t>
  </si>
  <si>
    <t xml:space="preserve">SHN</t>
  </si>
  <si>
    <t xml:space="preserve">Đầu tư Tổng hợp Hà Nội</t>
  </si>
  <si>
    <t xml:space="preserve">HVH</t>
  </si>
  <si>
    <t xml:space="preserve">Đầu tư và Công nghệ HVC</t>
  </si>
  <si>
    <t xml:space="preserve">VCR</t>
  </si>
  <si>
    <t xml:space="preserve">Đầu tư và Phát triển Du lịch ITC</t>
  </si>
  <si>
    <t xml:space="preserve">UNI</t>
  </si>
  <si>
    <t xml:space="preserve">Đầu tư và Phát triển Sao Mai Việt</t>
  </si>
  <si>
    <t xml:space="preserve">TDT</t>
  </si>
  <si>
    <t xml:space="preserve">Đầu tư và Phát triển TDT</t>
  </si>
  <si>
    <t xml:space="preserve">VHG</t>
  </si>
  <si>
    <t xml:space="preserve">Đầu tư và Phát triển Việt Trung Nam</t>
  </si>
  <si>
    <t xml:space="preserve">FID</t>
  </si>
  <si>
    <t xml:space="preserve">Đầu tư và PT doanh nghiệp VN</t>
  </si>
  <si>
    <t xml:space="preserve">IDI</t>
  </si>
  <si>
    <t xml:space="preserve">Đầu tư và PT Đa Quốc Gia I.D.I</t>
  </si>
  <si>
    <t xml:space="preserve">ND2</t>
  </si>
  <si>
    <t xml:space="preserve">Đầu tư và PT điện Miền Bắc 2</t>
  </si>
  <si>
    <t xml:space="preserve">PXA</t>
  </si>
  <si>
    <t xml:space="preserve">Đầu tư và Thương mại Dầu khí Nghệ An</t>
  </si>
  <si>
    <t xml:space="preserve">DHM</t>
  </si>
  <si>
    <t xml:space="preserve">Đầu tư và Thương mại DHM</t>
  </si>
  <si>
    <t xml:space="preserve">SIG</t>
  </si>
  <si>
    <t xml:space="preserve">Đầu tư và Thương mại Sông Đà</t>
  </si>
  <si>
    <t xml:space="preserve">TNG</t>
  </si>
  <si>
    <t xml:space="preserve">Đầu tư và Thương mại TNG</t>
  </si>
  <si>
    <t xml:space="preserve">C32</t>
  </si>
  <si>
    <t xml:space="preserve">Đầu tư và Xây dựng 3-2</t>
  </si>
  <si>
    <t xml:space="preserve">L40</t>
  </si>
  <si>
    <t xml:space="preserve">Đầu tư và Xây dựng 40</t>
  </si>
  <si>
    <t xml:space="preserve">VSI</t>
  </si>
  <si>
    <t xml:space="preserve">Đầu tư và Xây dựng Cấp thoát nước</t>
  </si>
  <si>
    <t xml:space="preserve">HU4</t>
  </si>
  <si>
    <t xml:space="preserve">Đầu tư và Xây dựng HUD4</t>
  </si>
  <si>
    <t xml:space="preserve">VC2</t>
  </si>
  <si>
    <t xml:space="preserve">Đầu tư và Xây dựng VINA2</t>
  </si>
  <si>
    <t xml:space="preserve">TA6</t>
  </si>
  <si>
    <t xml:space="preserve">Đầu tư và Xây lắp Thành An 665</t>
  </si>
  <si>
    <t xml:space="preserve">TSA</t>
  </si>
  <si>
    <t xml:space="preserve">Đầu Tư Và Xây Lắp Trường Sơn</t>
  </si>
  <si>
    <t xml:space="preserve">ACC</t>
  </si>
  <si>
    <t xml:space="preserve">Đầu tư và XD Bình Dương ACC</t>
  </si>
  <si>
    <t xml:space="preserve">ICI</t>
  </si>
  <si>
    <t xml:space="preserve">Đầu tư và XD Công nghiệp</t>
  </si>
  <si>
    <t xml:space="preserve">VPI</t>
  </si>
  <si>
    <t xml:space="preserve">Đầu tư Văn Phú - Invest</t>
  </si>
  <si>
    <t xml:space="preserve">VNH</t>
  </si>
  <si>
    <t xml:space="preserve">Đầu tư Việt Việt Nhật</t>
  </si>
  <si>
    <t xml:space="preserve">LUT</t>
  </si>
  <si>
    <t xml:space="preserve">Đầu tư Xây dựng Lương Tài</t>
  </si>
  <si>
    <t xml:space="preserve">CI5</t>
  </si>
  <si>
    <t xml:space="preserve">Đầu tư Xây dựng số 5</t>
  </si>
  <si>
    <t xml:space="preserve">UDC</t>
  </si>
  <si>
    <t xml:space="preserve">Đầu tư Xây dựng UDCons</t>
  </si>
  <si>
    <t xml:space="preserve">XDH</t>
  </si>
  <si>
    <t xml:space="preserve">Đầu tư XD Dân dụng Hà Nội</t>
  </si>
  <si>
    <t xml:space="preserve">HWI</t>
  </si>
  <si>
    <t xml:space="preserve">Đầu tư XD hạ tầng nước sạch Hà Nội</t>
  </si>
  <si>
    <t xml:space="preserve">E29</t>
  </si>
  <si>
    <t xml:space="preserve">Đầu tư XD và Kỹ thuật 29</t>
  </si>
  <si>
    <t xml:space="preserve">QCC</t>
  </si>
  <si>
    <t xml:space="preserve">Đầu tư XD và PT Hạ tầng Viễn Thông</t>
  </si>
  <si>
    <t xml:space="preserve">JVC</t>
  </si>
  <si>
    <t xml:space="preserve">Đầu tư Y tế - Dược phẩm Việt Nam</t>
  </si>
  <si>
    <t xml:space="preserve">MGC</t>
  </si>
  <si>
    <t xml:space="preserve">Địa chất mỏ - TKV</t>
  </si>
  <si>
    <t xml:space="preserve">VBG</t>
  </si>
  <si>
    <t xml:space="preserve">Địa chất Việt Bắc - TKV</t>
  </si>
  <si>
    <t xml:space="preserve">DCH</t>
  </si>
  <si>
    <t xml:space="preserve">Địa chính Hà Nội</t>
  </si>
  <si>
    <t xml:space="preserve">D11</t>
  </si>
  <si>
    <t xml:space="preserve">Địa ốc 11</t>
  </si>
  <si>
    <t xml:space="preserve">RCL</t>
  </si>
  <si>
    <t xml:space="preserve">Địa Ốc Chợ Lớn</t>
  </si>
  <si>
    <t xml:space="preserve">PVL</t>
  </si>
  <si>
    <t xml:space="preserve">Địa ốc Dầu khí</t>
  </si>
  <si>
    <t xml:space="preserve">DLR</t>
  </si>
  <si>
    <t xml:space="preserve">Địa ốc Đà Lạt</t>
  </si>
  <si>
    <t xml:space="preserve">FIR</t>
  </si>
  <si>
    <t xml:space="preserve">Địa ốc First Real</t>
  </si>
  <si>
    <t xml:space="preserve">HQC</t>
  </si>
  <si>
    <t xml:space="preserve">Địa ốc Hoàng Quân</t>
  </si>
  <si>
    <t xml:space="preserve">SLD</t>
  </si>
  <si>
    <t xml:space="preserve">Địa Ốc Sacom</t>
  </si>
  <si>
    <t xml:space="preserve">SGR</t>
  </si>
  <si>
    <t xml:space="preserve">Địa ốc Sài Gòn</t>
  </si>
  <si>
    <t xml:space="preserve">TBR</t>
  </si>
  <si>
    <t xml:space="preserve">Địa ốc Tân Bình</t>
  </si>
  <si>
    <t xml:space="preserve">EME</t>
  </si>
  <si>
    <t xml:space="preserve">Điện Cơ</t>
  </si>
  <si>
    <t xml:space="preserve">DHP</t>
  </si>
  <si>
    <t xml:space="preserve">Điện cơ Hải Phòng</t>
  </si>
  <si>
    <t xml:space="preserve">GEG</t>
  </si>
  <si>
    <t xml:space="preserve">Điện Gia Lai</t>
  </si>
  <si>
    <t xml:space="preserve">Điện lực Dầu khí Việt Nam</t>
  </si>
  <si>
    <t xml:space="preserve">GEE</t>
  </si>
  <si>
    <t xml:space="preserve">Điện lực Gelex</t>
  </si>
  <si>
    <t xml:space="preserve">KHP</t>
  </si>
  <si>
    <t xml:space="preserve">Điện lực Khánh Hòa</t>
  </si>
  <si>
    <t xml:space="preserve">NT2</t>
  </si>
  <si>
    <t xml:space="preserve">Điện lực Nhơn Trạch 2</t>
  </si>
  <si>
    <t xml:space="preserve">SEB</t>
  </si>
  <si>
    <t xml:space="preserve">Điện miền Trung</t>
  </si>
  <si>
    <t xml:space="preserve">LTC</t>
  </si>
  <si>
    <t xml:space="preserve">Điện nhẹ Viễn thông</t>
  </si>
  <si>
    <t xml:space="preserve">DNA</t>
  </si>
  <si>
    <t xml:space="preserve">Điện nước An Giang</t>
  </si>
  <si>
    <t xml:space="preserve">DNC</t>
  </si>
  <si>
    <t xml:space="preserve">Điện nước Hải Phòng</t>
  </si>
  <si>
    <t xml:space="preserve">BEL</t>
  </si>
  <si>
    <t xml:space="preserve">Điện tử Biên Hoà</t>
  </si>
  <si>
    <t xml:space="preserve">VBH</t>
  </si>
  <si>
    <t xml:space="preserve">Điện tử Bình Hòa</t>
  </si>
  <si>
    <t xml:space="preserve">TIE</t>
  </si>
  <si>
    <t xml:space="preserve">Điện tử TIE</t>
  </si>
  <si>
    <t xml:space="preserve">VEC</t>
  </si>
  <si>
    <t xml:space="preserve">Điện tử và Tin học VN</t>
  </si>
  <si>
    <t xml:space="preserve">FSO</t>
  </si>
  <si>
    <t xml:space="preserve">Đóng tàu thủy sản VN</t>
  </si>
  <si>
    <t xml:space="preserve">CAN</t>
  </si>
  <si>
    <t xml:space="preserve">Đồ hộp Hạ Long</t>
  </si>
  <si>
    <t xml:space="preserve">UCT</t>
  </si>
  <si>
    <t xml:space="preserve">Đô thị Cần Thơ</t>
  </si>
  <si>
    <t xml:space="preserve">SDU</t>
  </si>
  <si>
    <t xml:space="preserve">Đô thị Sông Đà</t>
  </si>
  <si>
    <t xml:space="preserve">NTL</t>
  </si>
  <si>
    <t xml:space="preserve">Đô thị Từ Liêm</t>
  </si>
  <si>
    <t xml:space="preserve">UDL</t>
  </si>
  <si>
    <t xml:space="preserve">Đô thị và Môi trường Đắk Lắk</t>
  </si>
  <si>
    <t xml:space="preserve">CKD</t>
  </si>
  <si>
    <t xml:space="preserve">Đông Anh Licogi</t>
  </si>
  <si>
    <t xml:space="preserve">DHC</t>
  </si>
  <si>
    <t xml:space="preserve">Đông Hải Bến Tre</t>
  </si>
  <si>
    <t xml:space="preserve">DSH</t>
  </si>
  <si>
    <t xml:space="preserve">Đông Sơn Holdings</t>
  </si>
  <si>
    <t xml:space="preserve">DVT</t>
  </si>
  <si>
    <t xml:space="preserve">ĐT &amp; DV GTVT Bình Định</t>
  </si>
  <si>
    <t xml:space="preserve">CCL</t>
  </si>
  <si>
    <t xml:space="preserve">ĐT &amp; PT Đô thị Dầu khí Cửu Long</t>
  </si>
  <si>
    <t xml:space="preserve">VNI</t>
  </si>
  <si>
    <t xml:space="preserve">ĐT BĐS Việt Nam</t>
  </si>
  <si>
    <t xml:space="preserve">GIC</t>
  </si>
  <si>
    <t xml:space="preserve">ĐT Dịch vụ và PT Xanh</t>
  </si>
  <si>
    <t xml:space="preserve">DAT</t>
  </si>
  <si>
    <t xml:space="preserve">ĐT Du lịch và PT Thủy sản</t>
  </si>
  <si>
    <t xml:space="preserve">ĐT DV Tài chính Hoàng Huy</t>
  </si>
  <si>
    <t xml:space="preserve">TTE</t>
  </si>
  <si>
    <t xml:space="preserve">ĐT Năng lượng Trường Thịnh</t>
  </si>
  <si>
    <t xml:space="preserve">ICF</t>
  </si>
  <si>
    <t xml:space="preserve">ĐT TM Thủy sản</t>
  </si>
  <si>
    <t xml:space="preserve">DVP</t>
  </si>
  <si>
    <t xml:space="preserve">ĐT và PT Cảng Đình Vũ</t>
  </si>
  <si>
    <t xml:space="preserve">PMG</t>
  </si>
  <si>
    <t xml:space="preserve">ĐT và SX Petro Miền Trung</t>
  </si>
  <si>
    <t xml:space="preserve">DIC</t>
  </si>
  <si>
    <t xml:space="preserve">ĐT và TM DIC</t>
  </si>
  <si>
    <t xml:space="preserve">TLD</t>
  </si>
  <si>
    <t xml:space="preserve">ĐT XD và PT Đô thị Thăng Long</t>
  </si>
  <si>
    <t xml:space="preserve">PLA</t>
  </si>
  <si>
    <t xml:space="preserve">ĐT&amp;DV Hạ tầng Xăng dầu (PLAND)</t>
  </si>
  <si>
    <t xml:space="preserve">VTM</t>
  </si>
  <si>
    <t xml:space="preserve">Đưa đón thợ mỏ - Vinacomin</t>
  </si>
  <si>
    <t xml:space="preserve">DLG</t>
  </si>
  <si>
    <t xml:space="preserve">Đức Long Gia Lai</t>
  </si>
  <si>
    <t xml:space="preserve">KTS</t>
  </si>
  <si>
    <t xml:space="preserve">Đường Kon Tum</t>
  </si>
  <si>
    <t xml:space="preserve">QNS</t>
  </si>
  <si>
    <t xml:space="preserve">Đường Quảng Ngãi</t>
  </si>
  <si>
    <t xml:space="preserve">SWC</t>
  </si>
  <si>
    <t xml:space="preserve">Đường Sông Miền Nam</t>
  </si>
  <si>
    <t xml:space="preserve">ECO</t>
  </si>
  <si>
    <t xml:space="preserve">Ecoplastic VN</t>
  </si>
  <si>
    <t xml:space="preserve">ELC</t>
  </si>
  <si>
    <t xml:space="preserve">ELCOM</t>
  </si>
  <si>
    <t xml:space="preserve">FUETPVND</t>
  </si>
  <si>
    <t xml:space="preserve">ETF VFCVN DIAMOND</t>
  </si>
  <si>
    <t xml:space="preserve">EVE</t>
  </si>
  <si>
    <t xml:space="preserve">Everpia</t>
  </si>
  <si>
    <t xml:space="preserve">EIC</t>
  </si>
  <si>
    <t xml:space="preserve">EVN Quốc Tế</t>
  </si>
  <si>
    <t xml:space="preserve">Eximbank</t>
  </si>
  <si>
    <t xml:space="preserve">KHX</t>
  </si>
  <si>
    <t xml:space="preserve">Fahasa Khanh Hoa</t>
  </si>
  <si>
    <t xml:space="preserve">FCN</t>
  </si>
  <si>
    <t xml:space="preserve">FECON CORP</t>
  </si>
  <si>
    <t xml:space="preserve">FDC</t>
  </si>
  <si>
    <t xml:space="preserve">FIDECO</t>
  </si>
  <si>
    <t xml:space="preserve">FHH</t>
  </si>
  <si>
    <t xml:space="preserve">FLCHomes</t>
  </si>
  <si>
    <t xml:space="preserve">FPT Corp</t>
  </si>
  <si>
    <t xml:space="preserve">FOC</t>
  </si>
  <si>
    <t xml:space="preserve">FPT Online</t>
  </si>
  <si>
    <t xml:space="preserve">FOX</t>
  </si>
  <si>
    <t xml:space="preserve">FPT Telecom</t>
  </si>
  <si>
    <t xml:space="preserve">TAB</t>
  </si>
  <si>
    <t xml:space="preserve">Freco Việt Nam</t>
  </si>
  <si>
    <t xml:space="preserve">GMA</t>
  </si>
  <si>
    <t xml:space="preserve">G-Automobile</t>
  </si>
  <si>
    <t xml:space="preserve">CYC</t>
  </si>
  <si>
    <t xml:space="preserve">Gạch men Chang YIH</t>
  </si>
  <si>
    <t xml:space="preserve">DCR</t>
  </si>
  <si>
    <t xml:space="preserve">Gạch men COSEVCO</t>
  </si>
  <si>
    <t xml:space="preserve">TTC</t>
  </si>
  <si>
    <t xml:space="preserve">Gạch men Thanh Thanh</t>
  </si>
  <si>
    <t xml:space="preserve">VTA</t>
  </si>
  <si>
    <t xml:space="preserve">Gạch men VITALY</t>
  </si>
  <si>
    <t xml:space="preserve">G30</t>
  </si>
  <si>
    <t xml:space="preserve">Gạch ngói 30-4</t>
  </si>
  <si>
    <t xml:space="preserve">MCC</t>
  </si>
  <si>
    <t xml:space="preserve">Gạch ngói cao cấp</t>
  </si>
  <si>
    <t xml:space="preserve">GND</t>
  </si>
  <si>
    <t xml:space="preserve">Gạch ngói Đồng Nai</t>
  </si>
  <si>
    <t xml:space="preserve">GMX</t>
  </si>
  <si>
    <t xml:space="preserve">Gạch ngói Mỹ Xuân</t>
  </si>
  <si>
    <t xml:space="preserve">NHC</t>
  </si>
  <si>
    <t xml:space="preserve">Gạch ngói Nhị Hiệp</t>
  </si>
  <si>
    <t xml:space="preserve">VTS</t>
  </si>
  <si>
    <t xml:space="preserve">Gạch Ngói Từ Sơn</t>
  </si>
  <si>
    <t xml:space="preserve">BTN</t>
  </si>
  <si>
    <t xml:space="preserve">Gạch Tuy Nen Bình Định</t>
  </si>
  <si>
    <t xml:space="preserve">CBI</t>
  </si>
  <si>
    <t xml:space="preserve">Gang thép Cao Bằng</t>
  </si>
  <si>
    <t xml:space="preserve">TIS</t>
  </si>
  <si>
    <t xml:space="preserve">Gang thép Thái Nguyên</t>
  </si>
  <si>
    <t xml:space="preserve">GMC</t>
  </si>
  <si>
    <t xml:space="preserve">Garmex Sài Gòn</t>
  </si>
  <si>
    <t xml:space="preserve">PGC</t>
  </si>
  <si>
    <t xml:space="preserve">Gas Petrolimex</t>
  </si>
  <si>
    <t xml:space="preserve">PV2</t>
  </si>
  <si>
    <t xml:space="preserve">Genea Capital</t>
  </si>
  <si>
    <t xml:space="preserve">SCD</t>
  </si>
  <si>
    <t xml:space="preserve">Giải khát Chương Dương</t>
  </si>
  <si>
    <t xml:space="preserve">VQC</t>
  </si>
  <si>
    <t xml:space="preserve">Giám định Vinaconmin</t>
  </si>
  <si>
    <t xml:space="preserve">SSF</t>
  </si>
  <si>
    <t xml:space="preserve">Giáo dục G Sài Gòn</t>
  </si>
  <si>
    <t xml:space="preserve">VMT</t>
  </si>
  <si>
    <t xml:space="preserve">Giao nhận Vận tải Miền Trung</t>
  </si>
  <si>
    <t xml:space="preserve">GTD</t>
  </si>
  <si>
    <t xml:space="preserve">Giầy Thượng Đình</t>
  </si>
  <si>
    <t xml:space="preserve">GVT</t>
  </si>
  <si>
    <t xml:space="preserve">Giấy Việt Trì</t>
  </si>
  <si>
    <t xml:space="preserve">MCM</t>
  </si>
  <si>
    <t xml:space="preserve">Giống bò sữa Mộc Châu</t>
  </si>
  <si>
    <t xml:space="preserve">SSC</t>
  </si>
  <si>
    <t xml:space="preserve">Giống cây trồng Miền Nam</t>
  </si>
  <si>
    <t xml:space="preserve">GKM</t>
  </si>
  <si>
    <t xml:space="preserve">GKM Holdings</t>
  </si>
  <si>
    <t xml:space="preserve">GTX</t>
  </si>
  <si>
    <t xml:space="preserve">Global Tanker</t>
  </si>
  <si>
    <t xml:space="preserve">ACG</t>
  </si>
  <si>
    <t xml:space="preserve">Gỗ An Cường</t>
  </si>
  <si>
    <t xml:space="preserve">GDT</t>
  </si>
  <si>
    <t xml:space="preserve">Gỗ Đức Thành</t>
  </si>
  <si>
    <t xml:space="preserve">MDF</t>
  </si>
  <si>
    <t xml:space="preserve">Gỗ MDF VRG - Quảng Trị</t>
  </si>
  <si>
    <t xml:space="preserve">TMW</t>
  </si>
  <si>
    <t xml:space="preserve">Gỗ Tân Mai</t>
  </si>
  <si>
    <t xml:space="preserve">GTA</t>
  </si>
  <si>
    <t xml:space="preserve">Gỗ Thuận An</t>
  </si>
  <si>
    <t xml:space="preserve">TTF</t>
  </si>
  <si>
    <t xml:space="preserve">Gỗ Trường Thành</t>
  </si>
  <si>
    <t xml:space="preserve">TCR</t>
  </si>
  <si>
    <t xml:space="preserve">Gốm sứ TAICERA</t>
  </si>
  <si>
    <t xml:space="preserve">HLY</t>
  </si>
  <si>
    <t xml:space="preserve">Gốm Xây Dựng Yên Hưng</t>
  </si>
  <si>
    <t xml:space="preserve">BVG</t>
  </si>
  <si>
    <t xml:space="preserve">Group Bắc Việt</t>
  </si>
  <si>
    <t xml:space="preserve">QTC</t>
  </si>
  <si>
    <t xml:space="preserve">GTVT Quảng Nam</t>
  </si>
  <si>
    <t xml:space="preserve">GEL</t>
  </si>
  <si>
    <t xml:space="preserve">Hạ tầng GELEX</t>
  </si>
  <si>
    <t xml:space="preserve">Hạ tầng Kỹ thuật TP.HCM</t>
  </si>
  <si>
    <t xml:space="preserve">SII</t>
  </si>
  <si>
    <t xml:space="preserve">Hạ tầng Nước Sài Gòn</t>
  </si>
  <si>
    <t xml:space="preserve">BHN</t>
  </si>
  <si>
    <t xml:space="preserve">HABECO</t>
  </si>
  <si>
    <t xml:space="preserve">HBH</t>
  </si>
  <si>
    <t xml:space="preserve">HABECO Hải Phòng</t>
  </si>
  <si>
    <t xml:space="preserve">BHH</t>
  </si>
  <si>
    <t xml:space="preserve">Habeco Trading 89</t>
  </si>
  <si>
    <t xml:space="preserve">HAS</t>
  </si>
  <si>
    <t xml:space="preserve">Hacisco</t>
  </si>
  <si>
    <t xml:space="preserve">HID</t>
  </si>
  <si>
    <t xml:space="preserve">Halcom Vietnam</t>
  </si>
  <si>
    <t xml:space="preserve">HNP</t>
  </si>
  <si>
    <t xml:space="preserve">Hanel Xốp Nhựa</t>
  </si>
  <si>
    <t xml:space="preserve">DDM</t>
  </si>
  <si>
    <t xml:space="preserve">Hàng hải Đông Đô</t>
  </si>
  <si>
    <t xml:space="preserve">SHC</t>
  </si>
  <si>
    <t xml:space="preserve">Hàng hải Sài Gòn</t>
  </si>
  <si>
    <t xml:space="preserve">HDA</t>
  </si>
  <si>
    <t xml:space="preserve">Hãng sơn Đông Á</t>
  </si>
  <si>
    <t xml:space="preserve">Hàng Tiêu Dùng MaSan</t>
  </si>
  <si>
    <t xml:space="preserve">TSJ</t>
  </si>
  <si>
    <t xml:space="preserve">Hanoi Toserco</t>
  </si>
  <si>
    <t xml:space="preserve">HNM</t>
  </si>
  <si>
    <t xml:space="preserve">HANOIMILK</t>
  </si>
  <si>
    <t xml:space="preserve">HSM</t>
  </si>
  <si>
    <t xml:space="preserve">HANOSIMEX</t>
  </si>
  <si>
    <t xml:space="preserve">HRB</t>
  </si>
  <si>
    <t xml:space="preserve">Harec Đầu tư và Thương Mại</t>
  </si>
  <si>
    <t xml:space="preserve">HDBank</t>
  </si>
  <si>
    <t xml:space="preserve">HIO</t>
  </si>
  <si>
    <t xml:space="preserve">Helio Energy</t>
  </si>
  <si>
    <t xml:space="preserve">HSA</t>
  </si>
  <si>
    <t xml:space="preserve">HESTIA</t>
  </si>
  <si>
    <t xml:space="preserve">HHP</t>
  </si>
  <si>
    <t xml:space="preserve">HHP Global</t>
  </si>
  <si>
    <t xml:space="preserve">DHA</t>
  </si>
  <si>
    <t xml:space="preserve">Hóa An</t>
  </si>
  <si>
    <t xml:space="preserve">CSV</t>
  </si>
  <si>
    <t xml:space="preserve">Hóa chất Cơ bản miền Nam</t>
  </si>
  <si>
    <t xml:space="preserve">Hóa chất Đức Giang</t>
  </si>
  <si>
    <t xml:space="preserve">HPH</t>
  </si>
  <si>
    <t xml:space="preserve">Hóa Chất Hưng Phát Hà Bắc</t>
  </si>
  <si>
    <t xml:space="preserve">LAS</t>
  </si>
  <si>
    <t xml:space="preserve">Hóa chất Lâm Thao</t>
  </si>
  <si>
    <t xml:space="preserve">HMD</t>
  </si>
  <si>
    <t xml:space="preserve">Hóa chất Minh Đức</t>
  </si>
  <si>
    <t xml:space="preserve">PVC</t>
  </si>
  <si>
    <t xml:space="preserve">Hóa chất và Dịch vụ Dầu khí</t>
  </si>
  <si>
    <t xml:space="preserve">HVT</t>
  </si>
  <si>
    <t xml:space="preserve">Hóa chất Việt trì</t>
  </si>
  <si>
    <t xml:space="preserve">PLC</t>
  </si>
  <si>
    <t xml:space="preserve">Hóa dầu Petrolimex</t>
  </si>
  <si>
    <t xml:space="preserve">Hòa Phát</t>
  </si>
  <si>
    <t xml:space="preserve">HAG</t>
  </si>
  <si>
    <t xml:space="preserve">Hoàng Anh Gia Lai</t>
  </si>
  <si>
    <t xml:space="preserve">HHI</t>
  </si>
  <si>
    <t xml:space="preserve">Hoàng Hạc</t>
  </si>
  <si>
    <t xml:space="preserve">VEF</t>
  </si>
  <si>
    <t xml:space="preserve">Hội chợ Triển lãm Việt Nam</t>
  </si>
  <si>
    <t xml:space="preserve">PHH</t>
  </si>
  <si>
    <t xml:space="preserve">Hồng Hà Việt Nam</t>
  </si>
  <si>
    <t xml:space="preserve">SVG</t>
  </si>
  <si>
    <t xml:space="preserve">Hơi kỹ nghệ Que hàn</t>
  </si>
  <si>
    <t xml:space="preserve">ILC</t>
  </si>
  <si>
    <t xml:space="preserve">Hợp tác lao động với nước ngoài</t>
  </si>
  <si>
    <t xml:space="preserve">CET</t>
  </si>
  <si>
    <t xml:space="preserve">HTC Holding </t>
  </si>
  <si>
    <t xml:space="preserve">HTN</t>
  </si>
  <si>
    <t xml:space="preserve">Hưng Thịnh Incons</t>
  </si>
  <si>
    <t xml:space="preserve">HLA</t>
  </si>
  <si>
    <t xml:space="preserve">Hữu Liên Á Châu</t>
  </si>
  <si>
    <t xml:space="preserve">ILB</t>
  </si>
  <si>
    <t xml:space="preserve">ICD Tân Cảng Long Bình</t>
  </si>
  <si>
    <t xml:space="preserve">IST</t>
  </si>
  <si>
    <t xml:space="preserve">ICD Tân Cảng Sóng Thần</t>
  </si>
  <si>
    <t xml:space="preserve">IDICO</t>
  </si>
  <si>
    <t xml:space="preserve">HTP</t>
  </si>
  <si>
    <t xml:space="preserve">In SGK Hòa Phát</t>
  </si>
  <si>
    <t xml:space="preserve">IN4</t>
  </si>
  <si>
    <t xml:space="preserve">In số 4</t>
  </si>
  <si>
    <t xml:space="preserve">IBD</t>
  </si>
  <si>
    <t xml:space="preserve">In Tổng hợp Bình Dương</t>
  </si>
  <si>
    <t xml:space="preserve">MCP</t>
  </si>
  <si>
    <t xml:space="preserve">In và Bao bì Mỹ Châu</t>
  </si>
  <si>
    <t xml:space="preserve">TCO</t>
  </si>
  <si>
    <t xml:space="preserve">Janus Group</t>
  </si>
  <si>
    <t xml:space="preserve">KIP</t>
  </si>
  <si>
    <t xml:space="preserve">K.I.P Việt Nam</t>
  </si>
  <si>
    <t xml:space="preserve">KST</t>
  </si>
  <si>
    <t xml:space="preserve">KASATI</t>
  </si>
  <si>
    <t xml:space="preserve">MH3</t>
  </si>
  <si>
    <t xml:space="preserve">KCN Cao su Bình Long</t>
  </si>
  <si>
    <t xml:space="preserve">PXL</t>
  </si>
  <si>
    <t xml:space="preserve">KCN Dầu khí Long Sơn</t>
  </si>
  <si>
    <t xml:space="preserve">LHG</t>
  </si>
  <si>
    <t xml:space="preserve">KCN Long Hậu</t>
  </si>
  <si>
    <t xml:space="preserve">NTC</t>
  </si>
  <si>
    <t xml:space="preserve">KCN Nam Tân Uyên</t>
  </si>
  <si>
    <t xml:space="preserve">SSM</t>
  </si>
  <si>
    <t xml:space="preserve">Kết cấu Thép VNECO</t>
  </si>
  <si>
    <t xml:space="preserve">SGH</t>
  </si>
  <si>
    <t xml:space="preserve">Khách sạn Sài Gòn</t>
  </si>
  <si>
    <t xml:space="preserve">OCH</t>
  </si>
  <si>
    <t xml:space="preserve">Khách sạn và Dịch vụ OCH</t>
  </si>
  <si>
    <t xml:space="preserve">USC</t>
  </si>
  <si>
    <t xml:space="preserve">Khảo sát và Xây dựng - USCO</t>
  </si>
  <si>
    <t xml:space="preserve">PGS</t>
  </si>
  <si>
    <t xml:space="preserve">Khí Miền Nam</t>
  </si>
  <si>
    <t xml:space="preserve">STG</t>
  </si>
  <si>
    <t xml:space="preserve">Kho Vận Miền Nam</t>
  </si>
  <si>
    <t xml:space="preserve">VIN</t>
  </si>
  <si>
    <t xml:space="preserve">Kho vận ngoại thương VN</t>
  </si>
  <si>
    <t xml:space="preserve">PLO</t>
  </si>
  <si>
    <t xml:space="preserve">Kho vận Petec</t>
  </si>
  <si>
    <t xml:space="preserve">TCW</t>
  </si>
  <si>
    <t xml:space="preserve">Kho Vận Tân Cảng</t>
  </si>
  <si>
    <t xml:space="preserve">VXT</t>
  </si>
  <si>
    <t xml:space="preserve">Kho vận và DV Thương mại</t>
  </si>
  <si>
    <t xml:space="preserve">Khoan Dầu khí PVDrilling</t>
  </si>
  <si>
    <t xml:space="preserve">AMC</t>
  </si>
  <si>
    <t xml:space="preserve">Khoáng sản Á Châu</t>
  </si>
  <si>
    <t xml:space="preserve">BKC</t>
  </si>
  <si>
    <t xml:space="preserve">Khoáng sản Bắc Kạn</t>
  </si>
  <si>
    <t xml:space="preserve">KSB</t>
  </si>
  <si>
    <t xml:space="preserve">Khoáng sản Bình Dương</t>
  </si>
  <si>
    <t xml:space="preserve">BMC</t>
  </si>
  <si>
    <t xml:space="preserve">Khoáng sản Bình Định</t>
  </si>
  <si>
    <t xml:space="preserve">YBM</t>
  </si>
  <si>
    <t xml:space="preserve">Khoáng sản CN Yên Bái</t>
  </si>
  <si>
    <t xml:space="preserve">HGM</t>
  </si>
  <si>
    <t xml:space="preserve">Khoáng sản Hà Giang</t>
  </si>
  <si>
    <t xml:space="preserve">KHD</t>
  </si>
  <si>
    <t xml:space="preserve">Khoáng sản Hải Dương</t>
  </si>
  <si>
    <t xml:space="preserve">LCM</t>
  </si>
  <si>
    <t xml:space="preserve">Khoáng sản Lào Cai</t>
  </si>
  <si>
    <t xml:space="preserve">LBM</t>
  </si>
  <si>
    <t xml:space="preserve">Khoáng sản Lâm Đồng</t>
  </si>
  <si>
    <t xml:space="preserve">KCB</t>
  </si>
  <si>
    <t xml:space="preserve">Khoáng Sản Luyện Kim Cao Bằng</t>
  </si>
  <si>
    <t xml:space="preserve">BMJ</t>
  </si>
  <si>
    <t xml:space="preserve">Khoáng sản Miền Đông AHP</t>
  </si>
  <si>
    <t xml:space="preserve">KNA</t>
  </si>
  <si>
    <t xml:space="preserve">Khoáng sản Nghệ An</t>
  </si>
  <si>
    <t xml:space="preserve">MIC</t>
  </si>
  <si>
    <t xml:space="preserve">Khoáng sản Quảng Nam</t>
  </si>
  <si>
    <t xml:space="preserve">KSV</t>
  </si>
  <si>
    <t xml:space="preserve">Khoáng sản TKV</t>
  </si>
  <si>
    <t xml:space="preserve">MTA</t>
  </si>
  <si>
    <t xml:space="preserve">Khoáng sản và TM Hà Tĩnh</t>
  </si>
  <si>
    <t xml:space="preserve">VIM</t>
  </si>
  <si>
    <t xml:space="preserve">Khoáng sản Viglacera</t>
  </si>
  <si>
    <t xml:space="preserve">HPI</t>
  </si>
  <si>
    <t xml:space="preserve">Khu công nghiệp Hiệp Phước</t>
  </si>
  <si>
    <t xml:space="preserve">VFG</t>
  </si>
  <si>
    <t xml:space="preserve">Khử trùng Việt Nam</t>
  </si>
  <si>
    <t xml:space="preserve">KLB</t>
  </si>
  <si>
    <t xml:space="preserve">KienlongBank</t>
  </si>
  <si>
    <t xml:space="preserve">FUEKIV30</t>
  </si>
  <si>
    <t xml:space="preserve">KIM GROWTH VN30 ETF</t>
  </si>
  <si>
    <t xml:space="preserve">FUEKIVFS</t>
  </si>
  <si>
    <t xml:space="preserve">KIM GROWTH VNFINSELECT ETF</t>
  </si>
  <si>
    <t xml:space="preserve">HMG</t>
  </si>
  <si>
    <t xml:space="preserve">Kim Khí Hà Nội</t>
  </si>
  <si>
    <t xml:space="preserve">KMT</t>
  </si>
  <si>
    <t xml:space="preserve">Kim khí Miền Trung</t>
  </si>
  <si>
    <t xml:space="preserve">KTL</t>
  </si>
  <si>
    <t xml:space="preserve">Kim khí Thăng Long</t>
  </si>
  <si>
    <t xml:space="preserve">HMC</t>
  </si>
  <si>
    <t xml:space="preserve">Kim khí TP.HCM</t>
  </si>
  <si>
    <t xml:space="preserve">TMG</t>
  </si>
  <si>
    <t xml:space="preserve">Kim loại màu Thái Nguyên - Vimico</t>
  </si>
  <si>
    <t xml:space="preserve">DO3</t>
  </si>
  <si>
    <t xml:space="preserve">Kinh doanh Địa ốc 3</t>
  </si>
  <si>
    <t xml:space="preserve">HTE</t>
  </si>
  <si>
    <t xml:space="preserve">Kinh doanh điện lực TP HCM</t>
  </si>
  <si>
    <t xml:space="preserve">PVG</t>
  </si>
  <si>
    <t xml:space="preserve">Kinh doanh LPG Việt Nam</t>
  </si>
  <si>
    <t xml:space="preserve">VHH</t>
  </si>
  <si>
    <t xml:space="preserve">Kinh doanh nhà Thành Đạt</t>
  </si>
  <si>
    <t xml:space="preserve">DSG</t>
  </si>
  <si>
    <t xml:space="preserve">Kính Đáp Cầu</t>
  </si>
  <si>
    <t xml:space="preserve">GLT</t>
  </si>
  <si>
    <t xml:space="preserve">KT Điện Toàn Cầu</t>
  </si>
  <si>
    <t xml:space="preserve">DTT</t>
  </si>
  <si>
    <t xml:space="preserve">Kỹ nghệ Đô Thành</t>
  </si>
  <si>
    <t xml:space="preserve">TSC</t>
  </si>
  <si>
    <t xml:space="preserve">Kỹ thuật NN Cần Thơ</t>
  </si>
  <si>
    <t xml:space="preserve">PNT</t>
  </si>
  <si>
    <t xml:space="preserve">Kỹ thuật XD Phú Nhuận</t>
  </si>
  <si>
    <t xml:space="preserve">TUG</t>
  </si>
  <si>
    <t xml:space="preserve">Lai dắt và VT cảng Hải Phòng</t>
  </si>
  <si>
    <t xml:space="preserve">PXS</t>
  </si>
  <si>
    <t xml:space="preserve">Lắp máy Dầu khí</t>
  </si>
  <si>
    <t xml:space="preserve">LMI</t>
  </si>
  <si>
    <t xml:space="preserve">Lắp máy IDICO</t>
  </si>
  <si>
    <t xml:space="preserve">MEC</t>
  </si>
  <si>
    <t xml:space="preserve">Lắp máy Sông Đà</t>
  </si>
  <si>
    <t xml:space="preserve">FRC</t>
  </si>
  <si>
    <t xml:space="preserve">Lâm đặc sản xuất khẩu Quảng Nam</t>
  </si>
  <si>
    <t xml:space="preserve">LTQ</t>
  </si>
  <si>
    <t xml:space="preserve">Lâm nghiệp Nguyễn Văn Trỗi</t>
  </si>
  <si>
    <t xml:space="preserve">FRM</t>
  </si>
  <si>
    <t xml:space="preserve">Lâm nghiệp Sài Gòn</t>
  </si>
  <si>
    <t xml:space="preserve">VIF</t>
  </si>
  <si>
    <t xml:space="preserve">Lâm nghiệp Việt Nam</t>
  </si>
  <si>
    <t xml:space="preserve">CAP</t>
  </si>
  <si>
    <t xml:space="preserve">Lâm nông sản Yên Bái</t>
  </si>
  <si>
    <t xml:space="preserve">LNC</t>
  </si>
  <si>
    <t xml:space="preserve">Lệ Ninh - Quảng Bình</t>
  </si>
  <si>
    <t xml:space="preserve">LIC</t>
  </si>
  <si>
    <t xml:space="preserve">LICOGI</t>
  </si>
  <si>
    <t xml:space="preserve">L18</t>
  </si>
  <si>
    <t xml:space="preserve">LICOGI - 18</t>
  </si>
  <si>
    <t xml:space="preserve">L12</t>
  </si>
  <si>
    <t xml:space="preserve">LICOGI 12</t>
  </si>
  <si>
    <t xml:space="preserve">LIG</t>
  </si>
  <si>
    <t xml:space="preserve">Licogi 13</t>
  </si>
  <si>
    <t xml:space="preserve">L14</t>
  </si>
  <si>
    <t xml:space="preserve">Licogi 14</t>
  </si>
  <si>
    <t xml:space="preserve">LQN</t>
  </si>
  <si>
    <t xml:space="preserve">Licogi Quảng Ngãi</t>
  </si>
  <si>
    <t xml:space="preserve">FCC</t>
  </si>
  <si>
    <t xml:space="preserve">Liên hợp Thực phẩm</t>
  </si>
  <si>
    <t xml:space="preserve">LLM</t>
  </si>
  <si>
    <t xml:space="preserve">LILAMA</t>
  </si>
  <si>
    <t xml:space="preserve">L10</t>
  </si>
  <si>
    <t xml:space="preserve">LILAMA 10</t>
  </si>
  <si>
    <t xml:space="preserve">LM8</t>
  </si>
  <si>
    <t xml:space="preserve">LILAMA 18</t>
  </si>
  <si>
    <t xml:space="preserve">LM3</t>
  </si>
  <si>
    <t xml:space="preserve">Lilama 3</t>
  </si>
  <si>
    <t xml:space="preserve">L45</t>
  </si>
  <si>
    <t xml:space="preserve">Lilama 45.1</t>
  </si>
  <si>
    <t xml:space="preserve">L43</t>
  </si>
  <si>
    <t xml:space="preserve">LILAMA 45.3</t>
  </si>
  <si>
    <t xml:space="preserve">LO5</t>
  </si>
  <si>
    <t xml:space="preserve">LILAMA 5</t>
  </si>
  <si>
    <t xml:space="preserve">L61</t>
  </si>
  <si>
    <t xml:space="preserve">LILAMA 69-1</t>
  </si>
  <si>
    <t xml:space="preserve">L63</t>
  </si>
  <si>
    <t xml:space="preserve">Lilama 69-3</t>
  </si>
  <si>
    <t xml:space="preserve">L62</t>
  </si>
  <si>
    <t xml:space="preserve">LILAMA 69.2</t>
  </si>
  <si>
    <t xml:space="preserve">LM7</t>
  </si>
  <si>
    <t xml:space="preserve">LILAMA 7</t>
  </si>
  <si>
    <t xml:space="preserve">LCG</t>
  </si>
  <si>
    <t xml:space="preserve">LIZEN</t>
  </si>
  <si>
    <t xml:space="preserve">Lọc Hoá dầu Việt Nam</t>
  </si>
  <si>
    <t xml:space="preserve">DNL</t>
  </si>
  <si>
    <t xml:space="preserve">Logistics Cảng Đà Nẵng</t>
  </si>
  <si>
    <t xml:space="preserve">HTV</t>
  </si>
  <si>
    <t xml:space="preserve">Logistics Vicem</t>
  </si>
  <si>
    <t xml:space="preserve">LGL</t>
  </si>
  <si>
    <t xml:space="preserve">Long Giang Land</t>
  </si>
  <si>
    <t xml:space="preserve">LPB</t>
  </si>
  <si>
    <t xml:space="preserve">LPBank</t>
  </si>
  <si>
    <t xml:space="preserve">LMC</t>
  </si>
  <si>
    <t xml:space="preserve">LUMI Holdings</t>
  </si>
  <si>
    <t xml:space="preserve">VDT</t>
  </si>
  <si>
    <t xml:space="preserve">Lưới thép Bình Tây</t>
  </si>
  <si>
    <t xml:space="preserve">AAN</t>
  </si>
  <si>
    <t xml:space="preserve">Lương thực A An</t>
  </si>
  <si>
    <t xml:space="preserve">BLT</t>
  </si>
  <si>
    <t xml:space="preserve">Lương Thực Bình Định</t>
  </si>
  <si>
    <t xml:space="preserve">FCS</t>
  </si>
  <si>
    <t xml:space="preserve">Lương thực TP Hồ Chí Minh</t>
  </si>
  <si>
    <t xml:space="preserve">VGL</t>
  </si>
  <si>
    <t xml:space="preserve">Mạ kẽm công nghiệp Vingal-Vnsteel</t>
  </si>
  <si>
    <t xml:space="preserve">MA1</t>
  </si>
  <si>
    <t xml:space="preserve">MACHINCO1</t>
  </si>
  <si>
    <t xml:space="preserve">MSR</t>
  </si>
  <si>
    <t xml:space="preserve">Masan High-Tech Materials</t>
  </si>
  <si>
    <t xml:space="preserve">MML</t>
  </si>
  <si>
    <t xml:space="preserve">Masan MEATLife</t>
  </si>
  <si>
    <t xml:space="preserve">BMG</t>
  </si>
  <si>
    <t xml:space="preserve">May Bình Minh</t>
  </si>
  <si>
    <t xml:space="preserve">DCG</t>
  </si>
  <si>
    <t xml:space="preserve">May Đáp Cầu</t>
  </si>
  <si>
    <t xml:space="preserve">VEA</t>
  </si>
  <si>
    <t xml:space="preserve">Máy động lực và Máy NN</t>
  </si>
  <si>
    <t xml:space="preserve">MGG</t>
  </si>
  <si>
    <t xml:space="preserve">May Đức Giang</t>
  </si>
  <si>
    <t xml:space="preserve">HUG</t>
  </si>
  <si>
    <t xml:space="preserve">May Hưng Yên</t>
  </si>
  <si>
    <t xml:space="preserve">HNI</t>
  </si>
  <si>
    <t xml:space="preserve">May Hữu Nghị</t>
  </si>
  <si>
    <t xml:space="preserve">BDG</t>
  </si>
  <si>
    <t xml:space="preserve">May mặc Bình Dương</t>
  </si>
  <si>
    <t xml:space="preserve">TET</t>
  </si>
  <si>
    <t xml:space="preserve">Bất động sản Pristie</t>
  </si>
  <si>
    <t xml:space="preserve">X20</t>
  </si>
  <si>
    <t xml:space="preserve">May mặc X20</t>
  </si>
  <si>
    <t xml:space="preserve">NJC</t>
  </si>
  <si>
    <t xml:space="preserve">May Nam Định</t>
  </si>
  <si>
    <t xml:space="preserve">MNB</t>
  </si>
  <si>
    <t xml:space="preserve">May Nhà Bè</t>
  </si>
  <si>
    <t xml:space="preserve">PTG</t>
  </si>
  <si>
    <t xml:space="preserve">May Phan Thiết</t>
  </si>
  <si>
    <t xml:space="preserve">MSH</t>
  </si>
  <si>
    <t xml:space="preserve">May Sông Hồng</t>
  </si>
  <si>
    <t xml:space="preserve">MIE</t>
  </si>
  <si>
    <t xml:space="preserve">Máy và Thiết bị Công nghiệp</t>
  </si>
  <si>
    <t xml:space="preserve">TVT</t>
  </si>
  <si>
    <t xml:space="preserve">May Việt Thắng</t>
  </si>
  <si>
    <t xml:space="preserve">VGG</t>
  </si>
  <si>
    <t xml:space="preserve">May Việt Tiến</t>
  </si>
  <si>
    <t xml:space="preserve">MBB</t>
  </si>
  <si>
    <t xml:space="preserve">MBBank</t>
  </si>
  <si>
    <t xml:space="preserve">MEF</t>
  </si>
  <si>
    <t xml:space="preserve">MEINFA</t>
  </si>
  <si>
    <t xml:space="preserve">ADC</t>
  </si>
  <si>
    <t xml:space="preserve">Mĩ thuật và Truyền thông</t>
  </si>
  <si>
    <t xml:space="preserve">CBS</t>
  </si>
  <si>
    <t xml:space="preserve">Mía đường Cao Bằng</t>
  </si>
  <si>
    <t xml:space="preserve">LSS</t>
  </si>
  <si>
    <t xml:space="preserve">Mía đường Lam Sơn</t>
  </si>
  <si>
    <t xml:space="preserve">SLS</t>
  </si>
  <si>
    <t xml:space="preserve">Mía đường Sơn La</t>
  </si>
  <si>
    <t xml:space="preserve">SBT</t>
  </si>
  <si>
    <t xml:space="preserve">Mía đường Thành Thành Công - Biên Hòa</t>
  </si>
  <si>
    <t xml:space="preserve">GMH</t>
  </si>
  <si>
    <t xml:space="preserve">Minh Hưng Quảng Trị</t>
  </si>
  <si>
    <t xml:space="preserve">MHL</t>
  </si>
  <si>
    <t xml:space="preserve">Minh Hữu Liên</t>
  </si>
  <si>
    <t xml:space="preserve">KMR</t>
  </si>
  <si>
    <t xml:space="preserve">MIRAE</t>
  </si>
  <si>
    <t xml:space="preserve">MZG</t>
  </si>
  <si>
    <t xml:space="preserve">Miza Corp</t>
  </si>
  <si>
    <t xml:space="preserve">MVB</t>
  </si>
  <si>
    <t xml:space="preserve">Mỏ Việt Bắc - TKV</t>
  </si>
  <si>
    <t xml:space="preserve">MFS</t>
  </si>
  <si>
    <t xml:space="preserve">Mobifone Service</t>
  </si>
  <si>
    <t xml:space="preserve">DNE</t>
  </si>
  <si>
    <t xml:space="preserve">Môi trường Đô thị Đà Nẵng</t>
  </si>
  <si>
    <t xml:space="preserve">MDA</t>
  </si>
  <si>
    <t xml:space="preserve">Môi trường Đô thị Đông Anh</t>
  </si>
  <si>
    <t xml:space="preserve">MTH</t>
  </si>
  <si>
    <t xml:space="preserve">Môi trường Đô thị Hà Đông</t>
  </si>
  <si>
    <t xml:space="preserve">NUE</t>
  </si>
  <si>
    <t xml:space="preserve">Môi trường Đô thị Nha Trang</t>
  </si>
  <si>
    <t xml:space="preserve">MPY</t>
  </si>
  <si>
    <t xml:space="preserve">Môi trường đô thị Phú Yên</t>
  </si>
  <si>
    <t xml:space="preserve">QNU</t>
  </si>
  <si>
    <t xml:space="preserve">Môi trường Đô thị Quảng Nam</t>
  </si>
  <si>
    <t xml:space="preserve">MQN</t>
  </si>
  <si>
    <t xml:space="preserve">Môi trường đô thị Quảng Ngãi</t>
  </si>
  <si>
    <t xml:space="preserve">MLC</t>
  </si>
  <si>
    <t xml:space="preserve">Môi trường Đô thị Tỉnh Lào Cai</t>
  </si>
  <si>
    <t xml:space="preserve">MTL</t>
  </si>
  <si>
    <t xml:space="preserve">Môi trường Đô thị Từ Liêm</t>
  </si>
  <si>
    <t xml:space="preserve">MND</t>
  </si>
  <si>
    <t xml:space="preserve">Môi trường Nam Định</t>
  </si>
  <si>
    <t xml:space="preserve">UTT</t>
  </si>
  <si>
    <t xml:space="preserve">Môi trường Nam Thành</t>
  </si>
  <si>
    <t xml:space="preserve">SZE</t>
  </si>
  <si>
    <t xml:space="preserve">Môi trường Sonadezi</t>
  </si>
  <si>
    <t xml:space="preserve">HEP</t>
  </si>
  <si>
    <t xml:space="preserve">Môi trường và Công trình đô thị Huế</t>
  </si>
  <si>
    <t xml:space="preserve">MBN</t>
  </si>
  <si>
    <t xml:space="preserve">Môi trường và Công trình ĐT Bắc Ninh</t>
  </si>
  <si>
    <t xml:space="preserve">THU</t>
  </si>
  <si>
    <t xml:space="preserve">Môi trường và CTĐT Thanh Hóa</t>
  </si>
  <si>
    <t xml:space="preserve">BMD</t>
  </si>
  <si>
    <t xml:space="preserve">Môi trường và DV Đô thị Bình Thuận</t>
  </si>
  <si>
    <t xml:space="preserve">MQB</t>
  </si>
  <si>
    <t xml:space="preserve">Môi trường và PT đô thị Quảng Bình</t>
  </si>
  <si>
    <t xml:space="preserve">MSB</t>
  </si>
  <si>
    <t xml:space="preserve">MSB Bank</t>
  </si>
  <si>
    <t xml:space="preserve">MTG</t>
  </si>
  <si>
    <t xml:space="preserve">MTGAS</t>
  </si>
  <si>
    <t xml:space="preserve">NAF</t>
  </si>
  <si>
    <t xml:space="preserve">Nafoods Group</t>
  </si>
  <si>
    <t xml:space="preserve">MCG</t>
  </si>
  <si>
    <t xml:space="preserve">Năng lượng và Bất động sản MCG</t>
  </si>
  <si>
    <t xml:space="preserve">VTV</t>
  </si>
  <si>
    <t xml:space="preserve">Năng lượng và Môi trường VICEM</t>
  </si>
  <si>
    <t xml:space="preserve">ABB</t>
  </si>
  <si>
    <t xml:space="preserve">Ngân hàng An Bình</t>
  </si>
  <si>
    <t xml:space="preserve">Ngân hàng Bản Việt - BVBank</t>
  </si>
  <si>
    <t xml:space="preserve">BAB</t>
  </si>
  <si>
    <t xml:space="preserve">Ngân hàng Bắc Á</t>
  </si>
  <si>
    <t xml:space="preserve">NAB</t>
  </si>
  <si>
    <t xml:space="preserve">Ngân hàng Nam Á</t>
  </si>
  <si>
    <t xml:space="preserve">Ngân hàng Phương Đông</t>
  </si>
  <si>
    <t xml:space="preserve">NVB</t>
  </si>
  <si>
    <t xml:space="preserve">Ngân hàng Quốc Dân</t>
  </si>
  <si>
    <t xml:space="preserve">VAB</t>
  </si>
  <si>
    <t xml:space="preserve">Ngân hàng Việt Á</t>
  </si>
  <si>
    <t xml:space="preserve">SKH</t>
  </si>
  <si>
    <t xml:space="preserve">NGK Sanest Khánh Hòa</t>
  </si>
  <si>
    <t xml:space="preserve">SKN</t>
  </si>
  <si>
    <t xml:space="preserve">NGK Sanna Khánh Hòa</t>
  </si>
  <si>
    <t xml:space="preserve">SKV</t>
  </si>
  <si>
    <t xml:space="preserve">NGK Yến sào Khánh Hòa</t>
  </si>
  <si>
    <t xml:space="preserve">AIG</t>
  </si>
  <si>
    <t xml:space="preserve">Nguyên liệu Á Châu AIG</t>
  </si>
  <si>
    <t xml:space="preserve">NH Sài Gòn Tài Lộc (SACOMBANK)</t>
  </si>
  <si>
    <t xml:space="preserve">Nhà Khang Điền</t>
  </si>
  <si>
    <t xml:space="preserve">SFC</t>
  </si>
  <si>
    <t xml:space="preserve">Nhiên liệu Sài Gòn</t>
  </si>
  <si>
    <t xml:space="preserve">BTP</t>
  </si>
  <si>
    <t xml:space="preserve">Nhiệt điện Bà Rịa</t>
  </si>
  <si>
    <t xml:space="preserve">HND</t>
  </si>
  <si>
    <t xml:space="preserve">Nhiệt điện Hải Phòng</t>
  </si>
  <si>
    <t xml:space="preserve">NBP</t>
  </si>
  <si>
    <t xml:space="preserve">Nhiệt điện Ninh Bình</t>
  </si>
  <si>
    <t xml:space="preserve">PPC</t>
  </si>
  <si>
    <t xml:space="preserve">Nhiệt điện Phả Lại</t>
  </si>
  <si>
    <t xml:space="preserve">QTP</t>
  </si>
  <si>
    <t xml:space="preserve">Nhiệt điện Quảng Ninh</t>
  </si>
  <si>
    <t xml:space="preserve">NSH</t>
  </si>
  <si>
    <t xml:space="preserve">Nhôm Sông Hồng</t>
  </si>
  <si>
    <t xml:space="preserve">VBC</t>
  </si>
  <si>
    <t xml:space="preserve">Nhựa - Bao bì Vinh</t>
  </si>
  <si>
    <t xml:space="preserve">BMP</t>
  </si>
  <si>
    <t xml:space="preserve">Nhựa Bình Minh</t>
  </si>
  <si>
    <t xml:space="preserve">BQP</t>
  </si>
  <si>
    <t xml:space="preserve">Nhựa Chất Lượng Cao Bình Thuận</t>
  </si>
  <si>
    <t xml:space="preserve">DPC</t>
  </si>
  <si>
    <t xml:space="preserve">Nhựa Đà Nẵng</t>
  </si>
  <si>
    <t xml:space="preserve">NHH</t>
  </si>
  <si>
    <t xml:space="preserve">Nhựa Hà Nội</t>
  </si>
  <si>
    <t xml:space="preserve">RDP</t>
  </si>
  <si>
    <t xml:space="preserve">Nhựa Rạng Đông</t>
  </si>
  <si>
    <t xml:space="preserve">NSG</t>
  </si>
  <si>
    <t xml:space="preserve">Nhựa Sài Gòn</t>
  </si>
  <si>
    <t xml:space="preserve">TPC</t>
  </si>
  <si>
    <t xml:space="preserve">Nhựa Tân Đại Hưng</t>
  </si>
  <si>
    <t xml:space="preserve">TPP</t>
  </si>
  <si>
    <t xml:space="preserve">Nhựa Tân Phú VN</t>
  </si>
  <si>
    <t xml:space="preserve">NTP</t>
  </si>
  <si>
    <t xml:space="preserve">Nhựa Tiền Phong</t>
  </si>
  <si>
    <t xml:space="preserve">VNP</t>
  </si>
  <si>
    <t xml:space="preserve">Nhựa Việt Nam</t>
  </si>
  <si>
    <t xml:space="preserve">VTZ</t>
  </si>
  <si>
    <t xml:space="preserve">Nhựa Việt Thành</t>
  </si>
  <si>
    <t xml:space="preserve">NVT</t>
  </si>
  <si>
    <t xml:space="preserve">Ninh Vân Bay</t>
  </si>
  <si>
    <t xml:space="preserve">Novaland</t>
  </si>
  <si>
    <t xml:space="preserve">CHC</t>
  </si>
  <si>
    <t xml:space="preserve">Nội thất Cẩm Hà</t>
  </si>
  <si>
    <t xml:space="preserve">XHC</t>
  </si>
  <si>
    <t xml:space="preserve">Nội thất Xuân Hòa</t>
  </si>
  <si>
    <t xml:space="preserve">BAF</t>
  </si>
  <si>
    <t xml:space="preserve">Nông nghiệp BAF Việt Nam</t>
  </si>
  <si>
    <t xml:space="preserve">TAR</t>
  </si>
  <si>
    <t xml:space="preserve">Nông nghiệp CN cao Trung An</t>
  </si>
  <si>
    <t xml:space="preserve">SJ1</t>
  </si>
  <si>
    <t xml:space="preserve">Nông nghiệp Hùng Hậu</t>
  </si>
  <si>
    <t xml:space="preserve">HNG</t>
  </si>
  <si>
    <t xml:space="preserve">Nông nghiệp Quốc tế HAGL</t>
  </si>
  <si>
    <t xml:space="preserve">APF</t>
  </si>
  <si>
    <t xml:space="preserve">Nông sản Quảng Ngãi</t>
  </si>
  <si>
    <t xml:space="preserve">NDF</t>
  </si>
  <si>
    <t xml:space="preserve">Nông sản XK Nam Định</t>
  </si>
  <si>
    <t xml:space="preserve">AGX</t>
  </si>
  <si>
    <t xml:space="preserve">Nông sản Xuất khẩu Sài Gòn</t>
  </si>
  <si>
    <t xml:space="preserve">NSS</t>
  </si>
  <si>
    <t xml:space="preserve">Nông súc sản Đồng Nai</t>
  </si>
  <si>
    <t xml:space="preserve">ATA</t>
  </si>
  <si>
    <t xml:space="preserve">NTACO</t>
  </si>
  <si>
    <t xml:space="preserve">BWE</t>
  </si>
  <si>
    <t xml:space="preserve">Nước - Môi trường Bình Dương</t>
  </si>
  <si>
    <t xml:space="preserve">QHW</t>
  </si>
  <si>
    <t xml:space="preserve">Nước khoáng Quảng Ninh</t>
  </si>
  <si>
    <t xml:space="preserve">BGW</t>
  </si>
  <si>
    <t xml:space="preserve">Nước sạch Bắc Giang</t>
  </si>
  <si>
    <t xml:space="preserve">BNW</t>
  </si>
  <si>
    <t xml:space="preserve">Nước sạch Bắc Ninh</t>
  </si>
  <si>
    <t xml:space="preserve">HDW</t>
  </si>
  <si>
    <t xml:space="preserve">Nước sạch Hải Dương</t>
  </si>
  <si>
    <t xml:space="preserve">NQN</t>
  </si>
  <si>
    <t xml:space="preserve">Nước sạch Quảng Ninh</t>
  </si>
  <si>
    <t xml:space="preserve">TBW</t>
  </si>
  <si>
    <t xml:space="preserve">Nước sạch Thái Bình</t>
  </si>
  <si>
    <t xml:space="preserve">TNW</t>
  </si>
  <si>
    <t xml:space="preserve">Nước sạch Thái Nguyên</t>
  </si>
  <si>
    <t xml:space="preserve">NVP</t>
  </si>
  <si>
    <t xml:space="preserve">Nước sạch Vĩnh Phúc</t>
  </si>
  <si>
    <t xml:space="preserve">TDM</t>
  </si>
  <si>
    <t xml:space="preserve">Nước Thủ Dầu Một</t>
  </si>
  <si>
    <t xml:space="preserve">VWS</t>
  </si>
  <si>
    <t xml:space="preserve">Nước và Môi trường VN</t>
  </si>
  <si>
    <t xml:space="preserve">HAX</t>
  </si>
  <si>
    <t xml:space="preserve">Ô tô Hàng Xanh</t>
  </si>
  <si>
    <t xml:space="preserve">PTM</t>
  </si>
  <si>
    <t xml:space="preserve">Ô tô PTM</t>
  </si>
  <si>
    <t xml:space="preserve">TMT</t>
  </si>
  <si>
    <t xml:space="preserve">Ô tô TMT</t>
  </si>
  <si>
    <t xml:space="preserve">HTL</t>
  </si>
  <si>
    <t xml:space="preserve">Ô tô Trường Long</t>
  </si>
  <si>
    <t xml:space="preserve">VGS</t>
  </si>
  <si>
    <t xml:space="preserve">Ống thép Việt Đức</t>
  </si>
  <si>
    <t xml:space="preserve">GGG</t>
  </si>
  <si>
    <t xml:space="preserve">Ôtô Giải Phóng</t>
  </si>
  <si>
    <t xml:space="preserve">GCB</t>
  </si>
  <si>
    <t xml:space="preserve">PETEC Bình Định</t>
  </si>
  <si>
    <t xml:space="preserve">PPT</t>
  </si>
  <si>
    <t xml:space="preserve">Petro Times</t>
  </si>
  <si>
    <t xml:space="preserve">Petrolimex</t>
  </si>
  <si>
    <t xml:space="preserve">PGB</t>
  </si>
  <si>
    <t xml:space="preserve">PG Bank</t>
  </si>
  <si>
    <t xml:space="preserve">PGT</t>
  </si>
  <si>
    <t xml:space="preserve">PGT Holdings</t>
  </si>
  <si>
    <t xml:space="preserve">PMC</t>
  </si>
  <si>
    <t xml:space="preserve">Pharmedic</t>
  </si>
  <si>
    <t xml:space="preserve">FHS</t>
  </si>
  <si>
    <t xml:space="preserve">Phát hành sách TP HCM - FAHASA</t>
  </si>
  <si>
    <t xml:space="preserve">VPD</t>
  </si>
  <si>
    <t xml:space="preserve">Phát triển Điện lực Việt Nam</t>
  </si>
  <si>
    <t xml:space="preserve">NED</t>
  </si>
  <si>
    <t xml:space="preserve">Phát triển Điện Tây Bắc</t>
  </si>
  <si>
    <t xml:space="preserve">D2D</t>
  </si>
  <si>
    <t xml:space="preserve">Phát triển Đô thị số 2</t>
  </si>
  <si>
    <t xml:space="preserve">FTM</t>
  </si>
  <si>
    <t xml:space="preserve">Phát triển Đức Quân</t>
  </si>
  <si>
    <t xml:space="preserve">DAD</t>
  </si>
  <si>
    <t xml:space="preserve">Phát triển GD Đà Nẵng</t>
  </si>
  <si>
    <t xml:space="preserve">EID</t>
  </si>
  <si>
    <t xml:space="preserve">Phát triển GD Hà Nội</t>
  </si>
  <si>
    <t xml:space="preserve">SED</t>
  </si>
  <si>
    <t xml:space="preserve">Phát triển GD Phương Nam</t>
  </si>
  <si>
    <t xml:space="preserve">HT9</t>
  </si>
  <si>
    <t xml:space="preserve">Phát triển hạ tầng 319</t>
  </si>
  <si>
    <t xml:space="preserve">VMS</t>
  </si>
  <si>
    <t xml:space="preserve">Phát triển Hàng Hải</t>
  </si>
  <si>
    <t xml:space="preserve">HDC</t>
  </si>
  <si>
    <t xml:space="preserve">Phát triển Nhà Bà Rịa Vũng Tàu</t>
  </si>
  <si>
    <t xml:space="preserve">NDX</t>
  </si>
  <si>
    <t xml:space="preserve">Phát triển Nhà Đà Nẵng</t>
  </si>
  <si>
    <t xml:space="preserve">HD6</t>
  </si>
  <si>
    <t xml:space="preserve">Phát triển nhà số 6 Hà Nội</t>
  </si>
  <si>
    <t xml:space="preserve">UIC</t>
  </si>
  <si>
    <t xml:space="preserve">Phát triển Nhà và Đô thị IDICO</t>
  </si>
  <si>
    <t xml:space="preserve">HPA</t>
  </si>
  <si>
    <t xml:space="preserve">Phát triển Nông nghiệp Hoà Phát</t>
  </si>
  <si>
    <t xml:space="preserve">SSH</t>
  </si>
  <si>
    <t xml:space="preserve">Phát triển Sunshine Homes</t>
  </si>
  <si>
    <t xml:space="preserve">DC1</t>
  </si>
  <si>
    <t xml:space="preserve">Phát triển Xây dựng số 1 (DIC1)</t>
  </si>
  <si>
    <t xml:space="preserve">BFC</t>
  </si>
  <si>
    <t xml:space="preserve">Phân bón Bình Điền</t>
  </si>
  <si>
    <t xml:space="preserve">PSW</t>
  </si>
  <si>
    <t xml:space="preserve">Phân bón hóa chất dầu khí Tây Nam Bộ</t>
  </si>
  <si>
    <t xml:space="preserve">SFG</t>
  </si>
  <si>
    <t xml:space="preserve">Phân bón Miền Nam</t>
  </si>
  <si>
    <t xml:space="preserve">AVG</t>
  </si>
  <si>
    <t xml:space="preserve">Phân Bón Quốc Tế Âu Việt</t>
  </si>
  <si>
    <t xml:space="preserve">PSE</t>
  </si>
  <si>
    <t xml:space="preserve">Phân bón và hóa chất dầu khí Đông Nam Bộ</t>
  </si>
  <si>
    <t xml:space="preserve">PMB</t>
  </si>
  <si>
    <t xml:space="preserve">Phân bón và Hóa chất Dầu khí Miền Bắc</t>
  </si>
  <si>
    <t xml:space="preserve">PCE</t>
  </si>
  <si>
    <t xml:space="preserve">Phân bón và Hóa chất DK Miền Trung</t>
  </si>
  <si>
    <t xml:space="preserve">NFC</t>
  </si>
  <si>
    <t xml:space="preserve">Phân lân Ninh Bình</t>
  </si>
  <si>
    <t xml:space="preserve">VAF</t>
  </si>
  <si>
    <t xml:space="preserve">Phân lân Văn Điển</t>
  </si>
  <si>
    <t xml:space="preserve">TOP</t>
  </si>
  <si>
    <t xml:space="preserve">Phân phối Top One</t>
  </si>
  <si>
    <t xml:space="preserve">PSD</t>
  </si>
  <si>
    <t xml:space="preserve">Phân phối Tổng hợp Dầu khí</t>
  </si>
  <si>
    <t xml:space="preserve">PPH</t>
  </si>
  <si>
    <t xml:space="preserve">Phong Phú Corp.</t>
  </si>
  <si>
    <t xml:space="preserve">PAT</t>
  </si>
  <si>
    <t xml:space="preserve">Phốt pho Apatit Việt Nam</t>
  </si>
  <si>
    <t xml:space="preserve">PGN</t>
  </si>
  <si>
    <t xml:space="preserve">Phụ Gia Nhựa</t>
  </si>
  <si>
    <t xml:space="preserve">APP</t>
  </si>
  <si>
    <t xml:space="preserve">Phụ gia và SP Dầu mỏ</t>
  </si>
  <si>
    <t xml:space="preserve">FT1</t>
  </si>
  <si>
    <t xml:space="preserve">Phụ tùng máy số 1</t>
  </si>
  <si>
    <t xml:space="preserve">SGN</t>
  </si>
  <si>
    <t xml:space="preserve">Phục vụ mặt đất Sài Gòn</t>
  </si>
  <si>
    <t xml:space="preserve">PCH</t>
  </si>
  <si>
    <t xml:space="preserve">Picomat Holding</t>
  </si>
  <si>
    <t xml:space="preserve">PAC</t>
  </si>
  <si>
    <t xml:space="preserve">Pin Ắc quy Miền Nam</t>
  </si>
  <si>
    <t xml:space="preserve">PHN</t>
  </si>
  <si>
    <t xml:space="preserve">Pin Hà Nội</t>
  </si>
  <si>
    <t xml:space="preserve">PIS</t>
  </si>
  <si>
    <t xml:space="preserve">Pisico Bình Định</t>
  </si>
  <si>
    <t xml:space="preserve">PIV</t>
  </si>
  <si>
    <t xml:space="preserve">PIV JSC</t>
  </si>
  <si>
    <t xml:space="preserve">PPP</t>
  </si>
  <si>
    <t xml:space="preserve">PP.Pharco</t>
  </si>
  <si>
    <t xml:space="preserve">PRO</t>
  </si>
  <si>
    <t xml:space="preserve">Procimex Việt Nam</t>
  </si>
  <si>
    <t xml:space="preserve">VLA</t>
  </si>
  <si>
    <t xml:space="preserve">PT Công nghệ Văn Lang</t>
  </si>
  <si>
    <t xml:space="preserve">VRG</t>
  </si>
  <si>
    <t xml:space="preserve">PT Đô thị và KCN Cao su VN</t>
  </si>
  <si>
    <t xml:space="preserve">HTI</t>
  </si>
  <si>
    <t xml:space="preserve">PT Hạ tầng IDICO</t>
  </si>
  <si>
    <t xml:space="preserve">IDV</t>
  </si>
  <si>
    <t xml:space="preserve">PT Hạ tầng Vĩnh Phúc</t>
  </si>
  <si>
    <t xml:space="preserve">TIP</t>
  </si>
  <si>
    <t xml:space="preserve">PT KCN Tín Nghĩa</t>
  </si>
  <si>
    <t xml:space="preserve">SHE</t>
  </si>
  <si>
    <t xml:space="preserve">PT Năng Lượng Sơn Hà</t>
  </si>
  <si>
    <t xml:space="preserve">NDN</t>
  </si>
  <si>
    <t xml:space="preserve">PT Nhà Đà Nẵng</t>
  </si>
  <si>
    <t xml:space="preserve">HU6</t>
  </si>
  <si>
    <t xml:space="preserve">PT Nhà và Đô thị HUD6</t>
  </si>
  <si>
    <t xml:space="preserve">HD8</t>
  </si>
  <si>
    <t xml:space="preserve">PT Nhà và Đô thị HUD8</t>
  </si>
  <si>
    <t xml:space="preserve">NHA</t>
  </si>
  <si>
    <t xml:space="preserve">PT Nhà và Đô thị Nam HN</t>
  </si>
  <si>
    <t xml:space="preserve">VHD</t>
  </si>
  <si>
    <t xml:space="preserve">PT Nhà và Đô thị Vinaconex</t>
  </si>
  <si>
    <t xml:space="preserve">DIH</t>
  </si>
  <si>
    <t xml:space="preserve">PT Xây dựng Hội An</t>
  </si>
  <si>
    <t xml:space="preserve">PSN</t>
  </si>
  <si>
    <t xml:space="preserve">PTSC Thanh Hóa</t>
  </si>
  <si>
    <t xml:space="preserve">PV Gas</t>
  </si>
  <si>
    <t xml:space="preserve">PGD</t>
  </si>
  <si>
    <t xml:space="preserve">PV GAS D</t>
  </si>
  <si>
    <t xml:space="preserve">CPH</t>
  </si>
  <si>
    <t xml:space="preserve">PV mai táng Hải Phòng</t>
  </si>
  <si>
    <t xml:space="preserve">OIL</t>
  </si>
  <si>
    <t xml:space="preserve">PV Oil</t>
  </si>
  <si>
    <t xml:space="preserve">POV</t>
  </si>
  <si>
    <t xml:space="preserve">PV Oil Vũng Áng</t>
  </si>
  <si>
    <t xml:space="preserve">PCB</t>
  </si>
  <si>
    <t xml:space="preserve">PVcomBank</t>
  </si>
  <si>
    <t xml:space="preserve">PVI</t>
  </si>
  <si>
    <t xml:space="preserve">PVI Holdings</t>
  </si>
  <si>
    <t xml:space="preserve">POB</t>
  </si>
  <si>
    <t xml:space="preserve">PVOIL Hưng Yên</t>
  </si>
  <si>
    <t xml:space="preserve">PPE</t>
  </si>
  <si>
    <t xml:space="preserve">PVPower Engineering</t>
  </si>
  <si>
    <t xml:space="preserve">VNX</t>
  </si>
  <si>
    <t xml:space="preserve">QC và Hội chợ Thương mại</t>
  </si>
  <si>
    <t xml:space="preserve">HKT</t>
  </si>
  <si>
    <t xml:space="preserve">QP Holdings</t>
  </si>
  <si>
    <t xml:space="preserve">DS3</t>
  </si>
  <si>
    <t xml:space="preserve">Quản lý Đường sông số 3</t>
  </si>
  <si>
    <t xml:space="preserve">DCV</t>
  </si>
  <si>
    <t xml:space="preserve">Quản Lý Quỹ Dragon Capital Việt Nam</t>
  </si>
  <si>
    <t xml:space="preserve">QHD</t>
  </si>
  <si>
    <t xml:space="preserve">Que hàn Việt Đức</t>
  </si>
  <si>
    <t xml:space="preserve">QCG</t>
  </si>
  <si>
    <t xml:space="preserve">Quốc Cường Gia Lai</t>
  </si>
  <si>
    <t xml:space="preserve">RIC</t>
  </si>
  <si>
    <t xml:space="preserve">Quốc tế Hoàng Gia</t>
  </si>
  <si>
    <t xml:space="preserve">PAS</t>
  </si>
  <si>
    <t xml:space="preserve">Quốc tế Phương Anh</t>
  </si>
  <si>
    <t xml:space="preserve">SHI</t>
  </si>
  <si>
    <t xml:space="preserve">Quốc tế Sơn Hà</t>
  </si>
  <si>
    <t xml:space="preserve">FUCVREIT</t>
  </si>
  <si>
    <t xml:space="preserve">Quỹ Đầu tư BĐS Techcom Việt Nam</t>
  </si>
  <si>
    <t xml:space="preserve">FUCTVGF3</t>
  </si>
  <si>
    <t xml:space="preserve">Quỹ Đầu tư Tăng trưởng Thiên Việt 3</t>
  </si>
  <si>
    <t xml:space="preserve">FUCTVGF4</t>
  </si>
  <si>
    <t xml:space="preserve">Quỹ Đầu tư Tăng trưởng Thiên Việt 4</t>
  </si>
  <si>
    <t xml:space="preserve">FUCTVGF5</t>
  </si>
  <si>
    <t xml:space="preserve">Quỹ Đầu tư Tăng trưởng Thiên Việt 5</t>
  </si>
  <si>
    <t xml:space="preserve">FUEABVND</t>
  </si>
  <si>
    <t xml:space="preserve">Quỹ ETF ABFVN DIAMOND</t>
  </si>
  <si>
    <t xml:space="preserve">FUEBFVND</t>
  </si>
  <si>
    <t xml:space="preserve">Quỹ ETF BVFVN DIAMOND</t>
  </si>
  <si>
    <t xml:space="preserve">FUEVFVND</t>
  </si>
  <si>
    <t xml:space="preserve">Quỹ ETF DCVFMVN DIAMOND</t>
  </si>
  <si>
    <t xml:space="preserve">E1VFVN30</t>
  </si>
  <si>
    <t xml:space="preserve">Quỹ ETF DCVFMVN30</t>
  </si>
  <si>
    <t xml:space="preserve">FUEDCMID</t>
  </si>
  <si>
    <t xml:space="preserve">Quỹ ETF DCVFMVNMIDCAP</t>
  </si>
  <si>
    <t xml:space="preserve">FUEFCV50</t>
  </si>
  <si>
    <t xml:space="preserve">Quỹ ETF FPT CAPITAL VNX50</t>
  </si>
  <si>
    <t xml:space="preserve">FUEIP100</t>
  </si>
  <si>
    <t xml:space="preserve">Quỹ ETF IPA PARTNER VN100</t>
  </si>
  <si>
    <t xml:space="preserve">FUEKIVND</t>
  </si>
  <si>
    <t xml:space="preserve">Quỹ ETF KIM GROWTH VN DIAMOND</t>
  </si>
  <si>
    <t xml:space="preserve">FUEMAV30</t>
  </si>
  <si>
    <t xml:space="preserve">Quỹ ETF MAFM VN30</t>
  </si>
  <si>
    <t xml:space="preserve">FUEMAVND</t>
  </si>
  <si>
    <t xml:space="preserve">Quỹ ETF MAFM VNDIAMOND</t>
  </si>
  <si>
    <t xml:space="preserve">FUESSV30</t>
  </si>
  <si>
    <t xml:space="preserve">Quỹ ETF SSIAM VN30</t>
  </si>
  <si>
    <t xml:space="preserve">FUESSVFL</t>
  </si>
  <si>
    <t xml:space="preserve">Quỹ ETF SSIAM VNFIN LEAD</t>
  </si>
  <si>
    <t xml:space="preserve">FUESSV50</t>
  </si>
  <si>
    <t xml:space="preserve">Quỹ ETF SSIAM VNX50</t>
  </si>
  <si>
    <t xml:space="preserve">FUETCC50</t>
  </si>
  <si>
    <t xml:space="preserve">Quỹ ETF TECHCOM CAPITAL VNX50</t>
  </si>
  <si>
    <t xml:space="preserve">FUEVN100</t>
  </si>
  <si>
    <t xml:space="preserve">Quỹ ETF VINACAPITAL VN100</t>
  </si>
  <si>
    <t xml:space="preserve">FUEVN50G</t>
  </si>
  <si>
    <t xml:space="preserve">Quỹ ETF VinaCapital VN50 Growth</t>
  </si>
  <si>
    <t xml:space="preserve">ANT</t>
  </si>
  <si>
    <t xml:space="preserve">Rau quả thực phẩm An Giang</t>
  </si>
  <si>
    <t xml:space="preserve">RGG</t>
  </si>
  <si>
    <t xml:space="preserve">Regal Group</t>
  </si>
  <si>
    <t xml:space="preserve">TN1</t>
  </si>
  <si>
    <t xml:space="preserve">Rox Key Holdings</t>
  </si>
  <si>
    <t xml:space="preserve">TTG</t>
  </si>
  <si>
    <t xml:space="preserve">Royal Healthtech TTG</t>
  </si>
  <si>
    <t xml:space="preserve">HAV</t>
  </si>
  <si>
    <t xml:space="preserve">Rượu Hapro</t>
  </si>
  <si>
    <t xml:space="preserve">SPM</t>
  </si>
  <si>
    <t xml:space="preserve">S.P.M CORP</t>
  </si>
  <si>
    <t xml:space="preserve">SABECO</t>
  </si>
  <si>
    <t xml:space="preserve">SBC</t>
  </si>
  <si>
    <t xml:space="preserve">Sabetran Jsc.</t>
  </si>
  <si>
    <t xml:space="preserve">BED</t>
  </si>
  <si>
    <t xml:space="preserve">Sách Đà Nẵng</t>
  </si>
  <si>
    <t xml:space="preserve">HEV</t>
  </si>
  <si>
    <t xml:space="preserve">Sách Đại học - Dạy nghề</t>
  </si>
  <si>
    <t xml:space="preserve">SGD</t>
  </si>
  <si>
    <t xml:space="preserve">Sách GD TP.HCM</t>
  </si>
  <si>
    <t xml:space="preserve">DAE</t>
  </si>
  <si>
    <t xml:space="preserve">Sách Giáo dục Đà Nẵng</t>
  </si>
  <si>
    <t xml:space="preserve">EBS</t>
  </si>
  <si>
    <t xml:space="preserve">Sách Giáo dục Hà Nội</t>
  </si>
  <si>
    <t xml:space="preserve">QST</t>
  </si>
  <si>
    <t xml:space="preserve">Sách Quảng Ninh</t>
  </si>
  <si>
    <t xml:space="preserve">STC</t>
  </si>
  <si>
    <t xml:space="preserve">Sách và TB Trường học TP HCM</t>
  </si>
  <si>
    <t xml:space="preserve">NBE</t>
  </si>
  <si>
    <t xml:space="preserve">Sách và Thiết bị GD Miền Bắc</t>
  </si>
  <si>
    <t xml:space="preserve">SMN</t>
  </si>
  <si>
    <t xml:space="preserve">Sách và thiết bị GD miền Nam</t>
  </si>
  <si>
    <t xml:space="preserve">VNB</t>
  </si>
  <si>
    <t xml:space="preserve">Sách Việt Nam</t>
  </si>
  <si>
    <t xml:space="preserve">SDG</t>
  </si>
  <si>
    <t xml:space="preserve">Sadico Cần Thơ</t>
  </si>
  <si>
    <t xml:space="preserve">SGB</t>
  </si>
  <si>
    <t xml:space="preserve">Sài Gòn Công thương</t>
  </si>
  <si>
    <t xml:space="preserve">SGT</t>
  </si>
  <si>
    <t xml:space="preserve">Sài Gòn Telecom</t>
  </si>
  <si>
    <t xml:space="preserve">SAM</t>
  </si>
  <si>
    <t xml:space="preserve">SAM Holdings</t>
  </si>
  <si>
    <t xml:space="preserve">SMT</t>
  </si>
  <si>
    <t xml:space="preserve">SAMETEL</t>
  </si>
  <si>
    <t xml:space="preserve">PRT</t>
  </si>
  <si>
    <t xml:space="preserve">Sản xuất - XNK Bình Dương</t>
  </si>
  <si>
    <t xml:space="preserve">VTI</t>
  </si>
  <si>
    <t xml:space="preserve">Sản xuất - XNK Dệt may</t>
  </si>
  <si>
    <t xml:space="preserve">VLS</t>
  </si>
  <si>
    <t xml:space="preserve">Sản xuất Thép Việt Long</t>
  </si>
  <si>
    <t xml:space="preserve">RYG</t>
  </si>
  <si>
    <t xml:space="preserve">Sản xuất và Đầu tư Hoàng Gia</t>
  </si>
  <si>
    <t xml:space="preserve">NHT</t>
  </si>
  <si>
    <t xml:space="preserve">Sản xuất và Thương mại Nam Hoa</t>
  </si>
  <si>
    <t xml:space="preserve">PSB</t>
  </si>
  <si>
    <t xml:space="preserve">Sao Mai Bến Đình</t>
  </si>
  <si>
    <t xml:space="preserve">SRB</t>
  </si>
  <si>
    <t xml:space="preserve">SARA</t>
  </si>
  <si>
    <t xml:space="preserve">SRA</t>
  </si>
  <si>
    <t xml:space="preserve">SARA Việt Nam</t>
  </si>
  <si>
    <t xml:space="preserve">SVC</t>
  </si>
  <si>
    <t xml:space="preserve">SAVICO</t>
  </si>
  <si>
    <t xml:space="preserve">SAV</t>
  </si>
  <si>
    <t xml:space="preserve">Savimex</t>
  </si>
  <si>
    <t xml:space="preserve">MAS</t>
  </si>
  <si>
    <t xml:space="preserve">Sân bay Đà Nẵng</t>
  </si>
  <si>
    <t xml:space="preserve">SCI</t>
  </si>
  <si>
    <t xml:space="preserve">SCI E&amp;C</t>
  </si>
  <si>
    <t xml:space="preserve">SSB</t>
  </si>
  <si>
    <t xml:space="preserve">SeABank</t>
  </si>
  <si>
    <t xml:space="preserve">SEA</t>
  </si>
  <si>
    <t xml:space="preserve">SEAPRODEX</t>
  </si>
  <si>
    <t xml:space="preserve">SRF</t>
  </si>
  <si>
    <t xml:space="preserve">SEAREFICO</t>
  </si>
  <si>
    <t xml:space="preserve">SHB</t>
  </si>
  <si>
    <t xml:space="preserve">SBV</t>
  </si>
  <si>
    <t xml:space="preserve">Siam Brothers Việt Nam</t>
  </si>
  <si>
    <t xml:space="preserve">SIV</t>
  </si>
  <si>
    <t xml:space="preserve">SIVICO</t>
  </si>
  <si>
    <t xml:space="preserve">SJS</t>
  </si>
  <si>
    <t xml:space="preserve">SJ Group</t>
  </si>
  <si>
    <t xml:space="preserve">SNZ</t>
  </si>
  <si>
    <t xml:space="preserve">SONADEZI</t>
  </si>
  <si>
    <t xml:space="preserve">SZC</t>
  </si>
  <si>
    <t xml:space="preserve">Sonadezi Châu Đức</t>
  </si>
  <si>
    <t xml:space="preserve">SZG</t>
  </si>
  <si>
    <t xml:space="preserve">Sonadezi Giang Điền</t>
  </si>
  <si>
    <t xml:space="preserve">SZB</t>
  </si>
  <si>
    <t xml:space="preserve">Sonadezi Long Bình</t>
  </si>
  <si>
    <t xml:space="preserve">SZL</t>
  </si>
  <si>
    <t xml:space="preserve">Sonadezi Long Thành</t>
  </si>
  <si>
    <t xml:space="preserve">SBA</t>
  </si>
  <si>
    <t xml:space="preserve">Sông Ba JSC</t>
  </si>
  <si>
    <t xml:space="preserve">STL</t>
  </si>
  <si>
    <t xml:space="preserve">Sông Đà - Thăng Long</t>
  </si>
  <si>
    <t xml:space="preserve">SDT</t>
  </si>
  <si>
    <t xml:space="preserve">Sông Đà 10</t>
  </si>
  <si>
    <t xml:space="preserve">SJE</t>
  </si>
  <si>
    <t xml:space="preserve">Sông Đà 11</t>
  </si>
  <si>
    <t xml:space="preserve">S12</t>
  </si>
  <si>
    <t xml:space="preserve">Sông Đà 12</t>
  </si>
  <si>
    <t xml:space="preserve">SD2</t>
  </si>
  <si>
    <t xml:space="preserve">Sông Đà 2</t>
  </si>
  <si>
    <t xml:space="preserve">SD3</t>
  </si>
  <si>
    <t xml:space="preserve">Sông Đà 3</t>
  </si>
  <si>
    <t xml:space="preserve">SD4</t>
  </si>
  <si>
    <t xml:space="preserve">Sông Đà 4</t>
  </si>
  <si>
    <t xml:space="preserve">SD5</t>
  </si>
  <si>
    <t xml:space="preserve">Sông Đà 5</t>
  </si>
  <si>
    <t xml:space="preserve">S55</t>
  </si>
  <si>
    <t xml:space="preserve">Sông Đà 505</t>
  </si>
  <si>
    <t xml:space="preserve">SD6</t>
  </si>
  <si>
    <t xml:space="preserve">Sông Đà 6</t>
  </si>
  <si>
    <t xml:space="preserve">SD7</t>
  </si>
  <si>
    <t xml:space="preserve">Sông Đà 7</t>
  </si>
  <si>
    <t xml:space="preserve">S72</t>
  </si>
  <si>
    <t xml:space="preserve">Sông Đà 7.02</t>
  </si>
  <si>
    <t xml:space="preserve">S74</t>
  </si>
  <si>
    <t xml:space="preserve">Sông Đà 7.04</t>
  </si>
  <si>
    <t xml:space="preserve">SD8</t>
  </si>
  <si>
    <t xml:space="preserve">Sông Đà 8</t>
  </si>
  <si>
    <t xml:space="preserve">SD9</t>
  </si>
  <si>
    <t xml:space="preserve">Sông Đà 9</t>
  </si>
  <si>
    <t xml:space="preserve">S99</t>
  </si>
  <si>
    <t xml:space="preserve">Sông Đà 9.09 (SCI)</t>
  </si>
  <si>
    <t xml:space="preserve">SCL</t>
  </si>
  <si>
    <t xml:space="preserve">Sông Đà Cao Cường</t>
  </si>
  <si>
    <t xml:space="preserve">SPB</t>
  </si>
  <si>
    <t xml:space="preserve">Sợi Phú Bài</t>
  </si>
  <si>
    <t xml:space="preserve">STK</t>
  </si>
  <si>
    <t xml:space="preserve">Sợi Thế Kỷ</t>
  </si>
  <si>
    <t xml:space="preserve">ADP</t>
  </si>
  <si>
    <t xml:space="preserve">Sơn Á Đông</t>
  </si>
  <si>
    <t xml:space="preserve">SDN</t>
  </si>
  <si>
    <t xml:space="preserve">Sơn Đồng Nai</t>
  </si>
  <si>
    <t xml:space="preserve">SHA</t>
  </si>
  <si>
    <t xml:space="preserve">Sơn Hà Sài Gòn</t>
  </si>
  <si>
    <t xml:space="preserve">HPP</t>
  </si>
  <si>
    <t xml:space="preserve">Sơn Hải Phòng</t>
  </si>
  <si>
    <t xml:space="preserve">HSP</t>
  </si>
  <si>
    <t xml:space="preserve">Sơn Tổng hợp Hà Nội</t>
  </si>
  <si>
    <t xml:space="preserve">SPI</t>
  </si>
  <si>
    <t xml:space="preserve">Spiral Galaxy</t>
  </si>
  <si>
    <t xml:space="preserve">STH</t>
  </si>
  <si>
    <t xml:space="preserve">STH Holdings</t>
  </si>
  <si>
    <t xml:space="preserve">NCS</t>
  </si>
  <si>
    <t xml:space="preserve">Suất ăn Hàng không Nội Bài</t>
  </si>
  <si>
    <t xml:space="preserve">SJM</t>
  </si>
  <si>
    <t xml:space="preserve">Sunspace Holdings</t>
  </si>
  <si>
    <t xml:space="preserve">HLS</t>
  </si>
  <si>
    <t xml:space="preserve">Sứ Hoàng Liên Sơn</t>
  </si>
  <si>
    <t xml:space="preserve">TVA</t>
  </si>
  <si>
    <t xml:space="preserve">Sứ Viglacera Thanh Trì</t>
  </si>
  <si>
    <t xml:space="preserve">IDP</t>
  </si>
  <si>
    <t xml:space="preserve">Sữa Quốc tế LOF</t>
  </si>
  <si>
    <t xml:space="preserve">PLP</t>
  </si>
  <si>
    <t xml:space="preserve">SX và CN Nhựa Pha Lê</t>
  </si>
  <si>
    <t xml:space="preserve">NXT</t>
  </si>
  <si>
    <t xml:space="preserve">SX và Cung ứng VLXD Kon Tum</t>
  </si>
  <si>
    <t xml:space="preserve">HCD</t>
  </si>
  <si>
    <t xml:space="preserve">SX và Thương mại HCD</t>
  </si>
  <si>
    <t xml:space="preserve">ATP</t>
  </si>
  <si>
    <t xml:space="preserve">T.Mại và DV An Thành</t>
  </si>
  <si>
    <t xml:space="preserve">PRE</t>
  </si>
  <si>
    <t xml:space="preserve">Tái bảo hiểm PVI</t>
  </si>
  <si>
    <t xml:space="preserve">VNR</t>
  </si>
  <si>
    <t xml:space="preserve">Tái bảo hiểm Quốc gia</t>
  </si>
  <si>
    <t xml:space="preserve">TIN</t>
  </si>
  <si>
    <t xml:space="preserve">Tài chính Cổ phần Tín Việt</t>
  </si>
  <si>
    <t xml:space="preserve">EFI</t>
  </si>
  <si>
    <t xml:space="preserve">Tài chính giáo dục</t>
  </si>
  <si>
    <t xml:space="preserve">EVF</t>
  </si>
  <si>
    <t xml:space="preserve">Tài chính Tổng hợp Điện lực</t>
  </si>
  <si>
    <t xml:space="preserve">TCL</t>
  </si>
  <si>
    <t xml:space="preserve">Tan Cang Logistics</t>
  </si>
  <si>
    <t xml:space="preserve">TIX</t>
  </si>
  <si>
    <t xml:space="preserve">TANIMEX</t>
  </si>
  <si>
    <t xml:space="preserve">HUT</t>
  </si>
  <si>
    <t xml:space="preserve">Tasco- CTCP</t>
  </si>
  <si>
    <t xml:space="preserve">SKG</t>
  </si>
  <si>
    <t xml:space="preserve">Tàu Cao tốc Superdong</t>
  </si>
  <si>
    <t xml:space="preserve">NAV</t>
  </si>
  <si>
    <t xml:space="preserve">Tấm lợp và gỗ Nam Việt</t>
  </si>
  <si>
    <t xml:space="preserve">DCT</t>
  </si>
  <si>
    <t xml:space="preserve">Tấm lợp VLXD Đồng Nai</t>
  </si>
  <si>
    <t xml:space="preserve">PNP</t>
  </si>
  <si>
    <t xml:space="preserve">Tân Cảng - Phú Hữu</t>
  </si>
  <si>
    <t xml:space="preserve">QSP</t>
  </si>
  <si>
    <t xml:space="preserve">Tân cảng Quy Nhơn</t>
  </si>
  <si>
    <t xml:space="preserve">NO1</t>
  </si>
  <si>
    <t xml:space="preserve">Tâp đoàn 911</t>
  </si>
  <si>
    <t xml:space="preserve">DL1</t>
  </si>
  <si>
    <t xml:space="preserve">Tập đoàn Alpha 7</t>
  </si>
  <si>
    <t xml:space="preserve">APH</t>
  </si>
  <si>
    <t xml:space="preserve">Tập đoàn An Phát Holdings</t>
  </si>
  <si>
    <t xml:space="preserve">ASG</t>
  </si>
  <si>
    <t xml:space="preserve">Tập đoàn ASG</t>
  </si>
  <si>
    <t xml:space="preserve">BVH</t>
  </si>
  <si>
    <t xml:space="preserve">Tập đoàn Bảo Việt</t>
  </si>
  <si>
    <t xml:space="preserve">CRV</t>
  </si>
  <si>
    <t xml:space="preserve">Tập đoàn Bất động sản CRV</t>
  </si>
  <si>
    <t xml:space="preserve">NRC</t>
  </si>
  <si>
    <t xml:space="preserve">Tập đoàn Bất động sản Quốc gia</t>
  </si>
  <si>
    <t xml:space="preserve">TNH</t>
  </si>
  <si>
    <t xml:space="preserve">Tập đoàn Bệnh viện TNH</t>
  </si>
  <si>
    <t xml:space="preserve">CEO</t>
  </si>
  <si>
    <t xml:space="preserve">Tập đoàn CEO</t>
  </si>
  <si>
    <t xml:space="preserve">CKG</t>
  </si>
  <si>
    <t xml:space="preserve">Tập đoàn CIC</t>
  </si>
  <si>
    <t xml:space="preserve">C4G</t>
  </si>
  <si>
    <t xml:space="preserve">Tập Đoàn Cienco4</t>
  </si>
  <si>
    <t xml:space="preserve">CMS</t>
  </si>
  <si>
    <t xml:space="preserve">Tập đoàn CMH Việt Nam</t>
  </si>
  <si>
    <t xml:space="preserve">Tập đoàn CN Cao su VN</t>
  </si>
  <si>
    <t xml:space="preserve">CLI</t>
  </si>
  <si>
    <t xml:space="preserve">Tập đoàn CNCTech</t>
  </si>
  <si>
    <t xml:space="preserve">CNT</t>
  </si>
  <si>
    <t xml:space="preserve">Tập đoàn CNT</t>
  </si>
  <si>
    <t xml:space="preserve">CSC</t>
  </si>
  <si>
    <t xml:space="preserve">Tập đoàn COTANA</t>
  </si>
  <si>
    <t xml:space="preserve">CMG</t>
  </si>
  <si>
    <t xml:space="preserve">Tập đoàn Công nghệ CMC</t>
  </si>
  <si>
    <t xml:space="preserve">SBG</t>
  </si>
  <si>
    <t xml:space="preserve">Tập Đoàn Cơ Khí Công Nghệ Cao Siba</t>
  </si>
  <si>
    <t xml:space="preserve">Tập đoàn DABACO</t>
  </si>
  <si>
    <t xml:space="preserve">DKG</t>
  </si>
  <si>
    <t xml:space="preserve">Tập đoàn DamiK</t>
  </si>
  <si>
    <t xml:space="preserve">OGC</t>
  </si>
  <si>
    <t xml:space="preserve">Tập đoàn Đại Dương</t>
  </si>
  <si>
    <t xml:space="preserve">DPG</t>
  </si>
  <si>
    <t xml:space="preserve">Tập đoàn Đạt Phương</t>
  </si>
  <si>
    <t xml:space="preserve">ATS</t>
  </si>
  <si>
    <t xml:space="preserve">Tập đoàn Đầu tư ATS</t>
  </si>
  <si>
    <t xml:space="preserve">BNA</t>
  </si>
  <si>
    <t xml:space="preserve">Tập đoàn Đầu tư Bảo Ngọc</t>
  </si>
  <si>
    <t xml:space="preserve">BIG</t>
  </si>
  <si>
    <t xml:space="preserve">Tập đoàn Đầu tư BIG</t>
  </si>
  <si>
    <t xml:space="preserve">IPA</t>
  </si>
  <si>
    <t xml:space="preserve">Tập đoàn Đầu tư I.P.A</t>
  </si>
  <si>
    <t xml:space="preserve">KTT</t>
  </si>
  <si>
    <t xml:space="preserve">Tập đoàn Đầu tư KTT</t>
  </si>
  <si>
    <t xml:space="preserve">TIG</t>
  </si>
  <si>
    <t xml:space="preserve">Tập đoàn Đầu tư Thăng Long</t>
  </si>
  <si>
    <t xml:space="preserve">DQC</t>
  </si>
  <si>
    <t xml:space="preserve">Tập đoàn Điện Quang</t>
  </si>
  <si>
    <t xml:space="preserve">DFF</t>
  </si>
  <si>
    <t xml:space="preserve">Tập đoàn Đua Fat</t>
  </si>
  <si>
    <t xml:space="preserve">DCS</t>
  </si>
  <si>
    <t xml:space="preserve">Tập đoàn EDX</t>
  </si>
  <si>
    <t xml:space="preserve">TV6</t>
  </si>
  <si>
    <t xml:space="preserve">Tập đoàn EMA LAND</t>
  </si>
  <si>
    <t xml:space="preserve">EVG</t>
  </si>
  <si>
    <t xml:space="preserve">Tập đoàn Everland</t>
  </si>
  <si>
    <t xml:space="preserve">FIT</t>
  </si>
  <si>
    <t xml:space="preserve">Tập đoàn F.I.T</t>
  </si>
  <si>
    <t xml:space="preserve">KDM</t>
  </si>
  <si>
    <t xml:space="preserve">Tập đoàn GCL</t>
  </si>
  <si>
    <t xml:space="preserve">GDH</t>
  </si>
  <si>
    <t xml:space="preserve">Tập đoàn GDC</t>
  </si>
  <si>
    <t xml:space="preserve">Tập đoàn Gelex</t>
  </si>
  <si>
    <t xml:space="preserve">Tập đoàn Gemadept</t>
  </si>
  <si>
    <t xml:space="preserve">CAR</t>
  </si>
  <si>
    <t xml:space="preserve">Tập đoàn Giáo dục Trí Việt</t>
  </si>
  <si>
    <t xml:space="preserve">NSC</t>
  </si>
  <si>
    <t xml:space="preserve">Tập đoàn Giống cây trồng Việt Nam</t>
  </si>
  <si>
    <t xml:space="preserve">GPC</t>
  </si>
  <si>
    <t xml:space="preserve">Tập đoàn Green+</t>
  </si>
  <si>
    <t xml:space="preserve">Tập đoàn Hà Đô</t>
  </si>
  <si>
    <t xml:space="preserve">HMH</t>
  </si>
  <si>
    <t xml:space="preserve">Tập đoàn Hải Minh</t>
  </si>
  <si>
    <t xml:space="preserve">HAP</t>
  </si>
  <si>
    <t xml:space="preserve">Tập đoàn Hapaco</t>
  </si>
  <si>
    <t xml:space="preserve">Tập đoàn Hoa Sen</t>
  </si>
  <si>
    <t xml:space="preserve">CTC</t>
  </si>
  <si>
    <t xml:space="preserve">Tập đoàn Hoàng Kim Tây Nguyên</t>
  </si>
  <si>
    <t xml:space="preserve">HSV</t>
  </si>
  <si>
    <t xml:space="preserve">Tập đoàn HSV Việt Nam</t>
  </si>
  <si>
    <t xml:space="preserve">DAH</t>
  </si>
  <si>
    <t xml:space="preserve">Tập đoàn Khách sạn Đông Á</t>
  </si>
  <si>
    <t xml:space="preserve">KHG</t>
  </si>
  <si>
    <t xml:space="preserve">Tập đoàn Khải Hoàn Land</t>
  </si>
  <si>
    <t xml:space="preserve">ACM</t>
  </si>
  <si>
    <t xml:space="preserve">Tập đoàn Khoáng sản Á Cường</t>
  </si>
  <si>
    <t xml:space="preserve">KDC</t>
  </si>
  <si>
    <t xml:space="preserve">Tập đoàn KIDO</t>
  </si>
  <si>
    <t xml:space="preserve">LTG</t>
  </si>
  <si>
    <t xml:space="preserve">Tập đoàn Lộc Trời (BVTV An Giang)</t>
  </si>
  <si>
    <t xml:space="preserve">MAC</t>
  </si>
  <si>
    <t xml:space="preserve">Tập đoàn Macstar</t>
  </si>
  <si>
    <t xml:space="preserve">Tập đoàn Masan</t>
  </si>
  <si>
    <t xml:space="preserve">MBG</t>
  </si>
  <si>
    <t xml:space="preserve">Tập đoàn MBG</t>
  </si>
  <si>
    <t xml:space="preserve">ALV</t>
  </si>
  <si>
    <t xml:space="preserve">Tập đoàn MCST</t>
  </si>
  <si>
    <t xml:space="preserve">MGR</t>
  </si>
  <si>
    <t xml:space="preserve">Tập đoàn MGROUP</t>
  </si>
  <si>
    <t xml:space="preserve">MPT</t>
  </si>
  <si>
    <t xml:space="preserve">Tập đoàn MPT</t>
  </si>
  <si>
    <t xml:space="preserve">NAG</t>
  </si>
  <si>
    <t xml:space="preserve">Tập đoàn Nagakawa</t>
  </si>
  <si>
    <t xml:space="preserve">VC3</t>
  </si>
  <si>
    <t xml:space="preserve">Tập đoàn Nam Mê Kông</t>
  </si>
  <si>
    <t xml:space="preserve">ONW</t>
  </si>
  <si>
    <t xml:space="preserve">Tập đoàn ONW</t>
  </si>
  <si>
    <t xml:space="preserve">PAN</t>
  </si>
  <si>
    <t xml:space="preserve">Tập đoàn PAN</t>
  </si>
  <si>
    <t xml:space="preserve">Tập đoàn PC1</t>
  </si>
  <si>
    <t xml:space="preserve">TVC</t>
  </si>
  <si>
    <t xml:space="preserve">Tập đoàn Quản lý tài sản T-Corp</t>
  </si>
  <si>
    <t xml:space="preserve">ASM</t>
  </si>
  <si>
    <t xml:space="preserve">Tập đoàn Sao Mai</t>
  </si>
  <si>
    <t xml:space="preserve">DVG</t>
  </si>
  <si>
    <t xml:space="preserve">Tập đoàn Sơn Đại Việt</t>
  </si>
  <si>
    <t xml:space="preserve">ST8</t>
  </si>
  <si>
    <t xml:space="preserve">Tập đoàn ST8</t>
  </si>
  <si>
    <t xml:space="preserve">KSF</t>
  </si>
  <si>
    <t xml:space="preserve">Tập đoàn Sunshine</t>
  </si>
  <si>
    <t xml:space="preserve">TNI</t>
  </si>
  <si>
    <t xml:space="preserve">Tập đoàn Thành Nam</t>
  </si>
  <si>
    <t xml:space="preserve">KKC</t>
  </si>
  <si>
    <t xml:space="preserve">Tập đoàn Thành Thái</t>
  </si>
  <si>
    <t xml:space="preserve">TLG</t>
  </si>
  <si>
    <t xml:space="preserve">Tập đoàn Thiên Long</t>
  </si>
  <si>
    <t xml:space="preserve">ITQ</t>
  </si>
  <si>
    <t xml:space="preserve">Tập đoàn Thiên Quang</t>
  </si>
  <si>
    <t xml:space="preserve">TTB</t>
  </si>
  <si>
    <t xml:space="preserve">Tập đoàn Tiến Bộ</t>
  </si>
  <si>
    <t xml:space="preserve">AAT</t>
  </si>
  <si>
    <t xml:space="preserve">Tập đoàn Tiên Sơn Thanh Hóa</t>
  </si>
  <si>
    <t xml:space="preserve">TNT</t>
  </si>
  <si>
    <t xml:space="preserve">Tập đoàn TNT</t>
  </si>
  <si>
    <t xml:space="preserve">ODE</t>
  </si>
  <si>
    <t xml:space="preserve">Tập đoàn Truyền thông và Giải trí ODE</t>
  </si>
  <si>
    <t xml:space="preserve">SVN</t>
  </si>
  <si>
    <t xml:space="preserve">Tập đoàn Vexilla Việt Nam</t>
  </si>
  <si>
    <t xml:space="preserve">VES</t>
  </si>
  <si>
    <t xml:space="preserve">Tập đoàn VinaLiving</t>
  </si>
  <si>
    <t xml:space="preserve">VNZ</t>
  </si>
  <si>
    <t xml:space="preserve">Tập đoàn VNG</t>
  </si>
  <si>
    <t xml:space="preserve">HBC</t>
  </si>
  <si>
    <t xml:space="preserve">Tập đoàn Xây dựng Hòa Bình</t>
  </si>
  <si>
    <t xml:space="preserve">TCD</t>
  </si>
  <si>
    <t xml:space="preserve">Tập đoàn Xây dựng Tracodi</t>
  </si>
  <si>
    <t xml:space="preserve">YEG</t>
  </si>
  <si>
    <t xml:space="preserve">Tập đoàn Yeah1</t>
  </si>
  <si>
    <t xml:space="preserve">TCT Đô thị Kinh Bắc</t>
  </si>
  <si>
    <t xml:space="preserve">MVN</t>
  </si>
  <si>
    <t xml:space="preserve">TCT Hàng hải Việt Nam</t>
  </si>
  <si>
    <t xml:space="preserve">TTL</t>
  </si>
  <si>
    <t xml:space="preserve">TCT Thăng Long</t>
  </si>
  <si>
    <t xml:space="preserve">CC1</t>
  </si>
  <si>
    <t xml:space="preserve">TCT Xây dựng số 1</t>
  </si>
  <si>
    <t xml:space="preserve">DAG</t>
  </si>
  <si>
    <t xml:space="preserve">TĐ Nhựa Đông Á</t>
  </si>
  <si>
    <t xml:space="preserve">Techcombank</t>
  </si>
  <si>
    <t xml:space="preserve">PMT</t>
  </si>
  <si>
    <t xml:space="preserve">Telvina Việt Nam</t>
  </si>
  <si>
    <t xml:space="preserve">TXM</t>
  </si>
  <si>
    <t xml:space="preserve">Thạch cao Xi măng</t>
  </si>
  <si>
    <t xml:space="preserve">CST</t>
  </si>
  <si>
    <t xml:space="preserve">Than Cao Sơn - TKV</t>
  </si>
  <si>
    <t xml:space="preserve">TCP</t>
  </si>
  <si>
    <t xml:space="preserve">Than Cẩm Phả - Vinacomin</t>
  </si>
  <si>
    <t xml:space="preserve">TD6</t>
  </si>
  <si>
    <t xml:space="preserve">Than Đèo Nai - Cọc Sáu - TKV</t>
  </si>
  <si>
    <t xml:space="preserve">HLC</t>
  </si>
  <si>
    <t xml:space="preserve">Than Hà Lầm</t>
  </si>
  <si>
    <t xml:space="preserve">THT</t>
  </si>
  <si>
    <t xml:space="preserve">Than Hà Tu</t>
  </si>
  <si>
    <t xml:space="preserve">AAH</t>
  </si>
  <si>
    <t xml:space="preserve">Than Hợp Nhất</t>
  </si>
  <si>
    <t xml:space="preserve">TMB</t>
  </si>
  <si>
    <t xml:space="preserve">Than Miền Bắc - Vinacomin</t>
  </si>
  <si>
    <t xml:space="preserve">MDC</t>
  </si>
  <si>
    <t xml:space="preserve">Than Mông Dương</t>
  </si>
  <si>
    <t xml:space="preserve">NBC</t>
  </si>
  <si>
    <t xml:space="preserve">Than Núi Béo</t>
  </si>
  <si>
    <t xml:space="preserve">TVD</t>
  </si>
  <si>
    <t xml:space="preserve">Than Vàng Danh</t>
  </si>
  <si>
    <t xml:space="preserve">X77</t>
  </si>
  <si>
    <t xml:space="preserve">Thành An 77</t>
  </si>
  <si>
    <t xml:space="preserve">THS</t>
  </si>
  <si>
    <t xml:space="preserve">Thanh Hoa Sông Đà</t>
  </si>
  <si>
    <t xml:space="preserve">TGG</t>
  </si>
  <si>
    <t xml:space="preserve">The Golden Group</t>
  </si>
  <si>
    <t xml:space="preserve">HTS</t>
  </si>
  <si>
    <t xml:space="preserve">Thép Hương Thịnh</t>
  </si>
  <si>
    <t xml:space="preserve">MEL</t>
  </si>
  <si>
    <t xml:space="preserve">Thép Mê Lin</t>
  </si>
  <si>
    <t xml:space="preserve">Thép Nam Kim</t>
  </si>
  <si>
    <t xml:space="preserve">TNB</t>
  </si>
  <si>
    <t xml:space="preserve">Thép Nhà Bè</t>
  </si>
  <si>
    <t xml:space="preserve">POM</t>
  </si>
  <si>
    <t xml:space="preserve">Thép Pomina</t>
  </si>
  <si>
    <t xml:space="preserve">TNS</t>
  </si>
  <si>
    <t xml:space="preserve">Thép tấm lá Thống Nhất</t>
  </si>
  <si>
    <t xml:space="preserve">TDS</t>
  </si>
  <si>
    <t xml:space="preserve">Thép Thủ Đức</t>
  </si>
  <si>
    <t xml:space="preserve">TLH</t>
  </si>
  <si>
    <t xml:space="preserve">Thép Tiến Lên</t>
  </si>
  <si>
    <t xml:space="preserve">VCA</t>
  </si>
  <si>
    <t xml:space="preserve">Thép VICASA</t>
  </si>
  <si>
    <t xml:space="preserve">TVN</t>
  </si>
  <si>
    <t xml:space="preserve">Thép Việt Nam</t>
  </si>
  <si>
    <t xml:space="preserve">Thế giới di động</t>
  </si>
  <si>
    <t xml:space="preserve">Thế Giới Số</t>
  </si>
  <si>
    <t xml:space="preserve">C21</t>
  </si>
  <si>
    <t xml:space="preserve">Thế kỷ 21</t>
  </si>
  <si>
    <t xml:space="preserve">GER</t>
  </si>
  <si>
    <t xml:space="preserve">Thể thao Ngôi sao Geru</t>
  </si>
  <si>
    <t xml:space="preserve">LCD</t>
  </si>
  <si>
    <t xml:space="preserve">Thí nghiệm cơ điện</t>
  </si>
  <si>
    <t xml:space="preserve">POT</t>
  </si>
  <si>
    <t xml:space="preserve">Thiết bị Bưu điện Postef</t>
  </si>
  <si>
    <t xml:space="preserve">PVM</t>
  </si>
  <si>
    <t xml:space="preserve">Thiết bị dầu khí (PV MACHINO)</t>
  </si>
  <si>
    <t xml:space="preserve">DAS</t>
  </si>
  <si>
    <t xml:space="preserve">Thiết bị Dầu khí Đà Nẵng</t>
  </si>
  <si>
    <t xml:space="preserve">TBD</t>
  </si>
  <si>
    <t xml:space="preserve">Thiết bị điện Đông Anh</t>
  </si>
  <si>
    <t xml:space="preserve">EMG</t>
  </si>
  <si>
    <t xml:space="preserve">Thiết bị phụ tùng cơ điện</t>
  </si>
  <si>
    <t xml:space="preserve">SMA</t>
  </si>
  <si>
    <t xml:space="preserve">Thiết bị Phụ tùng Sài Gòn</t>
  </si>
  <si>
    <t xml:space="preserve">PEQ</t>
  </si>
  <si>
    <t xml:space="preserve">Thiết bị xăng dầu Petrolimex</t>
  </si>
  <si>
    <t xml:space="preserve">TED</t>
  </si>
  <si>
    <t xml:space="preserve">Thiết kế GTVT</t>
  </si>
  <si>
    <t xml:space="preserve">FVN</t>
  </si>
  <si>
    <t xml:space="preserve">Thiết kế và CN Việt Nam</t>
  </si>
  <si>
    <t xml:space="preserve">PTD</t>
  </si>
  <si>
    <t xml:space="preserve">Thiết kế-XD-TM Phúc Thịnh</t>
  </si>
  <si>
    <t xml:space="preserve">TDH</t>
  </si>
  <si>
    <t xml:space="preserve">Thủ Đức House</t>
  </si>
  <si>
    <t xml:space="preserve">GTT</t>
  </si>
  <si>
    <t xml:space="preserve">Thuận Thảo Group</t>
  </si>
  <si>
    <t xml:space="preserve">CLC</t>
  </si>
  <si>
    <t xml:space="preserve">Thuốc lá Cát Lợi</t>
  </si>
  <si>
    <t xml:space="preserve">NST</t>
  </si>
  <si>
    <t xml:space="preserve">Thuốc lá Ngân Sơn</t>
  </si>
  <si>
    <t xml:space="preserve">CPC</t>
  </si>
  <si>
    <t xml:space="preserve">Thuốc sát trùng Cần Thơ</t>
  </si>
  <si>
    <t xml:space="preserve">VPS</t>
  </si>
  <si>
    <t xml:space="preserve">Thuốc sát trùng Việt Nam</t>
  </si>
  <si>
    <t xml:space="preserve">VNY</t>
  </si>
  <si>
    <t xml:space="preserve">Thuốc thú y Trung ương I</t>
  </si>
  <si>
    <t xml:space="preserve">VET</t>
  </si>
  <si>
    <t xml:space="preserve">Thuốc thú y trung ương Navetco</t>
  </si>
  <si>
    <t xml:space="preserve">VXP</t>
  </si>
  <si>
    <t xml:space="preserve">Thuốc Thú y Trung ương VETVACO</t>
  </si>
  <si>
    <t xml:space="preserve">SPV</t>
  </si>
  <si>
    <t xml:space="preserve">Thủy đặc sản</t>
  </si>
  <si>
    <t xml:space="preserve">DRL</t>
  </si>
  <si>
    <t xml:space="preserve">Thủy điện - Điện lực 3</t>
  </si>
  <si>
    <t xml:space="preserve">AVC</t>
  </si>
  <si>
    <t xml:space="preserve">Thủy điện A Vương</t>
  </si>
  <si>
    <t xml:space="preserve">BHA</t>
  </si>
  <si>
    <t xml:space="preserve">Thủy điện Bắc Hà</t>
  </si>
  <si>
    <t xml:space="preserve">BSA</t>
  </si>
  <si>
    <t xml:space="preserve">Thủy điện Buôn Đôn</t>
  </si>
  <si>
    <t xml:space="preserve">SJD</t>
  </si>
  <si>
    <t xml:space="preserve">Thủy điện Cần Đơn</t>
  </si>
  <si>
    <t xml:space="preserve">DNH</t>
  </si>
  <si>
    <t xml:space="preserve">Thủy điện Đa Nhim-Hàm Thuận-Đa Mi</t>
  </si>
  <si>
    <t xml:space="preserve">HPD</t>
  </si>
  <si>
    <t xml:space="preserve">Thủy điện Đăk Đoa</t>
  </si>
  <si>
    <t xml:space="preserve">TDB</t>
  </si>
  <si>
    <t xml:space="preserve">Thủy điện Định Bình</t>
  </si>
  <si>
    <t xml:space="preserve">GHC</t>
  </si>
  <si>
    <t xml:space="preserve">Thủy điện Gia Lai</t>
  </si>
  <si>
    <t xml:space="preserve">HNA</t>
  </si>
  <si>
    <t xml:space="preserve">Thủy điện Hủa Na</t>
  </si>
  <si>
    <t xml:space="preserve">GSM</t>
  </si>
  <si>
    <t xml:space="preserve">Thủy điện Hương Sơn</t>
  </si>
  <si>
    <t xml:space="preserve">SHP</t>
  </si>
  <si>
    <t xml:space="preserve">Thủy điện Miền Nam</t>
  </si>
  <si>
    <t xml:space="preserve">CHP</t>
  </si>
  <si>
    <t xml:space="preserve">Thủy điện Miền Trung</t>
  </si>
  <si>
    <t xml:space="preserve">HJS</t>
  </si>
  <si>
    <t xml:space="preserve">Thủy điện Nậm Mu</t>
  </si>
  <si>
    <t xml:space="preserve">NTH</t>
  </si>
  <si>
    <t xml:space="preserve">Thủy điện Nước Trong</t>
  </si>
  <si>
    <t xml:space="preserve">QPH</t>
  </si>
  <si>
    <t xml:space="preserve">Thủy điện Quế Phong</t>
  </si>
  <si>
    <t xml:space="preserve">S4A</t>
  </si>
  <si>
    <t xml:space="preserve">Thủy điện Sê San 4A</t>
  </si>
  <si>
    <t xml:space="preserve">SBH</t>
  </si>
  <si>
    <t xml:space="preserve">Thủy điện Sông Ba Hạ</t>
  </si>
  <si>
    <t xml:space="preserve">SVH</t>
  </si>
  <si>
    <t xml:space="preserve">Thủy điện Sông Vàng</t>
  </si>
  <si>
    <t xml:space="preserve">ISH</t>
  </si>
  <si>
    <t xml:space="preserve">Thủy điện Srok Phu Miêng</t>
  </si>
  <si>
    <t xml:space="preserve">SP2</t>
  </si>
  <si>
    <t xml:space="preserve">Thủy điện Sử Pán 2</t>
  </si>
  <si>
    <t xml:space="preserve">TBC</t>
  </si>
  <si>
    <t xml:space="preserve">Thủy điện Thác Bà</t>
  </si>
  <si>
    <t xml:space="preserve">TMP</t>
  </si>
  <si>
    <t xml:space="preserve">Thủy điện Thác Mơ</t>
  </si>
  <si>
    <t xml:space="preserve">VSH</t>
  </si>
  <si>
    <t xml:space="preserve">Thủy điện Vĩnh Sơn - Sông Hinh</t>
  </si>
  <si>
    <t xml:space="preserve">XMP</t>
  </si>
  <si>
    <t xml:space="preserve">Thủy điện Xuân Minh</t>
  </si>
  <si>
    <t xml:space="preserve">APT</t>
  </si>
  <si>
    <t xml:space="preserve">Thủy hải sản Sài Gòn</t>
  </si>
  <si>
    <t xml:space="preserve">AGF</t>
  </si>
  <si>
    <t xml:space="preserve">Thủy sản An Giang</t>
  </si>
  <si>
    <t xml:space="preserve">BLF</t>
  </si>
  <si>
    <t xml:space="preserve">Thủy sản Bạc Liêu</t>
  </si>
  <si>
    <t xml:space="preserve">ABT</t>
  </si>
  <si>
    <t xml:space="preserve">Thủy sản Bến Tre</t>
  </si>
  <si>
    <t xml:space="preserve">CAT</t>
  </si>
  <si>
    <t xml:space="preserve">Thủy sản Cà Mau</t>
  </si>
  <si>
    <t xml:space="preserve">CAD</t>
  </si>
  <si>
    <t xml:space="preserve">Thủy sản Cadovimex</t>
  </si>
  <si>
    <t xml:space="preserve">ACL</t>
  </si>
  <si>
    <t xml:space="preserve">Thủy sản CL An Giang</t>
  </si>
  <si>
    <t xml:space="preserve">KHS</t>
  </si>
  <si>
    <t xml:space="preserve">Thủy sản Kiên Hùng</t>
  </si>
  <si>
    <t xml:space="preserve">AAM</t>
  </si>
  <si>
    <t xml:space="preserve">Thủy sản Mekong</t>
  </si>
  <si>
    <t xml:space="preserve">SPD</t>
  </si>
  <si>
    <t xml:space="preserve">Thủy sản Miền Trung</t>
  </si>
  <si>
    <t xml:space="preserve">JOS</t>
  </si>
  <si>
    <t xml:space="preserve">Thủy sản Minh Hải</t>
  </si>
  <si>
    <t xml:space="preserve">MPC</t>
  </si>
  <si>
    <t xml:space="preserve">Thủy sản Minh Phú</t>
  </si>
  <si>
    <t xml:space="preserve">Thủy sản Nam Việt</t>
  </si>
  <si>
    <t xml:space="preserve">SNC</t>
  </si>
  <si>
    <t xml:space="preserve">Thủy sản Năm Căn</t>
  </si>
  <si>
    <t xml:space="preserve">NGC</t>
  </si>
  <si>
    <t xml:space="preserve">Thủy sản Ngô Quyền</t>
  </si>
  <si>
    <t xml:space="preserve">SSN</t>
  </si>
  <si>
    <t xml:space="preserve">Thủy sản Sài Gòn</t>
  </si>
  <si>
    <t xml:space="preserve">THP</t>
  </si>
  <si>
    <t xml:space="preserve">Thủy sản và TMại Thuận Phước</t>
  </si>
  <si>
    <t xml:space="preserve">VUG</t>
  </si>
  <si>
    <t xml:space="preserve">Thủy Sản Việt Úc</t>
  </si>
  <si>
    <t xml:space="preserve">Thủy sản Vĩnh Hoàn</t>
  </si>
  <si>
    <t xml:space="preserve">BCF</t>
  </si>
  <si>
    <t xml:space="preserve">Thực phẩm Bích Chi</t>
  </si>
  <si>
    <t xml:space="preserve">CMF</t>
  </si>
  <si>
    <t xml:space="preserve">Thực phẩm Cholimex</t>
  </si>
  <si>
    <t xml:space="preserve">GCF</t>
  </si>
  <si>
    <t xml:space="preserve">Thực phẩm G.C</t>
  </si>
  <si>
    <t xml:space="preserve">HAF</t>
  </si>
  <si>
    <t xml:space="preserve">Thực phẩm Hà Nội</t>
  </si>
  <si>
    <t xml:space="preserve">HKB</t>
  </si>
  <si>
    <t xml:space="preserve">Thực phẩm Hà Nội - Kinh Bắc</t>
  </si>
  <si>
    <t xml:space="preserve">HSL</t>
  </si>
  <si>
    <t xml:space="preserve">Thực phẩm Hồng Hà</t>
  </si>
  <si>
    <t xml:space="preserve">VDL</t>
  </si>
  <si>
    <t xml:space="preserve">Thực phẩm Lâm Đồng</t>
  </si>
  <si>
    <t xml:space="preserve">IFS</t>
  </si>
  <si>
    <t xml:space="preserve">Thực phẩm Quốc tế</t>
  </si>
  <si>
    <t xml:space="preserve">SAF</t>
  </si>
  <si>
    <t xml:space="preserve">Thực Phẩm SAFOCO</t>
  </si>
  <si>
    <t xml:space="preserve">FMC</t>
  </si>
  <si>
    <t xml:space="preserve">Thực phẩm Sao Ta</t>
  </si>
  <si>
    <t xml:space="preserve">PTV</t>
  </si>
  <si>
    <t xml:space="preserve">Thương mại dầu khí</t>
  </si>
  <si>
    <t xml:space="preserve">SCC</t>
  </si>
  <si>
    <t xml:space="preserve">Thương mại Đầu tư SHB</t>
  </si>
  <si>
    <t xml:space="preserve">HTM</t>
  </si>
  <si>
    <t xml:space="preserve">Thương mại Hà Nội - Hapro</t>
  </si>
  <si>
    <t xml:space="preserve">HTT</t>
  </si>
  <si>
    <t xml:space="preserve">Thương mại Hà Tây</t>
  </si>
  <si>
    <t xml:space="preserve">HTC</t>
  </si>
  <si>
    <t xml:space="preserve">Thương mại Hóc Môn</t>
  </si>
  <si>
    <t xml:space="preserve">KTC</t>
  </si>
  <si>
    <t xml:space="preserve">Thương mại Kiên Giang</t>
  </si>
  <si>
    <t xml:space="preserve">PNG</t>
  </si>
  <si>
    <t xml:space="preserve">Thương Mại Phú Nhuận</t>
  </si>
  <si>
    <t xml:space="preserve">SEP</t>
  </si>
  <si>
    <t xml:space="preserve">Thương mại Quảng Trị</t>
  </si>
  <si>
    <t xml:space="preserve">LBE</t>
  </si>
  <si>
    <t xml:space="preserve">Thương mại và Dịch vụ LVA</t>
  </si>
  <si>
    <t xml:space="preserve">ITS</t>
  </si>
  <si>
    <t xml:space="preserve">Thương mại và DV - Vinacomin</t>
  </si>
  <si>
    <t xml:space="preserve">TMX</t>
  </si>
  <si>
    <t xml:space="preserve">Thương mại Xi măng</t>
  </si>
  <si>
    <t xml:space="preserve">TLP</t>
  </si>
  <si>
    <t xml:space="preserve">Thương mại XNK Thanh Lễ</t>
  </si>
  <si>
    <t xml:space="preserve">CMV</t>
  </si>
  <si>
    <t xml:space="preserve">Thương nghiệp Cà Mau</t>
  </si>
  <si>
    <t xml:space="preserve">TT6</t>
  </si>
  <si>
    <t xml:space="preserve">Tien Thinh Group</t>
  </si>
  <si>
    <t xml:space="preserve">ESL</t>
  </si>
  <si>
    <t xml:space="preserve">Tiếp vận Đông Sài Gòn</t>
  </si>
  <si>
    <t xml:space="preserve">PIA</t>
  </si>
  <si>
    <t xml:space="preserve">Tin học Viễn thông Petrolimex</t>
  </si>
  <si>
    <t xml:space="preserve">HCT</t>
  </si>
  <si>
    <t xml:space="preserve">TM - DV - Vận tải Xi măng Hải Phòng </t>
  </si>
  <si>
    <t xml:space="preserve">BTT</t>
  </si>
  <si>
    <t xml:space="preserve">TM - DV Bến Thành</t>
  </si>
  <si>
    <t xml:space="preserve">DDB</t>
  </si>
  <si>
    <t xml:space="preserve">TM &amp; XD Đông Dương</t>
  </si>
  <si>
    <t xml:space="preserve">HAT</t>
  </si>
  <si>
    <t xml:space="preserve">TM Bia Hà Nội</t>
  </si>
  <si>
    <t xml:space="preserve">DVC</t>
  </si>
  <si>
    <t xml:space="preserve">TM dịch vụ Cảng Hải Phòng</t>
  </si>
  <si>
    <t xml:space="preserve">PEG</t>
  </si>
  <si>
    <t xml:space="preserve">TM Kỹ thuật và Đầu tư (PETEC)</t>
  </si>
  <si>
    <t xml:space="preserve">SST</t>
  </si>
  <si>
    <t xml:space="preserve">TM Sabeco Sông Tiền</t>
  </si>
  <si>
    <t xml:space="preserve">ILS</t>
  </si>
  <si>
    <t xml:space="preserve">TM và Dịch vụ Quốc tế</t>
  </si>
  <si>
    <t xml:space="preserve">TTH</t>
  </si>
  <si>
    <t xml:space="preserve">TM và DV Tiến Thành</t>
  </si>
  <si>
    <t xml:space="preserve">VTJ</t>
  </si>
  <si>
    <t xml:space="preserve">TM và Đầu tư VINATABA</t>
  </si>
  <si>
    <t xml:space="preserve">LPT</t>
  </si>
  <si>
    <t xml:space="preserve">TM và SX Lập Phương Thành</t>
  </si>
  <si>
    <t xml:space="preserve">PJC</t>
  </si>
  <si>
    <t xml:space="preserve">TM và Vận tải Petrolimex HN</t>
  </si>
  <si>
    <t xml:space="preserve">PSH</t>
  </si>
  <si>
    <t xml:space="preserve">TMại ĐT Dầu khí Nam Sông Hậu</t>
  </si>
  <si>
    <t xml:space="preserve">TCJ</t>
  </si>
  <si>
    <t xml:space="preserve">Tô Châu</t>
  </si>
  <si>
    <t xml:space="preserve">GDA</t>
  </si>
  <si>
    <t xml:space="preserve">Tôn Đông Á</t>
  </si>
  <si>
    <t xml:space="preserve">G36</t>
  </si>
  <si>
    <t xml:space="preserve">Tổng Công ty 36</t>
  </si>
  <si>
    <t xml:space="preserve">CNA</t>
  </si>
  <si>
    <t xml:space="preserve">Tổng công ty Chè Nghệ An - CTCP</t>
  </si>
  <si>
    <t xml:space="preserve">DVN</t>
  </si>
  <si>
    <t xml:space="preserve">Tổng Công ty Dược Việt Nam</t>
  </si>
  <si>
    <t xml:space="preserve">M10</t>
  </si>
  <si>
    <t xml:space="preserve">Tổng công ty May 10</t>
  </si>
  <si>
    <t xml:space="preserve">GE2</t>
  </si>
  <si>
    <t xml:space="preserve">Tổng Công ty Phát điện 2</t>
  </si>
  <si>
    <t xml:space="preserve">PGV</t>
  </si>
  <si>
    <t xml:space="preserve">Tổng Công ty Phát điện 3</t>
  </si>
  <si>
    <t xml:space="preserve">Tổng Công ty Phân bón và Hóa chất Dầu khí</t>
  </si>
  <si>
    <t xml:space="preserve">SJG</t>
  </si>
  <si>
    <t xml:space="preserve">Tổng Công ty Sông Đà</t>
  </si>
  <si>
    <t xml:space="preserve">TID</t>
  </si>
  <si>
    <t xml:space="preserve">Tổng Công ty Tín Nghĩa</t>
  </si>
  <si>
    <t xml:space="preserve">Tổng Công ty Viglacera</t>
  </si>
  <si>
    <t xml:space="preserve">TPBank</t>
  </si>
  <si>
    <t xml:space="preserve">PID</t>
  </si>
  <si>
    <t xml:space="preserve">Trang trí nội thất Dầu khí</t>
  </si>
  <si>
    <t xml:space="preserve">TMS</t>
  </si>
  <si>
    <t xml:space="preserve">Transimex</t>
  </si>
  <si>
    <t xml:space="preserve">TRA</t>
  </si>
  <si>
    <t xml:space="preserve">Traphaco</t>
  </si>
  <si>
    <t xml:space="preserve">SAL</t>
  </si>
  <si>
    <t xml:space="preserve">Trục vớt Cứu hộ Việt Nam</t>
  </si>
  <si>
    <t xml:space="preserve">ONE</t>
  </si>
  <si>
    <t xml:space="preserve">Truyền thông Số 1</t>
  </si>
  <si>
    <t xml:space="preserve">ABC</t>
  </si>
  <si>
    <t xml:space="preserve">Truyền thông VMG</t>
  </si>
  <si>
    <t xml:space="preserve">TS3</t>
  </si>
  <si>
    <t xml:space="preserve">Trường Sơn 532</t>
  </si>
  <si>
    <t xml:space="preserve">TEG</t>
  </si>
  <si>
    <t xml:space="preserve">Trường Thành Energy Group</t>
  </si>
  <si>
    <t xml:space="preserve">SCR</t>
  </si>
  <si>
    <t xml:space="preserve">TTC Land</t>
  </si>
  <si>
    <t xml:space="preserve">TSG</t>
  </si>
  <si>
    <t xml:space="preserve">TTTH Đường sắt Sài Gòn</t>
  </si>
  <si>
    <t xml:space="preserve">THM</t>
  </si>
  <si>
    <t xml:space="preserve">Tứ Hải Hà Nam</t>
  </si>
  <si>
    <t xml:space="preserve">PVE</t>
  </si>
  <si>
    <t xml:space="preserve">Tư vấn Dầu khí</t>
  </si>
  <si>
    <t xml:space="preserve">INC</t>
  </si>
  <si>
    <t xml:space="preserve">Tư vấn Đầu tư IDICO</t>
  </si>
  <si>
    <t xml:space="preserve">TVM</t>
  </si>
  <si>
    <t xml:space="preserve">Tư vấn đầu tư Mỏ</t>
  </si>
  <si>
    <t xml:space="preserve">SDC</t>
  </si>
  <si>
    <t xml:space="preserve">Tư vấn Sông Đà</t>
  </si>
  <si>
    <t xml:space="preserve">TKD</t>
  </si>
  <si>
    <t xml:space="preserve">Tư vấn thiết kế đường bộ</t>
  </si>
  <si>
    <t xml:space="preserve">CDO</t>
  </si>
  <si>
    <t xml:space="preserve">Tư vấn Thiết kế và PT Đô thị</t>
  </si>
  <si>
    <t xml:space="preserve">VTK</t>
  </si>
  <si>
    <t xml:space="preserve">Tư vấn thiết kế Viettel</t>
  </si>
  <si>
    <t xml:space="preserve">QNT</t>
  </si>
  <si>
    <t xml:space="preserve">Tư vấn và Đầu tư Phát triển Quảng Nam</t>
  </si>
  <si>
    <t xml:space="preserve">PLE</t>
  </si>
  <si>
    <t xml:space="preserve">Tư vấn Xây dựng Petrolimex</t>
  </si>
  <si>
    <t xml:space="preserve">HEJ</t>
  </si>
  <si>
    <t xml:space="preserve">Tư vấn Xây dựng Thủy Lợi VN</t>
  </si>
  <si>
    <t xml:space="preserve">NAC</t>
  </si>
  <si>
    <t xml:space="preserve">Tư vấn xây dựng Tổng hợp</t>
  </si>
  <si>
    <t xml:space="preserve">VGV</t>
  </si>
  <si>
    <t xml:space="preserve">Tư vấn Xây dựng Việt Nam</t>
  </si>
  <si>
    <t xml:space="preserve">TVH</t>
  </si>
  <si>
    <t xml:space="preserve">Tư vấn XD công trình Hàng hải</t>
  </si>
  <si>
    <t xml:space="preserve">TV1</t>
  </si>
  <si>
    <t xml:space="preserve">Tư vấn XD Điện 1</t>
  </si>
  <si>
    <t xml:space="preserve">TV2</t>
  </si>
  <si>
    <t xml:space="preserve">Tư vấn XD Điện 2</t>
  </si>
  <si>
    <t xml:space="preserve">TV3</t>
  </si>
  <si>
    <t xml:space="preserve">Tư vấn XD điện 3</t>
  </si>
  <si>
    <t xml:space="preserve">TV4</t>
  </si>
  <si>
    <t xml:space="preserve">Tư vấn XD Điện 4</t>
  </si>
  <si>
    <t xml:space="preserve">HEC</t>
  </si>
  <si>
    <t xml:space="preserve">Tư vấn XD Thủy Lợi II (HEC II)</t>
  </si>
  <si>
    <t xml:space="preserve">VCT</t>
  </si>
  <si>
    <t xml:space="preserve">Tư vấn XD Vinaconex</t>
  </si>
  <si>
    <t xml:space="preserve">ULG</t>
  </si>
  <si>
    <t xml:space="preserve">U&amp;I Logistics</t>
  </si>
  <si>
    <t xml:space="preserve">EGL</t>
  </si>
  <si>
    <t xml:space="preserve">Urenco Gia Lam.,Jsc</t>
  </si>
  <si>
    <t xml:space="preserve">VPC</t>
  </si>
  <si>
    <t xml:space="preserve">V- Power</t>
  </si>
  <si>
    <t xml:space="preserve">VDG</t>
  </si>
  <si>
    <t xml:space="preserve">Vạn Đạt Group</t>
  </si>
  <si>
    <t xml:space="preserve">VPH</t>
  </si>
  <si>
    <t xml:space="preserve">Vạn Phát Hưng</t>
  </si>
  <si>
    <t xml:space="preserve">GLC</t>
  </si>
  <si>
    <t xml:space="preserve">Vàng Lào Cai</t>
  </si>
  <si>
    <t xml:space="preserve">Vàng Phú Nhuận</t>
  </si>
  <si>
    <t xml:space="preserve">BIO</t>
  </si>
  <si>
    <t xml:space="preserve">Vắc xin và Sinh phẩm Nha Trang</t>
  </si>
  <si>
    <t xml:space="preserve">PNC</t>
  </si>
  <si>
    <t xml:space="preserve">Văn hóa Phương Nam</t>
  </si>
  <si>
    <t xml:space="preserve">ALT</t>
  </si>
  <si>
    <t xml:space="preserve">Văn hóa Tân Bình</t>
  </si>
  <si>
    <t xml:space="preserve">Vận chuyển Sài Gòn Tourist</t>
  </si>
  <si>
    <t xml:space="preserve">POS</t>
  </si>
  <si>
    <t xml:space="preserve">Vận hành và Xây lắp PTSC</t>
  </si>
  <si>
    <t xml:space="preserve">TR1</t>
  </si>
  <si>
    <t xml:space="preserve">Vận Tải 1 Traco</t>
  </si>
  <si>
    <t xml:space="preserve">VBT</t>
  </si>
  <si>
    <t xml:space="preserve">Vận tải Bảo Thắng</t>
  </si>
  <si>
    <t xml:space="preserve">PCT</t>
  </si>
  <si>
    <t xml:space="preserve">Vận tải Biển Global Pacific</t>
  </si>
  <si>
    <t xml:space="preserve">SSG</t>
  </si>
  <si>
    <t xml:space="preserve">Vận tải Biển Hải Âu</t>
  </si>
  <si>
    <t xml:space="preserve">SGS</t>
  </si>
  <si>
    <t xml:space="preserve">Vận tải biển Sài Gòn</t>
  </si>
  <si>
    <t xml:space="preserve">ISG</t>
  </si>
  <si>
    <t xml:space="preserve">Vận tải biển và Hợp tác LĐ Quốc Tế</t>
  </si>
  <si>
    <t xml:space="preserve">NOS</t>
  </si>
  <si>
    <t xml:space="preserve">Vận tải Biển và Thương mại Phương Đông</t>
  </si>
  <si>
    <t xml:space="preserve">VOS</t>
  </si>
  <si>
    <t xml:space="preserve">Vận tải Biển Việt Nam</t>
  </si>
  <si>
    <t xml:space="preserve">VFC</t>
  </si>
  <si>
    <t xml:space="preserve">Vận tải biển VINAFCO</t>
  </si>
  <si>
    <t xml:space="preserve">VNA</t>
  </si>
  <si>
    <t xml:space="preserve">Vận tải biển Vinaship</t>
  </si>
  <si>
    <t xml:space="preserve">PTT</t>
  </si>
  <si>
    <t xml:space="preserve">Vận tải Dầu khí Đông Dương</t>
  </si>
  <si>
    <t xml:space="preserve">Vận tải Dầu khí PVTrans</t>
  </si>
  <si>
    <t xml:space="preserve">PVP</t>
  </si>
  <si>
    <t xml:space="preserve">Vận tải Dầu khí Thái Bình Dương</t>
  </si>
  <si>
    <t xml:space="preserve">VTX</t>
  </si>
  <si>
    <t xml:space="preserve">Vận tải Đa phương thức</t>
  </si>
  <si>
    <t xml:space="preserve">TRV</t>
  </si>
  <si>
    <t xml:space="preserve">Vận tải Đường sắt</t>
  </si>
  <si>
    <t xml:space="preserve">VPA</t>
  </si>
  <si>
    <t xml:space="preserve">Vận tải Hóa dầu VP</t>
  </si>
  <si>
    <t xml:space="preserve">HHG</t>
  </si>
  <si>
    <t xml:space="preserve">Vận tải Hoàng Hà</t>
  </si>
  <si>
    <t xml:space="preserve">NWT</t>
  </si>
  <si>
    <t xml:space="preserve">Vận tải Newway</t>
  </si>
  <si>
    <t xml:space="preserve">VNT</t>
  </si>
  <si>
    <t xml:space="preserve">Vận tải ngoại thương</t>
  </si>
  <si>
    <t xml:space="preserve">PTS</t>
  </si>
  <si>
    <t xml:space="preserve">Vận tải Petrolimex HP</t>
  </si>
  <si>
    <t xml:space="preserve">PSC</t>
  </si>
  <si>
    <t xml:space="preserve">Vận tải Petrolimex SG</t>
  </si>
  <si>
    <t xml:space="preserve">PDV</t>
  </si>
  <si>
    <t xml:space="preserve">Vận tải Phương Đông Việt</t>
  </si>
  <si>
    <t xml:space="preserve">PRC</t>
  </si>
  <si>
    <t xml:space="preserve">Vận tải Portserco</t>
  </si>
  <si>
    <t xml:space="preserve">SFI</t>
  </si>
  <si>
    <t xml:space="preserve">Vận tải SAFI</t>
  </si>
  <si>
    <t xml:space="preserve">GSP</t>
  </si>
  <si>
    <t xml:space="preserve">Vận tải Sản phẩm Khí Quốc tế</t>
  </si>
  <si>
    <t xml:space="preserve">PJT</t>
  </si>
  <si>
    <t xml:space="preserve">Vận tải thủy PETROLIMEX</t>
  </si>
  <si>
    <t xml:space="preserve">WTC</t>
  </si>
  <si>
    <t xml:space="preserve">Vận tải thủy Vinacomin</t>
  </si>
  <si>
    <t xml:space="preserve">TOT</t>
  </si>
  <si>
    <t xml:space="preserve">Vận tải Transimex</t>
  </si>
  <si>
    <t xml:space="preserve">VDB</t>
  </si>
  <si>
    <t xml:space="preserve">Vận tải và CB Than Đông Bắc</t>
  </si>
  <si>
    <t xml:space="preserve">TRS</t>
  </si>
  <si>
    <t xml:space="preserve">Vận tải và Dịch vụ Hàng Hải</t>
  </si>
  <si>
    <t xml:space="preserve">HHN</t>
  </si>
  <si>
    <t xml:space="preserve">Vận tải và DV Hàng hóa Hà Nội</t>
  </si>
  <si>
    <t xml:space="preserve">PTH</t>
  </si>
  <si>
    <t xml:space="preserve">Vận tải và DV Petrolimex Hà Tây</t>
  </si>
  <si>
    <t xml:space="preserve">VST</t>
  </si>
  <si>
    <t xml:space="preserve">Vận tải và Thuê Tàu biển Việt Nam</t>
  </si>
  <si>
    <t xml:space="preserve">Vận tải và Xếp dỡ Hải An</t>
  </si>
  <si>
    <t xml:space="preserve">VFR</t>
  </si>
  <si>
    <t xml:space="preserve">Vận tải Vietfracht</t>
  </si>
  <si>
    <t xml:space="preserve">VIP</t>
  </si>
  <si>
    <t xml:space="preserve">Vận tải Xăng dầu VIPCO</t>
  </si>
  <si>
    <t xml:space="preserve">DOP</t>
  </si>
  <si>
    <t xml:space="preserve">Vận tải XD Đồng Tháp</t>
  </si>
  <si>
    <t xml:space="preserve">DXV</t>
  </si>
  <si>
    <t xml:space="preserve">Vật liệu Xây dựng Đà Nẵng</t>
  </si>
  <si>
    <t xml:space="preserve">MTS</t>
  </si>
  <si>
    <t xml:space="preserve">Vật tư - TKV</t>
  </si>
  <si>
    <t xml:space="preserve">COM</t>
  </si>
  <si>
    <t xml:space="preserve">Vật tư - Xăng dầu</t>
  </si>
  <si>
    <t xml:space="preserve">PMJ</t>
  </si>
  <si>
    <t xml:space="preserve">Vật tư Bưu điện</t>
  </si>
  <si>
    <t xml:space="preserve">HAM</t>
  </si>
  <si>
    <t xml:space="preserve">Vật tư Hậu Giang</t>
  </si>
  <si>
    <t xml:space="preserve">DOC</t>
  </si>
  <si>
    <t xml:space="preserve">Vật tư nông nghiệp Đồng Nai</t>
  </si>
  <si>
    <t xml:space="preserve">DTH</t>
  </si>
  <si>
    <t xml:space="preserve">Vật tư Y tế Thanh Hóa</t>
  </si>
  <si>
    <t xml:space="preserve">VIBBank</t>
  </si>
  <si>
    <t xml:space="preserve">HT1</t>
  </si>
  <si>
    <t xml:space="preserve">VICEM Hà Tiên</t>
  </si>
  <si>
    <t xml:space="preserve">VSC</t>
  </si>
  <si>
    <t xml:space="preserve">VICONSHIP</t>
  </si>
  <si>
    <t xml:space="preserve">VCS</t>
  </si>
  <si>
    <t xml:space="preserve">VICOSTONE</t>
  </si>
  <si>
    <t xml:space="preserve">PTL</t>
  </si>
  <si>
    <t xml:space="preserve">Victory Group</t>
  </si>
  <si>
    <t xml:space="preserve">VBB</t>
  </si>
  <si>
    <t xml:space="preserve">VietBank</t>
  </si>
  <si>
    <t xml:space="preserve">Vietcombank</t>
  </si>
  <si>
    <t xml:space="preserve">VietinBank</t>
  </si>
  <si>
    <t xml:space="preserve">VJC</t>
  </si>
  <si>
    <t xml:space="preserve">Vietjet Air</t>
  </si>
  <si>
    <t xml:space="preserve">HVN</t>
  </si>
  <si>
    <t xml:space="preserve">Vietnam Airlines</t>
  </si>
  <si>
    <t xml:space="preserve">VTB</t>
  </si>
  <si>
    <t xml:space="preserve">Viettronics Tân Bình</t>
  </si>
  <si>
    <t xml:space="preserve">VID</t>
  </si>
  <si>
    <t xml:space="preserve">Viễn Đông</t>
  </si>
  <si>
    <t xml:space="preserve">ICT</t>
  </si>
  <si>
    <t xml:space="preserve">Viễn thông - Tin học Bưu điện</t>
  </si>
  <si>
    <t xml:space="preserve">PTP</t>
  </si>
  <si>
    <t xml:space="preserve">Viễn Thông và In Bưu điện</t>
  </si>
  <si>
    <t xml:space="preserve">VTC</t>
  </si>
  <si>
    <t xml:space="preserve">Viễn thông VTC</t>
  </si>
  <si>
    <t xml:space="preserve">VTQ</t>
  </si>
  <si>
    <t xml:space="preserve">Việt Trung Quảng Bình</t>
  </si>
  <si>
    <t xml:space="preserve">DTC</t>
  </si>
  <si>
    <t xml:space="preserve">Viglacera Đông Triều</t>
  </si>
  <si>
    <t xml:space="preserve">VHL</t>
  </si>
  <si>
    <t xml:space="preserve">Viglacera Hạ Long</t>
  </si>
  <si>
    <t xml:space="preserve">VIT</t>
  </si>
  <si>
    <t xml:space="preserve">Viglacera Tiên Sơn</t>
  </si>
  <si>
    <t xml:space="preserve">VMK</t>
  </si>
  <si>
    <t xml:space="preserve">Vimarko</t>
  </si>
  <si>
    <t xml:space="preserve">VLG</t>
  </si>
  <si>
    <t xml:space="preserve">VIMC Logistics</t>
  </si>
  <si>
    <t xml:space="preserve">VMC</t>
  </si>
  <si>
    <t xml:space="preserve">VIMECO</t>
  </si>
  <si>
    <t xml:space="preserve">VMG</t>
  </si>
  <si>
    <t xml:space="preserve">Vimexco Gas</t>
  </si>
  <si>
    <t xml:space="preserve">VCF</t>
  </si>
  <si>
    <t xml:space="preserve">VinaCafé Biên Hòa</t>
  </si>
  <si>
    <t xml:space="preserve">VTE</t>
  </si>
  <si>
    <t xml:space="preserve">VINACAP Kim Long</t>
  </si>
  <si>
    <t xml:space="preserve">FUEMITEC</t>
  </si>
  <si>
    <t xml:space="preserve">VINACAPITAL VNMITECH</t>
  </si>
  <si>
    <t xml:space="preserve">CGV</t>
  </si>
  <si>
    <t xml:space="preserve">Vinaceglass JSC</t>
  </si>
  <si>
    <t xml:space="preserve">DTK</t>
  </si>
  <si>
    <t xml:space="preserve">Vinacomin Power</t>
  </si>
  <si>
    <t xml:space="preserve">VINACONEX</t>
  </si>
  <si>
    <t xml:space="preserve">V12</t>
  </si>
  <si>
    <t xml:space="preserve">VINACONEX 12</t>
  </si>
  <si>
    <t xml:space="preserve">V21</t>
  </si>
  <si>
    <t xml:space="preserve">Vinaconex 21</t>
  </si>
  <si>
    <t xml:space="preserve">VCC</t>
  </si>
  <si>
    <t xml:space="preserve">Vinaconex 25</t>
  </si>
  <si>
    <t xml:space="preserve">PVV</t>
  </si>
  <si>
    <t xml:space="preserve">Vinaconex 39</t>
  </si>
  <si>
    <t xml:space="preserve">SGV</t>
  </si>
  <si>
    <t xml:space="preserve">Vinaconex Sài Gòn</t>
  </si>
  <si>
    <t xml:space="preserve">VNC</t>
  </si>
  <si>
    <t xml:space="preserve">VINACONTROL</t>
  </si>
  <si>
    <t xml:space="preserve">VSF</t>
  </si>
  <si>
    <t xml:space="preserve">Vinafood 2</t>
  </si>
  <si>
    <t xml:space="preserve">VNF</t>
  </si>
  <si>
    <t xml:space="preserve">VINAFREIGHT</t>
  </si>
  <si>
    <t xml:space="preserve">VNL</t>
  </si>
  <si>
    <t xml:space="preserve">Vinalink Logistics</t>
  </si>
  <si>
    <t xml:space="preserve">CVN</t>
  </si>
  <si>
    <t xml:space="preserve">Vinam Group</t>
  </si>
  <si>
    <t xml:space="preserve">VINAMILK</t>
  </si>
  <si>
    <t xml:space="preserve">VPR</t>
  </si>
  <si>
    <t xml:space="preserve">VINAPRINT</t>
  </si>
  <si>
    <t xml:space="preserve">VGT</t>
  </si>
  <si>
    <t xml:space="preserve">VINATEX</t>
  </si>
  <si>
    <t xml:space="preserve">VDN</t>
  </si>
  <si>
    <t xml:space="preserve">Vinatex Đà Nẵng</t>
  </si>
  <si>
    <t xml:space="preserve">Vincom Retail</t>
  </si>
  <si>
    <t xml:space="preserve">VinGroup</t>
  </si>
  <si>
    <t xml:space="preserve">Vinhomes</t>
  </si>
  <si>
    <t xml:space="preserve">VPL</t>
  </si>
  <si>
    <t xml:space="preserve">Vinpearl</t>
  </si>
  <si>
    <t xml:space="preserve">VC6</t>
  </si>
  <si>
    <t xml:space="preserve">Visicons</t>
  </si>
  <si>
    <t xml:space="preserve">VTO</t>
  </si>
  <si>
    <t xml:space="preserve">VITACO</t>
  </si>
  <si>
    <t xml:space="preserve">VAV</t>
  </si>
  <si>
    <t xml:space="preserve">VIWACO</t>
  </si>
  <si>
    <t xml:space="preserve">VW1</t>
  </si>
  <si>
    <t xml:space="preserve">Viwaseen.1</t>
  </si>
  <si>
    <t xml:space="preserve">VW3</t>
  </si>
  <si>
    <t xml:space="preserve">VIWASEEN.3</t>
  </si>
  <si>
    <t xml:space="preserve">VKC</t>
  </si>
  <si>
    <t xml:space="preserve">VKC Holdings</t>
  </si>
  <si>
    <t xml:space="preserve">MVC</t>
  </si>
  <si>
    <t xml:space="preserve">VL và XD Bình Dương</t>
  </si>
  <si>
    <t xml:space="preserve">VXB</t>
  </si>
  <si>
    <t xml:space="preserve">VLXD Bến Tre</t>
  </si>
  <si>
    <t xml:space="preserve">VLB</t>
  </si>
  <si>
    <t xml:space="preserve">VLXD Biên Hòa</t>
  </si>
  <si>
    <t xml:space="preserve">PCM</t>
  </si>
  <si>
    <t xml:space="preserve">VLXD Bưu điện</t>
  </si>
  <si>
    <t xml:space="preserve">CDG</t>
  </si>
  <si>
    <t xml:space="preserve">VLXD Cầu Đuống</t>
  </si>
  <si>
    <t xml:space="preserve">BDT</t>
  </si>
  <si>
    <t xml:space="preserve">VLXD Đồng Tháp</t>
  </si>
  <si>
    <t xml:space="preserve">FIC</t>
  </si>
  <si>
    <t xml:space="preserve">VLXD số 1</t>
  </si>
  <si>
    <t xml:space="preserve">BMF</t>
  </si>
  <si>
    <t xml:space="preserve">VLXD và Chất đốt Đồng Nai</t>
  </si>
  <si>
    <t xml:space="preserve">CMD</t>
  </si>
  <si>
    <t xml:space="preserve">VLXD và Nội thất TP.HCM</t>
  </si>
  <si>
    <t xml:space="preserve">VSN</t>
  </si>
  <si>
    <t xml:space="preserve">VN Kỹ Nghệ Súc Sản (VISSAN)</t>
  </si>
  <si>
    <t xml:space="preserve">VE1</t>
  </si>
  <si>
    <t xml:space="preserve">VNECO 1</t>
  </si>
  <si>
    <t xml:space="preserve">VE9</t>
  </si>
  <si>
    <t xml:space="preserve">VNECO 9</t>
  </si>
  <si>
    <t xml:space="preserve">VPBank</t>
  </si>
  <si>
    <t xml:space="preserve">PTX</t>
  </si>
  <si>
    <t xml:space="preserve">VT Petrolimex Nghệ Tĩnh</t>
  </si>
  <si>
    <t xml:space="preserve">RAT</t>
  </si>
  <si>
    <t xml:space="preserve">VT và TM Đường sắt</t>
  </si>
  <si>
    <t xml:space="preserve">XPH</t>
  </si>
  <si>
    <t xml:space="preserve">Xà phòng Hà Nội</t>
  </si>
  <si>
    <t xml:space="preserve">PND</t>
  </si>
  <si>
    <t xml:space="preserve">Xăng dầu Dầu khí Nam Định</t>
  </si>
  <si>
    <t xml:space="preserve">PPY</t>
  </si>
  <si>
    <t xml:space="preserve">Xăng dầu dầu khí Phú Yên</t>
  </si>
  <si>
    <t xml:space="preserve">HFC</t>
  </si>
  <si>
    <t xml:space="preserve">Xăng dầu HFC</t>
  </si>
  <si>
    <t xml:space="preserve">C69</t>
  </si>
  <si>
    <t xml:space="preserve">Xây dựng 1369</t>
  </si>
  <si>
    <t xml:space="preserve">C47</t>
  </si>
  <si>
    <t xml:space="preserve">Xây dựng 47</t>
  </si>
  <si>
    <t xml:space="preserve">AMS</t>
  </si>
  <si>
    <t xml:space="preserve">Xây dựng AMECC</t>
  </si>
  <si>
    <t xml:space="preserve">CDR</t>
  </si>
  <si>
    <t xml:space="preserve">Xây dựng Cao su Đồng Nai</t>
  </si>
  <si>
    <t xml:space="preserve">CCC</t>
  </si>
  <si>
    <t xml:space="preserve">Xây Dựng CDC</t>
  </si>
  <si>
    <t xml:space="preserve">CIG</t>
  </si>
  <si>
    <t xml:space="preserve">Xây dựng COMA 18</t>
  </si>
  <si>
    <t xml:space="preserve">CNN</t>
  </si>
  <si>
    <t xml:space="preserve">Xây dựng Coninco</t>
  </si>
  <si>
    <t xml:space="preserve">Xây dựng Coteccons</t>
  </si>
  <si>
    <t xml:space="preserve">ICC</t>
  </si>
  <si>
    <t xml:space="preserve">Xây dựng công nghiệp</t>
  </si>
  <si>
    <t xml:space="preserve">CT3</t>
  </si>
  <si>
    <t xml:space="preserve">Xây dựng công trình 3</t>
  </si>
  <si>
    <t xml:space="preserve">PTO</t>
  </si>
  <si>
    <t xml:space="preserve">Xây dựng Công trình Bưu điện</t>
  </si>
  <si>
    <t xml:space="preserve">VNE</t>
  </si>
  <si>
    <t xml:space="preserve">Xây dựng điện Việt Nam</t>
  </si>
  <si>
    <t xml:space="preserve">VE2</t>
  </si>
  <si>
    <t xml:space="preserve">Xây dựng Điện VNECO 2</t>
  </si>
  <si>
    <t xml:space="preserve">VE3</t>
  </si>
  <si>
    <t xml:space="preserve">Xây dựng điện VNECO 3</t>
  </si>
  <si>
    <t xml:space="preserve">VE8</t>
  </si>
  <si>
    <t xml:space="preserve">Xây dựng Điện Vneco 8</t>
  </si>
  <si>
    <t xml:space="preserve">VE4</t>
  </si>
  <si>
    <t xml:space="preserve">Xây dựng điện VNECO4</t>
  </si>
  <si>
    <t xml:space="preserve">HAN</t>
  </si>
  <si>
    <t xml:space="preserve">Xây dựng Hà Nội</t>
  </si>
  <si>
    <t xml:space="preserve">HU1</t>
  </si>
  <si>
    <t xml:space="preserve">Xây dựng HUD1</t>
  </si>
  <si>
    <t xml:space="preserve">H11</t>
  </si>
  <si>
    <t xml:space="preserve">Xây dựng HUD101</t>
  </si>
  <si>
    <t xml:space="preserve">HU3</t>
  </si>
  <si>
    <t xml:space="preserve">Xây dựng HUD3</t>
  </si>
  <si>
    <t xml:space="preserve">MDG</t>
  </si>
  <si>
    <t xml:space="preserve">Xây dựng Miền Đông</t>
  </si>
  <si>
    <t xml:space="preserve">PHC</t>
  </si>
  <si>
    <t xml:space="preserve">Xây dựng Phục Hưng Holdings</t>
  </si>
  <si>
    <t xml:space="preserve">SCG</t>
  </si>
  <si>
    <t xml:space="preserve">Xây dựng SCG</t>
  </si>
  <si>
    <t xml:space="preserve">VC1</t>
  </si>
  <si>
    <t xml:space="preserve">Xây dựng số 1</t>
  </si>
  <si>
    <t xml:space="preserve">HC1</t>
  </si>
  <si>
    <t xml:space="preserve">Xây dựng số 1 Hà Nội</t>
  </si>
  <si>
    <t xml:space="preserve">HC3</t>
  </si>
  <si>
    <t xml:space="preserve">Xây dựng số 3 Hải Phòng</t>
  </si>
  <si>
    <t xml:space="preserve">V45</t>
  </si>
  <si>
    <t xml:space="preserve">Xây dựng số 45</t>
  </si>
  <si>
    <t xml:space="preserve">SC5</t>
  </si>
  <si>
    <t xml:space="preserve">Xây dựng Số 5</t>
  </si>
  <si>
    <t xml:space="preserve">CH5</t>
  </si>
  <si>
    <t xml:space="preserve">Xây dựng số 5 Hà Nội</t>
  </si>
  <si>
    <t xml:space="preserve">VC9</t>
  </si>
  <si>
    <t xml:space="preserve">Xây dựng số 9</t>
  </si>
  <si>
    <t xml:space="preserve">ICG</t>
  </si>
  <si>
    <t xml:space="preserve">Xây dựng Sông Hồng</t>
  </si>
  <si>
    <t xml:space="preserve">TTZ</t>
  </si>
  <si>
    <t xml:space="preserve">Xây dựng Tiến Trung</t>
  </si>
  <si>
    <t xml:space="preserve">TDF</t>
  </si>
  <si>
    <t xml:space="preserve">Xây dựng Trung Đô</t>
  </si>
  <si>
    <t xml:space="preserve">C92</t>
  </si>
  <si>
    <t xml:space="preserve">Xây dựng và Đầu tư 492</t>
  </si>
  <si>
    <t xml:space="preserve">VCP</t>
  </si>
  <si>
    <t xml:space="preserve">Xây dựng và Năng lượng VCP</t>
  </si>
  <si>
    <t xml:space="preserve">CID</t>
  </si>
  <si>
    <t xml:space="preserve">Xây dựng và Phát triển Cơ sở Hạ tầng</t>
  </si>
  <si>
    <t xml:space="preserve">PCC</t>
  </si>
  <si>
    <t xml:space="preserve">Xây lắp 1- Petrolimex</t>
  </si>
  <si>
    <t xml:space="preserve">IME</t>
  </si>
  <si>
    <t xml:space="preserve">Xây lắp Công nghiệp</t>
  </si>
  <si>
    <t xml:space="preserve">PXM</t>
  </si>
  <si>
    <t xml:space="preserve">Xây lắp Dầu khí Miền Trung</t>
  </si>
  <si>
    <t xml:space="preserve">PVH</t>
  </si>
  <si>
    <t xml:space="preserve">Xây lắp Dầu khí Thanh Hóa</t>
  </si>
  <si>
    <t xml:space="preserve">PVX</t>
  </si>
  <si>
    <t xml:space="preserve">Xây lắp Dầu khí Việt Nam</t>
  </si>
  <si>
    <t xml:space="preserve">PXT</t>
  </si>
  <si>
    <t xml:space="preserve">Xây lắp Đường ống Dầu khí</t>
  </si>
  <si>
    <t xml:space="preserve">HUB</t>
  </si>
  <si>
    <t xml:space="preserve">Xây lắp Huế</t>
  </si>
  <si>
    <t xml:space="preserve">PEN</t>
  </si>
  <si>
    <t xml:space="preserve">Xây lắp III Petrolimex</t>
  </si>
  <si>
    <t xml:space="preserve">VCE</t>
  </si>
  <si>
    <t xml:space="preserve">Xây lắp Môi trường</t>
  </si>
  <si>
    <t xml:space="preserve">SDD</t>
  </si>
  <si>
    <t xml:space="preserve">Xây lắp Sông Đà</t>
  </si>
  <si>
    <t xml:space="preserve">THO</t>
  </si>
  <si>
    <t xml:space="preserve">Xây Lắp Tây Hồ</t>
  </si>
  <si>
    <t xml:space="preserve">TA9</t>
  </si>
  <si>
    <t xml:space="preserve">Xây lắp Thành An 96</t>
  </si>
  <si>
    <t xml:space="preserve">ACS</t>
  </si>
  <si>
    <t xml:space="preserve">Xây lắp Thương mại 2</t>
  </si>
  <si>
    <t xml:space="preserve">RCD</t>
  </si>
  <si>
    <t xml:space="preserve">XD - Địa ốc Cao su</t>
  </si>
  <si>
    <t xml:space="preserve">HMS</t>
  </si>
  <si>
    <t xml:space="preserve">XD Bảo tàng Hồ Chí Minh</t>
  </si>
  <si>
    <t xml:space="preserve">CCV</t>
  </si>
  <si>
    <t xml:space="preserve">XD CN và đô thị Việt Nam</t>
  </si>
  <si>
    <t xml:space="preserve">VVN</t>
  </si>
  <si>
    <t xml:space="preserve">XD Công nghiệp Việt Nam</t>
  </si>
  <si>
    <t xml:space="preserve">ICN</t>
  </si>
  <si>
    <t xml:space="preserve">XD Dầu Khí IDICO</t>
  </si>
  <si>
    <t xml:space="preserve">E12</t>
  </si>
  <si>
    <t xml:space="preserve">XD Điện VNECO 12</t>
  </si>
  <si>
    <t xml:space="preserve">TVG</t>
  </si>
  <si>
    <t xml:space="preserve">XD Giao thông Vận tải</t>
  </si>
  <si>
    <t xml:space="preserve">LAI</t>
  </si>
  <si>
    <t xml:space="preserve">XD Long An IDICO</t>
  </si>
  <si>
    <t xml:space="preserve">TL4</t>
  </si>
  <si>
    <t xml:space="preserve">XD Thủy lợi 4</t>
  </si>
  <si>
    <t xml:space="preserve">LHC</t>
  </si>
  <si>
    <t xml:space="preserve">XD Thủy lợi Lâm Đồng</t>
  </si>
  <si>
    <t xml:space="preserve">THG</t>
  </si>
  <si>
    <t xml:space="preserve">XD Tiền Giang</t>
  </si>
  <si>
    <t xml:space="preserve">CCD</t>
  </si>
  <si>
    <t xml:space="preserve">XD và Bảo trì cầu đường</t>
  </si>
  <si>
    <t xml:space="preserve">REN</t>
  </si>
  <si>
    <t xml:space="preserve">XD và ĐT Khu du lịch Sinh Thái</t>
  </si>
  <si>
    <t xml:space="preserve">BCE</t>
  </si>
  <si>
    <t xml:space="preserve">XD và GT Bình Dương</t>
  </si>
  <si>
    <t xml:space="preserve">TTA</t>
  </si>
  <si>
    <t xml:space="preserve">XD và PT Trường Thành</t>
  </si>
  <si>
    <t xml:space="preserve">DCF</t>
  </si>
  <si>
    <t xml:space="preserve">XD và Thiết kế số 1</t>
  </si>
  <si>
    <t xml:space="preserve">DND</t>
  </si>
  <si>
    <t xml:space="preserve">XD và Vật liệu Đồng Nai</t>
  </si>
  <si>
    <t xml:space="preserve">BLN</t>
  </si>
  <si>
    <t xml:space="preserve">Xe buýt Liên Ninh</t>
  </si>
  <si>
    <t xml:space="preserve">BSG</t>
  </si>
  <si>
    <t xml:space="preserve">Xe khách Sài Gòn</t>
  </si>
  <si>
    <t xml:space="preserve">BCC</t>
  </si>
  <si>
    <t xml:space="preserve">Xi măng Bỉm Sơn</t>
  </si>
  <si>
    <t xml:space="preserve">BTS</t>
  </si>
  <si>
    <t xml:space="preserve">Xi măng Bút Sơn</t>
  </si>
  <si>
    <t xml:space="preserve">CCM</t>
  </si>
  <si>
    <t xml:space="preserve">Xi măng Cần Thơ</t>
  </si>
  <si>
    <t xml:space="preserve">HNC</t>
  </si>
  <si>
    <t xml:space="preserve">Xi măng Hữu Nghị</t>
  </si>
  <si>
    <t xml:space="preserve">CLH</t>
  </si>
  <si>
    <t xml:space="preserve">Xi măng La Hiên</t>
  </si>
  <si>
    <t xml:space="preserve">PTE</t>
  </si>
  <si>
    <t xml:space="preserve">Xi măng Phú Thọ</t>
  </si>
  <si>
    <t xml:space="preserve">CQT</t>
  </si>
  <si>
    <t xml:space="preserve">Xi măng Quán Triều VVMI</t>
  </si>
  <si>
    <t xml:space="preserve">QNC</t>
  </si>
  <si>
    <t xml:space="preserve">Xi măng Quảng Ninh</t>
  </si>
  <si>
    <t xml:space="preserve">SCJ</t>
  </si>
  <si>
    <t xml:space="preserve">Xi măng Sài Sơn</t>
  </si>
  <si>
    <t xml:space="preserve">SDY</t>
  </si>
  <si>
    <t xml:space="preserve">Xi măng Sông Đà Yaly</t>
  </si>
  <si>
    <t xml:space="preserve">YBC</t>
  </si>
  <si>
    <t xml:space="preserve">Xi măng và Khoáng sản Yên Bái</t>
  </si>
  <si>
    <t xml:space="preserve">HVX</t>
  </si>
  <si>
    <t xml:space="preserve">Xi măng Vicem Hải Vân</t>
  </si>
  <si>
    <t xml:space="preserve">HOM</t>
  </si>
  <si>
    <t xml:space="preserve">Xi măng VICEM Hoàng Mai</t>
  </si>
  <si>
    <t xml:space="preserve">VCX</t>
  </si>
  <si>
    <t xml:space="preserve">Xi măng Yên Bình</t>
  </si>
  <si>
    <t xml:space="preserve">DFC</t>
  </si>
  <si>
    <t xml:space="preserve">Xích líp Đông Anh</t>
  </si>
  <si>
    <t xml:space="preserve">SDA</t>
  </si>
  <si>
    <t xml:space="preserve">XKLĐ Sông Đà</t>
  </si>
  <si>
    <t xml:space="preserve">PXI</t>
  </si>
  <si>
    <t xml:space="preserve">XL CN và dân dụng Dầu khí</t>
  </si>
  <si>
    <t xml:space="preserve">PXK</t>
  </si>
  <si>
    <t xml:space="preserve">XL dầu khí Kinh Bắc</t>
  </si>
  <si>
    <t xml:space="preserve">XLV</t>
  </si>
  <si>
    <t xml:space="preserve">XL và DV Sông Đà</t>
  </si>
  <si>
    <t xml:space="preserve">CIP</t>
  </si>
  <si>
    <t xml:space="preserve">XL và SX công nghiệp</t>
  </si>
  <si>
    <t xml:space="preserve">AGM</t>
  </si>
  <si>
    <t xml:space="preserve">XNK An Giang</t>
  </si>
  <si>
    <t xml:space="preserve">GIL</t>
  </si>
  <si>
    <t xml:space="preserve">XNK Bình Thạnh</t>
  </si>
  <si>
    <t xml:space="preserve">ARM</t>
  </si>
  <si>
    <t xml:space="preserve">XNK Hàng không</t>
  </si>
  <si>
    <t xml:space="preserve">KVC</t>
  </si>
  <si>
    <t xml:space="preserve">XNK Inox Kim Vĩ</t>
  </si>
  <si>
    <t xml:space="preserve">KGM</t>
  </si>
  <si>
    <t xml:space="preserve">XNK Kiên Giang</t>
  </si>
  <si>
    <t xml:space="preserve">FHN</t>
  </si>
  <si>
    <t xml:space="preserve">XNK lương thực Hà Nội</t>
  </si>
  <si>
    <t xml:space="preserve">AFX</t>
  </si>
  <si>
    <t xml:space="preserve">XNK Nông sản Thực phẩm An Giang</t>
  </si>
  <si>
    <t xml:space="preserve">PIT</t>
  </si>
  <si>
    <t xml:space="preserve">XNK PETROLIMEX</t>
  </si>
  <si>
    <t xml:space="preserve">HFX</t>
  </si>
  <si>
    <t xml:space="preserve">XNK Thanh Hà</t>
  </si>
  <si>
    <t xml:space="preserve">TNA</t>
  </si>
  <si>
    <t xml:space="preserve">XNK Thiên Nam</t>
  </si>
  <si>
    <t xml:space="preserve">TMC</t>
  </si>
  <si>
    <t xml:space="preserve">XNK Thủ Đức</t>
  </si>
  <si>
    <t xml:space="preserve">CCA</t>
  </si>
  <si>
    <t xml:space="preserve">XNK Thuỷ sản Cần Thơ</t>
  </si>
  <si>
    <t xml:space="preserve">SPH</t>
  </si>
  <si>
    <t xml:space="preserve">XNK Thủy sản Hà Nội</t>
  </si>
  <si>
    <t xml:space="preserve">TH1</t>
  </si>
  <si>
    <t xml:space="preserve">XNK Tổng hợp 1</t>
  </si>
  <si>
    <t xml:space="preserve">CLX</t>
  </si>
  <si>
    <t xml:space="preserve">XNK và ĐT Chợ Lớn (CHOLIMEX)</t>
  </si>
  <si>
    <t xml:space="preserve">YTC</t>
  </si>
  <si>
    <t xml:space="preserve">XNK Y tế TP.HCM</t>
  </si>
  <si>
    <t xml:space="preserve">XMD</t>
  </si>
  <si>
    <t xml:space="preserve">Xuân Mai - Đạo Tú</t>
  </si>
  <si>
    <t xml:space="preserve">CAF</t>
  </si>
  <si>
    <t xml:space="preserve">Xuất nhập khẩu Nông Sản Thực Phẩm Cà Mau</t>
  </si>
  <si>
    <t xml:space="preserve">QBS</t>
  </si>
  <si>
    <t xml:space="preserve">Xuất nhập khẩu Quảng Bình</t>
  </si>
  <si>
    <t xml:space="preserve">CLM</t>
  </si>
  <si>
    <t xml:space="preserve">Xuất nhập khẩu Than - Vinacomin</t>
  </si>
  <si>
    <t xml:space="preserve">ICL</t>
  </si>
  <si>
    <t xml:space="preserve">Xuất Nhập Khẩu Vĩnh Long</t>
  </si>
  <si>
    <t xml:space="preserve">VMD</t>
  </si>
  <si>
    <t xml:space="preserve">Y Dược phẩm Vimedimex</t>
  </si>
  <si>
    <t xml:space="preserve">DNM</t>
  </si>
  <si>
    <t xml:space="preserve">Y tế Danameco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</si>
</sst>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mm/dd/yyyy"/>
    <numFmt numFmtId="167" formatCode="_(* #,##0_);_(* \(#,##0\);_(* \-??_);_(@_)"/>
    <numFmt numFmtId="168" formatCode="0%"/>
    <numFmt numFmtId="169" formatCode="0.00%"/>
    <numFmt numFmtId="170" formatCode="0.0"/>
    <numFmt numFmtId="171" formatCode="@"/>
    <numFmt numFmtId="172" formatCode="#,##0"/>
    <numFmt numFmtId="173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i val="true"/>
      <sz val="10"/>
      <color theme="0"/>
      <name val="Arial"/>
      <family val="2"/>
      <charset val="1"/>
    </font>
    <font>
      <sz val="10"/>
      <color rgb="FF00206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002060"/>
      </left>
      <right/>
      <top style="thin">
        <color rgb="FF002060"/>
      </top>
      <bottom/>
      <diagonal/>
    </border>
    <border diagonalUp="false" diagonalDown="false">
      <left/>
      <right/>
      <top style="thin">
        <color rgb="FF002060"/>
      </top>
      <bottom/>
      <diagonal/>
    </border>
    <border diagonalUp="false" diagonalDown="false">
      <left/>
      <right style="thin">
        <color theme="8"/>
      </right>
      <top style="thin">
        <color rgb="FF002060"/>
      </top>
      <bottom/>
      <diagonal/>
    </border>
    <border diagonalUp="false" diagonalDown="false">
      <left style="thin">
        <color rgb="FF002060"/>
      </left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6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0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Hyperlink 2" xfId="22"/>
    <cellStyle name="Normal 2" xfId="23"/>
  </cellStyles>
  <dxfs count="8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1" name="Graphic 1"/>
        <xdr:cNvPicPr/>
      </xdr:nvPicPr>
      <xdr:blipFill>
        <a:blip r:embed="rId1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2" name="Graphic 2"/>
        <xdr:cNvPicPr/>
      </xdr:nvPicPr>
      <xdr:blipFill>
        <a:blip r:embed="rId2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3" name="Graphic 3"/>
        <xdr:cNvPicPr/>
      </xdr:nvPicPr>
      <xdr:blipFill>
        <a:blip r:embed="rId3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4" name="Graphic 4"/>
        <xdr:cNvPicPr/>
      </xdr:nvPicPr>
      <xdr:blipFill>
        <a:blip r:embed="rId4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5" name="Graphic 5"/>
        <xdr:cNvPicPr/>
      </xdr:nvPicPr>
      <xdr:blipFill>
        <a:blip r:embed="rId5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6" name="Graphic 6"/>
        <xdr:cNvPicPr/>
      </xdr:nvPicPr>
      <xdr:blipFill>
        <a:blip r:embed="rId6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7" name="Graphic 7"/>
        <xdr:cNvPicPr/>
      </xdr:nvPicPr>
      <xdr:blipFill>
        <a:blip r:embed="rId7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8" name="Graphic 8"/>
        <xdr:cNvPicPr/>
      </xdr:nvPicPr>
      <xdr:blipFill>
        <a:blip r:embed="rId8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9" name="Graphic 9"/>
        <xdr:cNvPicPr/>
      </xdr:nvPicPr>
      <xdr:blipFill>
        <a:blip r:embed="rId9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10" name="Graphic 10"/>
        <xdr:cNvPicPr/>
      </xdr:nvPicPr>
      <xdr:blipFill>
        <a:blip r:embed="rId10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11" name="Graphic 11"/>
        <xdr:cNvPicPr/>
      </xdr:nvPicPr>
      <xdr:blipFill>
        <a:blip r:embed="rId11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12" name="Graphic 14"/>
        <xdr:cNvPicPr/>
      </xdr:nvPicPr>
      <xdr:blipFill>
        <a:blip r:embed="rId12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514800</xdr:colOff>
      <xdr:row>3</xdr:row>
      <xdr:rowOff>266400</xdr:rowOff>
    </xdr:to>
    <xdr:pic>
      <xdr:nvPicPr>
        <xdr:cNvPr id="13" name="Graphic 12"/>
        <xdr:cNvPicPr/>
      </xdr:nvPicPr>
      <xdr:blipFill>
        <a:blip r:embed="rId13"/>
        <a:stretch/>
      </xdr:blipFill>
      <xdr:spPr>
        <a:xfrm>
          <a:off x="76320" y="66600"/>
          <a:ext cx="24001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781200</xdr:colOff>
      <xdr:row>3</xdr:row>
      <xdr:rowOff>266400</xdr:rowOff>
    </xdr:to>
    <xdr:pic>
      <xdr:nvPicPr>
        <xdr:cNvPr id="14" name="Graphic 13"/>
        <xdr:cNvPicPr/>
      </xdr:nvPicPr>
      <xdr:blipFill>
        <a:blip r:embed="rId14"/>
        <a:stretch/>
      </xdr:blipFill>
      <xdr:spPr>
        <a:xfrm>
          <a:off x="76320" y="66600"/>
          <a:ext cx="26665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781200</xdr:colOff>
      <xdr:row>3</xdr:row>
      <xdr:rowOff>266400</xdr:rowOff>
    </xdr:to>
    <xdr:pic>
      <xdr:nvPicPr>
        <xdr:cNvPr id="15" name="Graphic 15"/>
        <xdr:cNvPicPr/>
      </xdr:nvPicPr>
      <xdr:blipFill>
        <a:blip r:embed="rId15"/>
        <a:stretch/>
      </xdr:blipFill>
      <xdr:spPr>
        <a:xfrm>
          <a:off x="76320" y="66600"/>
          <a:ext cx="26665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781200</xdr:colOff>
      <xdr:row>3</xdr:row>
      <xdr:rowOff>266400</xdr:rowOff>
    </xdr:to>
    <xdr:pic>
      <xdr:nvPicPr>
        <xdr:cNvPr id="16" name="Graphic 16"/>
        <xdr:cNvPicPr/>
      </xdr:nvPicPr>
      <xdr:blipFill>
        <a:blip r:embed="rId16"/>
        <a:stretch/>
      </xdr:blipFill>
      <xdr:spPr>
        <a:xfrm>
          <a:off x="76320" y="66600"/>
          <a:ext cx="26665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0</xdr:row>
      <xdr:rowOff>66600</xdr:rowOff>
    </xdr:from>
    <xdr:to>
      <xdr:col>2</xdr:col>
      <xdr:colOff>781200</xdr:colOff>
      <xdr:row>3</xdr:row>
      <xdr:rowOff>266400</xdr:rowOff>
    </xdr:to>
    <xdr:pic>
      <xdr:nvPicPr>
        <xdr:cNvPr id="17" name="Graphic 17"/>
        <xdr:cNvPicPr/>
      </xdr:nvPicPr>
      <xdr:blipFill>
        <a:blip r:embed="rId17"/>
        <a:stretch/>
      </xdr:blipFill>
      <xdr:spPr>
        <a:xfrm>
          <a:off x="76320" y="66600"/>
          <a:ext cx="2666520" cy="580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false" showRowColHeaders="true" showZeros="true" rightToLeft="false" tabSelected="true" showOutlineSymbols="true" defaultGridColor="true" view="normal" topLeftCell="A1" colorId="64" zoomScale="157" zoomScaleNormal="157" zoomScalePageLayoutView="100" workbookViewId="0">
      <selection pane="topLeft" activeCell="B54" activeCellId="0" sqref="B54"/>
    </sheetView>
  </sheetViews>
  <sheetFormatPr defaultColWidth="9.1640625" defaultRowHeight="12.75" customHeight="false" zeroHeight="false" outlineLevelRow="0" outlineLevelCol="0"/>
  <cols>
    <col collapsed="false" customWidth="true" hidden="false" outlineLevel="0" max="1" min="1" style="1" width="4.67"/>
    <col collapsed="false" customWidth="true" hidden="false" outlineLevel="0" max="2" min="2" style="1" width="9.33"/>
    <col collapsed="false" customWidth="true" hidden="false" outlineLevel="0" max="3" min="3" style="2" width="12"/>
    <col collapsed="false" customWidth="true" hidden="false" outlineLevel="0" max="8" min="4" style="2" width="11.16"/>
    <col collapsed="false" customWidth="false" hidden="false" outlineLevel="0" max="16384" min="9" style="2" width="9.16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</row>
    <row r="2" customFormat="false" ht="12.75" hidden="false" customHeight="true" outlineLevel="0" collapsed="false">
      <c r="A2" s="3"/>
      <c r="B2" s="4"/>
      <c r="C2" s="4"/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5"/>
      <c r="J2" s="5"/>
      <c r="K2" s="5"/>
      <c r="L2" s="5"/>
      <c r="M2" s="5"/>
      <c r="N2" s="5"/>
      <c r="O2" s="5"/>
      <c r="P2" s="5"/>
    </row>
    <row r="3" customFormat="false" ht="12.75" hidden="false" customHeight="true" outlineLevel="0" collapsed="false">
      <c r="A3" s="7"/>
      <c r="B3" s="8"/>
      <c r="C3" s="9" t="s">
        <v>17</v>
      </c>
      <c r="D3" s="8" t="s">
        <v>18</v>
      </c>
      <c r="E3" s="8" t="s">
        <v>18</v>
      </c>
      <c r="F3" s="8" t="s">
        <v>18</v>
      </c>
      <c r="G3" s="8" t="s">
        <v>18</v>
      </c>
      <c r="H3" s="8" t="s">
        <v>18</v>
      </c>
      <c r="I3" s="8" t="s">
        <v>19</v>
      </c>
      <c r="J3" s="8" t="s">
        <v>19</v>
      </c>
      <c r="K3" s="8" t="s">
        <v>18</v>
      </c>
      <c r="L3" s="8" t="s">
        <v>18</v>
      </c>
      <c r="M3" s="8"/>
      <c r="N3" s="8"/>
      <c r="O3" s="8"/>
      <c r="P3" s="8"/>
    </row>
    <row r="4" customFormat="false" ht="12.75" hidden="false" customHeight="false" outlineLevel="0" collapsed="false">
      <c r="A4" s="10" t="n">
        <v>64</v>
      </c>
      <c r="B4" s="11" t="s">
        <v>20</v>
      </c>
      <c r="C4" s="12" t="n">
        <f aca="false">VLOOKUP($B4,'Cập nhật giá'!$B$9:$Q$1603,4,FALSE())</f>
        <v>36000</v>
      </c>
      <c r="D4" s="13" t="n">
        <f aca="false">VLOOKUP($B4,'Cập nhật giá'!$B$9:$Q$1603,8,FALSE())</f>
        <v>0.161290322580645</v>
      </c>
      <c r="E4" s="13" t="n">
        <f aca="false">VLOOKUP($B4,'Cập nhật giá'!$B$9:$Q$1603,9,FALSE())</f>
        <v>-0.291338582677165</v>
      </c>
      <c r="F4" s="13" t="n">
        <f aca="false">VLOOKUP($B4,'Cập nhật giá'!$B$9:$Q$1603,10,FALSE())</f>
        <v>-0.437930948880288</v>
      </c>
      <c r="G4" s="13" t="n">
        <f aca="false">C4/M4-1</f>
        <v>-0.57482440838588</v>
      </c>
      <c r="H4" s="13" t="n">
        <f aca="false">C4/N4-1</f>
        <v>0.170731707317073</v>
      </c>
      <c r="I4" s="14" t="n">
        <f aca="false">VLOOKUP($B4,'Cập nhật giá'!$B$9:$Q$1603,11,FALSE())</f>
        <v>6.35</v>
      </c>
      <c r="J4" s="15" t="n">
        <f aca="false">VLOOKUP($B4,'Cập nhật giá'!$B$9:$Q$1603,12,FALSE())</f>
        <v>1.33</v>
      </c>
      <c r="K4" s="16" t="n">
        <f aca="false">I4/O4-1</f>
        <v>-0.577230359520639</v>
      </c>
      <c r="L4" s="16" t="n">
        <f aca="false">J4/P4-1</f>
        <v>-0.559602649006623</v>
      </c>
      <c r="M4" s="17" t="n">
        <f aca="false">VLOOKUP($B4,'Cập nhật giá'!$B$9:$Q$1603,13,FALSE())</f>
        <v>84670.9</v>
      </c>
      <c r="N4" s="17" t="n">
        <f aca="false">VLOOKUP($B4,'Cập nhật giá'!$B$9:$Q$1603,14,FALSE())</f>
        <v>30750</v>
      </c>
      <c r="O4" s="15" t="n">
        <f aca="false">VLOOKUP($B4,'Cập nhật giá'!$B$9:$Q$1603,15,FALSE())</f>
        <v>15.02</v>
      </c>
      <c r="P4" s="18" t="n">
        <f aca="false">VLOOKUP($B4,'Cập nhật giá'!$B$9:$Q$1603,16,FALSE())</f>
        <v>3.02</v>
      </c>
    </row>
    <row r="5" customFormat="false" ht="12.75" hidden="false" customHeight="false" outlineLevel="0" collapsed="false">
      <c r="A5" s="19" t="n">
        <v>39</v>
      </c>
      <c r="B5" s="20" t="s">
        <v>21</v>
      </c>
      <c r="C5" s="17" t="n">
        <f aca="false">VLOOKUP($B5,'Cập nhật giá'!$B$9:$Q$1603,4,FALSE())</f>
        <v>44200</v>
      </c>
      <c r="D5" s="16" t="n">
        <f aca="false">VLOOKUP($B5,'Cập nhật giá'!$B$9:$Q$1603,8,FALSE())</f>
        <v>0.130434782608696</v>
      </c>
      <c r="E5" s="16" t="n">
        <f aca="false">VLOOKUP($B5,'Cập nhật giá'!$B$9:$Q$1603,9,FALSE())</f>
        <v>-0.0359869138495093</v>
      </c>
      <c r="F5" s="16" t="n">
        <f aca="false">VLOOKUP($B5,'Cập nhật giá'!$B$9:$Q$1603,10,FALSE())</f>
        <v>-0.354744525547445</v>
      </c>
      <c r="G5" s="16" t="n">
        <f aca="false">C5/M5-1</f>
        <v>-0.572446973993459</v>
      </c>
      <c r="H5" s="16" t="n">
        <f aca="false">C5/N5-1</f>
        <v>0.227777777777778</v>
      </c>
      <c r="I5" s="15" t="n">
        <f aca="false">VLOOKUP($B5,'Cập nhật giá'!$B$9:$Q$1603,11,FALSE())</f>
        <v>7.86</v>
      </c>
      <c r="J5" s="15" t="n">
        <f aca="false">VLOOKUP($B5,'Cập nhật giá'!$B$9:$Q$1603,12,FALSE())</f>
        <v>1.06</v>
      </c>
      <c r="K5" s="16" t="n">
        <f aca="false">I5/O5-1</f>
        <v>-0.293483146067416</v>
      </c>
      <c r="L5" s="16" t="n">
        <f aca="false">J5/P5-1</f>
        <v>-0.643097643097643</v>
      </c>
      <c r="M5" s="17" t="n">
        <f aca="false">VLOOKUP($B5,'Cập nhật giá'!$B$9:$Q$1603,13,FALSE())</f>
        <v>103378.99</v>
      </c>
      <c r="N5" s="17" t="n">
        <f aca="false">VLOOKUP($B5,'Cập nhật giá'!$B$9:$Q$1603,14,FALSE())</f>
        <v>36000</v>
      </c>
      <c r="O5" s="15" t="n">
        <f aca="false">VLOOKUP($B5,'Cập nhật giá'!$B$9:$Q$1603,15,FALSE())</f>
        <v>11.125</v>
      </c>
      <c r="P5" s="18" t="n">
        <f aca="false">VLOOKUP($B5,'Cập nhật giá'!$B$9:$Q$1603,16,FALSE())</f>
        <v>2.97</v>
      </c>
    </row>
    <row r="6" customFormat="false" ht="12.75" hidden="false" customHeight="false" outlineLevel="0" collapsed="false">
      <c r="A6" s="19" t="n">
        <v>33</v>
      </c>
      <c r="B6" s="20" t="s">
        <v>22</v>
      </c>
      <c r="C6" s="17" t="n">
        <f aca="false">VLOOKUP($B6,'Cập nhật giá'!$B$9:$Q$1603,4,FALSE())</f>
        <v>35950</v>
      </c>
      <c r="D6" s="16" t="n">
        <f aca="false">VLOOKUP($B6,'Cập nhật giá'!$B$9:$Q$1603,8,FALSE())</f>
        <v>0.118271783281106</v>
      </c>
      <c r="E6" s="16" t="n">
        <f aca="false">VLOOKUP($B6,'Cập nhật giá'!$B$9:$Q$1603,9,FALSE())</f>
        <v>0.0670043089759549</v>
      </c>
      <c r="F6" s="16" t="n">
        <f aca="false">VLOOKUP($B6,'Cập nhật giá'!$B$9:$Q$1603,10,FALSE())</f>
        <v>0.0549136085909581</v>
      </c>
      <c r="G6" s="16" t="n">
        <f aca="false">C6/M6-1</f>
        <v>-0.464194958514233</v>
      </c>
      <c r="H6" s="16" t="n">
        <f aca="false">C6/N6-1</f>
        <v>0.140534468093747</v>
      </c>
      <c r="I6" s="15" t="n">
        <f aca="false">VLOOKUP($B6,'Cập nhật giá'!$B$9:$Q$1603,11,FALSE())</f>
        <v>14.18</v>
      </c>
      <c r="J6" s="15" t="n">
        <f aca="false">VLOOKUP($B6,'Cập nhật giá'!$B$9:$Q$1603,12,FALSE())</f>
        <v>1.77</v>
      </c>
      <c r="K6" s="16" t="n">
        <f aca="false">I6/O6-1</f>
        <v>-0.322179732313576</v>
      </c>
      <c r="L6" s="16" t="n">
        <f aca="false">J6/P6-1</f>
        <v>-0.0923076923076923</v>
      </c>
      <c r="M6" s="17" t="n">
        <f aca="false">VLOOKUP($B6,'Cập nhật giá'!$B$9:$Q$1603,13,FALSE())</f>
        <v>67095.3</v>
      </c>
      <c r="N6" s="17" t="n">
        <f aca="false">VLOOKUP($B6,'Cập nhật giá'!$B$9:$Q$1603,14,FALSE())</f>
        <v>31520.31</v>
      </c>
      <c r="O6" s="15" t="n">
        <f aca="false">VLOOKUP($B6,'Cập nhật giá'!$B$9:$Q$1603,15,FALSE())</f>
        <v>20.92</v>
      </c>
      <c r="P6" s="18" t="n">
        <f aca="false">VLOOKUP($B6,'Cập nhật giá'!$B$9:$Q$1603,16,FALSE())</f>
        <v>1.95</v>
      </c>
    </row>
    <row r="7" customFormat="false" ht="12.75" hidden="false" customHeight="false" outlineLevel="0" collapsed="false">
      <c r="A7" s="19" t="n">
        <v>57</v>
      </c>
      <c r="B7" s="20" t="s">
        <v>23</v>
      </c>
      <c r="C7" s="17" t="n">
        <f aca="false">VLOOKUP($B7,'Cập nhật giá'!$B$9:$Q$1603,4,FALSE())</f>
        <v>24550</v>
      </c>
      <c r="D7" s="16" t="n">
        <f aca="false">VLOOKUP($B7,'Cập nhật giá'!$B$9:$Q$1603,8,FALSE())</f>
        <v>0.0911111111111111</v>
      </c>
      <c r="E7" s="16" t="n">
        <f aca="false">VLOOKUP($B7,'Cập nhật giá'!$B$9:$Q$1603,9,FALSE())</f>
        <v>-0.163543441226576</v>
      </c>
      <c r="F7" s="16" t="n">
        <f aca="false">VLOOKUP($B7,'Cập nhật giá'!$B$9:$Q$1603,10,FALSE())</f>
        <v>-0.183596644199778</v>
      </c>
      <c r="G7" s="16" t="n">
        <f aca="false">C7/M7-1</f>
        <v>-0.455731096133186</v>
      </c>
      <c r="H7" s="16" t="n">
        <f aca="false">C7/N7-1</f>
        <v>0.20935960591133</v>
      </c>
      <c r="I7" s="15" t="n">
        <f aca="false">VLOOKUP($B7,'Cập nhật giá'!$B$9:$Q$1603,11,FALSE())</f>
        <v>23.42</v>
      </c>
      <c r="J7" s="15" t="n">
        <f aca="false">VLOOKUP($B7,'Cập nhật giá'!$B$9:$Q$1603,12,FALSE())</f>
        <v>1.62</v>
      </c>
      <c r="K7" s="16" t="n">
        <f aca="false">I7/O7-1</f>
        <v>-0.0259929299230609</v>
      </c>
      <c r="L7" s="16" t="n">
        <f aca="false">J7/P7-1</f>
        <v>0.0188679245283019</v>
      </c>
      <c r="M7" s="17" t="n">
        <f aca="false">VLOOKUP($B7,'Cập nhật giá'!$B$9:$Q$1603,13,FALSE())</f>
        <v>45106.38</v>
      </c>
      <c r="N7" s="17" t="n">
        <f aca="false">VLOOKUP($B7,'Cập nhật giá'!$B$9:$Q$1603,14,FALSE())</f>
        <v>20300</v>
      </c>
      <c r="O7" s="15" t="n">
        <f aca="false">VLOOKUP($B7,'Cập nhật giá'!$B$9:$Q$1603,15,FALSE())</f>
        <v>24.045</v>
      </c>
      <c r="P7" s="18" t="n">
        <f aca="false">VLOOKUP($B7,'Cập nhật giá'!$B$9:$Q$1603,16,FALSE())</f>
        <v>1.59</v>
      </c>
    </row>
    <row r="8" customFormat="false" ht="12.75" hidden="false" customHeight="false" outlineLevel="0" collapsed="false">
      <c r="A8" s="19" t="n">
        <v>10</v>
      </c>
      <c r="B8" s="20" t="s">
        <v>24</v>
      </c>
      <c r="C8" s="17" t="n">
        <f aca="false">VLOOKUP($B8,'Cập nhật giá'!$B$9:$Q$1603,4,FALSE())</f>
        <v>74600</v>
      </c>
      <c r="D8" s="16" t="n">
        <f aca="false">VLOOKUP($B8,'Cập nhật giá'!$B$9:$Q$1603,8,FALSE())</f>
        <v>0.087463556851312</v>
      </c>
      <c r="E8" s="16" t="n">
        <f aca="false">VLOOKUP($B8,'Cập nhật giá'!$B$9:$Q$1603,9,FALSE())</f>
        <v>0.0108401084010841</v>
      </c>
      <c r="F8" s="16" t="n">
        <f aca="false">VLOOKUP($B8,'Cập nhật giá'!$B$9:$Q$1603,10,FALSE())</f>
        <v>0.0303867403314917</v>
      </c>
      <c r="G8" s="16" t="n">
        <f aca="false">C8/M8-1</f>
        <v>-0.42035742035742</v>
      </c>
      <c r="H8" s="16" t="n">
        <f aca="false">C8/N8-1</f>
        <v>0.332142857142857</v>
      </c>
      <c r="I8" s="15" t="n">
        <f aca="false">VLOOKUP($B8,'Cập nhật giá'!$B$9:$Q$1603,11,FALSE())</f>
        <v>14.17</v>
      </c>
      <c r="J8" s="15" t="n">
        <f aca="false">VLOOKUP($B8,'Cập nhật giá'!$B$9:$Q$1603,12,FALSE())</f>
        <v>2.62</v>
      </c>
      <c r="K8" s="16" t="n">
        <f aca="false">I8/O8-1</f>
        <v>-0.0884528787391444</v>
      </c>
      <c r="L8" s="16" t="n">
        <f aca="false">J8/P8-1</f>
        <v>-0.0934256055363322</v>
      </c>
      <c r="M8" s="17" t="n">
        <f aca="false">VLOOKUP($B8,'Cập nhật giá'!$B$9:$Q$1603,13,FALSE())</f>
        <v>128700</v>
      </c>
      <c r="N8" s="17" t="n">
        <f aca="false">VLOOKUP($B8,'Cập nhật giá'!$B$9:$Q$1603,14,FALSE())</f>
        <v>56000</v>
      </c>
      <c r="O8" s="15" t="n">
        <f aca="false">VLOOKUP($B8,'Cập nhật giá'!$B$9:$Q$1603,15,FALSE())</f>
        <v>15.545</v>
      </c>
      <c r="P8" s="18" t="n">
        <f aca="false">VLOOKUP($B8,'Cập nhật giá'!$B$9:$Q$1603,16,FALSE())</f>
        <v>2.89</v>
      </c>
    </row>
    <row r="9" customFormat="false" ht="12.75" hidden="false" customHeight="false" outlineLevel="0" collapsed="false">
      <c r="A9" s="19" t="n">
        <v>38</v>
      </c>
      <c r="B9" s="20" t="s">
        <v>25</v>
      </c>
      <c r="C9" s="17" t="n">
        <f aca="false">VLOOKUP($B9,'Cập nhật giá'!$B$9:$Q$1603,4,FALSE())</f>
        <v>29750</v>
      </c>
      <c r="D9" s="16" t="n">
        <f aca="false">VLOOKUP($B9,'Cập nhật giá'!$B$9:$Q$1603,8,FALSE())</f>
        <v>0.0818181818181818</v>
      </c>
      <c r="E9" s="16" t="n">
        <f aca="false">VLOOKUP($B9,'Cập nhật giá'!$B$9:$Q$1603,9,FALSE())</f>
        <v>-0.0540540540540541</v>
      </c>
      <c r="F9" s="16" t="n">
        <f aca="false">VLOOKUP($B9,'Cập nhật giá'!$B$9:$Q$1603,10,FALSE())</f>
        <v>0.135496183206107</v>
      </c>
      <c r="G9" s="16" t="n">
        <f aca="false">C9/M9-1</f>
        <v>-0.349726775956284</v>
      </c>
      <c r="H9" s="16" t="n">
        <f aca="false">C9/N9-1</f>
        <v>0.195068044563384</v>
      </c>
      <c r="I9" s="15" t="n">
        <f aca="false">VLOOKUP($B9,'Cập nhật giá'!$B$9:$Q$1603,11,FALSE())</f>
        <v>16.69</v>
      </c>
      <c r="J9" s="15" t="n">
        <f aca="false">VLOOKUP($B9,'Cập nhật giá'!$B$9:$Q$1603,12,FALSE())</f>
        <v>1.96</v>
      </c>
      <c r="K9" s="16" t="n">
        <f aca="false">I9/O9-1</f>
        <v>-0.359554873369148</v>
      </c>
      <c r="L9" s="16" t="n">
        <f aca="false">J9/P9-1</f>
        <v>-0.0967741935483871</v>
      </c>
      <c r="M9" s="17" t="n">
        <f aca="false">VLOOKUP($B9,'Cập nhật giá'!$B$9:$Q$1603,13,FALSE())</f>
        <v>45750</v>
      </c>
      <c r="N9" s="17" t="n">
        <f aca="false">VLOOKUP($B9,'Cập nhật giá'!$B$9:$Q$1603,14,FALSE())</f>
        <v>24893.98</v>
      </c>
      <c r="O9" s="15" t="n">
        <f aca="false">VLOOKUP($B9,'Cập nhật giá'!$B$9:$Q$1603,15,FALSE())</f>
        <v>26.06</v>
      </c>
      <c r="P9" s="18" t="n">
        <f aca="false">VLOOKUP($B9,'Cập nhật giá'!$B$9:$Q$1603,16,FALSE())</f>
        <v>2.17</v>
      </c>
    </row>
    <row r="10" customFormat="false" ht="12.75" hidden="false" customHeight="false" outlineLevel="0" collapsed="false">
      <c r="A10" s="19" t="n">
        <v>68</v>
      </c>
      <c r="B10" s="20" t="s">
        <v>26</v>
      </c>
      <c r="C10" s="17" t="n">
        <f aca="false">VLOOKUP($B10,'Cập nhật giá'!$B$9:$Q$1603,4,FALSE())</f>
        <v>38600</v>
      </c>
      <c r="D10" s="16" t="n">
        <f aca="false">VLOOKUP($B10,'Cập nhật giá'!$B$9:$Q$1603,8,FALSE())</f>
        <v>0.0812324929971988</v>
      </c>
      <c r="E10" s="16" t="n">
        <f aca="false">VLOOKUP($B10,'Cập nhật giá'!$B$9:$Q$1603,9,FALSE())</f>
        <v>-0.238658777120316</v>
      </c>
      <c r="F10" s="16" t="n">
        <f aca="false">VLOOKUP($B10,'Cập nhật giá'!$B$9:$Q$1603,10,FALSE())</f>
        <v>-0.364602777969824</v>
      </c>
      <c r="G10" s="16" t="n">
        <f aca="false">C10/M10-1</f>
        <v>-0.509155645981689</v>
      </c>
      <c r="H10" s="16" t="n">
        <f aca="false">C10/N10-1</f>
        <v>0.102857142857143</v>
      </c>
      <c r="I10" s="15" t="n">
        <f aca="false">VLOOKUP($B10,'Cập nhật giá'!$B$9:$Q$1603,11,FALSE())</f>
        <v>18.68</v>
      </c>
      <c r="J10" s="15" t="n">
        <f aca="false">VLOOKUP($B10,'Cập nhật giá'!$B$9:$Q$1603,12,FALSE())</f>
        <v>1.83</v>
      </c>
      <c r="K10" s="16" t="n">
        <f aca="false">I10/O10-1</f>
        <v>-0.352961551783859</v>
      </c>
      <c r="L10" s="16" t="n">
        <f aca="false">J10/P10-1</f>
        <v>-0.51004016064257</v>
      </c>
      <c r="M10" s="17" t="n">
        <f aca="false">VLOOKUP($B10,'Cập nhật giá'!$B$9:$Q$1603,13,FALSE())</f>
        <v>78640</v>
      </c>
      <c r="N10" s="17" t="n">
        <f aca="false">VLOOKUP($B10,'Cập nhật giá'!$B$9:$Q$1603,14,FALSE())</f>
        <v>35000</v>
      </c>
      <c r="O10" s="15" t="n">
        <f aca="false">VLOOKUP($B10,'Cập nhật giá'!$B$9:$Q$1603,15,FALSE())</f>
        <v>28.87</v>
      </c>
      <c r="P10" s="18" t="n">
        <f aca="false">VLOOKUP($B10,'Cập nhật giá'!$B$9:$Q$1603,16,FALSE())</f>
        <v>3.735</v>
      </c>
    </row>
    <row r="11" customFormat="false" ht="12.75" hidden="false" customHeight="false" outlineLevel="0" collapsed="false">
      <c r="A11" s="19" t="n">
        <v>36</v>
      </c>
      <c r="B11" s="20" t="s">
        <v>27</v>
      </c>
      <c r="C11" s="17" t="n">
        <f aca="false">VLOOKUP($B11,'Cập nhật giá'!$B$9:$Q$1603,4,FALSE())</f>
        <v>39400</v>
      </c>
      <c r="D11" s="16" t="n">
        <f aca="false">VLOOKUP($B11,'Cập nhật giá'!$B$9:$Q$1603,8,FALSE())</f>
        <v>0.0765027322404372</v>
      </c>
      <c r="E11" s="16" t="n">
        <f aca="false">VLOOKUP($B11,'Cập nhật giá'!$B$9:$Q$1603,9,FALSE())</f>
        <v>0</v>
      </c>
      <c r="F11" s="16" t="n">
        <f aca="false">VLOOKUP($B11,'Cập nhật giá'!$B$9:$Q$1603,10,FALSE())</f>
        <v>0.0347807131582611</v>
      </c>
      <c r="G11" s="16" t="n">
        <f aca="false">C11/M11-1</f>
        <v>-0.279349146193354</v>
      </c>
      <c r="H11" s="16" t="n">
        <f aca="false">C11/N11-1</f>
        <v>0.188536953242836</v>
      </c>
      <c r="I11" s="15" t="n">
        <f aca="false">VLOOKUP($B11,'Cập nhật giá'!$B$9:$Q$1603,11,FALSE())</f>
        <v>10.41</v>
      </c>
      <c r="J11" s="15" t="n">
        <f aca="false">VLOOKUP($B11,'Cập nhật giá'!$B$9:$Q$1603,12,FALSE())</f>
        <v>2.34</v>
      </c>
      <c r="K11" s="16" t="n">
        <f aca="false">I11/O11-1</f>
        <v>-0.436078006500542</v>
      </c>
      <c r="L11" s="16" t="n">
        <f aca="false">J11/P11-1</f>
        <v>-0.297297297297297</v>
      </c>
      <c r="M11" s="17" t="n">
        <f aca="false">VLOOKUP($B11,'Cập nhật giá'!$B$9:$Q$1603,13,FALSE())</f>
        <v>54672.8</v>
      </c>
      <c r="N11" s="17" t="n">
        <f aca="false">VLOOKUP($B11,'Cập nhật giá'!$B$9:$Q$1603,14,FALSE())</f>
        <v>33150</v>
      </c>
      <c r="O11" s="15" t="n">
        <f aca="false">VLOOKUP($B11,'Cập nhật giá'!$B$9:$Q$1603,15,FALSE())</f>
        <v>18.46</v>
      </c>
      <c r="P11" s="18" t="n">
        <f aca="false">VLOOKUP($B11,'Cập nhật giá'!$B$9:$Q$1603,16,FALSE())</f>
        <v>3.33</v>
      </c>
    </row>
    <row r="12" customFormat="false" ht="12.75" hidden="false" customHeight="false" outlineLevel="0" collapsed="false">
      <c r="A12" s="19" t="n">
        <v>8</v>
      </c>
      <c r="B12" s="20" t="s">
        <v>28</v>
      </c>
      <c r="C12" s="17" t="n">
        <f aca="false">VLOOKUP($B12,'Cập nhật giá'!$B$9:$Q$1603,4,FALSE())</f>
        <v>13900</v>
      </c>
      <c r="D12" s="16" t="n">
        <f aca="false">VLOOKUP($B12,'Cập nhật giá'!$B$9:$Q$1603,8,FALSE())</f>
        <v>0.0692307692307692</v>
      </c>
      <c r="E12" s="16" t="n">
        <f aca="false">VLOOKUP($B12,'Cập nhật giá'!$B$9:$Q$1603,9,FALSE())</f>
        <v>0.107569721115538</v>
      </c>
      <c r="F12" s="16" t="n">
        <f aca="false">VLOOKUP($B12,'Cập nhật giá'!$B$9:$Q$1603,10,FALSE())</f>
        <v>0.119327565977918</v>
      </c>
      <c r="G12" s="16" t="n">
        <f aca="false">C12/M12-1</f>
        <v>-0.271072048497307</v>
      </c>
      <c r="H12" s="16" t="n">
        <f aca="false">C12/N12-1</f>
        <v>0.423145048171924</v>
      </c>
      <c r="I12" s="15" t="n">
        <f aca="false">VLOOKUP($B12,'Cập nhật giá'!$B$9:$Q$1603,11,FALSE())</f>
        <v>8.18</v>
      </c>
      <c r="J12" s="15" t="n">
        <f aca="false">VLOOKUP($B12,'Cập nhật giá'!$B$9:$Q$1603,12,FALSE())</f>
        <v>0.69</v>
      </c>
      <c r="K12" s="16" t="n">
        <f aca="false">I12/O12-1</f>
        <v>-0.480634920634921</v>
      </c>
      <c r="L12" s="16" t="n">
        <f aca="false">J12/P12-1</f>
        <v>-0.126582278481013</v>
      </c>
      <c r="M12" s="17" t="n">
        <f aca="false">VLOOKUP($B12,'Cập nhật giá'!$B$9:$Q$1603,13,FALSE())</f>
        <v>19069.1</v>
      </c>
      <c r="N12" s="17" t="n">
        <f aca="false">VLOOKUP($B12,'Cập nhật giá'!$B$9:$Q$1603,14,FALSE())</f>
        <v>9767.1</v>
      </c>
      <c r="O12" s="15" t="n">
        <f aca="false">VLOOKUP($B12,'Cập nhật giá'!$B$9:$Q$1603,15,FALSE())</f>
        <v>15.75</v>
      </c>
      <c r="P12" s="18" t="n">
        <f aca="false">VLOOKUP($B12,'Cập nhật giá'!$B$9:$Q$1603,16,FALSE())</f>
        <v>0.79</v>
      </c>
    </row>
    <row r="13" customFormat="false" ht="13.5" hidden="false" customHeight="true" outlineLevel="0" collapsed="false">
      <c r="A13" s="19" t="n">
        <v>32</v>
      </c>
      <c r="B13" s="21" t="s">
        <v>29</v>
      </c>
      <c r="C13" s="17" t="n">
        <f aca="false">VLOOKUP($B13,'Cập nhật giá'!$B$9:$Q$1603,4,FALSE())</f>
        <v>10700</v>
      </c>
      <c r="D13" s="16" t="n">
        <f aca="false">VLOOKUP($B13,'Cập nhật giá'!$B$9:$Q$1603,8,FALSE())</f>
        <v>0.0646766169154229</v>
      </c>
      <c r="E13" s="16" t="n">
        <f aca="false">VLOOKUP($B13,'Cập nhật giá'!$B$9:$Q$1603,9,FALSE())</f>
        <v>-0.100840336134454</v>
      </c>
      <c r="F13" s="16" t="n">
        <f aca="false">VLOOKUP($B13,'Cập nhật giá'!$B$9:$Q$1603,10,FALSE())</f>
        <v>-0.361194029850746</v>
      </c>
      <c r="G13" s="16" t="n">
        <f aca="false">C13/M13-1</f>
        <v>-0.565040650406504</v>
      </c>
      <c r="H13" s="16" t="n">
        <f aca="false">C13/N13-1</f>
        <v>0.104231166150671</v>
      </c>
      <c r="I13" s="15" t="n">
        <f aca="false">VLOOKUP($B13,'Cập nhật giá'!$B$9:$Q$1603,11,FALSE())</f>
        <v>10.18</v>
      </c>
      <c r="J13" s="15" t="n">
        <f aca="false">VLOOKUP($B13,'Cập nhật giá'!$B$9:$Q$1603,12,FALSE())</f>
        <v>0.84</v>
      </c>
      <c r="K13" s="16" t="n">
        <f aca="false">I13/O13-1</f>
        <v>-0.80600285850405</v>
      </c>
      <c r="L13" s="16" t="n">
        <f aca="false">J13/P13-1</f>
        <v>-0.56020942408377</v>
      </c>
      <c r="M13" s="17" t="n">
        <f aca="false">VLOOKUP($B13,'Cập nhật giá'!$B$9:$Q$1603,13,FALSE())</f>
        <v>24600</v>
      </c>
      <c r="N13" s="17" t="n">
        <f aca="false">VLOOKUP($B13,'Cập nhật giá'!$B$9:$Q$1603,14,FALSE())</f>
        <v>9690</v>
      </c>
      <c r="O13" s="15" t="n">
        <f aca="false">VLOOKUP($B13,'Cập nhật giá'!$B$9:$Q$1603,15,FALSE())</f>
        <v>52.475</v>
      </c>
      <c r="P13" s="18" t="n">
        <f aca="false">VLOOKUP($B13,'Cập nhật giá'!$B$9:$Q$1603,16,FALSE())</f>
        <v>1.91</v>
      </c>
    </row>
    <row r="14" customFormat="false" ht="12.75" hidden="false" customHeight="false" outlineLevel="0" collapsed="false">
      <c r="A14" s="19" t="n">
        <v>30</v>
      </c>
      <c r="B14" s="20" t="s">
        <v>30</v>
      </c>
      <c r="C14" s="17" t="n">
        <f aca="false">VLOOKUP($B14,'Cập nhật giá'!$B$9:$Q$1603,4,FALSE())</f>
        <v>132000</v>
      </c>
      <c r="D14" s="16" t="n">
        <f aca="false">VLOOKUP($B14,'Cập nhật giá'!$B$9:$Q$1603,8,FALSE())</f>
        <v>0.0610932475884245</v>
      </c>
      <c r="E14" s="16" t="n">
        <f aca="false">VLOOKUP($B14,'Cập nhật giá'!$B$9:$Q$1603,9,FALSE())</f>
        <v>0.128205128205128</v>
      </c>
      <c r="F14" s="16" t="n">
        <f aca="false">VLOOKUP($B14,'Cập nhật giá'!$B$9:$Q$1603,10,FALSE())</f>
        <v>-0.0729282404318468</v>
      </c>
      <c r="G14" s="16" t="n">
        <f aca="false">C14/M14-1</f>
        <v>-0.210272204812314</v>
      </c>
      <c r="H14" s="16" t="n">
        <f aca="false">C14/N14-1</f>
        <v>0.257142857142857</v>
      </c>
      <c r="I14" s="15" t="n">
        <f aca="false">VLOOKUP($B14,'Cập nhật giá'!$B$9:$Q$1603,11,FALSE())</f>
        <v>20.76</v>
      </c>
      <c r="J14" s="15" t="n">
        <f aca="false">VLOOKUP($B14,'Cập nhật giá'!$B$9:$Q$1603,12,FALSE())</f>
        <v>4.92</v>
      </c>
      <c r="K14" s="16" t="n">
        <f aca="false">I14/O14-1</f>
        <v>-0.12901195720579</v>
      </c>
      <c r="L14" s="16" t="n">
        <f aca="false">J14/P14-1</f>
        <v>-0.286439448875997</v>
      </c>
      <c r="M14" s="17" t="n">
        <f aca="false">VLOOKUP($B14,'Cập nhật giá'!$B$9:$Q$1603,13,FALSE())</f>
        <v>167146.2</v>
      </c>
      <c r="N14" s="17" t="n">
        <f aca="false">VLOOKUP($B14,'Cập nhật giá'!$B$9:$Q$1603,14,FALSE())</f>
        <v>105000</v>
      </c>
      <c r="O14" s="15" t="n">
        <f aca="false">VLOOKUP($B14,'Cập nhật giá'!$B$9:$Q$1603,15,FALSE())</f>
        <v>23.835</v>
      </c>
      <c r="P14" s="18" t="n">
        <f aca="false">VLOOKUP($B14,'Cập nhật giá'!$B$9:$Q$1603,16,FALSE())</f>
        <v>6.895</v>
      </c>
    </row>
    <row r="15" customFormat="false" ht="12.75" hidden="false" customHeight="false" outlineLevel="0" collapsed="false">
      <c r="A15" s="19" t="n">
        <v>54</v>
      </c>
      <c r="B15" s="20" t="s">
        <v>31</v>
      </c>
      <c r="C15" s="17" t="n">
        <f aca="false">VLOOKUP($B15,'Cập nhật giá'!$B$9:$Q$1603,4,FALSE())</f>
        <v>32500</v>
      </c>
      <c r="D15" s="16" t="n">
        <f aca="false">VLOOKUP($B15,'Cập nhật giá'!$B$9:$Q$1603,8,FALSE())</f>
        <v>0.0551948051948052</v>
      </c>
      <c r="E15" s="16" t="n">
        <f aca="false">VLOOKUP($B15,'Cập nhật giá'!$B$9:$Q$1603,9,FALSE())</f>
        <v>-0.0364489140038068</v>
      </c>
      <c r="F15" s="16" t="n">
        <f aca="false">VLOOKUP($B15,'Cập nhật giá'!$B$9:$Q$1603,10,FALSE())</f>
        <v>-0.0768776308987519</v>
      </c>
      <c r="G15" s="16" t="n">
        <f aca="false">C15/M15-1</f>
        <v>-0.204780127822419</v>
      </c>
      <c r="H15" s="16" t="n">
        <f aca="false">C15/N15-1</f>
        <v>0.130434782608696</v>
      </c>
      <c r="I15" s="15" t="n">
        <f aca="false">VLOOKUP($B15,'Cập nhật giá'!$B$9:$Q$1603,11,FALSE())</f>
        <v>6.28</v>
      </c>
      <c r="J15" s="15" t="n">
        <f aca="false">VLOOKUP($B15,'Cập nhật giá'!$B$9:$Q$1603,12,FALSE())</f>
        <v>1.27</v>
      </c>
      <c r="K15" s="16" t="n">
        <f aca="false">I15/O15-1</f>
        <v>-0.279816513761468</v>
      </c>
      <c r="L15" s="16" t="n">
        <f aca="false">J15/P15-1</f>
        <v>-0.0863309352517985</v>
      </c>
      <c r="M15" s="17" t="n">
        <f aca="false">VLOOKUP($B15,'Cập nhật giá'!$B$9:$Q$1603,13,FALSE())</f>
        <v>40869.2</v>
      </c>
      <c r="N15" s="17" t="n">
        <f aca="false">VLOOKUP($B15,'Cập nhật giá'!$B$9:$Q$1603,14,FALSE())</f>
        <v>28750</v>
      </c>
      <c r="O15" s="15" t="n">
        <f aca="false">VLOOKUP($B15,'Cập nhật giá'!$B$9:$Q$1603,15,FALSE())</f>
        <v>8.72</v>
      </c>
      <c r="P15" s="18" t="n">
        <f aca="false">VLOOKUP($B15,'Cập nhật giá'!$B$9:$Q$1603,16,FALSE())</f>
        <v>1.39</v>
      </c>
    </row>
    <row r="16" customFormat="false" ht="12.75" hidden="false" customHeight="false" outlineLevel="0" collapsed="false">
      <c r="A16" s="19" t="n">
        <v>55</v>
      </c>
      <c r="B16" s="20" t="s">
        <v>32</v>
      </c>
      <c r="C16" s="17" t="n">
        <f aca="false">VLOOKUP($B16,'Cập nhật giá'!$B$9:$Q$1603,4,FALSE())</f>
        <v>70800</v>
      </c>
      <c r="D16" s="16" t="n">
        <f aca="false">VLOOKUP($B16,'Cập nhật giá'!$B$9:$Q$1603,8,FALSE())</f>
        <v>0.0551415797317436</v>
      </c>
      <c r="E16" s="16" t="n">
        <f aca="false">VLOOKUP($B16,'Cập nhật giá'!$B$9:$Q$1603,9,FALSE())</f>
        <v>-0.0327868852459017</v>
      </c>
      <c r="F16" s="16" t="n">
        <f aca="false">VLOOKUP($B16,'Cập nhật giá'!$B$9:$Q$1603,10,FALSE())</f>
        <v>-0.250770817142364</v>
      </c>
      <c r="G16" s="16" t="n">
        <f aca="false">C16/M16-1</f>
        <v>-0.325366110376393</v>
      </c>
      <c r="H16" s="16" t="n">
        <f aca="false">C16/N16-1</f>
        <v>0.138263665594855</v>
      </c>
      <c r="I16" s="15" t="n">
        <f aca="false">VLOOKUP($B16,'Cập nhật giá'!$B$9:$Q$1603,11,FALSE())</f>
        <v>12.07</v>
      </c>
      <c r="J16" s="15" t="n">
        <f aca="false">VLOOKUP($B16,'Cập nhật giá'!$B$9:$Q$1603,12,FALSE())</f>
        <v>3.05</v>
      </c>
      <c r="K16" s="16" t="n">
        <f aca="false">I16/O16-1</f>
        <v>-0.393771973882471</v>
      </c>
      <c r="L16" s="16" t="n">
        <f aca="false">J16/P16-1</f>
        <v>-0.387550200803213</v>
      </c>
      <c r="M16" s="17" t="n">
        <f aca="false">VLOOKUP($B16,'Cập nhật giá'!$B$9:$Q$1603,13,FALSE())</f>
        <v>104945.81</v>
      </c>
      <c r="N16" s="17" t="n">
        <f aca="false">VLOOKUP($B16,'Cập nhật giá'!$B$9:$Q$1603,14,FALSE())</f>
        <v>62200</v>
      </c>
      <c r="O16" s="15" t="n">
        <f aca="false">VLOOKUP($B16,'Cập nhật giá'!$B$9:$Q$1603,15,FALSE())</f>
        <v>19.91</v>
      </c>
      <c r="P16" s="18" t="n">
        <f aca="false">VLOOKUP($B16,'Cập nhật giá'!$B$9:$Q$1603,16,FALSE())</f>
        <v>4.98</v>
      </c>
    </row>
    <row r="17" customFormat="false" ht="12.75" hidden="false" customHeight="false" outlineLevel="0" collapsed="false">
      <c r="A17" s="19" t="n">
        <v>12</v>
      </c>
      <c r="B17" s="20" t="s">
        <v>33</v>
      </c>
      <c r="C17" s="17" t="n">
        <f aca="false">VLOOKUP($B17,'Cập nhật giá'!$B$9:$Q$1603,4,FALSE())</f>
        <v>26550</v>
      </c>
      <c r="D17" s="16" t="n">
        <f aca="false">VLOOKUP($B17,'Cập nhật giá'!$B$9:$Q$1603,8,FALSE())</f>
        <v>0.0535714285714286</v>
      </c>
      <c r="E17" s="16" t="n">
        <f aca="false">VLOOKUP($B17,'Cập nhật giá'!$B$9:$Q$1603,9,FALSE())</f>
        <v>-0.0415162454873647</v>
      </c>
      <c r="F17" s="16" t="n">
        <f aca="false">VLOOKUP($B17,'Cập nhật giá'!$B$9:$Q$1603,10,FALSE())</f>
        <v>-0.106060606060606</v>
      </c>
      <c r="G17" s="16" t="n">
        <f aca="false">C17/M17-1</f>
        <v>-0.106060606060606</v>
      </c>
      <c r="H17" s="16" t="n">
        <f aca="false">C17/N17-1</f>
        <v>0.234097916257044</v>
      </c>
      <c r="I17" s="15" t="n">
        <f aca="false">VLOOKUP($B17,'Cập nhật giá'!$B$9:$Q$1603,11,FALSE())</f>
        <v>6.93</v>
      </c>
      <c r="J17" s="15" t="n">
        <f aca="false">VLOOKUP($B17,'Cập nhật giá'!$B$9:$Q$1603,12,FALSE())</f>
        <v>1.55</v>
      </c>
      <c r="K17" s="16" t="n">
        <f aca="false">I17/O17-1</f>
        <v>0.0492051476154427</v>
      </c>
      <c r="L17" s="16" t="n">
        <f aca="false">J17/P17-1</f>
        <v>0.0130718954248366</v>
      </c>
      <c r="M17" s="17" t="n">
        <f aca="false">VLOOKUP($B17,'Cập nhật giá'!$B$9:$Q$1603,13,FALSE())</f>
        <v>29700</v>
      </c>
      <c r="N17" s="17" t="n">
        <f aca="false">VLOOKUP($B17,'Cập nhật giá'!$B$9:$Q$1603,14,FALSE())</f>
        <v>21513.69</v>
      </c>
      <c r="O17" s="15" t="n">
        <f aca="false">VLOOKUP($B17,'Cập nhật giá'!$B$9:$Q$1603,15,FALSE())</f>
        <v>6.605</v>
      </c>
      <c r="P17" s="18" t="n">
        <f aca="false">VLOOKUP($B17,'Cập nhật giá'!$B$9:$Q$1603,16,FALSE())</f>
        <v>1.53</v>
      </c>
    </row>
    <row r="18" customFormat="false" ht="12.75" hidden="false" customHeight="false" outlineLevel="0" collapsed="false">
      <c r="A18" s="19" t="n">
        <v>53</v>
      </c>
      <c r="B18" s="20" t="s">
        <v>34</v>
      </c>
      <c r="C18" s="17" t="n">
        <f aca="false">VLOOKUP($B18,'Cập nhật giá'!$B$9:$Q$1603,4,FALSE())</f>
        <v>13750</v>
      </c>
      <c r="D18" s="16" t="n">
        <f aca="false">VLOOKUP($B18,'Cập nhật giá'!$B$9:$Q$1603,8,FALSE())</f>
        <v>0.0496183206106871</v>
      </c>
      <c r="E18" s="16" t="n">
        <f aca="false">VLOOKUP($B18,'Cập nhật giá'!$B$9:$Q$1603,9,FALSE())</f>
        <v>-0.17910447761194</v>
      </c>
      <c r="F18" s="16" t="n">
        <f aca="false">VLOOKUP($B18,'Cập nhật giá'!$B$9:$Q$1603,10,FALSE())</f>
        <v>-0.342105263157895</v>
      </c>
      <c r="G18" s="16" t="n">
        <f aca="false">C18/M18-1</f>
        <v>-0.546952224052718</v>
      </c>
      <c r="H18" s="16" t="n">
        <f aca="false">C18/N18-1</f>
        <v>0.0869565217391304</v>
      </c>
      <c r="I18" s="15" t="n">
        <f aca="false">VLOOKUP($B18,'Cập nhật giá'!$B$9:$Q$1603,11,FALSE())</f>
        <v>100.33</v>
      </c>
      <c r="J18" s="15" t="n">
        <f aca="false">VLOOKUP($B18,'Cập nhật giá'!$B$9:$Q$1603,12,FALSE())</f>
        <v>0.95</v>
      </c>
      <c r="K18" s="16" t="n">
        <f aca="false">I18/O18-1</f>
        <v>1.40023923444976</v>
      </c>
      <c r="L18" s="16" t="n">
        <f aca="false">J18/P18-1</f>
        <v>-0.0104166666666666</v>
      </c>
      <c r="M18" s="17" t="n">
        <f aca="false">VLOOKUP($B18,'Cập nhật giá'!$B$9:$Q$1603,13,FALSE())</f>
        <v>30350</v>
      </c>
      <c r="N18" s="17" t="n">
        <f aca="false">VLOOKUP($B18,'Cập nhật giá'!$B$9:$Q$1603,14,FALSE())</f>
        <v>12650</v>
      </c>
      <c r="O18" s="15" t="n">
        <f aca="false">VLOOKUP($B18,'Cập nhật giá'!$B$9:$Q$1603,15,FALSE())</f>
        <v>41.8</v>
      </c>
      <c r="P18" s="18" t="n">
        <f aca="false">VLOOKUP($B18,'Cập nhật giá'!$B$9:$Q$1603,16,FALSE())</f>
        <v>0.96</v>
      </c>
    </row>
    <row r="19" customFormat="false" ht="12.75" hidden="false" customHeight="false" outlineLevel="0" collapsed="false">
      <c r="A19" s="19" t="n">
        <v>3</v>
      </c>
      <c r="B19" s="20" t="s">
        <v>35</v>
      </c>
      <c r="C19" s="17" t="n">
        <f aca="false">VLOOKUP($B19,'Cập nhật giá'!$B$9:$Q$1603,4,FALSE())</f>
        <v>74600</v>
      </c>
      <c r="D19" s="16" t="n">
        <f aca="false">VLOOKUP($B19,'Cập nhật giá'!$B$9:$Q$1603,8,FALSE())</f>
        <v>0.0462833099579243</v>
      </c>
      <c r="E19" s="16" t="n">
        <f aca="false">VLOOKUP($B19,'Cập nhật giá'!$B$9:$Q$1603,9,FALSE())</f>
        <v>0.0536723163841808</v>
      </c>
      <c r="F19" s="16" t="n">
        <f aca="false">VLOOKUP($B19,'Cập nhật giá'!$B$9:$Q$1603,10,FALSE())</f>
        <v>0.286206896551724</v>
      </c>
      <c r="G19" s="16" t="n">
        <f aca="false">C19/M19-1</f>
        <v>-0.0286458333333334</v>
      </c>
      <c r="H19" s="16" t="n">
        <f aca="false">C19/N19-1</f>
        <v>0.621739130434783</v>
      </c>
      <c r="I19" s="15" t="n">
        <f aca="false">VLOOKUP($B19,'Cập nhật giá'!$B$9:$Q$1603,11,FALSE())</f>
        <v>45.66</v>
      </c>
      <c r="J19" s="15" t="n">
        <f aca="false">VLOOKUP($B19,'Cập nhật giá'!$B$9:$Q$1603,12,FALSE())</f>
        <v>2.24</v>
      </c>
      <c r="K19" s="16" t="n">
        <f aca="false">I19/O19-1</f>
        <v>4.05927977839335</v>
      </c>
      <c r="L19" s="16" t="n">
        <f aca="false">J19/P19-1</f>
        <v>0.68421052631579</v>
      </c>
      <c r="M19" s="17" t="n">
        <f aca="false">VLOOKUP($B19,'Cập nhật giá'!$B$9:$Q$1603,13,FALSE())</f>
        <v>76800</v>
      </c>
      <c r="N19" s="17" t="n">
        <f aca="false">VLOOKUP($B19,'Cập nhật giá'!$B$9:$Q$1603,14,FALSE())</f>
        <v>46000</v>
      </c>
      <c r="O19" s="15" t="n">
        <f aca="false">VLOOKUP($B19,'Cập nhật giá'!$B$9:$Q$1603,15,FALSE())</f>
        <v>9.025</v>
      </c>
      <c r="P19" s="18" t="n">
        <f aca="false">VLOOKUP($B19,'Cập nhật giá'!$B$9:$Q$1603,16,FALSE())</f>
        <v>1.33</v>
      </c>
    </row>
    <row r="20" customFormat="false" ht="12.75" hidden="false" customHeight="false" outlineLevel="0" collapsed="false">
      <c r="A20" s="19" t="n">
        <v>69</v>
      </c>
      <c r="B20" s="20" t="s">
        <v>36</v>
      </c>
      <c r="C20" s="17" t="n">
        <f aca="false">VLOOKUP($B20,'Cập nhật giá'!$B$9:$Q$1603,4,FALSE())</f>
        <v>13600</v>
      </c>
      <c r="D20" s="16" t="n">
        <f aca="false">VLOOKUP($B20,'Cập nhật giá'!$B$9:$Q$1603,8,FALSE())</f>
        <v>0.0461538461538462</v>
      </c>
      <c r="E20" s="16" t="n">
        <f aca="false">VLOOKUP($B20,'Cập nhật giá'!$B$9:$Q$1603,9,FALSE())</f>
        <v>-0.175757575757576</v>
      </c>
      <c r="F20" s="16" t="n">
        <f aca="false">VLOOKUP($B20,'Cập nhật giá'!$B$9:$Q$1603,10,FALSE())</f>
        <v>-0.284257614630616</v>
      </c>
      <c r="G20" s="16" t="n">
        <f aca="false">C20/M20-1</f>
        <v>-0.593328190131032</v>
      </c>
      <c r="H20" s="16" t="n">
        <f aca="false">C20/N20-1</f>
        <v>0.157446808510638</v>
      </c>
      <c r="I20" s="15" t="n">
        <f aca="false">VLOOKUP($B20,'Cập nhật giá'!$B$9:$Q$1603,11,FALSE())</f>
        <v>5.9</v>
      </c>
      <c r="J20" s="15" t="n">
        <f aca="false">VLOOKUP($B20,'Cập nhật giá'!$B$9:$Q$1603,12,FALSE())</f>
        <v>1.02</v>
      </c>
      <c r="K20" s="16" t="n">
        <f aca="false">I20/O20-1</f>
        <v>-0.466304839439168</v>
      </c>
      <c r="L20" s="16" t="n">
        <f aca="false">J20/P20-1</f>
        <v>-0.227272727272727</v>
      </c>
      <c r="M20" s="17" t="n">
        <f aca="false">VLOOKUP($B20,'Cập nhật giá'!$B$9:$Q$1603,13,FALSE())</f>
        <v>33442.2</v>
      </c>
      <c r="N20" s="17" t="n">
        <f aca="false">VLOOKUP($B20,'Cập nhật giá'!$B$9:$Q$1603,14,FALSE())</f>
        <v>11750</v>
      </c>
      <c r="O20" s="15" t="n">
        <f aca="false">VLOOKUP($B20,'Cập nhật giá'!$B$9:$Q$1603,15,FALSE())</f>
        <v>11.055</v>
      </c>
      <c r="P20" s="18" t="n">
        <f aca="false">VLOOKUP($B20,'Cập nhật giá'!$B$9:$Q$1603,16,FALSE())</f>
        <v>1.32</v>
      </c>
    </row>
    <row r="21" customFormat="false" ht="12.75" hidden="false" customHeight="false" outlineLevel="0" collapsed="false">
      <c r="A21" s="19" t="n">
        <v>34</v>
      </c>
      <c r="B21" s="20" t="s">
        <v>37</v>
      </c>
      <c r="C21" s="17" t="n">
        <f aca="false">VLOOKUP($B21,'Cập nhật giá'!$B$9:$Q$1603,4,FALSE())</f>
        <v>41128</v>
      </c>
      <c r="D21" s="16" t="n">
        <f aca="false">VLOOKUP($B21,'Cập nhật giá'!$B$9:$Q$1603,8,FALSE())</f>
        <v>0.0443084579640962</v>
      </c>
      <c r="E21" s="16" t="n">
        <f aca="false">VLOOKUP($B21,'Cập nhật giá'!$B$9:$Q$1603,9,FALSE())</f>
        <v>-0.0412830135900604</v>
      </c>
      <c r="F21" s="16" t="n">
        <f aca="false">VLOOKUP($B21,'Cập nhật giá'!$B$9:$Q$1603,10,FALSE())</f>
        <v>-0.162567193353966</v>
      </c>
      <c r="G21" s="16" t="n">
        <f aca="false">C21/M21-1</f>
        <v>-0.382721978747674</v>
      </c>
      <c r="H21" s="16" t="n">
        <f aca="false">C21/N21-1</f>
        <v>0.0734177215189873</v>
      </c>
      <c r="I21" s="15" t="n">
        <f aca="false">VLOOKUP($B21,'Cập nhật giá'!$B$9:$Q$1603,11,FALSE())</f>
        <v>13.19</v>
      </c>
      <c r="J21" s="15" t="n">
        <f aca="false">VLOOKUP($B21,'Cập nhật giá'!$B$9:$Q$1603,12,FALSE())</f>
        <v>1.99</v>
      </c>
      <c r="K21" s="16" t="n">
        <f aca="false">I21/O21-1</f>
        <v>-0.411160714285714</v>
      </c>
      <c r="L21" s="16" t="n">
        <f aca="false">J21/P21-1</f>
        <v>-0.48974358974359</v>
      </c>
      <c r="M21" s="17" t="n">
        <f aca="false">VLOOKUP($B21,'Cập nhật giá'!$B$9:$Q$1603,13,FALSE())</f>
        <v>66628</v>
      </c>
      <c r="N21" s="17" t="n">
        <f aca="false">VLOOKUP($B21,'Cập nhật giá'!$B$9:$Q$1603,14,FALSE())</f>
        <v>38315</v>
      </c>
      <c r="O21" s="15" t="n">
        <f aca="false">VLOOKUP($B21,'Cập nhật giá'!$B$9:$Q$1603,15,FALSE())</f>
        <v>22.4</v>
      </c>
      <c r="P21" s="18" t="n">
        <f aca="false">VLOOKUP($B21,'Cập nhật giá'!$B$9:$Q$1603,16,FALSE())</f>
        <v>3.9</v>
      </c>
    </row>
    <row r="22" customFormat="false" ht="12.75" hidden="false" customHeight="false" outlineLevel="0" collapsed="false">
      <c r="A22" s="19" t="n">
        <v>48</v>
      </c>
      <c r="B22" s="20" t="s">
        <v>38</v>
      </c>
      <c r="C22" s="17" t="n">
        <f aca="false">VLOOKUP($B22,'Cập nhật giá'!$B$9:$Q$1603,4,FALSE())</f>
        <v>11900</v>
      </c>
      <c r="D22" s="16" t="n">
        <f aca="false">VLOOKUP($B22,'Cập nhật giá'!$B$9:$Q$1603,8,FALSE())</f>
        <v>0.0393013100436681</v>
      </c>
      <c r="E22" s="16" t="n">
        <f aca="false">VLOOKUP($B22,'Cập nhật giá'!$B$9:$Q$1603,9,FALSE())</f>
        <v>-0.167832167832168</v>
      </c>
      <c r="F22" s="16" t="n">
        <f aca="false">VLOOKUP($B22,'Cập nhật giá'!$B$9:$Q$1603,10,FALSE())</f>
        <v>-0.367021276595745</v>
      </c>
      <c r="G22" s="16" t="n">
        <f aca="false">C22/M22-1</f>
        <v>-0.547528517110266</v>
      </c>
      <c r="H22" s="16" t="n">
        <f aca="false">C22/N22-1</f>
        <v>0.0672645739910314</v>
      </c>
      <c r="I22" s="15" t="n">
        <f aca="false">VLOOKUP($B22,'Cập nhật giá'!$B$9:$Q$1603,11,FALSE())</f>
        <v>19.22</v>
      </c>
      <c r="J22" s="15" t="n">
        <f aca="false">VLOOKUP($B22,'Cập nhật giá'!$B$9:$Q$1603,12,FALSE())</f>
        <v>0.94</v>
      </c>
      <c r="K22" s="16" t="n">
        <f aca="false">I22/O22-1</f>
        <v>-0.31209735146743</v>
      </c>
      <c r="L22" s="16" t="n">
        <f aca="false">J22/P22-1</f>
        <v>-0.474860335195531</v>
      </c>
      <c r="M22" s="17" t="n">
        <f aca="false">VLOOKUP($B22,'Cập nhật giá'!$B$9:$Q$1603,13,FALSE())</f>
        <v>26300</v>
      </c>
      <c r="N22" s="17" t="n">
        <f aca="false">VLOOKUP($B22,'Cập nhật giá'!$B$9:$Q$1603,14,FALSE())</f>
        <v>11150</v>
      </c>
      <c r="O22" s="15" t="n">
        <f aca="false">VLOOKUP($B22,'Cập nhật giá'!$B$9:$Q$1603,15,FALSE())</f>
        <v>27.94</v>
      </c>
      <c r="P22" s="18" t="n">
        <f aca="false">VLOOKUP($B22,'Cập nhật giá'!$B$9:$Q$1603,16,FALSE())</f>
        <v>1.79</v>
      </c>
    </row>
    <row r="23" customFormat="false" ht="12.75" hidden="false" customHeight="false" outlineLevel="0" collapsed="false">
      <c r="A23" s="19" t="n">
        <v>11</v>
      </c>
      <c r="B23" s="20" t="s">
        <v>39</v>
      </c>
      <c r="C23" s="17" t="n">
        <f aca="false">VLOOKUP($B23,'Cập nhật giá'!$B$9:$Q$1603,4,FALSE())</f>
        <v>10700</v>
      </c>
      <c r="D23" s="16" t="n">
        <f aca="false">VLOOKUP($B23,'Cập nhật giá'!$B$9:$Q$1603,8,FALSE())</f>
        <v>0.0388349514563107</v>
      </c>
      <c r="E23" s="16" t="n">
        <f aca="false">VLOOKUP($B23,'Cập nhật giá'!$B$9:$Q$1603,9,FALSE())</f>
        <v>-0.100840336134454</v>
      </c>
      <c r="F23" s="16" t="n">
        <f aca="false">VLOOKUP($B23,'Cập nhật giá'!$B$9:$Q$1603,10,FALSE())</f>
        <v>-0.28667237328768</v>
      </c>
      <c r="G23" s="16" t="n">
        <f aca="false">C23/M23-1</f>
        <v>-0.495954445587576</v>
      </c>
      <c r="H23" s="16" t="n">
        <f aca="false">C23/N23-1</f>
        <v>0.0732196589769307</v>
      </c>
      <c r="I23" s="15" t="n">
        <f aca="false">VLOOKUP($B23,'Cập nhật giá'!$B$9:$Q$1603,11,FALSE())</f>
        <v>68.32</v>
      </c>
      <c r="J23" s="15" t="n">
        <f aca="false">VLOOKUP($B23,'Cập nhật giá'!$B$9:$Q$1603,12,FALSE())</f>
        <v>0.95</v>
      </c>
      <c r="K23" s="16" t="n">
        <f aca="false">I23/O23-1</f>
        <v>0.906782026234999</v>
      </c>
      <c r="L23" s="16" t="n">
        <f aca="false">J23/P23-1</f>
        <v>-0.251968503937008</v>
      </c>
      <c r="M23" s="17" t="n">
        <f aca="false">VLOOKUP($B23,'Cập nhật giá'!$B$9:$Q$1603,13,FALSE())</f>
        <v>21228.24</v>
      </c>
      <c r="N23" s="17" t="n">
        <f aca="false">VLOOKUP($B23,'Cập nhật giá'!$B$9:$Q$1603,14,FALSE())</f>
        <v>9970</v>
      </c>
      <c r="O23" s="15" t="n">
        <f aca="false">VLOOKUP($B23,'Cập nhật giá'!$B$9:$Q$1603,15,FALSE())</f>
        <v>35.83</v>
      </c>
      <c r="P23" s="18" t="n">
        <f aca="false">VLOOKUP($B23,'Cập nhật giá'!$B$9:$Q$1603,16,FALSE())</f>
        <v>1.27</v>
      </c>
    </row>
    <row r="24" customFormat="false" ht="12.75" hidden="false" customHeight="false" outlineLevel="0" collapsed="false">
      <c r="A24" s="19" t="n">
        <v>66</v>
      </c>
      <c r="B24" s="20" t="s">
        <v>40</v>
      </c>
      <c r="C24" s="17" t="n">
        <f aca="false">VLOOKUP($B24,'Cập nhật giá'!$B$9:$Q$1603,4,FALSE())</f>
        <v>24450</v>
      </c>
      <c r="D24" s="16" t="n">
        <f aca="false">VLOOKUP($B24,'Cập nhật giá'!$B$9:$Q$1603,8,FALSE())</f>
        <v>0.0382165605095541</v>
      </c>
      <c r="E24" s="16" t="n">
        <f aca="false">VLOOKUP($B24,'Cập nhật giá'!$B$9:$Q$1603,9,FALSE())</f>
        <v>-0.0994475138121547</v>
      </c>
      <c r="F24" s="16" t="n">
        <f aca="false">VLOOKUP($B24,'Cập nhật giá'!$B$9:$Q$1603,10,FALSE())</f>
        <v>-0.191735537190083</v>
      </c>
      <c r="G24" s="16" t="n">
        <f aca="false">C24/M24-1</f>
        <v>-0.35243452834986</v>
      </c>
      <c r="H24" s="16" t="n">
        <f aca="false">C24/N24-1</f>
        <v>0.111363636363636</v>
      </c>
      <c r="I24" s="15" t="n">
        <f aca="false">VLOOKUP($B24,'Cập nhật giá'!$B$9:$Q$1603,11,FALSE())</f>
        <v>11.41</v>
      </c>
      <c r="J24" s="15" t="n">
        <f aca="false">VLOOKUP($B24,'Cập nhật giá'!$B$9:$Q$1603,12,FALSE())</f>
        <v>1.51</v>
      </c>
      <c r="K24" s="16" t="n">
        <f aca="false">I24/O24-1</f>
        <v>-0.331184056271981</v>
      </c>
      <c r="L24" s="16" t="n">
        <f aca="false">J24/P24-1</f>
        <v>-0.287735849056604</v>
      </c>
      <c r="M24" s="17" t="n">
        <f aca="false">VLOOKUP($B24,'Cập nhật giá'!$B$9:$Q$1603,13,FALSE())</f>
        <v>37756.8</v>
      </c>
      <c r="N24" s="17" t="n">
        <f aca="false">VLOOKUP($B24,'Cập nhật giá'!$B$9:$Q$1603,14,FALSE())</f>
        <v>22000</v>
      </c>
      <c r="O24" s="15" t="n">
        <f aca="false">VLOOKUP($B24,'Cập nhật giá'!$B$9:$Q$1603,15,FALSE())</f>
        <v>17.06</v>
      </c>
      <c r="P24" s="18" t="n">
        <f aca="false">VLOOKUP($B24,'Cập nhật giá'!$B$9:$Q$1603,16,FALSE())</f>
        <v>2.12</v>
      </c>
    </row>
    <row r="25" customFormat="false" ht="12.75" hidden="false" customHeight="false" outlineLevel="0" collapsed="false">
      <c r="A25" s="19" t="n">
        <v>50</v>
      </c>
      <c r="B25" s="20" t="s">
        <v>41</v>
      </c>
      <c r="C25" s="17" t="n">
        <f aca="false">VLOOKUP($B25,'Cập nhật giá'!$B$9:$Q$1603,4,FALSE())</f>
        <v>14600</v>
      </c>
      <c r="D25" s="16" t="n">
        <f aca="false">VLOOKUP($B25,'Cập nhật giá'!$B$9:$Q$1603,8,FALSE())</f>
        <v>0.0354609929078014</v>
      </c>
      <c r="E25" s="16" t="n">
        <f aca="false">VLOOKUP($B25,'Cập nhật giá'!$B$9:$Q$1603,9,FALSE())</f>
        <v>-0.0987654320987654</v>
      </c>
      <c r="F25" s="16" t="n">
        <f aca="false">VLOOKUP($B25,'Cập nhật giá'!$B$9:$Q$1603,10,FALSE())</f>
        <v>-0.146198830409357</v>
      </c>
      <c r="G25" s="16" t="n">
        <f aca="false">C25/M25-1</f>
        <v>-0.30477580924572</v>
      </c>
      <c r="H25" s="16" t="n">
        <f aca="false">C25/N25-1</f>
        <v>0.0503597122302157</v>
      </c>
      <c r="I25" s="15" t="n">
        <f aca="false">VLOOKUP($B25,'Cập nhật giá'!$B$9:$Q$1603,11,FALSE())</f>
        <v>5.26</v>
      </c>
      <c r="J25" s="15" t="n">
        <f aca="false">VLOOKUP($B25,'Cập nhật giá'!$B$9:$Q$1603,12,FALSE())</f>
        <v>0.88</v>
      </c>
      <c r="K25" s="16" t="n">
        <f aca="false">I25/O25-1</f>
        <v>-0.285326086956522</v>
      </c>
      <c r="L25" s="16" t="n">
        <f aca="false">J25/P25-1</f>
        <v>-0.260504201680672</v>
      </c>
      <c r="M25" s="17" t="n">
        <f aca="false">VLOOKUP($B25,'Cập nhật giá'!$B$9:$Q$1603,13,FALSE())</f>
        <v>21000.42</v>
      </c>
      <c r="N25" s="17" t="n">
        <f aca="false">VLOOKUP($B25,'Cập nhật giá'!$B$9:$Q$1603,14,FALSE())</f>
        <v>13900</v>
      </c>
      <c r="O25" s="15" t="n">
        <f aca="false">VLOOKUP($B25,'Cập nhật giá'!$B$9:$Q$1603,15,FALSE())</f>
        <v>7.36</v>
      </c>
      <c r="P25" s="18" t="n">
        <f aca="false">VLOOKUP($B25,'Cập nhật giá'!$B$9:$Q$1603,16,FALSE())</f>
        <v>1.19</v>
      </c>
    </row>
    <row r="26" customFormat="false" ht="12.75" hidden="false" customHeight="false" outlineLevel="0" collapsed="false">
      <c r="A26" s="19" t="n">
        <v>27</v>
      </c>
      <c r="B26" s="20" t="s">
        <v>42</v>
      </c>
      <c r="C26" s="17" t="n">
        <f aca="false">VLOOKUP($B26,'Cập nhật giá'!$B$9:$Q$1603,4,FALSE())</f>
        <v>11800</v>
      </c>
      <c r="D26" s="16" t="n">
        <f aca="false">VLOOKUP($B26,'Cập nhật giá'!$B$9:$Q$1603,8,FALSE())</f>
        <v>0.0350877192982457</v>
      </c>
      <c r="E26" s="16" t="n">
        <f aca="false">VLOOKUP($B26,'Cập nhật giá'!$B$9:$Q$1603,9,FALSE())</f>
        <v>-0.151079136690647</v>
      </c>
      <c r="F26" s="16" t="n">
        <f aca="false">VLOOKUP($B26,'Cập nhật giá'!$B$9:$Q$1603,10,FALSE())</f>
        <v>-0.355191256830601</v>
      </c>
      <c r="G26" s="16" t="n">
        <f aca="false">C26/M26-1</f>
        <v>-0.520705910833427</v>
      </c>
      <c r="H26" s="16" t="n">
        <f aca="false">C26/N26-1</f>
        <v>0.0727272727272728</v>
      </c>
      <c r="I26" s="15" t="n">
        <f aca="false">VLOOKUP($B26,'Cập nhật giá'!$B$9:$Q$1603,11,FALSE())</f>
        <v>34.18</v>
      </c>
      <c r="J26" s="15" t="n">
        <f aca="false">VLOOKUP($B26,'Cập nhật giá'!$B$9:$Q$1603,12,FALSE())</f>
        <v>0.93</v>
      </c>
      <c r="K26" s="16" t="n">
        <f aca="false">I26/O26-1</f>
        <v>0.799420900236904</v>
      </c>
      <c r="L26" s="16" t="n">
        <f aca="false">J26/P26-1</f>
        <v>-0.211864406779661</v>
      </c>
      <c r="M26" s="17" t="n">
        <f aca="false">VLOOKUP($B26,'Cập nhật giá'!$B$9:$Q$1603,13,FALSE())</f>
        <v>24619.54</v>
      </c>
      <c r="N26" s="17" t="n">
        <f aca="false">VLOOKUP($B26,'Cập nhật giá'!$B$9:$Q$1603,14,FALSE())</f>
        <v>11000</v>
      </c>
      <c r="O26" s="15" t="n">
        <f aca="false">VLOOKUP($B26,'Cập nhật giá'!$B$9:$Q$1603,15,FALSE())</f>
        <v>18.995</v>
      </c>
      <c r="P26" s="18" t="n">
        <f aca="false">VLOOKUP($B26,'Cập nhật giá'!$B$9:$Q$1603,16,FALSE())</f>
        <v>1.18</v>
      </c>
    </row>
    <row r="27" customFormat="false" ht="12.75" hidden="false" customHeight="false" outlineLevel="0" collapsed="false">
      <c r="A27" s="19" t="n">
        <v>35</v>
      </c>
      <c r="B27" s="20" t="s">
        <v>43</v>
      </c>
      <c r="C27" s="17" t="n">
        <f aca="false">VLOOKUP($B27,'Cập nhật giá'!$B$9:$Q$1603,4,FALSE())</f>
        <v>26200</v>
      </c>
      <c r="D27" s="16" t="n">
        <f aca="false">VLOOKUP($B27,'Cập nhật giá'!$B$9:$Q$1603,8,FALSE())</f>
        <v>0.0335305719921104</v>
      </c>
      <c r="E27" s="16" t="n">
        <f aca="false">VLOOKUP($B27,'Cập nhật giá'!$B$9:$Q$1603,9,FALSE())</f>
        <v>0.0804123711340206</v>
      </c>
      <c r="F27" s="16" t="n">
        <f aca="false">VLOOKUP($B27,'Cập nhật giá'!$B$9:$Q$1603,10,FALSE())</f>
        <v>0.627329192546584</v>
      </c>
      <c r="G27" s="16" t="n">
        <f aca="false">C27/M27-1</f>
        <v>-0.30779392338177</v>
      </c>
      <c r="H27" s="16" t="n">
        <f aca="false">C27/N27-1</f>
        <v>0.940740740740741</v>
      </c>
      <c r="I27" s="15" t="n">
        <f aca="false">VLOOKUP($B27,'Cập nhật giá'!$B$9:$Q$1603,11,FALSE())</f>
        <v>6.66</v>
      </c>
      <c r="J27" s="15" t="n">
        <f aca="false">VLOOKUP($B27,'Cập nhật giá'!$B$9:$Q$1603,12,FALSE())</f>
        <v>1.77</v>
      </c>
      <c r="K27" s="16" t="n">
        <f aca="false">I27/O27-1</f>
        <v>-0.30261780104712</v>
      </c>
      <c r="L27" s="16" t="n">
        <f aca="false">J27/P27-1</f>
        <v>0.42741935483871</v>
      </c>
      <c r="M27" s="17" t="n">
        <f aca="false">VLOOKUP($B27,'Cập nhật giá'!$B$9:$Q$1603,13,FALSE())</f>
        <v>37850</v>
      </c>
      <c r="N27" s="17" t="n">
        <f aca="false">VLOOKUP($B27,'Cập nhật giá'!$B$9:$Q$1603,14,FALSE())</f>
        <v>13500</v>
      </c>
      <c r="O27" s="15" t="n">
        <f aca="false">VLOOKUP($B27,'Cập nhật giá'!$B$9:$Q$1603,15,FALSE())</f>
        <v>9.55</v>
      </c>
      <c r="P27" s="18" t="n">
        <f aca="false">VLOOKUP($B27,'Cập nhật giá'!$B$9:$Q$1603,16,FALSE())</f>
        <v>1.24</v>
      </c>
    </row>
    <row r="28" customFormat="false" ht="12.75" hidden="false" customHeight="false" outlineLevel="0" collapsed="false">
      <c r="A28" s="19" t="n">
        <v>65</v>
      </c>
      <c r="B28" s="20" t="s">
        <v>44</v>
      </c>
      <c r="C28" s="17" t="n">
        <f aca="false">VLOOKUP($B28,'Cập nhật giá'!$B$9:$Q$1603,4,FALSE())</f>
        <v>7420</v>
      </c>
      <c r="D28" s="16" t="n">
        <f aca="false">VLOOKUP($B28,'Cập nhật giá'!$B$9:$Q$1603,8,FALSE())</f>
        <v>0.0334261838440111</v>
      </c>
      <c r="E28" s="16" t="n">
        <f aca="false">VLOOKUP($B28,'Cập nhật giá'!$B$9:$Q$1603,9,FALSE())</f>
        <v>-0.140208574739282</v>
      </c>
      <c r="F28" s="16" t="n">
        <f aca="false">VLOOKUP($B28,'Cập nhật giá'!$B$9:$Q$1603,10,FALSE())</f>
        <v>-0.271599242149077</v>
      </c>
      <c r="G28" s="16" t="n">
        <f aca="false">C28/M28-1</f>
        <v>-0.448569848810041</v>
      </c>
      <c r="H28" s="16" t="n">
        <f aca="false">C28/N28-1</f>
        <v>0.109118086696562</v>
      </c>
      <c r="I28" s="15" t="n">
        <f aca="false">VLOOKUP($B28,'Cập nhật giá'!$B$9:$Q$1603,11,FALSE())</f>
        <v>6.22</v>
      </c>
      <c r="J28" s="15" t="n">
        <f aca="false">VLOOKUP($B28,'Cập nhật giá'!$B$9:$Q$1603,12,FALSE())</f>
        <v>0.59</v>
      </c>
      <c r="K28" s="16" t="n">
        <f aca="false">I28/O28-1</f>
        <v>-0.325745257452575</v>
      </c>
      <c r="L28" s="16" t="n">
        <f aca="false">J28/P28-1</f>
        <v>-0.427184466019418</v>
      </c>
      <c r="M28" s="17" t="n">
        <f aca="false">VLOOKUP($B28,'Cập nhật giá'!$B$9:$Q$1603,13,FALSE())</f>
        <v>13455.92</v>
      </c>
      <c r="N28" s="17" t="n">
        <f aca="false">VLOOKUP($B28,'Cập nhật giá'!$B$9:$Q$1603,14,FALSE())</f>
        <v>6690</v>
      </c>
      <c r="O28" s="15" t="n">
        <f aca="false">VLOOKUP($B28,'Cập nhật giá'!$B$9:$Q$1603,15,FALSE())</f>
        <v>9.225</v>
      </c>
      <c r="P28" s="18" t="n">
        <f aca="false">VLOOKUP($B28,'Cập nhật giá'!$B$9:$Q$1603,16,FALSE())</f>
        <v>1.03</v>
      </c>
    </row>
    <row r="29" customFormat="false" ht="12.75" hidden="false" customHeight="false" outlineLevel="0" collapsed="false">
      <c r="A29" s="19" t="n">
        <v>52</v>
      </c>
      <c r="B29" s="20" t="s">
        <v>45</v>
      </c>
      <c r="C29" s="17" t="n">
        <f aca="false">VLOOKUP($B29,'Cập nhật giá'!$B$9:$Q$1603,4,FALSE())</f>
        <v>33600</v>
      </c>
      <c r="D29" s="16" t="n">
        <f aca="false">VLOOKUP($B29,'Cập nhật giá'!$B$9:$Q$1603,8,FALSE())</f>
        <v>0.0306748466257669</v>
      </c>
      <c r="E29" s="16" t="n">
        <f aca="false">VLOOKUP($B29,'Cập nhật giá'!$B$9:$Q$1603,9,FALSE())</f>
        <v>-0.0539160834828953</v>
      </c>
      <c r="F29" s="16" t="n">
        <f aca="false">VLOOKUP($B29,'Cập nhật giá'!$B$9:$Q$1603,10,FALSE())</f>
        <v>0.0578465769847847</v>
      </c>
      <c r="G29" s="16" t="n">
        <f aca="false">C29/M29-1</f>
        <v>-0.256648351307989</v>
      </c>
      <c r="H29" s="16" t="n">
        <f aca="false">C29/N29-1</f>
        <v>0.194576197429315</v>
      </c>
      <c r="I29" s="15" t="n">
        <f aca="false">VLOOKUP($B29,'Cập nhật giá'!$B$9:$Q$1603,11,FALSE())</f>
        <v>6.46</v>
      </c>
      <c r="J29" s="15" t="n">
        <f aca="false">VLOOKUP($B29,'Cập nhật giá'!$B$9:$Q$1603,12,FALSE())</f>
        <v>2.07</v>
      </c>
      <c r="K29" s="16" t="n">
        <f aca="false">I29/O29-1</f>
        <v>-0.348461926374181</v>
      </c>
      <c r="L29" s="16" t="n">
        <f aca="false">J29/P29-1</f>
        <v>-0.355140186915888</v>
      </c>
      <c r="M29" s="17" t="n">
        <f aca="false">VLOOKUP($B29,'Cập nhật giá'!$B$9:$Q$1603,13,FALSE())</f>
        <v>45200.68</v>
      </c>
      <c r="N29" s="17" t="n">
        <f aca="false">VLOOKUP($B29,'Cập nhật giá'!$B$9:$Q$1603,14,FALSE())</f>
        <v>28127.13</v>
      </c>
      <c r="O29" s="15" t="n">
        <f aca="false">VLOOKUP($B29,'Cập nhật giá'!$B$9:$Q$1603,15,FALSE())</f>
        <v>9.915</v>
      </c>
      <c r="P29" s="18" t="n">
        <f aca="false">VLOOKUP($B29,'Cập nhật giá'!$B$9:$Q$1603,16,FALSE())</f>
        <v>3.21</v>
      </c>
    </row>
    <row r="30" customFormat="false" ht="12.75" hidden="false" customHeight="false" outlineLevel="0" collapsed="false">
      <c r="A30" s="19" t="n">
        <v>42</v>
      </c>
      <c r="B30" s="20" t="s">
        <v>46</v>
      </c>
      <c r="C30" s="17" t="n">
        <f aca="false">VLOOKUP($B30,'Cập nhật giá'!$B$9:$Q$1603,4,FALSE())</f>
        <v>31600</v>
      </c>
      <c r="D30" s="16" t="n">
        <f aca="false">VLOOKUP($B30,'Cập nhật giá'!$B$9:$Q$1603,8,FALSE())</f>
        <v>0.0293159609120521</v>
      </c>
      <c r="E30" s="16" t="n">
        <f aca="false">VLOOKUP($B30,'Cập nhật giá'!$B$9:$Q$1603,9,FALSE())</f>
        <v>-0.047720647043685</v>
      </c>
      <c r="F30" s="16" t="n">
        <f aca="false">VLOOKUP($B30,'Cập nhật giá'!$B$9:$Q$1603,10,FALSE())</f>
        <v>0.0221714155586135</v>
      </c>
      <c r="G30" s="16" t="n">
        <f aca="false">C30/M30-1</f>
        <v>-0.334163241259628</v>
      </c>
      <c r="H30" s="16" t="n">
        <f aca="false">C30/N30-1</f>
        <v>0.0934256055363323</v>
      </c>
      <c r="I30" s="15" t="n">
        <f aca="false">VLOOKUP($B30,'Cập nhật giá'!$B$9:$Q$1603,11,FALSE())</f>
        <v>6.39</v>
      </c>
      <c r="J30" s="15" t="n">
        <f aca="false">VLOOKUP($B30,'Cập nhật giá'!$B$9:$Q$1603,12,FALSE())</f>
        <v>1.46</v>
      </c>
      <c r="K30" s="16" t="n">
        <f aca="false">I30/O30-1</f>
        <v>-0.420670897552131</v>
      </c>
      <c r="L30" s="16" t="n">
        <f aca="false">J30/P30-1</f>
        <v>-0.191135734072022</v>
      </c>
      <c r="M30" s="17" t="n">
        <f aca="false">VLOOKUP($B30,'Cập nhật giá'!$B$9:$Q$1603,13,FALSE())</f>
        <v>47459.08</v>
      </c>
      <c r="N30" s="17" t="n">
        <f aca="false">VLOOKUP($B30,'Cập nhật giá'!$B$9:$Q$1603,14,FALSE())</f>
        <v>28900</v>
      </c>
      <c r="O30" s="15" t="n">
        <f aca="false">VLOOKUP($B30,'Cập nhật giá'!$B$9:$Q$1603,15,FALSE())</f>
        <v>11.03</v>
      </c>
      <c r="P30" s="18" t="n">
        <f aca="false">VLOOKUP($B30,'Cập nhật giá'!$B$9:$Q$1603,16,FALSE())</f>
        <v>1.805</v>
      </c>
    </row>
    <row r="31" customFormat="false" ht="12.75" hidden="false" customHeight="false" outlineLevel="0" collapsed="false">
      <c r="A31" s="19" t="n">
        <v>67</v>
      </c>
      <c r="B31" s="20" t="s">
        <v>47</v>
      </c>
      <c r="C31" s="17" t="n">
        <f aca="false">VLOOKUP($B31,'Cập nhật giá'!$B$9:$Q$1603,4,FALSE())</f>
        <v>17950</v>
      </c>
      <c r="D31" s="16" t="n">
        <f aca="false">VLOOKUP($B31,'Cập nhật giá'!$B$9:$Q$1603,8,FALSE())</f>
        <v>0.0286532951289398</v>
      </c>
      <c r="E31" s="16" t="n">
        <f aca="false">VLOOKUP($B31,'Cập nhật giá'!$B$9:$Q$1603,9,FALSE())</f>
        <v>-0.143198090692124</v>
      </c>
      <c r="F31" s="16" t="n">
        <f aca="false">VLOOKUP($B31,'Cập nhật giá'!$B$9:$Q$1603,10,FALSE())</f>
        <v>-0.43015873015873</v>
      </c>
      <c r="G31" s="16" t="n">
        <f aca="false">C31/M31-1</f>
        <v>-0.514864864864865</v>
      </c>
      <c r="H31" s="16" t="n">
        <f aca="false">C31/N31-1</f>
        <v>0.0945121951219512</v>
      </c>
      <c r="I31" s="15" t="n">
        <f aca="false">VLOOKUP($B31,'Cập nhật giá'!$B$9:$Q$1603,11,FALSE())</f>
        <v>11.47</v>
      </c>
      <c r="J31" s="15" t="n">
        <f aca="false">VLOOKUP($B31,'Cập nhật giá'!$B$9:$Q$1603,12,FALSE())</f>
        <v>1.08</v>
      </c>
      <c r="K31" s="16" t="n">
        <f aca="false">I31/O31-1</f>
        <v>-0.58829863603733</v>
      </c>
      <c r="L31" s="16" t="n">
        <f aca="false">J31/P31-1</f>
        <v>-0.462686567164179</v>
      </c>
      <c r="M31" s="17" t="n">
        <f aca="false">VLOOKUP($B31,'Cập nhật giá'!$B$9:$Q$1603,13,FALSE())</f>
        <v>37000</v>
      </c>
      <c r="N31" s="17" t="n">
        <f aca="false">VLOOKUP($B31,'Cập nhật giá'!$B$9:$Q$1603,14,FALSE())</f>
        <v>16400</v>
      </c>
      <c r="O31" s="15" t="n">
        <f aca="false">VLOOKUP($B31,'Cập nhật giá'!$B$9:$Q$1603,15,FALSE())</f>
        <v>27.86</v>
      </c>
      <c r="P31" s="18" t="n">
        <f aca="false">VLOOKUP($B31,'Cập nhật giá'!$B$9:$Q$1603,16,FALSE())</f>
        <v>2.01</v>
      </c>
    </row>
    <row r="32" customFormat="false" ht="12.75" hidden="false" customHeight="false" outlineLevel="0" collapsed="false">
      <c r="A32" s="19" t="n">
        <v>47</v>
      </c>
      <c r="B32" s="20" t="s">
        <v>48</v>
      </c>
      <c r="C32" s="17" t="n">
        <f aca="false">VLOOKUP($B32,'Cập nhật giá'!$B$9:$Q$1603,4,FALSE())</f>
        <v>39050</v>
      </c>
      <c r="D32" s="16" t="n">
        <f aca="false">VLOOKUP($B32,'Cập nhật giá'!$B$9:$Q$1603,8,FALSE())</f>
        <v>0.0276315789473685</v>
      </c>
      <c r="E32" s="16" t="n">
        <f aca="false">VLOOKUP($B32,'Cập nhật giá'!$B$9:$Q$1603,9,FALSE())</f>
        <v>-0.0515173051335623</v>
      </c>
      <c r="F32" s="16" t="n">
        <f aca="false">VLOOKUP($B32,'Cập nhật giá'!$B$9:$Q$1603,10,FALSE())</f>
        <v>0.0155346900668745</v>
      </c>
      <c r="G32" s="16" t="n">
        <f aca="false">C32/M32-1</f>
        <v>-0.281740010116338</v>
      </c>
      <c r="H32" s="16" t="n">
        <f aca="false">C32/N32-1</f>
        <v>0.125360230547551</v>
      </c>
      <c r="I32" s="15" t="n">
        <f aca="false">VLOOKUP($B32,'Cập nhật giá'!$B$9:$Q$1603,11,FALSE())</f>
        <v>8.59</v>
      </c>
      <c r="J32" s="15" t="n">
        <f aca="false">VLOOKUP($B32,'Cập nhật giá'!$B$9:$Q$1603,12,FALSE())</f>
        <v>1.47</v>
      </c>
      <c r="K32" s="16" t="n">
        <f aca="false">I32/O32-1</f>
        <v>-0.282971619365609</v>
      </c>
      <c r="L32" s="16" t="n">
        <f aca="false">J32/P32-1</f>
        <v>-0.282926829268293</v>
      </c>
      <c r="M32" s="17" t="n">
        <f aca="false">VLOOKUP($B32,'Cập nhật giá'!$B$9:$Q$1603,13,FALSE())</f>
        <v>54367.5</v>
      </c>
      <c r="N32" s="17" t="n">
        <f aca="false">VLOOKUP($B32,'Cập nhật giá'!$B$9:$Q$1603,14,FALSE())</f>
        <v>34700</v>
      </c>
      <c r="O32" s="15" t="n">
        <f aca="false">VLOOKUP($B32,'Cập nhật giá'!$B$9:$Q$1603,15,FALSE())</f>
        <v>11.98</v>
      </c>
      <c r="P32" s="18" t="n">
        <f aca="false">VLOOKUP($B32,'Cập nhật giá'!$B$9:$Q$1603,16,FALSE())</f>
        <v>2.05</v>
      </c>
    </row>
    <row r="33" customFormat="false" ht="12.75" hidden="false" customHeight="false" outlineLevel="0" collapsed="false">
      <c r="A33" s="19" t="n">
        <v>20</v>
      </c>
      <c r="B33" s="20" t="s">
        <v>49</v>
      </c>
      <c r="C33" s="17" t="n">
        <f aca="false">VLOOKUP($B33,'Cập nhật giá'!$B$9:$Q$1603,4,FALSE())</f>
        <v>44750</v>
      </c>
      <c r="D33" s="16" t="n">
        <f aca="false">VLOOKUP($B33,'Cập nhật giá'!$B$9:$Q$1603,8,FALSE())</f>
        <v>0.0275545350172215</v>
      </c>
      <c r="E33" s="16" t="n">
        <f aca="false">VLOOKUP($B33,'Cập nhật giá'!$B$9:$Q$1603,9,FALSE())</f>
        <v>0.0122808327169166</v>
      </c>
      <c r="F33" s="16" t="n">
        <f aca="false">VLOOKUP($B33,'Cập nhật giá'!$B$9:$Q$1603,10,FALSE())</f>
        <v>0.0177541815482418</v>
      </c>
      <c r="G33" s="16" t="n">
        <f aca="false">C33/M33-1</f>
        <v>-0.109305971212769</v>
      </c>
      <c r="H33" s="16" t="n">
        <f aca="false">C33/N33-1</f>
        <v>0.133408083390468</v>
      </c>
      <c r="I33" s="15" t="n">
        <f aca="false">VLOOKUP($B33,'Cập nhật giá'!$B$9:$Q$1603,11,FALSE())</f>
        <v>12.02</v>
      </c>
      <c r="J33" s="15" t="n">
        <f aca="false">VLOOKUP($B33,'Cập nhật giá'!$B$9:$Q$1603,12,FALSE())</f>
        <v>2.93</v>
      </c>
      <c r="K33" s="16" t="n">
        <f aca="false">I33/O33-1</f>
        <v>-0.361487383798141</v>
      </c>
      <c r="L33" s="16" t="n">
        <f aca="false">J33/P33-1</f>
        <v>-0.0638977635782747</v>
      </c>
      <c r="M33" s="17" t="n">
        <f aca="false">VLOOKUP($B33,'Cập nhật giá'!$B$9:$Q$1603,13,FALSE())</f>
        <v>50241.72</v>
      </c>
      <c r="N33" s="17" t="n">
        <f aca="false">VLOOKUP($B33,'Cập nhật giá'!$B$9:$Q$1603,14,FALSE())</f>
        <v>39482.69</v>
      </c>
      <c r="O33" s="15" t="n">
        <f aca="false">VLOOKUP($B33,'Cập nhật giá'!$B$9:$Q$1603,15,FALSE())</f>
        <v>18.825</v>
      </c>
      <c r="P33" s="18" t="n">
        <f aca="false">VLOOKUP($B33,'Cập nhật giá'!$B$9:$Q$1603,16,FALSE())</f>
        <v>3.13</v>
      </c>
    </row>
    <row r="34" customFormat="false" ht="12.75" hidden="false" customHeight="false" outlineLevel="0" collapsed="false">
      <c r="A34" s="19" t="n">
        <v>37</v>
      </c>
      <c r="B34" s="20" t="s">
        <v>50</v>
      </c>
      <c r="C34" s="17" t="n">
        <f aca="false">VLOOKUP($B34,'Cập nhật giá'!$B$9:$Q$1603,4,FALSE())</f>
        <v>29700</v>
      </c>
      <c r="D34" s="16" t="n">
        <f aca="false">VLOOKUP($B34,'Cập nhật giá'!$B$9:$Q$1603,8,FALSE())</f>
        <v>0.0259067357512954</v>
      </c>
      <c r="E34" s="16" t="n">
        <f aca="false">VLOOKUP($B34,'Cập nhật giá'!$B$9:$Q$1603,9,FALSE())</f>
        <v>-0.122599704579025</v>
      </c>
      <c r="F34" s="16" t="n">
        <f aca="false">VLOOKUP($B34,'Cập nhật giá'!$B$9:$Q$1603,10,FALSE())</f>
        <v>-0.131097748285161</v>
      </c>
      <c r="G34" s="16" t="n">
        <f aca="false">C34/M34-1</f>
        <v>-0.2657460391078</v>
      </c>
      <c r="H34" s="16" t="n">
        <f aca="false">C34/N34-1</f>
        <v>0.0566093583570686</v>
      </c>
      <c r="I34" s="15" t="n">
        <f aca="false">VLOOKUP($B34,'Cập nhật giá'!$B$9:$Q$1603,11,FALSE())</f>
        <v>7.76</v>
      </c>
      <c r="J34" s="15" t="n">
        <f aca="false">VLOOKUP($B34,'Cập nhật giá'!$B$9:$Q$1603,12,FALSE())</f>
        <v>1.17</v>
      </c>
      <c r="K34" s="16" t="n">
        <f aca="false">I34/O34-1</f>
        <v>-0.0513447432762836</v>
      </c>
      <c r="L34" s="16" t="n">
        <f aca="false">J34/P34-1</f>
        <v>-0.0640000000000001</v>
      </c>
      <c r="M34" s="17" t="n">
        <f aca="false">VLOOKUP($B34,'Cập nhật giá'!$B$9:$Q$1603,13,FALSE())</f>
        <v>40449.22</v>
      </c>
      <c r="N34" s="17" t="n">
        <f aca="false">VLOOKUP($B34,'Cập nhật giá'!$B$9:$Q$1603,14,FALSE())</f>
        <v>28108.78</v>
      </c>
      <c r="O34" s="15" t="n">
        <f aca="false">VLOOKUP($B34,'Cập nhật giá'!$B$9:$Q$1603,15,FALSE())</f>
        <v>8.18</v>
      </c>
      <c r="P34" s="18" t="n">
        <f aca="false">VLOOKUP($B34,'Cập nhật giá'!$B$9:$Q$1603,16,FALSE())</f>
        <v>1.25</v>
      </c>
    </row>
    <row r="35" customFormat="false" ht="12.75" hidden="false" customHeight="false" outlineLevel="0" collapsed="false">
      <c r="A35" s="19" t="n">
        <v>56</v>
      </c>
      <c r="B35" s="20" t="s">
        <v>51</v>
      </c>
      <c r="C35" s="17" t="n">
        <f aca="false">VLOOKUP($B35,'Cập nhật giá'!$B$9:$Q$1603,4,FALSE())</f>
        <v>16550</v>
      </c>
      <c r="D35" s="16" t="n">
        <f aca="false">VLOOKUP($B35,'Cập nhật giá'!$B$9:$Q$1603,8,FALSE())</f>
        <v>0.0247678018575852</v>
      </c>
      <c r="E35" s="16" t="n">
        <f aca="false">VLOOKUP($B35,'Cập nhật giá'!$B$9:$Q$1603,9,FALSE())</f>
        <v>-0.114973262032086</v>
      </c>
      <c r="F35" s="16" t="n">
        <f aca="false">VLOOKUP($B35,'Cập nhật giá'!$B$9:$Q$1603,10,FALSE())</f>
        <v>-0.320933705896593</v>
      </c>
      <c r="G35" s="16" t="n">
        <f aca="false">C35/M35-1</f>
        <v>-0.480713935190589</v>
      </c>
      <c r="H35" s="16" t="n">
        <f aca="false">C35/N35-1</f>
        <v>0.0677419354838709</v>
      </c>
      <c r="I35" s="15" t="n">
        <f aca="false">VLOOKUP($B35,'Cập nhật giá'!$B$9:$Q$1603,11,FALSE())</f>
        <v>9.18</v>
      </c>
      <c r="J35" s="15" t="n">
        <f aca="false">VLOOKUP($B35,'Cập nhật giá'!$B$9:$Q$1603,12,FALSE())</f>
        <v>0.99</v>
      </c>
      <c r="K35" s="16" t="n">
        <f aca="false">I35/O35-1</f>
        <v>-0.290571870170015</v>
      </c>
      <c r="L35" s="16" t="n">
        <f aca="false">J35/P35-1</f>
        <v>-0.365384615384615</v>
      </c>
      <c r="M35" s="17" t="n">
        <f aca="false">VLOOKUP($B35,'Cập nhật giá'!$B$9:$Q$1603,13,FALSE())</f>
        <v>31870.68</v>
      </c>
      <c r="N35" s="17" t="n">
        <f aca="false">VLOOKUP($B35,'Cập nhật giá'!$B$9:$Q$1603,14,FALSE())</f>
        <v>15500</v>
      </c>
      <c r="O35" s="15" t="n">
        <f aca="false">VLOOKUP($B35,'Cập nhật giá'!$B$9:$Q$1603,15,FALSE())</f>
        <v>12.94</v>
      </c>
      <c r="P35" s="18" t="n">
        <f aca="false">VLOOKUP($B35,'Cập nhật giá'!$B$9:$Q$1603,16,FALSE())</f>
        <v>1.56</v>
      </c>
    </row>
    <row r="36" customFormat="false" ht="12.75" hidden="false" customHeight="false" outlineLevel="0" collapsed="false">
      <c r="A36" s="19" t="n">
        <v>25</v>
      </c>
      <c r="B36" s="20" t="s">
        <v>52</v>
      </c>
      <c r="C36" s="17" t="n">
        <f aca="false">VLOOKUP($B36,'Cập nhật giá'!$B$9:$Q$1603,4,FALSE())</f>
        <v>10400</v>
      </c>
      <c r="D36" s="16" t="n">
        <f aca="false">VLOOKUP($B36,'Cập nhật giá'!$B$9:$Q$1603,8,FALSE())</f>
        <v>0.0246305418719213</v>
      </c>
      <c r="E36" s="16" t="n">
        <f aca="false">VLOOKUP($B36,'Cập nhật giá'!$B$9:$Q$1603,9,FALSE())</f>
        <v>-0.0837004405286344</v>
      </c>
      <c r="F36" s="16" t="n">
        <f aca="false">VLOOKUP($B36,'Cập nhật giá'!$B$9:$Q$1603,10,FALSE())</f>
        <v>0.000796788212153565</v>
      </c>
      <c r="G36" s="16" t="n">
        <f aca="false">C36/M36-1</f>
        <v>-0.180854683620874</v>
      </c>
      <c r="H36" s="16" t="n">
        <f aca="false">C36/N36-1</f>
        <v>0.149954001839926</v>
      </c>
      <c r="I36" s="15" t="n">
        <f aca="false">VLOOKUP($B36,'Cập nhật giá'!$B$9:$Q$1603,11,FALSE())</f>
        <v>7.15</v>
      </c>
      <c r="J36" s="15" t="n">
        <f aca="false">VLOOKUP($B36,'Cập nhật giá'!$B$9:$Q$1603,12,FALSE())</f>
        <v>0.89</v>
      </c>
      <c r="K36" s="16" t="n">
        <f aca="false">I36/O36-1</f>
        <v>-0.0492021276595743</v>
      </c>
      <c r="L36" s="16" t="n">
        <f aca="false">J36/P36-1</f>
        <v>-0.101010101010101</v>
      </c>
      <c r="M36" s="17" t="n">
        <f aca="false">VLOOKUP($B36,'Cập nhật giá'!$B$9:$Q$1603,13,FALSE())</f>
        <v>12696.16</v>
      </c>
      <c r="N36" s="17" t="n">
        <f aca="false">VLOOKUP($B36,'Cập nhật giá'!$B$9:$Q$1603,14,FALSE())</f>
        <v>9043.84</v>
      </c>
      <c r="O36" s="15" t="n">
        <f aca="false">VLOOKUP($B36,'Cập nhật giá'!$B$9:$Q$1603,15,FALSE())</f>
        <v>7.52</v>
      </c>
      <c r="P36" s="18" t="n">
        <f aca="false">VLOOKUP($B36,'Cập nhật giá'!$B$9:$Q$1603,16,FALSE())</f>
        <v>0.99</v>
      </c>
    </row>
    <row r="37" customFormat="false" ht="12.75" hidden="false" customHeight="false" outlineLevel="0" collapsed="false">
      <c r="A37" s="19" t="n">
        <v>4</v>
      </c>
      <c r="B37" s="20" t="s">
        <v>53</v>
      </c>
      <c r="C37" s="17" t="n">
        <f aca="false">VLOOKUP($B37,'Cập nhật giá'!$B$9:$Q$1603,4,FALSE())</f>
        <v>22400</v>
      </c>
      <c r="D37" s="16" t="n">
        <f aca="false">VLOOKUP($B37,'Cập nhật giá'!$B$9:$Q$1603,8,FALSE())</f>
        <v>0.0228310502283104</v>
      </c>
      <c r="E37" s="16" t="n">
        <f aca="false">VLOOKUP($B37,'Cập nhật giá'!$B$9:$Q$1603,9,FALSE())</f>
        <v>-0.00884955752212391</v>
      </c>
      <c r="F37" s="16" t="n">
        <f aca="false">VLOOKUP($B37,'Cập nhật giá'!$B$9:$Q$1603,10,FALSE())</f>
        <v>0.0832559579077685</v>
      </c>
      <c r="G37" s="16" t="n">
        <f aca="false">C37/M37-1</f>
        <v>-0.117210764353601</v>
      </c>
      <c r="H37" s="16" t="n">
        <f aca="false">C37/N37-1</f>
        <v>0.198071105520113</v>
      </c>
      <c r="I37" s="15" t="n">
        <f aca="false">VLOOKUP($B37,'Cập nhật giá'!$B$9:$Q$1603,11,FALSE())</f>
        <v>8.29</v>
      </c>
      <c r="J37" s="15" t="n">
        <f aca="false">VLOOKUP($B37,'Cập nhật giá'!$B$9:$Q$1603,12,FALSE())</f>
        <v>1.31</v>
      </c>
      <c r="K37" s="16" t="n">
        <f aca="false">I37/O37-1</f>
        <v>0.196248196248196</v>
      </c>
      <c r="L37" s="16" t="n">
        <f aca="false">J37/P37-1</f>
        <v>-0.0774647887323943</v>
      </c>
      <c r="M37" s="17" t="n">
        <f aca="false">VLOOKUP($B37,'Cập nhật giá'!$B$9:$Q$1603,13,FALSE())</f>
        <v>25374.12</v>
      </c>
      <c r="N37" s="17" t="n">
        <f aca="false">VLOOKUP($B37,'Cập nhật giá'!$B$9:$Q$1603,14,FALSE())</f>
        <v>18696.72</v>
      </c>
      <c r="O37" s="15" t="n">
        <f aca="false">VLOOKUP($B37,'Cập nhật giá'!$B$9:$Q$1603,15,FALSE())</f>
        <v>6.93</v>
      </c>
      <c r="P37" s="18" t="n">
        <f aca="false">VLOOKUP($B37,'Cập nhật giá'!$B$9:$Q$1603,16,FALSE())</f>
        <v>1.42</v>
      </c>
    </row>
    <row r="38" customFormat="false" ht="12.75" hidden="false" customHeight="false" outlineLevel="0" collapsed="false">
      <c r="A38" s="19" t="n">
        <v>13</v>
      </c>
      <c r="B38" s="20" t="s">
        <v>54</v>
      </c>
      <c r="C38" s="17" t="n">
        <f aca="false">VLOOKUP($B38,'Cập nhật giá'!$B$9:$Q$1603,4,FALSE())</f>
        <v>16650</v>
      </c>
      <c r="D38" s="16" t="n">
        <f aca="false">VLOOKUP($B38,'Cập nhật giá'!$B$9:$Q$1603,8,FALSE())</f>
        <v>0.0214723926380369</v>
      </c>
      <c r="E38" s="16" t="n">
        <f aca="false">VLOOKUP($B38,'Cập nhật giá'!$B$9:$Q$1603,9,FALSE())</f>
        <v>-0.075</v>
      </c>
      <c r="F38" s="16" t="n">
        <f aca="false">VLOOKUP($B38,'Cập nhật giá'!$B$9:$Q$1603,10,FALSE())</f>
        <v>-0.301093819654501</v>
      </c>
      <c r="G38" s="16" t="n">
        <f aca="false">C38/M38-1</f>
        <v>-0.395026793227788</v>
      </c>
      <c r="H38" s="16" t="n">
        <f aca="false">C38/N38-1</f>
        <v>0.0605095541401275</v>
      </c>
      <c r="I38" s="15" t="n">
        <f aca="false">VLOOKUP($B38,'Cập nhật giá'!$B$9:$Q$1603,11,FALSE())</f>
        <v>6.22</v>
      </c>
      <c r="J38" s="15" t="n">
        <f aca="false">VLOOKUP($B38,'Cập nhật giá'!$B$9:$Q$1603,12,FALSE())</f>
        <v>0.84</v>
      </c>
      <c r="K38" s="16" t="n">
        <f aca="false">I38/O38-1</f>
        <v>-0.368527918781726</v>
      </c>
      <c r="L38" s="16" t="n">
        <f aca="false">J38/P38-1</f>
        <v>-0.382352941176471</v>
      </c>
      <c r="M38" s="17" t="n">
        <f aca="false">VLOOKUP($B38,'Cập nhật giá'!$B$9:$Q$1603,13,FALSE())</f>
        <v>27521.88</v>
      </c>
      <c r="N38" s="17" t="n">
        <f aca="false">VLOOKUP($B38,'Cập nhật giá'!$B$9:$Q$1603,14,FALSE())</f>
        <v>15700</v>
      </c>
      <c r="O38" s="15" t="n">
        <f aca="false">VLOOKUP($B38,'Cập nhật giá'!$B$9:$Q$1603,15,FALSE())</f>
        <v>9.85</v>
      </c>
      <c r="P38" s="18" t="n">
        <f aca="false">VLOOKUP($B38,'Cập nhật giá'!$B$9:$Q$1603,16,FALSE())</f>
        <v>1.36</v>
      </c>
    </row>
    <row r="39" customFormat="false" ht="12.75" hidden="false" customHeight="false" outlineLevel="0" collapsed="false">
      <c r="A39" s="19" t="n">
        <v>70</v>
      </c>
      <c r="B39" s="20" t="s">
        <v>55</v>
      </c>
      <c r="C39" s="17" t="n">
        <f aca="false">VLOOKUP($B39,'Cập nhật giá'!$B$9:$Q$1603,4,FALSE())</f>
        <v>21750</v>
      </c>
      <c r="D39" s="16" t="n">
        <f aca="false">VLOOKUP($B39,'Cập nhật giá'!$B$9:$Q$1603,8,FALSE())</f>
        <v>0.0211267605633803</v>
      </c>
      <c r="E39" s="16" t="n">
        <f aca="false">VLOOKUP($B39,'Cập nhật giá'!$B$9:$Q$1603,9,FALSE())</f>
        <v>-0.126506024096386</v>
      </c>
      <c r="F39" s="16" t="n">
        <f aca="false">VLOOKUP($B39,'Cập nhật giá'!$B$9:$Q$1603,10,FALSE())</f>
        <v>-0.149919095748423</v>
      </c>
      <c r="G39" s="16" t="n">
        <f aca="false">C39/M39-1</f>
        <v>-0.378075488196445</v>
      </c>
      <c r="H39" s="16" t="n">
        <f aca="false">C39/N39-1</f>
        <v>0.178861788617886</v>
      </c>
      <c r="I39" s="15" t="n">
        <f aca="false">VLOOKUP($B39,'Cập nhật giá'!$B$9:$Q$1603,11,FALSE())</f>
        <v>16.29</v>
      </c>
      <c r="J39" s="15" t="n">
        <f aca="false">VLOOKUP($B39,'Cập nhật giá'!$B$9:$Q$1603,12,FALSE())</f>
        <v>1.46</v>
      </c>
      <c r="K39" s="16" t="n">
        <f aca="false">I39/O39-1</f>
        <v>-0.273578595317726</v>
      </c>
      <c r="L39" s="16" t="n">
        <f aca="false">J39/P39-1</f>
        <v>-0.361050328227571</v>
      </c>
      <c r="M39" s="17" t="n">
        <f aca="false">VLOOKUP($B39,'Cập nhật giá'!$B$9:$Q$1603,13,FALSE())</f>
        <v>34972.09</v>
      </c>
      <c r="N39" s="17" t="n">
        <f aca="false">VLOOKUP($B39,'Cập nhật giá'!$B$9:$Q$1603,14,FALSE())</f>
        <v>18450</v>
      </c>
      <c r="O39" s="15" t="n">
        <f aca="false">VLOOKUP($B39,'Cập nhật giá'!$B$9:$Q$1603,15,FALSE())</f>
        <v>22.425</v>
      </c>
      <c r="P39" s="18" t="n">
        <f aca="false">VLOOKUP($B39,'Cập nhật giá'!$B$9:$Q$1603,16,FALSE())</f>
        <v>2.285</v>
      </c>
    </row>
    <row r="40" customFormat="false" ht="12.75" hidden="false" customHeight="false" outlineLevel="0" collapsed="false">
      <c r="A40" s="19" t="n">
        <v>58</v>
      </c>
      <c r="B40" s="20" t="s">
        <v>56</v>
      </c>
      <c r="C40" s="17" t="n">
        <f aca="false">VLOOKUP($B40,'Cập nhật giá'!$B$9:$Q$1603,4,FALSE())</f>
        <v>46200</v>
      </c>
      <c r="D40" s="16" t="n">
        <f aca="false">VLOOKUP($B40,'Cập nhật giá'!$B$9:$Q$1603,8,FALSE())</f>
        <v>0.0209944751381215</v>
      </c>
      <c r="E40" s="16" t="n">
        <f aca="false">VLOOKUP($B40,'Cập nhật giá'!$B$9:$Q$1603,9,FALSE())</f>
        <v>-0.0715262420446681</v>
      </c>
      <c r="F40" s="16" t="n">
        <f aca="false">VLOOKUP($B40,'Cập nhật giá'!$B$9:$Q$1603,10,FALSE())</f>
        <v>-0.180665406097339</v>
      </c>
      <c r="G40" s="16" t="n">
        <f aca="false">C40/M40-1</f>
        <v>-0.322606469548082</v>
      </c>
      <c r="H40" s="16" t="n">
        <f aca="false">C40/N40-1</f>
        <v>0.0523917995444192</v>
      </c>
      <c r="I40" s="15" t="n">
        <f aca="false">VLOOKUP($B40,'Cập nhật giá'!$B$9:$Q$1603,11,FALSE())</f>
        <v>7.06</v>
      </c>
      <c r="J40" s="15" t="n">
        <f aca="false">VLOOKUP($B40,'Cập nhật giá'!$B$9:$Q$1603,12,FALSE())</f>
        <v>1.73</v>
      </c>
      <c r="K40" s="16" t="n">
        <f aca="false">I40/O40-1</f>
        <v>-0.283975659229209</v>
      </c>
      <c r="L40" s="16" t="n">
        <f aca="false">J40/P40-1</f>
        <v>-0.130653266331658</v>
      </c>
      <c r="M40" s="17" t="n">
        <f aca="false">VLOOKUP($B40,'Cập nhật giá'!$B$9:$Q$1603,13,FALSE())</f>
        <v>68202.6</v>
      </c>
      <c r="N40" s="17" t="n">
        <f aca="false">VLOOKUP($B40,'Cập nhật giá'!$B$9:$Q$1603,14,FALSE())</f>
        <v>43900</v>
      </c>
      <c r="O40" s="15" t="n">
        <f aca="false">VLOOKUP($B40,'Cập nhật giá'!$B$9:$Q$1603,15,FALSE())</f>
        <v>9.86</v>
      </c>
      <c r="P40" s="18" t="n">
        <f aca="false">VLOOKUP($B40,'Cập nhật giá'!$B$9:$Q$1603,16,FALSE())</f>
        <v>1.99</v>
      </c>
    </row>
    <row r="41" customFormat="false" ht="12.75" hidden="false" customHeight="false" outlineLevel="0" collapsed="false">
      <c r="A41" s="19" t="n">
        <v>23</v>
      </c>
      <c r="B41" s="20" t="s">
        <v>57</v>
      </c>
      <c r="C41" s="17" t="n">
        <f aca="false">VLOOKUP($B41,'Cập nhật giá'!$B$9:$Q$1603,4,FALSE())</f>
        <v>67400</v>
      </c>
      <c r="D41" s="16" t="n">
        <f aca="false">VLOOKUP($B41,'Cập nhật giá'!$B$9:$Q$1603,8,FALSE())</f>
        <v>0.0196671709531013</v>
      </c>
      <c r="E41" s="16" t="n">
        <f aca="false">VLOOKUP($B41,'Cập nhật giá'!$B$9:$Q$1603,9,FALSE())</f>
        <v>-0.0174927113702624</v>
      </c>
      <c r="F41" s="16" t="n">
        <f aca="false">VLOOKUP($B41,'Cập nhật giá'!$B$9:$Q$1603,10,FALSE())</f>
        <v>-0.124675324675325</v>
      </c>
      <c r="G41" s="16" t="n">
        <f aca="false">C41/M41-1</f>
        <v>-0.238418079096045</v>
      </c>
      <c r="H41" s="16" t="n">
        <f aca="false">C41/N41-1</f>
        <v>0.0547730829420969</v>
      </c>
      <c r="I41" s="15" t="n">
        <f aca="false">VLOOKUP($B41,'Cập nhật giá'!$B$9:$Q$1603,11,FALSE())</f>
        <v>14.54</v>
      </c>
      <c r="J41" s="15" t="n">
        <f aca="false">VLOOKUP($B41,'Cập nhật giá'!$B$9:$Q$1603,12,FALSE())</f>
        <v>2.46</v>
      </c>
      <c r="K41" s="16" t="n">
        <f aca="false">I41/O41-1</f>
        <v>-0.689912561313713</v>
      </c>
      <c r="L41" s="16" t="n">
        <f aca="false">J41/P41-1</f>
        <v>-0.361867704280156</v>
      </c>
      <c r="M41" s="17" t="n">
        <f aca="false">VLOOKUP($B41,'Cập nhật giá'!$B$9:$Q$1603,13,FALSE())</f>
        <v>88500</v>
      </c>
      <c r="N41" s="17" t="n">
        <f aca="false">VLOOKUP($B41,'Cập nhật giá'!$B$9:$Q$1603,14,FALSE())</f>
        <v>63900</v>
      </c>
      <c r="O41" s="15" t="n">
        <f aca="false">VLOOKUP($B41,'Cập nhật giá'!$B$9:$Q$1603,15,FALSE())</f>
        <v>46.89</v>
      </c>
      <c r="P41" s="18" t="n">
        <f aca="false">VLOOKUP($B41,'Cập nhật giá'!$B$9:$Q$1603,16,FALSE())</f>
        <v>3.855</v>
      </c>
    </row>
    <row r="42" customFormat="false" ht="12.75" hidden="false" customHeight="false" outlineLevel="0" collapsed="false">
      <c r="A42" s="19" t="n">
        <v>5</v>
      </c>
      <c r="B42" s="20" t="s">
        <v>58</v>
      </c>
      <c r="C42" s="17" t="n">
        <f aca="false">VLOOKUP($B42,'Cập nhật giá'!$B$9:$Q$1603,4,FALSE())</f>
        <v>62000</v>
      </c>
      <c r="D42" s="16" t="n">
        <f aca="false">VLOOKUP($B42,'Cập nhật giá'!$B$9:$Q$1603,8,FALSE())</f>
        <v>0.0180623973727423</v>
      </c>
      <c r="E42" s="16" t="n">
        <f aca="false">VLOOKUP($B42,'Cập nhật giá'!$B$9:$Q$1603,9,FALSE())</f>
        <v>0.125226860254084</v>
      </c>
      <c r="F42" s="16" t="n">
        <f aca="false">VLOOKUP($B42,'Cập nhật giá'!$B$9:$Q$1603,10,FALSE())</f>
        <v>0.0462376282400461</v>
      </c>
      <c r="G42" s="16" t="n">
        <f aca="false">C42/M42-1</f>
        <v>-0.127660179178599</v>
      </c>
      <c r="H42" s="16" t="n">
        <f aca="false">C42/N42-1</f>
        <v>0.164177142696197</v>
      </c>
      <c r="I42" s="15" t="n">
        <f aca="false">VLOOKUP($B42,'Cập nhật giá'!$B$9:$Q$1603,11,FALSE())</f>
        <v>11.82</v>
      </c>
      <c r="J42" s="15" t="n">
        <f aca="false">VLOOKUP($B42,'Cập nhật giá'!$B$9:$Q$1603,12,FALSE())</f>
        <v>4.07</v>
      </c>
      <c r="K42" s="16" t="n">
        <f aca="false">I42/O42-1</f>
        <v>-0.243277848911652</v>
      </c>
      <c r="L42" s="16" t="n">
        <f aca="false">J42/P42-1</f>
        <v>-0.097560975609756</v>
      </c>
      <c r="M42" s="17" t="n">
        <f aca="false">VLOOKUP($B42,'Cập nhật giá'!$B$9:$Q$1603,13,FALSE())</f>
        <v>71073.22</v>
      </c>
      <c r="N42" s="17" t="n">
        <f aca="false">VLOOKUP($B42,'Cập nhật giá'!$B$9:$Q$1603,14,FALSE())</f>
        <v>53256.5</v>
      </c>
      <c r="O42" s="15" t="n">
        <f aca="false">VLOOKUP($B42,'Cập nhật giá'!$B$9:$Q$1603,15,FALSE())</f>
        <v>15.62</v>
      </c>
      <c r="P42" s="18" t="n">
        <f aca="false">VLOOKUP($B42,'Cập nhật giá'!$B$9:$Q$1603,16,FALSE())</f>
        <v>4.51</v>
      </c>
    </row>
    <row r="43" customFormat="false" ht="12.75" hidden="false" customHeight="false" outlineLevel="0" collapsed="false">
      <c r="A43" s="19" t="n">
        <v>63</v>
      </c>
      <c r="B43" s="20" t="s">
        <v>59</v>
      </c>
      <c r="C43" s="17" t="n">
        <f aca="false">VLOOKUP($B43,'Cập nhật giá'!$B$9:$Q$1603,4,FALSE())</f>
        <v>62100</v>
      </c>
      <c r="D43" s="16" t="n">
        <f aca="false">VLOOKUP($B43,'Cập nhật giá'!$B$9:$Q$1603,8,FALSE())</f>
        <v>0.0180327868852459</v>
      </c>
      <c r="E43" s="16" t="n">
        <f aca="false">VLOOKUP($B43,'Cập nhật giá'!$B$9:$Q$1603,9,FALSE())</f>
        <v>-0.133891213389121</v>
      </c>
      <c r="F43" s="16" t="n">
        <f aca="false">VLOOKUP($B43,'Cập nhật giá'!$B$9:$Q$1603,10,FALSE())</f>
        <v>-0.142056632551559</v>
      </c>
      <c r="G43" s="16" t="n">
        <f aca="false">C43/M43-1</f>
        <v>-0.33069556251158</v>
      </c>
      <c r="H43" s="16" t="n">
        <f aca="false">C43/N43-1</f>
        <v>0.127041742286751</v>
      </c>
      <c r="I43" s="15" t="n">
        <f aca="false">VLOOKUP($B43,'Cập nhật giá'!$B$9:$Q$1603,11,FALSE())</f>
        <v>8.81</v>
      </c>
      <c r="J43" s="15" t="n">
        <f aca="false">VLOOKUP($B43,'Cập nhật giá'!$B$9:$Q$1603,12,FALSE())</f>
        <v>0.72</v>
      </c>
      <c r="K43" s="16" t="n">
        <f aca="false">I43/O43-1</f>
        <v>-0.589659990684676</v>
      </c>
      <c r="L43" s="16" t="n">
        <f aca="false">J43/P43-1</f>
        <v>-0.076923076923077</v>
      </c>
      <c r="M43" s="17" t="n">
        <f aca="false">VLOOKUP($B43,'Cập nhật giá'!$B$9:$Q$1603,13,FALSE())</f>
        <v>92782.89</v>
      </c>
      <c r="N43" s="17" t="n">
        <f aca="false">VLOOKUP($B43,'Cập nhật giá'!$B$9:$Q$1603,14,FALSE())</f>
        <v>55100</v>
      </c>
      <c r="O43" s="15" t="n">
        <f aca="false">VLOOKUP($B43,'Cập nhật giá'!$B$9:$Q$1603,15,FALSE())</f>
        <v>21.47</v>
      </c>
      <c r="P43" s="18" t="n">
        <f aca="false">VLOOKUP($B43,'Cập nhật giá'!$B$9:$Q$1603,16,FALSE())</f>
        <v>0.78</v>
      </c>
    </row>
    <row r="44" customFormat="false" ht="12.75" hidden="false" customHeight="false" outlineLevel="0" collapsed="false">
      <c r="A44" s="19" t="n">
        <v>62</v>
      </c>
      <c r="B44" s="20" t="s">
        <v>60</v>
      </c>
      <c r="C44" s="17" t="n">
        <f aca="false">VLOOKUP($B44,'Cập nhật giá'!$B$9:$Q$1603,4,FALSE())</f>
        <v>17350</v>
      </c>
      <c r="D44" s="16" t="n">
        <f aca="false">VLOOKUP($B44,'Cập nhật giá'!$B$9:$Q$1603,8,FALSE())</f>
        <v>0.0175953079178885</v>
      </c>
      <c r="E44" s="16" t="n">
        <f aca="false">VLOOKUP($B44,'Cập nhật giá'!$B$9:$Q$1603,9,FALSE())</f>
        <v>-0.14320987654321</v>
      </c>
      <c r="F44" s="16" t="n">
        <f aca="false">VLOOKUP($B44,'Cập nhật giá'!$B$9:$Q$1603,10,FALSE())</f>
        <v>-0.324902723735409</v>
      </c>
      <c r="G44" s="16" t="n">
        <f aca="false">C44/M44-1</f>
        <v>-0.462617705306364</v>
      </c>
      <c r="H44" s="16" t="n">
        <f aca="false">C44/N44-1</f>
        <v>0.0743034055727554</v>
      </c>
      <c r="I44" s="15" t="n">
        <f aca="false">VLOOKUP($B44,'Cập nhật giá'!$B$9:$Q$1603,11,FALSE())</f>
        <v>5.34</v>
      </c>
      <c r="J44" s="15" t="n">
        <f aca="false">VLOOKUP($B44,'Cập nhật giá'!$B$9:$Q$1603,12,FALSE())</f>
        <v>1.2</v>
      </c>
      <c r="K44" s="16" t="n">
        <f aca="false">I44/O44-1</f>
        <v>-0.70374479889043</v>
      </c>
      <c r="L44" s="16" t="n">
        <f aca="false">J44/P44-1</f>
        <v>-0.259259259259259</v>
      </c>
      <c r="M44" s="17" t="n">
        <f aca="false">VLOOKUP($B44,'Cập nhật giá'!$B$9:$Q$1603,13,FALSE())</f>
        <v>32286.14</v>
      </c>
      <c r="N44" s="17" t="n">
        <f aca="false">VLOOKUP($B44,'Cập nhật giá'!$B$9:$Q$1603,14,FALSE())</f>
        <v>16150</v>
      </c>
      <c r="O44" s="15" t="n">
        <f aca="false">VLOOKUP($B44,'Cập nhật giá'!$B$9:$Q$1603,15,FALSE())</f>
        <v>18.025</v>
      </c>
      <c r="P44" s="18" t="n">
        <f aca="false">VLOOKUP($B44,'Cập nhật giá'!$B$9:$Q$1603,16,FALSE())</f>
        <v>1.62</v>
      </c>
    </row>
    <row r="45" customFormat="false" ht="12.75" hidden="false" customHeight="false" outlineLevel="0" collapsed="false">
      <c r="A45" s="19" t="n">
        <v>28</v>
      </c>
      <c r="B45" s="20" t="s">
        <v>61</v>
      </c>
      <c r="C45" s="17" t="n">
        <f aca="false">VLOOKUP($B45,'Cập nhật giá'!$B$9:$Q$1603,4,FALSE())</f>
        <v>38500</v>
      </c>
      <c r="D45" s="16" t="n">
        <f aca="false">VLOOKUP($B45,'Cập nhật giá'!$B$9:$Q$1603,8,FALSE())</f>
        <v>0.0171730515191546</v>
      </c>
      <c r="E45" s="16" t="n">
        <f aca="false">VLOOKUP($B45,'Cập nhật giá'!$B$9:$Q$1603,9,FALSE())</f>
        <v>-0.0482100167861143</v>
      </c>
      <c r="F45" s="16" t="n">
        <f aca="false">VLOOKUP($B45,'Cập nhật giá'!$B$9:$Q$1603,10,FALSE())</f>
        <v>-0.0220558164817887</v>
      </c>
      <c r="G45" s="16" t="n">
        <f aca="false">C45/M45-1</f>
        <v>-0.366454020112534</v>
      </c>
      <c r="H45" s="16" t="n">
        <f aca="false">C45/N45-1</f>
        <v>0.103152810733075</v>
      </c>
      <c r="I45" s="15" t="n">
        <f aca="false">VLOOKUP($B45,'Cập nhật giá'!$B$9:$Q$1603,11,FALSE())</f>
        <v>12.13</v>
      </c>
      <c r="J45" s="15" t="n">
        <f aca="false">VLOOKUP($B45,'Cập nhật giá'!$B$9:$Q$1603,12,FALSE())</f>
        <v>2.05</v>
      </c>
      <c r="K45" s="16" t="n">
        <f aca="false">I45/O45-1</f>
        <v>-0.280332245624444</v>
      </c>
      <c r="L45" s="16" t="n">
        <f aca="false">J45/P45-1</f>
        <v>-0.196078431372549</v>
      </c>
      <c r="M45" s="17" t="n">
        <f aca="false">VLOOKUP($B45,'Cập nhật giá'!$B$9:$Q$1603,13,FALSE())</f>
        <v>60769.07</v>
      </c>
      <c r="N45" s="17" t="n">
        <f aca="false">VLOOKUP($B45,'Cập nhật giá'!$B$9:$Q$1603,14,FALSE())</f>
        <v>34899.97</v>
      </c>
      <c r="O45" s="15" t="n">
        <f aca="false">VLOOKUP($B45,'Cập nhật giá'!$B$9:$Q$1603,15,FALSE())</f>
        <v>16.855</v>
      </c>
      <c r="P45" s="18" t="n">
        <f aca="false">VLOOKUP($B45,'Cập nhật giá'!$B$9:$Q$1603,16,FALSE())</f>
        <v>2.55</v>
      </c>
    </row>
    <row r="46" customFormat="false" ht="12.75" hidden="false" customHeight="false" outlineLevel="0" collapsed="false">
      <c r="A46" s="19" t="n">
        <v>16</v>
      </c>
      <c r="B46" s="20" t="s">
        <v>62</v>
      </c>
      <c r="C46" s="17" t="n">
        <f aca="false">VLOOKUP($B46,'Cập nhật giá'!$B$9:$Q$1603,4,FALSE())</f>
        <v>71000</v>
      </c>
      <c r="D46" s="16" t="n">
        <f aca="false">VLOOKUP($B46,'Cập nhật giá'!$B$9:$Q$1603,8,FALSE())</f>
        <v>0.0157367668097281</v>
      </c>
      <c r="E46" s="16" t="n">
        <f aca="false">VLOOKUP($B46,'Cập nhật giá'!$B$9:$Q$1603,9,FALSE())</f>
        <v>-0.0696364047343714</v>
      </c>
      <c r="F46" s="16" t="n">
        <f aca="false">VLOOKUP($B46,'Cập nhật giá'!$B$9:$Q$1603,10,FALSE())</f>
        <v>-0.18435318288364</v>
      </c>
      <c r="G46" s="16" t="n">
        <f aca="false">C46/M46-1</f>
        <v>-0.230489022058845</v>
      </c>
      <c r="H46" s="16" t="n">
        <f aca="false">C46/N46-1</f>
        <v>0.139070752497413</v>
      </c>
      <c r="I46" s="15" t="n">
        <f aca="false">VLOOKUP($B46,'Cập nhật giá'!$B$9:$Q$1603,11,FALSE())</f>
        <v>10.65</v>
      </c>
      <c r="J46" s="15" t="n">
        <f aca="false">VLOOKUP($B46,'Cập nhật giá'!$B$9:$Q$1603,12,FALSE())</f>
        <v>2.94</v>
      </c>
      <c r="K46" s="16" t="n">
        <f aca="false">I46/O46-1</f>
        <v>-0.510682288077188</v>
      </c>
      <c r="L46" s="16" t="n">
        <f aca="false">J46/P46-1</f>
        <v>-0.157593123209169</v>
      </c>
      <c r="M46" s="17" t="n">
        <f aca="false">VLOOKUP($B46,'Cập nhật giá'!$B$9:$Q$1603,13,FALSE())</f>
        <v>92266.39</v>
      </c>
      <c r="N46" s="17" t="n">
        <f aca="false">VLOOKUP($B46,'Cập nhật giá'!$B$9:$Q$1603,14,FALSE())</f>
        <v>62331.51</v>
      </c>
      <c r="O46" s="15" t="n">
        <f aca="false">VLOOKUP($B46,'Cập nhật giá'!$B$9:$Q$1603,15,FALSE())</f>
        <v>21.765</v>
      </c>
      <c r="P46" s="18" t="n">
        <f aca="false">VLOOKUP($B46,'Cập nhật giá'!$B$9:$Q$1603,16,FALSE())</f>
        <v>3.49</v>
      </c>
    </row>
    <row r="47" customFormat="false" ht="12.75" hidden="false" customHeight="false" outlineLevel="0" collapsed="false">
      <c r="A47" s="19" t="n">
        <v>1</v>
      </c>
      <c r="B47" s="20" t="s">
        <v>63</v>
      </c>
      <c r="C47" s="17" t="n">
        <f aca="false">VLOOKUP($B47,'Cập nhật giá'!$B$9:$Q$1603,4,FALSE())</f>
        <v>25350</v>
      </c>
      <c r="D47" s="16" t="n">
        <f aca="false">VLOOKUP($B47,'Cập nhật giá'!$B$9:$Q$1603,8,FALSE())</f>
        <v>0.014</v>
      </c>
      <c r="E47" s="16" t="n">
        <f aca="false">VLOOKUP($B47,'Cập nhật giá'!$B$9:$Q$1603,9,FALSE())</f>
        <v>0.0280255582969571</v>
      </c>
      <c r="F47" s="16" t="n">
        <f aca="false">VLOOKUP($B47,'Cập nhật giá'!$B$9:$Q$1603,10,FALSE())</f>
        <v>0.33472474658658</v>
      </c>
      <c r="G47" s="16" t="n">
        <f aca="false">C47/M47-1</f>
        <v>-0.023121387283237</v>
      </c>
      <c r="H47" s="16" t="n">
        <f aca="false">C47/N47-1</f>
        <v>0.539347171062459</v>
      </c>
      <c r="I47" s="15" t="n">
        <f aca="false">VLOOKUP($B47,'Cập nhật giá'!$B$9:$Q$1603,11,FALSE())</f>
        <v>19.27</v>
      </c>
      <c r="J47" s="15" t="n">
        <f aca="false">VLOOKUP($B47,'Cập nhật giá'!$B$9:$Q$1603,12,FALSE())</f>
        <v>2.34</v>
      </c>
      <c r="K47" s="16" t="n">
        <f aca="false">I47/O47-1</f>
        <v>0.098005698005698</v>
      </c>
      <c r="L47" s="16" t="n">
        <f aca="false">J47/P47-1</f>
        <v>0.158415841584158</v>
      </c>
      <c r="M47" s="17" t="n">
        <f aca="false">VLOOKUP($B47,'Cập nhật giá'!$B$9:$Q$1603,13,FALSE())</f>
        <v>25950</v>
      </c>
      <c r="N47" s="17" t="n">
        <f aca="false">VLOOKUP($B47,'Cập nhật giá'!$B$9:$Q$1603,14,FALSE())</f>
        <v>16468.02</v>
      </c>
      <c r="O47" s="15" t="n">
        <f aca="false">VLOOKUP($B47,'Cập nhật giá'!$B$9:$Q$1603,15,FALSE())</f>
        <v>17.55</v>
      </c>
      <c r="P47" s="18" t="n">
        <f aca="false">VLOOKUP($B47,'Cập nhật giá'!$B$9:$Q$1603,16,FALSE())</f>
        <v>2.02</v>
      </c>
    </row>
    <row r="48" customFormat="false" ht="12.75" hidden="false" customHeight="false" outlineLevel="0" collapsed="false">
      <c r="A48" s="19" t="n">
        <v>51</v>
      </c>
      <c r="B48" s="20" t="s">
        <v>64</v>
      </c>
      <c r="C48" s="17" t="n">
        <f aca="false">VLOOKUP($B48,'Cập nhật giá'!$B$9:$Q$1603,4,FALSE())</f>
        <v>22000</v>
      </c>
      <c r="D48" s="16" t="n">
        <f aca="false">VLOOKUP($B48,'Cập nhật giá'!$B$9:$Q$1603,8,FALSE())</f>
        <v>0.0138248847926268</v>
      </c>
      <c r="E48" s="16" t="n">
        <f aca="false">VLOOKUP($B48,'Cập nhật giá'!$B$9:$Q$1603,9,FALSE())</f>
        <v>-0.0476190476190477</v>
      </c>
      <c r="F48" s="16" t="n">
        <f aca="false">VLOOKUP($B48,'Cập nhật giá'!$B$9:$Q$1603,10,FALSE())</f>
        <v>-0.0665403950401049</v>
      </c>
      <c r="G48" s="16" t="n">
        <f aca="false">C48/M48-1</f>
        <v>-0.188028289094408</v>
      </c>
      <c r="H48" s="16" t="n">
        <f aca="false">C48/N48-1</f>
        <v>0.0810810810810811</v>
      </c>
      <c r="I48" s="15" t="n">
        <f aca="false">VLOOKUP($B48,'Cập nhật giá'!$B$9:$Q$1603,11,FALSE())</f>
        <v>8</v>
      </c>
      <c r="J48" s="15" t="n">
        <f aca="false">VLOOKUP($B48,'Cập nhật giá'!$B$9:$Q$1603,12,FALSE())</f>
        <v>1.32</v>
      </c>
      <c r="K48" s="16" t="n">
        <f aca="false">I48/O48-1</f>
        <v>-0.421338155515371</v>
      </c>
      <c r="L48" s="16" t="n">
        <f aca="false">J48/P48-1</f>
        <v>-0.164556962025316</v>
      </c>
      <c r="M48" s="17" t="n">
        <f aca="false">VLOOKUP($B48,'Cập nhật giá'!$B$9:$Q$1603,13,FALSE())</f>
        <v>27094.54</v>
      </c>
      <c r="N48" s="17" t="n">
        <f aca="false">VLOOKUP($B48,'Cập nhật giá'!$B$9:$Q$1603,14,FALSE())</f>
        <v>20350</v>
      </c>
      <c r="O48" s="15" t="n">
        <f aca="false">VLOOKUP($B48,'Cập nhật giá'!$B$9:$Q$1603,15,FALSE())</f>
        <v>13.825</v>
      </c>
      <c r="P48" s="18" t="n">
        <f aca="false">VLOOKUP($B48,'Cập nhật giá'!$B$9:$Q$1603,16,FALSE())</f>
        <v>1.58</v>
      </c>
    </row>
    <row r="49" customFormat="false" ht="12.75" hidden="false" customHeight="false" outlineLevel="0" collapsed="false">
      <c r="A49" s="19" t="n">
        <v>29</v>
      </c>
      <c r="B49" s="20" t="s">
        <v>65</v>
      </c>
      <c r="C49" s="17" t="n">
        <f aca="false">VLOOKUP($B49,'Cập nhật giá'!$B$9:$Q$1603,4,FALSE())</f>
        <v>47100</v>
      </c>
      <c r="D49" s="16" t="n">
        <f aca="false">VLOOKUP($B49,'Cập nhật giá'!$B$9:$Q$1603,8,FALSE())</f>
        <v>0.0129032258064516</v>
      </c>
      <c r="E49" s="16" t="n">
        <f aca="false">VLOOKUP($B49,'Cập nhật giá'!$B$9:$Q$1603,9,FALSE())</f>
        <v>-0.00737618545837726</v>
      </c>
      <c r="F49" s="16" t="n">
        <f aca="false">VLOOKUP($B49,'Cập nhật giá'!$B$9:$Q$1603,10,FALSE())</f>
        <v>-0.0977386572244027</v>
      </c>
      <c r="G49" s="16" t="n">
        <f aca="false">C49/M49-1</f>
        <v>-0.244590885820634</v>
      </c>
      <c r="H49" s="16" t="n">
        <f aca="false">C49/N49-1</f>
        <v>0.0741163055872292</v>
      </c>
      <c r="I49" s="15" t="n">
        <f aca="false">VLOOKUP($B49,'Cập nhật giá'!$B$9:$Q$1603,11,FALSE())</f>
        <v>11.11</v>
      </c>
      <c r="J49" s="15" t="n">
        <f aca="false">VLOOKUP($B49,'Cập nhật giá'!$B$9:$Q$1603,12,FALSE())</f>
        <v>1.35</v>
      </c>
      <c r="K49" s="16" t="n">
        <f aca="false">I49/O49-1</f>
        <v>-0.124852304056715</v>
      </c>
      <c r="L49" s="16" t="n">
        <f aca="false">J49/P49-1</f>
        <v>-0.196428571428571</v>
      </c>
      <c r="M49" s="17" t="n">
        <f aca="false">VLOOKUP($B49,'Cập nhật giá'!$B$9:$Q$1603,13,FALSE())</f>
        <v>62350.32</v>
      </c>
      <c r="N49" s="17" t="n">
        <f aca="false">VLOOKUP($B49,'Cập nhật giá'!$B$9:$Q$1603,14,FALSE())</f>
        <v>43850</v>
      </c>
      <c r="O49" s="15" t="n">
        <f aca="false">VLOOKUP($B49,'Cập nhật giá'!$B$9:$Q$1603,15,FALSE())</f>
        <v>12.695</v>
      </c>
      <c r="P49" s="18" t="n">
        <f aca="false">VLOOKUP($B49,'Cập nhật giá'!$B$9:$Q$1603,16,FALSE())</f>
        <v>1.68</v>
      </c>
    </row>
    <row r="50" customFormat="false" ht="12.75" hidden="false" customHeight="false" outlineLevel="0" collapsed="false">
      <c r="A50" s="19" t="n">
        <v>45</v>
      </c>
      <c r="B50" s="20" t="s">
        <v>66</v>
      </c>
      <c r="C50" s="17" t="n">
        <f aca="false">VLOOKUP($B50,'Cập nhật giá'!$B$9:$Q$1603,4,FALSE())</f>
        <v>18000</v>
      </c>
      <c r="D50" s="16" t="n">
        <f aca="false">VLOOKUP($B50,'Cập nhật giá'!$B$9:$Q$1603,8,FALSE())</f>
        <v>0.0112359550561798</v>
      </c>
      <c r="E50" s="16" t="n">
        <f aca="false">VLOOKUP($B50,'Cập nhật giá'!$B$9:$Q$1603,9,FALSE())</f>
        <v>-0.108910891089109</v>
      </c>
      <c r="F50" s="16" t="n">
        <f aca="false">VLOOKUP($B50,'Cập nhật giá'!$B$9:$Q$1603,10,FALSE())</f>
        <v>-0.154929577464789</v>
      </c>
      <c r="G50" s="16" t="n">
        <f aca="false">C50/M50-1</f>
        <v>-0.421221864951769</v>
      </c>
      <c r="H50" s="16" t="n">
        <f aca="false">C50/N50-1</f>
        <v>0.0909090909090908</v>
      </c>
      <c r="I50" s="15" t="n">
        <f aca="false">VLOOKUP($B50,'Cập nhật giá'!$B$9:$Q$1603,11,FALSE())</f>
        <v>68.17</v>
      </c>
      <c r="J50" s="15" t="n">
        <f aca="false">VLOOKUP($B50,'Cập nhật giá'!$B$9:$Q$1603,12,FALSE())</f>
        <v>1.27</v>
      </c>
      <c r="K50" s="16" t="n">
        <f aca="false">I50/O50-1</f>
        <v>3.52205638474295</v>
      </c>
      <c r="L50" s="16" t="n">
        <f aca="false">J50/P50-1</f>
        <v>-0.175324675324675</v>
      </c>
      <c r="M50" s="17" t="n">
        <f aca="false">VLOOKUP($B50,'Cập nhật giá'!$B$9:$Q$1603,13,FALSE())</f>
        <v>31100</v>
      </c>
      <c r="N50" s="17" t="n">
        <f aca="false">VLOOKUP($B50,'Cập nhật giá'!$B$9:$Q$1603,14,FALSE())</f>
        <v>16500</v>
      </c>
      <c r="O50" s="15" t="n">
        <f aca="false">VLOOKUP($B50,'Cập nhật giá'!$B$9:$Q$1603,15,FALSE())</f>
        <v>15.075</v>
      </c>
      <c r="P50" s="18" t="n">
        <f aca="false">VLOOKUP($B50,'Cập nhật giá'!$B$9:$Q$1603,16,FALSE())</f>
        <v>1.54</v>
      </c>
    </row>
    <row r="51" customFormat="false" ht="12.75" hidden="false" customHeight="false" outlineLevel="0" collapsed="false">
      <c r="A51" s="19" t="n">
        <v>43</v>
      </c>
      <c r="B51" s="20" t="s">
        <v>67</v>
      </c>
      <c r="C51" s="17" t="n">
        <f aca="false">VLOOKUP($B51,'Cập nhật giá'!$B$9:$Q$1603,4,FALSE())</f>
        <v>14650</v>
      </c>
      <c r="D51" s="16" t="n">
        <f aca="false">VLOOKUP($B51,'Cập nhật giá'!$B$9:$Q$1603,8,FALSE())</f>
        <v>0.0103448275862068</v>
      </c>
      <c r="E51" s="16" t="n">
        <f aca="false">VLOOKUP($B51,'Cập nhật giá'!$B$9:$Q$1603,9,FALSE())</f>
        <v>-0.0984615384615385</v>
      </c>
      <c r="F51" s="16" t="n">
        <f aca="false">VLOOKUP($B51,'Cập nhật giá'!$B$9:$Q$1603,10,FALSE())</f>
        <v>-0.129467495564147</v>
      </c>
      <c r="G51" s="16" t="n">
        <f aca="false">C51/M51-1</f>
        <v>-0.345256078615751</v>
      </c>
      <c r="H51" s="16" t="n">
        <f aca="false">C51/N51-1</f>
        <v>0.0353356890459364</v>
      </c>
      <c r="I51" s="15" t="n">
        <f aca="false">VLOOKUP($B51,'Cập nhật giá'!$B$9:$Q$1603,11,FALSE())</f>
        <v>6.72</v>
      </c>
      <c r="J51" s="15" t="n">
        <f aca="false">VLOOKUP($B51,'Cập nhật giá'!$B$9:$Q$1603,12,FALSE())</f>
        <v>1.04</v>
      </c>
      <c r="K51" s="16" t="n">
        <f aca="false">I51/O51-1</f>
        <v>-0.0881953867028494</v>
      </c>
      <c r="L51" s="16" t="n">
        <f aca="false">J51/P51-1</f>
        <v>-0.282758620689655</v>
      </c>
      <c r="M51" s="17" t="n">
        <f aca="false">VLOOKUP($B51,'Cập nhật giá'!$B$9:$Q$1603,13,FALSE())</f>
        <v>22375.16</v>
      </c>
      <c r="N51" s="17" t="n">
        <f aca="false">VLOOKUP($B51,'Cập nhật giá'!$B$9:$Q$1603,14,FALSE())</f>
        <v>14150</v>
      </c>
      <c r="O51" s="15" t="n">
        <f aca="false">VLOOKUP($B51,'Cập nhật giá'!$B$9:$Q$1603,15,FALSE())</f>
        <v>7.37</v>
      </c>
      <c r="P51" s="18" t="n">
        <f aca="false">VLOOKUP($B51,'Cập nhật giá'!$B$9:$Q$1603,16,FALSE())</f>
        <v>1.45</v>
      </c>
    </row>
    <row r="52" customFormat="false" ht="12.75" hidden="false" customHeight="false" outlineLevel="0" collapsed="false">
      <c r="A52" s="19" t="n">
        <v>61</v>
      </c>
      <c r="B52" s="20" t="s">
        <v>68</v>
      </c>
      <c r="C52" s="17" t="n">
        <f aca="false">VLOOKUP($B52,'Cập nhật giá'!$B$9:$Q$1603,4,FALSE())</f>
        <v>15650</v>
      </c>
      <c r="D52" s="16" t="n">
        <f aca="false">VLOOKUP($B52,'Cập nhật giá'!$B$9:$Q$1603,8,FALSE())</f>
        <v>0.00967741935483879</v>
      </c>
      <c r="E52" s="16" t="n">
        <f aca="false">VLOOKUP($B52,'Cập nhật giá'!$B$9:$Q$1603,9,FALSE())</f>
        <v>-0.138681615998397</v>
      </c>
      <c r="F52" s="16" t="n">
        <f aca="false">VLOOKUP($B52,'Cập nhật giá'!$B$9:$Q$1603,10,FALSE())</f>
        <v>-0.220621411247952</v>
      </c>
      <c r="G52" s="16" t="n">
        <f aca="false">C52/M52-1</f>
        <v>-0.384127408888242</v>
      </c>
      <c r="H52" s="16" t="n">
        <f aca="false">C52/N52-1</f>
        <v>0.0364238410596027</v>
      </c>
      <c r="I52" s="15" t="n">
        <f aca="false">VLOOKUP($B52,'Cập nhật giá'!$B$9:$Q$1603,11,FALSE())</f>
        <v>2.69</v>
      </c>
      <c r="J52" s="15" t="n">
        <f aca="false">VLOOKUP($B52,'Cập nhật giá'!$B$9:$Q$1603,12,FALSE())</f>
        <v>0.96</v>
      </c>
      <c r="K52" s="16" t="n">
        <f aca="false">I52/O52-1</f>
        <v>-0.804789550072569</v>
      </c>
      <c r="L52" s="16" t="n">
        <f aca="false">J52/P52-1</f>
        <v>-0.392405063291139</v>
      </c>
      <c r="M52" s="17" t="n">
        <f aca="false">VLOOKUP($B52,'Cập nhật giá'!$B$9:$Q$1603,13,FALSE())</f>
        <v>25411.1</v>
      </c>
      <c r="N52" s="17" t="n">
        <f aca="false">VLOOKUP($B52,'Cập nhật giá'!$B$9:$Q$1603,14,FALSE())</f>
        <v>15100</v>
      </c>
      <c r="O52" s="15" t="n">
        <f aca="false">VLOOKUP($B52,'Cập nhật giá'!$B$9:$Q$1603,15,FALSE())</f>
        <v>13.78</v>
      </c>
      <c r="P52" s="18" t="n">
        <f aca="false">VLOOKUP($B52,'Cập nhật giá'!$B$9:$Q$1603,16,FALSE())</f>
        <v>1.58</v>
      </c>
    </row>
    <row r="53" customFormat="false" ht="12.75" hidden="false" customHeight="false" outlineLevel="0" collapsed="false">
      <c r="A53" s="19" t="n">
        <v>59</v>
      </c>
      <c r="B53" s="20" t="s">
        <v>69</v>
      </c>
      <c r="C53" s="17" t="n">
        <f aca="false">VLOOKUP($B53,'Cập nhật giá'!$B$9:$Q$1603,4,FALSE())</f>
        <v>11050</v>
      </c>
      <c r="D53" s="16" t="n">
        <f aca="false">VLOOKUP($B53,'Cập nhật giá'!$B$9:$Q$1603,8,FALSE())</f>
        <v>0.00913242009132431</v>
      </c>
      <c r="E53" s="16" t="n">
        <f aca="false">VLOOKUP($B53,'Cập nhật giá'!$B$9:$Q$1603,9,FALSE())</f>
        <v>-0.0791666666666667</v>
      </c>
      <c r="F53" s="16" t="n">
        <f aca="false">VLOOKUP($B53,'Cập nhật giá'!$B$9:$Q$1603,10,FALSE())</f>
        <v>-0.181489969733647</v>
      </c>
      <c r="G53" s="16" t="n">
        <f aca="false">C53/M53-1</f>
        <v>-0.389202087878619</v>
      </c>
      <c r="H53" s="16" t="n">
        <f aca="false">C53/N53-1</f>
        <v>0.0625</v>
      </c>
      <c r="I53" s="15" t="n">
        <f aca="false">VLOOKUP($B53,'Cập nhật giá'!$B$9:$Q$1603,11,FALSE())</f>
        <v>32.66</v>
      </c>
      <c r="J53" s="15" t="n">
        <f aca="false">VLOOKUP($B53,'Cập nhật giá'!$B$9:$Q$1603,12,FALSE())</f>
        <v>0.71</v>
      </c>
      <c r="K53" s="16" t="n">
        <f aca="false">I53/O53-1</f>
        <v>2.91841631673665</v>
      </c>
      <c r="L53" s="16" t="n">
        <f aca="false">J53/P53-1</f>
        <v>-0.260416666666667</v>
      </c>
      <c r="M53" s="17" t="n">
        <f aca="false">VLOOKUP($B53,'Cập nhật giá'!$B$9:$Q$1603,13,FALSE())</f>
        <v>18091.09</v>
      </c>
      <c r="N53" s="17" t="n">
        <f aca="false">VLOOKUP($B53,'Cập nhật giá'!$B$9:$Q$1603,14,FALSE())</f>
        <v>10400</v>
      </c>
      <c r="O53" s="15" t="n">
        <f aca="false">VLOOKUP($B53,'Cập nhật giá'!$B$9:$Q$1603,15,FALSE())</f>
        <v>8.335</v>
      </c>
      <c r="P53" s="18" t="n">
        <f aca="false">VLOOKUP($B53,'Cập nhật giá'!$B$9:$Q$1603,16,FALSE())</f>
        <v>0.96</v>
      </c>
    </row>
    <row r="54" customFormat="false" ht="12.75" hidden="false" customHeight="false" outlineLevel="0" collapsed="false">
      <c r="A54" s="19" t="n">
        <v>44</v>
      </c>
      <c r="B54" s="20" t="s">
        <v>70</v>
      </c>
      <c r="C54" s="17" t="n">
        <f aca="false">VLOOKUP($B54,'Cập nhật giá'!$B$9:$Q$1603,4,FALSE())</f>
        <v>10050</v>
      </c>
      <c r="D54" s="16" t="n">
        <f aca="false">VLOOKUP($B54,'Cập nhật giá'!$B$9:$Q$1603,8,FALSE())</f>
        <v>0.00903614457831314</v>
      </c>
      <c r="E54" s="16" t="n">
        <f aca="false">VLOOKUP($B54,'Cập nhật giá'!$B$9:$Q$1603,9,FALSE())</f>
        <v>-0.0578313433731325</v>
      </c>
      <c r="F54" s="16" t="n">
        <f aca="false">VLOOKUP($B54,'Cập nhật giá'!$B$9:$Q$1603,10,FALSE())</f>
        <v>-0.197544566218942</v>
      </c>
      <c r="G54" s="16" t="n">
        <f aca="false">C54/M54-1</f>
        <v>-0.354785692549283</v>
      </c>
      <c r="H54" s="16" t="n">
        <f aca="false">C54/N54-1</f>
        <v>0.0255102040816326</v>
      </c>
      <c r="I54" s="15" t="n">
        <f aca="false">VLOOKUP($B54,'Cập nhật giá'!$B$9:$Q$1603,11,FALSE())</f>
        <v>8.63</v>
      </c>
      <c r="J54" s="15" t="n">
        <f aca="false">VLOOKUP($B54,'Cập nhật giá'!$B$9:$Q$1603,12,FALSE())</f>
        <v>0.51</v>
      </c>
      <c r="K54" s="16" t="n">
        <f aca="false">I54/O54-1</f>
        <v>-0.356450410141685</v>
      </c>
      <c r="L54" s="16" t="n">
        <f aca="false">J54/P54-1</f>
        <v>-0.420454545454545</v>
      </c>
      <c r="M54" s="17" t="n">
        <f aca="false">VLOOKUP($B54,'Cập nhật giá'!$B$9:$Q$1603,13,FALSE())</f>
        <v>15576.22</v>
      </c>
      <c r="N54" s="17" t="n">
        <f aca="false">VLOOKUP($B54,'Cập nhật giá'!$B$9:$Q$1603,14,FALSE())</f>
        <v>9800</v>
      </c>
      <c r="O54" s="15" t="n">
        <f aca="false">VLOOKUP($B54,'Cập nhật giá'!$B$9:$Q$1603,15,FALSE())</f>
        <v>13.41</v>
      </c>
      <c r="P54" s="18" t="n">
        <f aca="false">VLOOKUP($B54,'Cập nhật giá'!$B$9:$Q$1603,16,FALSE())</f>
        <v>0.88</v>
      </c>
    </row>
    <row r="55" customFormat="false" ht="12.75" hidden="false" customHeight="false" outlineLevel="0" collapsed="false">
      <c r="A55" s="19" t="n">
        <v>17</v>
      </c>
      <c r="B55" s="20" t="s">
        <v>71</v>
      </c>
      <c r="C55" s="17" t="n">
        <f aca="false">VLOOKUP($B55,'Cập nhật giá'!$B$9:$Q$1603,4,FALSE())</f>
        <v>12400</v>
      </c>
      <c r="D55" s="16" t="n">
        <f aca="false">VLOOKUP($B55,'Cập nhật giá'!$B$9:$Q$1603,8,FALSE())</f>
        <v>0.00813008130081294</v>
      </c>
      <c r="E55" s="16" t="n">
        <f aca="false">VLOOKUP($B55,'Cập nhật giá'!$B$9:$Q$1603,9,FALSE())</f>
        <v>-0.0661244163277602</v>
      </c>
      <c r="F55" s="16" t="n">
        <f aca="false">VLOOKUP($B55,'Cập nhật giá'!$B$9:$Q$1603,10,FALSE())</f>
        <v>-0.064997737897753</v>
      </c>
      <c r="G55" s="16" t="n">
        <f aca="false">C55/M55-1</f>
        <v>-0.265489870868381</v>
      </c>
      <c r="H55" s="16" t="n">
        <f aca="false">C55/N55-1</f>
        <v>0.0938602681721947</v>
      </c>
      <c r="I55" s="15" t="n">
        <f aca="false">VLOOKUP($B55,'Cập nhật giá'!$B$9:$Q$1603,11,FALSE())</f>
        <v>10.19</v>
      </c>
      <c r="J55" s="15" t="n">
        <f aca="false">VLOOKUP($B55,'Cập nhật giá'!$B$9:$Q$1603,12,FALSE())</f>
        <v>1</v>
      </c>
      <c r="K55" s="16" t="n">
        <f aca="false">I55/O55-1</f>
        <v>-0.530955120828539</v>
      </c>
      <c r="L55" s="16" t="n">
        <f aca="false">J55/P55-1</f>
        <v>-0.0654205607476636</v>
      </c>
      <c r="M55" s="17" t="n">
        <f aca="false">VLOOKUP($B55,'Cập nhật giá'!$B$9:$Q$1603,13,FALSE())</f>
        <v>16882</v>
      </c>
      <c r="N55" s="17" t="n">
        <f aca="false">VLOOKUP($B55,'Cập nhật giá'!$B$9:$Q$1603,14,FALSE())</f>
        <v>11336</v>
      </c>
      <c r="O55" s="15" t="n">
        <f aca="false">VLOOKUP($B55,'Cập nhật giá'!$B$9:$Q$1603,15,FALSE())</f>
        <v>21.725</v>
      </c>
      <c r="P55" s="18" t="n">
        <f aca="false">VLOOKUP($B55,'Cập nhật giá'!$B$9:$Q$1603,16,FALSE())</f>
        <v>1.07</v>
      </c>
    </row>
    <row r="56" customFormat="false" ht="12.75" hidden="false" customHeight="false" outlineLevel="0" collapsed="false">
      <c r="A56" s="19" t="n">
        <v>40</v>
      </c>
      <c r="B56" s="20" t="s">
        <v>72</v>
      </c>
      <c r="C56" s="17" t="n">
        <f aca="false">VLOOKUP($B56,'Cập nhật giá'!$B$9:$Q$1603,4,FALSE())</f>
        <v>25000</v>
      </c>
      <c r="D56" s="16" t="n">
        <f aca="false">VLOOKUP($B56,'Cập nhật giá'!$B$9:$Q$1603,8,FALSE())</f>
        <v>0.00806451612903225</v>
      </c>
      <c r="E56" s="16" t="n">
        <f aca="false">VLOOKUP($B56,'Cập nhật giá'!$B$9:$Q$1603,9,FALSE())</f>
        <v>-0.0942028985507246</v>
      </c>
      <c r="F56" s="16" t="n">
        <f aca="false">VLOOKUP($B56,'Cập nhật giá'!$B$9:$Q$1603,10,FALSE())</f>
        <v>-0.111856993344612</v>
      </c>
      <c r="G56" s="16" t="n">
        <f aca="false">C56/M56-1</f>
        <v>-0.341648228428051</v>
      </c>
      <c r="H56" s="16" t="n">
        <f aca="false">C56/N56-1</f>
        <v>0.0602205258693809</v>
      </c>
      <c r="I56" s="15" t="n">
        <f aca="false">VLOOKUP($B56,'Cập nhật giá'!$B$9:$Q$1603,11,FALSE())</f>
        <v>6.65</v>
      </c>
      <c r="J56" s="15" t="n">
        <f aca="false">VLOOKUP($B56,'Cập nhật giá'!$B$9:$Q$1603,12,FALSE())</f>
        <v>1.11</v>
      </c>
      <c r="K56" s="16" t="n">
        <f aca="false">I56/O56-1</f>
        <v>-0.408362989323843</v>
      </c>
      <c r="L56" s="16" t="n">
        <f aca="false">J56/P56-1</f>
        <v>-0.168539325842696</v>
      </c>
      <c r="M56" s="17" t="n">
        <f aca="false">VLOOKUP($B56,'Cập nhật giá'!$B$9:$Q$1603,13,FALSE())</f>
        <v>37973.62</v>
      </c>
      <c r="N56" s="17" t="n">
        <f aca="false">VLOOKUP($B56,'Cập nhật giá'!$B$9:$Q$1603,14,FALSE())</f>
        <v>23580</v>
      </c>
      <c r="O56" s="15" t="n">
        <f aca="false">VLOOKUP($B56,'Cập nhật giá'!$B$9:$Q$1603,15,FALSE())</f>
        <v>11.24</v>
      </c>
      <c r="P56" s="18" t="n">
        <f aca="false">VLOOKUP($B56,'Cập nhật giá'!$B$9:$Q$1603,16,FALSE())</f>
        <v>1.335</v>
      </c>
    </row>
    <row r="57" customFormat="false" ht="12.75" hidden="false" customHeight="false" outlineLevel="0" collapsed="false">
      <c r="A57" s="19" t="n">
        <v>31</v>
      </c>
      <c r="B57" s="20" t="s">
        <v>73</v>
      </c>
      <c r="C57" s="17" t="n">
        <f aca="false">VLOOKUP($B57,'Cập nhật giá'!$B$9:$Q$1603,4,FALSE())</f>
        <v>28000</v>
      </c>
      <c r="D57" s="16" t="n">
        <f aca="false">VLOOKUP($B57,'Cập nhật giá'!$B$9:$Q$1603,8,FALSE())</f>
        <v>0.0071942446043165</v>
      </c>
      <c r="E57" s="16" t="n">
        <f aca="false">VLOOKUP($B57,'Cập nhật giá'!$B$9:$Q$1603,9,FALSE())</f>
        <v>-0.0277777777777778</v>
      </c>
      <c r="F57" s="16" t="n">
        <f aca="false">VLOOKUP($B57,'Cập nhật giá'!$B$9:$Q$1603,10,FALSE())</f>
        <v>-0.207920792079208</v>
      </c>
      <c r="G57" s="16" t="n">
        <f aca="false">C57/M57-1</f>
        <v>-0.319562575941677</v>
      </c>
      <c r="H57" s="16" t="n">
        <f aca="false">C57/N57-1</f>
        <v>0.044776119402985</v>
      </c>
      <c r="I57" s="15" t="n">
        <f aca="false">VLOOKUP($B57,'Cập nhật giá'!$B$9:$Q$1603,11,FALSE())</f>
        <v>22.82</v>
      </c>
      <c r="J57" s="15" t="n">
        <f aca="false">VLOOKUP($B57,'Cập nhật giá'!$B$9:$Q$1603,12,FALSE())</f>
        <v>1.05</v>
      </c>
      <c r="K57" s="16" t="n">
        <f aca="false">I57/O57-1</f>
        <v>0.225893096964813</v>
      </c>
      <c r="L57" s="16" t="n">
        <f aca="false">J57/P57-1</f>
        <v>-0.198473282442748</v>
      </c>
      <c r="M57" s="17" t="n">
        <f aca="false">VLOOKUP($B57,'Cập nhật giá'!$B$9:$Q$1603,13,FALSE())</f>
        <v>41150</v>
      </c>
      <c r="N57" s="17" t="n">
        <f aca="false">VLOOKUP($B57,'Cập nhật giá'!$B$9:$Q$1603,14,FALSE())</f>
        <v>26800</v>
      </c>
      <c r="O57" s="15" t="n">
        <f aca="false">VLOOKUP($B57,'Cập nhật giá'!$B$9:$Q$1603,15,FALSE())</f>
        <v>18.615</v>
      </c>
      <c r="P57" s="18" t="n">
        <f aca="false">VLOOKUP($B57,'Cập nhật giá'!$B$9:$Q$1603,16,FALSE())</f>
        <v>1.31</v>
      </c>
    </row>
    <row r="58" customFormat="false" ht="12.75" hidden="false" customHeight="false" outlineLevel="0" collapsed="false">
      <c r="A58" s="19" t="n">
        <v>41</v>
      </c>
      <c r="B58" s="20" t="s">
        <v>74</v>
      </c>
      <c r="C58" s="17" t="n">
        <f aca="false">VLOOKUP($B58,'Cập nhật giá'!$B$9:$Q$1603,4,FALSE())</f>
        <v>59700</v>
      </c>
      <c r="D58" s="16" t="n">
        <f aca="false">VLOOKUP($B58,'Cập nhật giá'!$B$9:$Q$1603,8,FALSE())</f>
        <v>0.00674536256323788</v>
      </c>
      <c r="E58" s="16" t="n">
        <f aca="false">VLOOKUP($B58,'Cập nhật giá'!$B$9:$Q$1603,9,FALSE())</f>
        <v>-0.0179501279872534</v>
      </c>
      <c r="F58" s="16" t="n">
        <f aca="false">VLOOKUP($B58,'Cập nhật giá'!$B$9:$Q$1603,10,FALSE())</f>
        <v>0.0469505592066324</v>
      </c>
      <c r="G58" s="16" t="n">
        <f aca="false">C58/M58-1</f>
        <v>-0.207899247968666</v>
      </c>
      <c r="H58" s="16" t="n">
        <f aca="false">C58/N58-1</f>
        <v>0.105555555555556</v>
      </c>
      <c r="I58" s="15" t="n">
        <f aca="false">VLOOKUP($B58,'Cập nhật giá'!$B$9:$Q$1603,11,FALSE())</f>
        <v>11.98</v>
      </c>
      <c r="J58" s="15" t="n">
        <f aca="false">VLOOKUP($B58,'Cập nhật giá'!$B$9:$Q$1603,12,FALSE())</f>
        <v>2.01</v>
      </c>
      <c r="K58" s="16" t="n">
        <f aca="false">I58/O58-1</f>
        <v>-0.205570291777188</v>
      </c>
      <c r="L58" s="16" t="n">
        <f aca="false">J58/P58-1</f>
        <v>-0.311643835616438</v>
      </c>
      <c r="M58" s="17" t="n">
        <f aca="false">VLOOKUP($B58,'Cập nhật giá'!$B$9:$Q$1603,13,FALSE())</f>
        <v>75369.2</v>
      </c>
      <c r="N58" s="17" t="n">
        <f aca="false">VLOOKUP($B58,'Cập nhật giá'!$B$9:$Q$1603,14,FALSE())</f>
        <v>54000</v>
      </c>
      <c r="O58" s="15" t="n">
        <f aca="false">VLOOKUP($B58,'Cập nhật giá'!$B$9:$Q$1603,15,FALSE())</f>
        <v>15.08</v>
      </c>
      <c r="P58" s="18" t="n">
        <f aca="false">VLOOKUP($B58,'Cập nhật giá'!$B$9:$Q$1603,16,FALSE())</f>
        <v>2.92</v>
      </c>
    </row>
    <row r="59" customFormat="false" ht="12.75" hidden="false" customHeight="false" outlineLevel="0" collapsed="false">
      <c r="A59" s="19" t="n">
        <v>60</v>
      </c>
      <c r="B59" s="20" t="s">
        <v>75</v>
      </c>
      <c r="C59" s="17" t="n">
        <f aca="false">VLOOKUP($B59,'Cập nhật giá'!$B$9:$Q$1603,4,FALSE())</f>
        <v>24950</v>
      </c>
      <c r="D59" s="16" t="n">
        <f aca="false">VLOOKUP($B59,'Cập nhật giá'!$B$9:$Q$1603,8,FALSE())</f>
        <v>0.00604838709677424</v>
      </c>
      <c r="E59" s="16" t="n">
        <f aca="false">VLOOKUP($B59,'Cập nhật giá'!$B$9:$Q$1603,9,FALSE())</f>
        <v>-0.0877513711151737</v>
      </c>
      <c r="F59" s="16" t="n">
        <f aca="false">VLOOKUP($B59,'Cập nhật giá'!$B$9:$Q$1603,10,FALSE())</f>
        <v>-0.232288086126507</v>
      </c>
      <c r="G59" s="16" t="n">
        <f aca="false">C59/M59-1</f>
        <v>-0.404757928528962</v>
      </c>
      <c r="H59" s="16" t="n">
        <f aca="false">C59/N59-1</f>
        <v>0.171361502347418</v>
      </c>
      <c r="I59" s="15" t="n">
        <f aca="false">VLOOKUP($B59,'Cập nhật giá'!$B$9:$Q$1603,11,FALSE())</f>
        <v>7.82</v>
      </c>
      <c r="J59" s="15" t="n">
        <f aca="false">VLOOKUP($B59,'Cập nhật giá'!$B$9:$Q$1603,12,FALSE())</f>
        <v>1.15</v>
      </c>
      <c r="K59" s="16" t="n">
        <f aca="false">I59/O59-1</f>
        <v>-0.499680102367243</v>
      </c>
      <c r="L59" s="16" t="n">
        <f aca="false">J59/P59-1</f>
        <v>-0.28125</v>
      </c>
      <c r="M59" s="17" t="n">
        <f aca="false">VLOOKUP($B59,'Cập nhật giá'!$B$9:$Q$1603,13,FALSE())</f>
        <v>41915.72</v>
      </c>
      <c r="N59" s="17" t="n">
        <f aca="false">VLOOKUP($B59,'Cập nhật giá'!$B$9:$Q$1603,14,FALSE())</f>
        <v>21300</v>
      </c>
      <c r="O59" s="15" t="n">
        <f aca="false">VLOOKUP($B59,'Cập nhật giá'!$B$9:$Q$1603,15,FALSE())</f>
        <v>15.63</v>
      </c>
      <c r="P59" s="18" t="n">
        <f aca="false">VLOOKUP($B59,'Cập nhật giá'!$B$9:$Q$1603,16,FALSE())</f>
        <v>1.6</v>
      </c>
    </row>
    <row r="60" customFormat="false" ht="13.5" hidden="false" customHeight="true" outlineLevel="0" collapsed="false">
      <c r="A60" s="19" t="n">
        <v>2</v>
      </c>
      <c r="B60" s="20" t="s">
        <v>76</v>
      </c>
      <c r="C60" s="17" t="n">
        <f aca="false">VLOOKUP($B60,'Cập nhật giá'!$B$9:$Q$1603,4,FALSE())</f>
        <v>34300</v>
      </c>
      <c r="D60" s="16" t="n">
        <f aca="false">VLOOKUP($B60,'Cập nhật giá'!$B$9:$Q$1603,8,FALSE())</f>
        <v>0.00586510263929618</v>
      </c>
      <c r="E60" s="16" t="n">
        <f aca="false">VLOOKUP($B60,'Cập nhật giá'!$B$9:$Q$1603,9,FALSE())</f>
        <v>-0.0472222222222223</v>
      </c>
      <c r="F60" s="16" t="n">
        <f aca="false">VLOOKUP($B60,'Cập nhật giá'!$B$9:$Q$1603,10,FALSE())</f>
        <v>0</v>
      </c>
      <c r="G60" s="16" t="n">
        <f aca="false">C60/M60-1</f>
        <v>-0.371794871794872</v>
      </c>
      <c r="H60" s="16" t="n">
        <f aca="false">C60/N60-1</f>
        <v>0.301425269353294</v>
      </c>
      <c r="I60" s="15" t="n">
        <f aca="false">VLOOKUP($B60,'Cập nhật giá'!$B$9:$Q$1603,11,FALSE())</f>
        <v>8.35</v>
      </c>
      <c r="J60" s="15" t="n">
        <f aca="false">VLOOKUP($B60,'Cập nhật giá'!$B$9:$Q$1603,12,FALSE())</f>
        <v>1.13</v>
      </c>
      <c r="K60" s="16" t="n">
        <f aca="false">I60/O60-1</f>
        <v>-0.567245400362788</v>
      </c>
      <c r="L60" s="16" t="n">
        <f aca="false">J60/P60-1</f>
        <v>-0.0583333333333334</v>
      </c>
      <c r="M60" s="17" t="n">
        <f aca="false">VLOOKUP($B60,'Cập nhật giá'!$B$9:$Q$1603,13,FALSE())</f>
        <v>54600</v>
      </c>
      <c r="N60" s="17" t="n">
        <f aca="false">VLOOKUP($B60,'Cập nhật giá'!$B$9:$Q$1603,14,FALSE())</f>
        <v>26355.72</v>
      </c>
      <c r="O60" s="15" t="n">
        <f aca="false">VLOOKUP($B60,'Cập nhật giá'!$B$9:$Q$1603,15,FALSE())</f>
        <v>19.295</v>
      </c>
      <c r="P60" s="18" t="n">
        <f aca="false">VLOOKUP($B60,'Cập nhật giá'!$B$9:$Q$1603,16,FALSE())</f>
        <v>1.2</v>
      </c>
    </row>
    <row r="61" customFormat="false" ht="12.75" hidden="false" customHeight="false" outlineLevel="0" collapsed="false">
      <c r="A61" s="19" t="n">
        <v>18</v>
      </c>
      <c r="B61" s="20" t="s">
        <v>77</v>
      </c>
      <c r="C61" s="17" t="n">
        <f aca="false">VLOOKUP($B61,'Cập nhật giá'!$B$9:$Q$1603,4,FALSE())</f>
        <v>10750</v>
      </c>
      <c r="D61" s="16" t="n">
        <f aca="false">VLOOKUP($B61,'Cập nhật giá'!$B$9:$Q$1603,8,FALSE())</f>
        <v>0.00467289719626174</v>
      </c>
      <c r="E61" s="16" t="n">
        <f aca="false">VLOOKUP($B61,'Cập nhật giá'!$B$9:$Q$1603,9,FALSE())</f>
        <v>-0.0652173913043478</v>
      </c>
      <c r="F61" s="16" t="n">
        <f aca="false">VLOOKUP($B61,'Cập nhật giá'!$B$9:$Q$1603,10,FALSE())</f>
        <v>-0.112662919215181</v>
      </c>
      <c r="G61" s="16" t="n">
        <f aca="false">C61/M61-1</f>
        <v>-0.332908877214277</v>
      </c>
      <c r="H61" s="16" t="n">
        <f aca="false">C61/N61-1</f>
        <v>0.0696517412935322</v>
      </c>
      <c r="I61" s="15" t="n">
        <f aca="false">VLOOKUP($B61,'Cập nhật giá'!$B$9:$Q$1603,11,FALSE())</f>
        <v>13.22</v>
      </c>
      <c r="J61" s="15" t="n">
        <f aca="false">VLOOKUP($B61,'Cập nhật giá'!$B$9:$Q$1603,12,FALSE())</f>
        <v>0.73</v>
      </c>
      <c r="K61" s="16" t="n">
        <f aca="false">I61/O61-1</f>
        <v>-0.0677009873060648</v>
      </c>
      <c r="L61" s="16" t="n">
        <f aca="false">J61/P61-1</f>
        <v>-0.284313725490196</v>
      </c>
      <c r="M61" s="17" t="n">
        <f aca="false">VLOOKUP($B61,'Cập nhật giá'!$B$9:$Q$1603,13,FALSE())</f>
        <v>16114.74</v>
      </c>
      <c r="N61" s="17" t="n">
        <f aca="false">VLOOKUP($B61,'Cập nhật giá'!$B$9:$Q$1603,14,FALSE())</f>
        <v>10050</v>
      </c>
      <c r="O61" s="15" t="n">
        <f aca="false">VLOOKUP($B61,'Cập nhật giá'!$B$9:$Q$1603,15,FALSE())</f>
        <v>14.18</v>
      </c>
      <c r="P61" s="18" t="n">
        <f aca="false">VLOOKUP($B61,'Cập nhật giá'!$B$9:$Q$1603,16,FALSE())</f>
        <v>1.02</v>
      </c>
    </row>
    <row r="62" customFormat="false" ht="12.75" hidden="false" customHeight="false" outlineLevel="0" collapsed="false">
      <c r="A62" s="19" t="n">
        <v>24</v>
      </c>
      <c r="B62" s="20" t="s">
        <v>78</v>
      </c>
      <c r="C62" s="17" t="n">
        <f aca="false">VLOOKUP($B62,'Cập nhật giá'!$B$9:$Q$1603,4,FALSE())</f>
        <v>215000</v>
      </c>
      <c r="D62" s="16" t="n">
        <f aca="false">VLOOKUP($B62,'Cập nhật giá'!$B$9:$Q$1603,8,FALSE())</f>
        <v>0.00420364315740307</v>
      </c>
      <c r="E62" s="16" t="n">
        <f aca="false">VLOOKUP($B62,'Cập nhật giá'!$B$9:$Q$1603,9,FALSE())</f>
        <v>-0.0240581025873808</v>
      </c>
      <c r="F62" s="16" t="n">
        <f aca="false">VLOOKUP($B62,'Cập nhật giá'!$B$9:$Q$1603,10,FALSE())</f>
        <v>0.267688679245283</v>
      </c>
      <c r="G62" s="16" t="n">
        <f aca="false">C62/M62-1</f>
        <v>-0.0672451193058569</v>
      </c>
      <c r="H62" s="16" t="n">
        <f aca="false">C62/N62-1</f>
        <v>2.72294372294372</v>
      </c>
      <c r="I62" s="15" t="n">
        <f aca="false">VLOOKUP($B62,'Cập nhật giá'!$B$9:$Q$1603,11,FALSE())</f>
        <v>73.62</v>
      </c>
      <c r="J62" s="15" t="n">
        <f aca="false">VLOOKUP($B62,'Cập nhật giá'!$B$9:$Q$1603,12,FALSE())</f>
        <v>9.84</v>
      </c>
      <c r="K62" s="16" t="n">
        <f aca="false">I62/O62-1</f>
        <v>0.736525533671424</v>
      </c>
      <c r="L62" s="16" t="n">
        <f aca="false">J62/P62-1</f>
        <v>3.53456221198157</v>
      </c>
      <c r="M62" s="17" t="n">
        <f aca="false">VLOOKUP($B62,'Cập nhật giá'!$B$9:$Q$1603,13,FALSE())</f>
        <v>230500</v>
      </c>
      <c r="N62" s="17" t="n">
        <f aca="false">VLOOKUP($B62,'Cập nhật giá'!$B$9:$Q$1603,14,FALSE())</f>
        <v>57750</v>
      </c>
      <c r="O62" s="15" t="n">
        <f aca="false">VLOOKUP($B62,'Cập nhật giá'!$B$9:$Q$1603,15,FALSE())</f>
        <v>42.395</v>
      </c>
      <c r="P62" s="18" t="n">
        <f aca="false">VLOOKUP($B62,'Cập nhật giá'!$B$9:$Q$1603,16,FALSE())</f>
        <v>2.17</v>
      </c>
    </row>
    <row r="63" customFormat="false" ht="12.75" hidden="false" customHeight="false" outlineLevel="0" collapsed="false">
      <c r="A63" s="19" t="n">
        <v>22</v>
      </c>
      <c r="B63" s="20" t="s">
        <v>79</v>
      </c>
      <c r="C63" s="17" t="n">
        <f aca="false">VLOOKUP($B63,'Cập nhật giá'!$B$9:$Q$1603,4,FALSE())</f>
        <v>16650</v>
      </c>
      <c r="D63" s="16" t="n">
        <f aca="false">VLOOKUP($B63,'Cập nhật giá'!$B$9:$Q$1603,8,FALSE())</f>
        <v>0.00301204819277112</v>
      </c>
      <c r="E63" s="16" t="n">
        <f aca="false">VLOOKUP($B63,'Cập nhật giá'!$B$9:$Q$1603,9,FALSE())</f>
        <v>-0.112</v>
      </c>
      <c r="F63" s="16" t="n">
        <f aca="false">VLOOKUP($B63,'Cập nhật giá'!$B$9:$Q$1603,10,FALSE())</f>
        <v>-0.119208864408949</v>
      </c>
      <c r="G63" s="16" t="n">
        <f aca="false">C63/M63-1</f>
        <v>-0.360768950801093</v>
      </c>
      <c r="H63" s="16" t="n">
        <f aca="false">C63/N63-1</f>
        <v>0.197999448848302</v>
      </c>
      <c r="I63" s="15" t="n">
        <f aca="false">VLOOKUP($B63,'Cập nhật giá'!$B$9:$Q$1603,11,FALSE())</f>
        <v>9.39</v>
      </c>
      <c r="J63" s="15" t="n">
        <f aca="false">VLOOKUP($B63,'Cập nhật giá'!$B$9:$Q$1603,12,FALSE())</f>
        <v>1.18</v>
      </c>
      <c r="K63" s="16" t="n">
        <f aca="false">I63/O63-1</f>
        <v>-0.200170357751278</v>
      </c>
      <c r="L63" s="16" t="n">
        <f aca="false">J63/P63-1</f>
        <v>-0.191780821917808</v>
      </c>
      <c r="M63" s="17" t="n">
        <f aca="false">VLOOKUP($B63,'Cập nhật giá'!$B$9:$Q$1603,13,FALSE())</f>
        <v>26046.92</v>
      </c>
      <c r="N63" s="17" t="n">
        <f aca="false">VLOOKUP($B63,'Cập nhật giá'!$B$9:$Q$1603,14,FALSE())</f>
        <v>13898.17</v>
      </c>
      <c r="O63" s="15" t="n">
        <f aca="false">VLOOKUP($B63,'Cập nhật giá'!$B$9:$Q$1603,15,FALSE())</f>
        <v>11.74</v>
      </c>
      <c r="P63" s="18" t="n">
        <f aca="false">VLOOKUP($B63,'Cập nhật giá'!$B$9:$Q$1603,16,FALSE())</f>
        <v>1.46</v>
      </c>
    </row>
    <row r="64" customFormat="false" ht="12.75" hidden="false" customHeight="false" outlineLevel="0" collapsed="false">
      <c r="A64" s="19" t="n">
        <v>46</v>
      </c>
      <c r="B64" s="20" t="s">
        <v>80</v>
      </c>
      <c r="C64" s="17" t="n">
        <f aca="false">VLOOKUP($B64,'Cập nhật giá'!$B$9:$Q$1603,4,FALSE())</f>
        <v>18350</v>
      </c>
      <c r="D64" s="16" t="n">
        <f aca="false">VLOOKUP($B64,'Cập nhật giá'!$B$9:$Q$1603,8,FALSE())</f>
        <v>0.00273224043715836</v>
      </c>
      <c r="E64" s="16" t="n">
        <f aca="false">VLOOKUP($B64,'Cập nhật giá'!$B$9:$Q$1603,9,FALSE())</f>
        <v>-0.0342105263157895</v>
      </c>
      <c r="F64" s="16" t="n">
        <f aca="false">VLOOKUP($B64,'Cập nhật giá'!$B$9:$Q$1603,10,FALSE())</f>
        <v>0.0969998995662218</v>
      </c>
      <c r="G64" s="16" t="n">
        <f aca="false">C64/M64-1</f>
        <v>-0.342514718175294</v>
      </c>
      <c r="H64" s="16" t="n">
        <f aca="false">C64/N64-1</f>
        <v>0.215951695904728</v>
      </c>
      <c r="I64" s="15" t="n">
        <f aca="false">VLOOKUP($B64,'Cập nhật giá'!$B$9:$Q$1603,11,FALSE())</f>
        <v>6.77</v>
      </c>
      <c r="J64" s="15" t="n">
        <f aca="false">VLOOKUP($B64,'Cập nhật giá'!$B$9:$Q$1603,12,FALSE())</f>
        <v>1.02</v>
      </c>
      <c r="K64" s="16" t="n">
        <f aca="false">I64/O64-1</f>
        <v>-0.245261984392419</v>
      </c>
      <c r="L64" s="16" t="n">
        <f aca="false">J64/P64-1</f>
        <v>-0.15</v>
      </c>
      <c r="M64" s="17" t="n">
        <f aca="false">VLOOKUP($B64,'Cập nhật giá'!$B$9:$Q$1603,13,FALSE())</f>
        <v>27909.37</v>
      </c>
      <c r="N64" s="17" t="n">
        <f aca="false">VLOOKUP($B64,'Cập nhật giá'!$B$9:$Q$1603,14,FALSE())</f>
        <v>15091.06</v>
      </c>
      <c r="O64" s="15" t="n">
        <f aca="false">VLOOKUP($B64,'Cập nhật giá'!$B$9:$Q$1603,15,FALSE())</f>
        <v>8.97</v>
      </c>
      <c r="P64" s="18" t="n">
        <f aca="false">VLOOKUP($B64,'Cập nhật giá'!$B$9:$Q$1603,16,FALSE())</f>
        <v>1.2</v>
      </c>
    </row>
    <row r="65" customFormat="false" ht="12.75" hidden="false" customHeight="false" outlineLevel="0" collapsed="false">
      <c r="A65" s="19" t="n">
        <v>6</v>
      </c>
      <c r="B65" s="20" t="s">
        <v>81</v>
      </c>
      <c r="C65" s="17" t="n">
        <f aca="false">VLOOKUP($B65,'Cập nhật giá'!$B$9:$Q$1603,4,FALSE())</f>
        <v>77200</v>
      </c>
      <c r="D65" s="16" t="n">
        <f aca="false">VLOOKUP($B65,'Cập nhật giá'!$B$9:$Q$1603,8,FALSE())</f>
        <v>0.00259740259740249</v>
      </c>
      <c r="E65" s="16" t="n">
        <f aca="false">VLOOKUP($B65,'Cập nhật giá'!$B$9:$Q$1603,9,FALSE())</f>
        <v>0.0157894736842106</v>
      </c>
      <c r="F65" s="16" t="n">
        <f aca="false">VLOOKUP($B65,'Cập nhật giá'!$B$9:$Q$1603,10,FALSE())</f>
        <v>0.302298590750981</v>
      </c>
      <c r="G65" s="16" t="n">
        <f aca="false">C65/M65-1</f>
        <v>-0.0587652365425374</v>
      </c>
      <c r="H65" s="16" t="n">
        <f aca="false">C65/N65-1</f>
        <v>0.383975854282401</v>
      </c>
      <c r="I65" s="15" t="n">
        <f aca="false">VLOOKUP($B65,'Cập nhật giá'!$B$9:$Q$1603,11,FALSE())</f>
        <v>12.74</v>
      </c>
      <c r="J65" s="15" t="n">
        <f aca="false">VLOOKUP($B65,'Cập nhật giá'!$B$9:$Q$1603,12,FALSE())</f>
        <v>2.44</v>
      </c>
      <c r="K65" s="16" t="n">
        <f aca="false">I65/O65-1</f>
        <v>-0.225060827250608</v>
      </c>
      <c r="L65" s="16" t="n">
        <f aca="false">J65/P65-1</f>
        <v>0.0382978723404255</v>
      </c>
      <c r="M65" s="17" t="n">
        <f aca="false">VLOOKUP($B65,'Cập nhật giá'!$B$9:$Q$1603,13,FALSE())</f>
        <v>82019.92</v>
      </c>
      <c r="N65" s="17" t="n">
        <f aca="false">VLOOKUP($B65,'Cập nhật giá'!$B$9:$Q$1603,14,FALSE())</f>
        <v>55781.32</v>
      </c>
      <c r="O65" s="15" t="n">
        <f aca="false">VLOOKUP($B65,'Cập nhật giá'!$B$9:$Q$1603,15,FALSE())</f>
        <v>16.44</v>
      </c>
      <c r="P65" s="18" t="n">
        <f aca="false">VLOOKUP($B65,'Cập nhật giá'!$B$9:$Q$1603,16,FALSE())</f>
        <v>2.35</v>
      </c>
    </row>
    <row r="66" customFormat="false" ht="12.75" hidden="false" customHeight="false" outlineLevel="0" collapsed="false">
      <c r="A66" s="19" t="n">
        <v>21</v>
      </c>
      <c r="B66" s="20" t="s">
        <v>82</v>
      </c>
      <c r="C66" s="17" t="n">
        <f aca="false">VLOOKUP($B66,'Cập nhật giá'!$B$9:$Q$1603,4,FALSE())</f>
        <v>22200</v>
      </c>
      <c r="D66" s="16" t="n">
        <f aca="false">VLOOKUP($B66,'Cập nhật giá'!$B$9:$Q$1603,8,FALSE())</f>
        <v>0</v>
      </c>
      <c r="E66" s="16" t="n">
        <f aca="false">VLOOKUP($B66,'Cập nhật giá'!$B$9:$Q$1603,9,FALSE())</f>
        <v>-0.134502923976608</v>
      </c>
      <c r="F66" s="16" t="n">
        <f aca="false">VLOOKUP($B66,'Cập nhật giá'!$B$9:$Q$1603,10,FALSE())</f>
        <v>-0.256891328725167</v>
      </c>
      <c r="G66" s="16" t="n">
        <f aca="false">C66/M66-1</f>
        <v>-0.474582950216735</v>
      </c>
      <c r="H66" s="16" t="n">
        <f aca="false">C66/N66-1</f>
        <v>0.11</v>
      </c>
      <c r="I66" s="15" t="n">
        <f aca="false">VLOOKUP($B66,'Cập nhật giá'!$B$9:$Q$1603,11,FALSE())</f>
        <v>15.77</v>
      </c>
      <c r="J66" s="15" t="n">
        <f aca="false">VLOOKUP($B66,'Cập nhật giá'!$B$9:$Q$1603,12,FALSE())</f>
        <v>0.86</v>
      </c>
      <c r="K66" s="16" t="n">
        <f aca="false">I66/O66-1</f>
        <v>-0.26031894934334</v>
      </c>
      <c r="L66" s="16" t="n">
        <f aca="false">J66/P66-1</f>
        <v>-0.455696202531646</v>
      </c>
      <c r="M66" s="17" t="n">
        <f aca="false">VLOOKUP($B66,'Cập nhật giá'!$B$9:$Q$1603,13,FALSE())</f>
        <v>42252.15</v>
      </c>
      <c r="N66" s="17" t="n">
        <f aca="false">VLOOKUP($B66,'Cập nhật giá'!$B$9:$Q$1603,14,FALSE())</f>
        <v>20000</v>
      </c>
      <c r="O66" s="15" t="n">
        <f aca="false">VLOOKUP($B66,'Cập nhật giá'!$B$9:$Q$1603,15,FALSE())</f>
        <v>21.32</v>
      </c>
      <c r="P66" s="18" t="n">
        <f aca="false">VLOOKUP($B66,'Cập nhật giá'!$B$9:$Q$1603,16,FALSE())</f>
        <v>1.58</v>
      </c>
    </row>
    <row r="67" customFormat="false" ht="12.75" hidden="false" customHeight="false" outlineLevel="0" collapsed="false">
      <c r="A67" s="19" t="n">
        <v>26</v>
      </c>
      <c r="B67" s="20" t="s">
        <v>83</v>
      </c>
      <c r="C67" s="17" t="n">
        <f aca="false">VLOOKUP($B67,'Cập nhật giá'!$B$9:$Q$1603,4,FALSE())</f>
        <v>13600</v>
      </c>
      <c r="D67" s="16" t="n">
        <f aca="false">VLOOKUP($B67,'Cập nhật giá'!$B$9:$Q$1603,8,FALSE())</f>
        <v>0</v>
      </c>
      <c r="E67" s="16" t="n">
        <f aca="false">VLOOKUP($B67,'Cập nhật giá'!$B$9:$Q$1603,9,FALSE())</f>
        <v>-0.0748299319727891</v>
      </c>
      <c r="F67" s="16" t="n">
        <f aca="false">VLOOKUP($B67,'Cập nhật giá'!$B$9:$Q$1603,10,FALSE())</f>
        <v>0.0708661417322836</v>
      </c>
      <c r="G67" s="16" t="n">
        <f aca="false">C67/M67-1</f>
        <v>-0.178247734138973</v>
      </c>
      <c r="H67" s="16" t="n">
        <f aca="false">C67/N67-1</f>
        <v>0.246585638600158</v>
      </c>
      <c r="I67" s="15" t="n">
        <f aca="false">VLOOKUP($B67,'Cập nhật giá'!$B$9:$Q$1603,11,FALSE())</f>
        <v>6.48</v>
      </c>
      <c r="J67" s="15" t="n">
        <f aca="false">VLOOKUP($B67,'Cập nhật giá'!$B$9:$Q$1603,12,FALSE())</f>
        <v>1.01</v>
      </c>
      <c r="K67" s="16" t="n">
        <f aca="false">I67/O67-1</f>
        <v>-0.667862634546387</v>
      </c>
      <c r="L67" s="16" t="n">
        <f aca="false">J67/P67-1</f>
        <v>0.01</v>
      </c>
      <c r="M67" s="17" t="n">
        <f aca="false">VLOOKUP($B67,'Cập nhật giá'!$B$9:$Q$1603,13,FALSE())</f>
        <v>16550</v>
      </c>
      <c r="N67" s="17" t="n">
        <f aca="false">VLOOKUP($B67,'Cập nhật giá'!$B$9:$Q$1603,14,FALSE())</f>
        <v>10909.8</v>
      </c>
      <c r="O67" s="15" t="n">
        <f aca="false">VLOOKUP($B67,'Cập nhật giá'!$B$9:$Q$1603,15,FALSE())</f>
        <v>19.51</v>
      </c>
      <c r="P67" s="18" t="n">
        <f aca="false">VLOOKUP($B67,'Cập nhật giá'!$B$9:$Q$1603,16,FALSE())</f>
        <v>1</v>
      </c>
    </row>
    <row r="68" customFormat="false" ht="12.75" hidden="false" customHeight="false" outlineLevel="0" collapsed="false">
      <c r="A68" s="19" t="n">
        <v>15</v>
      </c>
      <c r="B68" s="20" t="s">
        <v>84</v>
      </c>
      <c r="C68" s="17" t="n">
        <f aca="false">VLOOKUP($B68,'Cập nhật giá'!$B$9:$Q$1603,4,FALSE())</f>
        <v>18050</v>
      </c>
      <c r="D68" s="16" t="n">
        <f aca="false">VLOOKUP($B68,'Cập nhật giá'!$B$9:$Q$1603,8,FALSE())</f>
        <v>-0.00550964187327818</v>
      </c>
      <c r="E68" s="16" t="n">
        <f aca="false">VLOOKUP($B68,'Cập nhật giá'!$B$9:$Q$1603,9,FALSE())</f>
        <v>-0.0759663191003136</v>
      </c>
      <c r="F68" s="16" t="n">
        <f aca="false">VLOOKUP($B68,'Cập nhật giá'!$B$9:$Q$1603,10,FALSE())</f>
        <v>0.0625572485830608</v>
      </c>
      <c r="G68" s="16" t="n">
        <f aca="false">C68/M68-1</f>
        <v>-0.330588933392672</v>
      </c>
      <c r="H68" s="16" t="n">
        <f aca="false">C68/N68-1</f>
        <v>0.593835872874591</v>
      </c>
      <c r="I68" s="15" t="n">
        <f aca="false">VLOOKUP($B68,'Cập nhật giá'!$B$9:$Q$1603,11,FALSE())</f>
        <v>15.06</v>
      </c>
      <c r="J68" s="15" t="n">
        <f aca="false">VLOOKUP($B68,'Cập nhật giá'!$B$9:$Q$1603,12,FALSE())</f>
        <v>0.97</v>
      </c>
      <c r="K68" s="16" t="n">
        <f aca="false">I68/O68-1</f>
        <v>-0.374064837905237</v>
      </c>
      <c r="L68" s="16" t="n">
        <f aca="false">J68/P68-1</f>
        <v>0.0777777777777777</v>
      </c>
      <c r="M68" s="17" t="n">
        <f aca="false">VLOOKUP($B68,'Cập nhật giá'!$B$9:$Q$1603,13,FALSE())</f>
        <v>26964</v>
      </c>
      <c r="N68" s="17" t="n">
        <f aca="false">VLOOKUP($B68,'Cập nhật giá'!$B$9:$Q$1603,14,FALSE())</f>
        <v>11324.88</v>
      </c>
      <c r="O68" s="15" t="n">
        <f aca="false">VLOOKUP($B68,'Cập nhật giá'!$B$9:$Q$1603,15,FALSE())</f>
        <v>24.06</v>
      </c>
      <c r="P68" s="18" t="n">
        <f aca="false">VLOOKUP($B68,'Cập nhật giá'!$B$9:$Q$1603,16,FALSE())</f>
        <v>0.9</v>
      </c>
    </row>
    <row r="69" customFormat="false" ht="12.75" hidden="false" customHeight="false" outlineLevel="0" collapsed="false">
      <c r="A69" s="19" t="n">
        <v>14</v>
      </c>
      <c r="B69" s="20" t="s">
        <v>85</v>
      </c>
      <c r="C69" s="17" t="n">
        <f aca="false">VLOOKUP($B69,'Cập nhật giá'!$B$9:$Q$1603,4,FALSE())</f>
        <v>21850</v>
      </c>
      <c r="D69" s="16" t="n">
        <f aca="false">VLOOKUP($B69,'Cập nhật giá'!$B$9:$Q$1603,8,FALSE())</f>
        <v>-0.00906400312745748</v>
      </c>
      <c r="E69" s="16" t="n">
        <f aca="false">VLOOKUP($B69,'Cập nhật giá'!$B$9:$Q$1603,9,FALSE())</f>
        <v>0.0303104605982873</v>
      </c>
      <c r="F69" s="16" t="n">
        <f aca="false">VLOOKUP($B69,'Cập nhật giá'!$B$9:$Q$1603,10,FALSE())</f>
        <v>0.0488328913994742</v>
      </c>
      <c r="G69" s="16" t="n">
        <f aca="false">C69/M69-1</f>
        <v>-0.313631251924031</v>
      </c>
      <c r="H69" s="16" t="n">
        <f aca="false">C69/N69-1</f>
        <v>0.0631682511198544</v>
      </c>
      <c r="I69" s="15" t="n">
        <f aca="false">VLOOKUP($B69,'Cập nhật giá'!$B$9:$Q$1603,11,FALSE())</f>
        <v>8.38</v>
      </c>
      <c r="J69" s="15" t="n">
        <f aca="false">VLOOKUP($B69,'Cập nhật giá'!$B$9:$Q$1603,12,FALSE())</f>
        <v>1.31</v>
      </c>
      <c r="K69" s="16" t="n">
        <f aca="false">I69/O69-1</f>
        <v>-0.340157480314961</v>
      </c>
      <c r="L69" s="16" t="n">
        <f aca="false">J69/P69-1</f>
        <v>0.00769230769230767</v>
      </c>
      <c r="M69" s="17" t="n">
        <f aca="false">VLOOKUP($B69,'Cập nhật giá'!$B$9:$Q$1603,13,FALSE())</f>
        <v>31834.2</v>
      </c>
      <c r="N69" s="17" t="n">
        <f aca="false">VLOOKUP($B69,'Cập nhật giá'!$B$9:$Q$1603,14,FALSE())</f>
        <v>20551.78</v>
      </c>
      <c r="O69" s="15" t="n">
        <f aca="false">VLOOKUP($B69,'Cập nhật giá'!$B$9:$Q$1603,15,FALSE())</f>
        <v>12.7</v>
      </c>
      <c r="P69" s="18" t="n">
        <f aca="false">VLOOKUP($B69,'Cập nhật giá'!$B$9:$Q$1603,16,FALSE())</f>
        <v>1.3</v>
      </c>
    </row>
    <row r="70" customFormat="false" ht="12.75" hidden="false" customHeight="false" outlineLevel="0" collapsed="false">
      <c r="A70" s="19" t="n">
        <v>49</v>
      </c>
      <c r="B70" s="20" t="s">
        <v>86</v>
      </c>
      <c r="C70" s="17" t="n">
        <f aca="false">VLOOKUP($B70,'Cập nhật giá'!$B$9:$Q$1603,4,FALSE())</f>
        <v>73000</v>
      </c>
      <c r="D70" s="16" t="n">
        <f aca="false">VLOOKUP($B70,'Cập nhật giá'!$B$9:$Q$1603,8,FALSE())</f>
        <v>-0.0141796083727211</v>
      </c>
      <c r="E70" s="16" t="n">
        <f aca="false">VLOOKUP($B70,'Cập nhật giá'!$B$9:$Q$1603,9,FALSE())</f>
        <v>-0.0273151232511659</v>
      </c>
      <c r="F70" s="16" t="n">
        <f aca="false">VLOOKUP($B70,'Cập nhật giá'!$B$9:$Q$1603,10,FALSE())</f>
        <v>0.222657689344455</v>
      </c>
      <c r="G70" s="16" t="n">
        <f aca="false">C70/M70-1</f>
        <v>-0.0755515031785832</v>
      </c>
      <c r="H70" s="16" t="n">
        <f aca="false">C70/N70-1</f>
        <v>0.744643883529486</v>
      </c>
      <c r="I70" s="15" t="n">
        <f aca="false">VLOOKUP($B70,'Cập nhật giá'!$B$9:$Q$1603,11,FALSE())</f>
        <v>7.51</v>
      </c>
      <c r="J70" s="15" t="n">
        <f aca="false">VLOOKUP($B70,'Cập nhật giá'!$B$9:$Q$1603,12,FALSE())</f>
        <v>2.31</v>
      </c>
      <c r="K70" s="16" t="n">
        <f aca="false">I70/O70-1</f>
        <v>-0.0641744548286602</v>
      </c>
      <c r="L70" s="16" t="n">
        <f aca="false">J70/P70-1</f>
        <v>0.462025316455696</v>
      </c>
      <c r="M70" s="17" t="n">
        <f aca="false">VLOOKUP($B70,'Cập nhật giá'!$B$9:$Q$1603,13,FALSE())</f>
        <v>78966</v>
      </c>
      <c r="N70" s="17" t="n">
        <f aca="false">VLOOKUP($B70,'Cập nhật giá'!$B$9:$Q$1603,14,FALSE())</f>
        <v>41842.35</v>
      </c>
      <c r="O70" s="15" t="n">
        <f aca="false">VLOOKUP($B70,'Cập nhật giá'!$B$9:$Q$1603,15,FALSE())</f>
        <v>8.025</v>
      </c>
      <c r="P70" s="18" t="n">
        <f aca="false">VLOOKUP($B70,'Cập nhật giá'!$B$9:$Q$1603,16,FALSE())</f>
        <v>1.58</v>
      </c>
    </row>
    <row r="71" customFormat="false" ht="12.75" hidden="false" customHeight="false" outlineLevel="0" collapsed="false">
      <c r="A71" s="19" t="n">
        <v>19</v>
      </c>
      <c r="B71" s="20" t="s">
        <v>87</v>
      </c>
      <c r="C71" s="17" t="n">
        <f aca="false">VLOOKUP($B71,'Cập nhật giá'!$B$9:$Q$1603,4,FALSE())</f>
        <v>51400</v>
      </c>
      <c r="D71" s="16" t="n">
        <f aca="false">VLOOKUP($B71,'Cập nhật giá'!$B$9:$Q$1603,8,FALSE())</f>
        <v>-0.0228136882129277</v>
      </c>
      <c r="E71" s="16" t="n">
        <f aca="false">VLOOKUP($B71,'Cập nhật giá'!$B$9:$Q$1603,9,FALSE())</f>
        <v>-0.110726643598616</v>
      </c>
      <c r="F71" s="16" t="n">
        <f aca="false">VLOOKUP($B71,'Cập nhật giá'!$B$9:$Q$1603,10,FALSE())</f>
        <v>-0.0837789661319073</v>
      </c>
      <c r="G71" s="16" t="n">
        <f aca="false">C71/M71-1</f>
        <v>-0.257225433526012</v>
      </c>
      <c r="H71" s="16" t="n">
        <f aca="false">C71/N71-1</f>
        <v>0</v>
      </c>
      <c r="I71" s="15" t="n">
        <f aca="false">VLOOKUP($B71,'Cập nhật giá'!$B$9:$Q$1603,11,FALSE())</f>
        <v>7.96</v>
      </c>
      <c r="J71" s="15" t="n">
        <f aca="false">VLOOKUP($B71,'Cập nhật giá'!$B$9:$Q$1603,12,FALSE())</f>
        <v>1.15</v>
      </c>
      <c r="K71" s="16" t="n">
        <f aca="false">I71/O71-1</f>
        <v>-0.239732569245463</v>
      </c>
      <c r="L71" s="16" t="n">
        <f aca="false">J71/P71-1</f>
        <v>-0.335260115606936</v>
      </c>
      <c r="M71" s="17" t="n">
        <f aca="false">VLOOKUP($B71,'Cập nhật giá'!$B$9:$Q$1603,13,FALSE())</f>
        <v>69200</v>
      </c>
      <c r="N71" s="17" t="n">
        <f aca="false">VLOOKUP($B71,'Cập nhật giá'!$B$9:$Q$1603,14,FALSE())</f>
        <v>51400</v>
      </c>
      <c r="O71" s="15" t="n">
        <f aca="false">VLOOKUP($B71,'Cập nhật giá'!$B$9:$Q$1603,15,FALSE())</f>
        <v>10.47</v>
      </c>
      <c r="P71" s="18" t="n">
        <f aca="false">VLOOKUP($B71,'Cập nhật giá'!$B$9:$Q$1603,16,FALSE())</f>
        <v>1.73</v>
      </c>
    </row>
    <row r="72" customFormat="false" ht="12.75" hidden="false" customHeight="false" outlineLevel="0" collapsed="false">
      <c r="A72" s="19" t="n">
        <v>9</v>
      </c>
      <c r="B72" s="20" t="s">
        <v>88</v>
      </c>
      <c r="C72" s="17" t="n">
        <f aca="false">VLOOKUP($B72,'Cập nhật giá'!$B$9:$Q$1603,4,FALSE())</f>
        <v>136900</v>
      </c>
      <c r="D72" s="16" t="n">
        <f aca="false">VLOOKUP($B72,'Cập nhật giá'!$B$9:$Q$1603,8,FALSE())</f>
        <v>-0.0290780141843972</v>
      </c>
      <c r="E72" s="16" t="n">
        <f aca="false">VLOOKUP($B72,'Cập nhật giá'!$B$9:$Q$1603,9,FALSE())</f>
        <v>-0.00508720930232554</v>
      </c>
      <c r="F72" s="16" t="n">
        <f aca="false">VLOOKUP($B72,'Cập nhật giá'!$B$9:$Q$1603,10,FALSE())</f>
        <v>-0.242144934660604</v>
      </c>
      <c r="G72" s="16" t="n">
        <f aca="false">C72/M72-1</f>
        <v>-0.247231210266909</v>
      </c>
      <c r="H72" s="16" t="n">
        <f aca="false">C72/N72-1</f>
        <v>0.495700162483951</v>
      </c>
      <c r="I72" s="15" t="n">
        <f aca="false">VLOOKUP($B72,'Cập nhật giá'!$B$9:$Q$1603,11,FALSE())</f>
        <v>25.2</v>
      </c>
      <c r="J72" s="15" t="n">
        <f aca="false">VLOOKUP($B72,'Cập nhật giá'!$B$9:$Q$1603,12,FALSE())</f>
        <v>9.59</v>
      </c>
      <c r="K72" s="16" t="n">
        <f aca="false">I72/O72-1</f>
        <v>0.788502484031228</v>
      </c>
      <c r="L72" s="16" t="n">
        <f aca="false">J72/P72-1</f>
        <v>0.876712328767123</v>
      </c>
      <c r="M72" s="17" t="n">
        <f aca="false">VLOOKUP($B72,'Cập nhật giá'!$B$9:$Q$1603,13,FALSE())</f>
        <v>181861.95</v>
      </c>
      <c r="N72" s="17" t="n">
        <f aca="false">VLOOKUP($B72,'Cập nhật giá'!$B$9:$Q$1603,14,FALSE())</f>
        <v>91529.04</v>
      </c>
      <c r="O72" s="15" t="n">
        <f aca="false">VLOOKUP($B72,'Cập nhật giá'!$B$9:$Q$1603,15,FALSE())</f>
        <v>14.09</v>
      </c>
      <c r="P72" s="18" t="n">
        <f aca="false">VLOOKUP($B72,'Cập nhật giá'!$B$9:$Q$1603,16,FALSE())</f>
        <v>5.11</v>
      </c>
    </row>
    <row r="73" customFormat="false" ht="12.75" hidden="false" customHeight="false" outlineLevel="0" collapsed="false">
      <c r="A73" s="22" t="n">
        <v>7</v>
      </c>
      <c r="B73" s="23" t="s">
        <v>89</v>
      </c>
      <c r="C73" s="24" t="n">
        <f aca="false">VLOOKUP($B73,'Cập nhật giá'!$B$9:$Q$1603,4,FALSE())</f>
        <v>20650</v>
      </c>
      <c r="D73" s="25" t="n">
        <f aca="false">VLOOKUP($B73,'Cập nhật giá'!$B$9:$Q$1603,8,FALSE())</f>
        <v>-0.0350467289719626</v>
      </c>
      <c r="E73" s="25" t="n">
        <f aca="false">VLOOKUP($B73,'Cập nhật giá'!$B$9:$Q$1603,9,FALSE())</f>
        <v>-0.0439814814814815</v>
      </c>
      <c r="F73" s="25" t="n">
        <f aca="false">VLOOKUP($B73,'Cập nhật giá'!$B$9:$Q$1603,10,FALSE())</f>
        <v>-0.0842572062084257</v>
      </c>
      <c r="G73" s="25" t="n">
        <f aca="false">C73/M73-1</f>
        <v>-0.341307814992026</v>
      </c>
      <c r="H73" s="25" t="n">
        <f aca="false">C73/N73-1</f>
        <v>0.169971671388102</v>
      </c>
      <c r="I73" s="26" t="n">
        <f aca="false">VLOOKUP($B73,'Cập nhật giá'!$B$9:$Q$1603,11,FALSE())</f>
        <v>7.22</v>
      </c>
      <c r="J73" s="26" t="n">
        <f aca="false">VLOOKUP($B73,'Cập nhật giá'!$B$9:$Q$1603,12,FALSE())</f>
        <v>1.27</v>
      </c>
      <c r="K73" s="25" t="n">
        <f aca="false">I73/O73-1</f>
        <v>-0.584818861414606</v>
      </c>
      <c r="L73" s="25" t="n">
        <f aca="false">J73/P73-1</f>
        <v>-0.19620253164557</v>
      </c>
      <c r="M73" s="24" t="n">
        <f aca="false">VLOOKUP($B73,'Cập nhật giá'!$B$9:$Q$1603,13,FALSE())</f>
        <v>31350</v>
      </c>
      <c r="N73" s="24" t="n">
        <f aca="false">VLOOKUP($B73,'Cập nhật giá'!$B$9:$Q$1603,14,FALSE())</f>
        <v>17650</v>
      </c>
      <c r="O73" s="26" t="n">
        <f aca="false">VLOOKUP($B73,'Cập nhật giá'!$B$9:$Q$1603,15,FALSE())</f>
        <v>17.39</v>
      </c>
      <c r="P73" s="27" t="n">
        <f aca="false">VLOOKUP($B73,'Cập nhật giá'!$B$9:$Q$1603,16,FALSE())</f>
        <v>1.58</v>
      </c>
    </row>
  </sheetData>
  <autoFilter ref="A3:N3">
    <sortState ref="A4:N3">
      <sortCondition ref="A4:A3" descending="1"/>
    </sortState>
  </autoFilter>
  <mergeCells count="12">
    <mergeCell ref="A1:A2"/>
    <mergeCell ref="B1:B2"/>
    <mergeCell ref="C1:C2"/>
    <mergeCell ref="D1:H1"/>
    <mergeCell ref="I1:I2"/>
    <mergeCell ref="J1:J2"/>
    <mergeCell ref="K1:K2"/>
    <mergeCell ref="L1:L2"/>
    <mergeCell ref="M1:M2"/>
    <mergeCell ref="N1:N2"/>
    <mergeCell ref="O1:O2"/>
    <mergeCell ref="P1:P2"/>
  </mergeCells>
  <conditionalFormatting sqref="K4:L73">
    <cfRule type="cellIs" priority="2" operator="equal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  <cfRule type="cellIs" priority="4" operator="greaterThan" aboveAverage="0" equalAverage="0" bottom="0" percent="0" rank="0" text="" dxfId="4">
      <formula>0</formula>
    </cfRule>
  </conditionalFormatting>
  <conditionalFormatting sqref="D4:H73">
    <cfRule type="cellIs" priority="5" operator="equal" aboveAverage="0" equalAverage="0" bottom="0" percent="0" rank="0" text="" dxfId="2">
      <formula>0</formula>
    </cfRule>
    <cfRule type="cellIs" priority="6" operator="lessThan" aboveAverage="0" equalAverage="0" bottom="0" percent="0" rank="0" text="" dxfId="3">
      <formula>0</formula>
    </cfRule>
    <cfRule type="cellIs" priority="7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03"/>
  <sheetViews>
    <sheetView showFormulas="false" showGridLines="true" showRowColHeaders="true" showZeros="true" rightToLeft="false" tabSelected="false" showOutlineSymbols="true" defaultGridColor="true" view="normal" topLeftCell="A821" colorId="64" zoomScale="100" zoomScaleNormal="100" zoomScalePageLayoutView="100" workbookViewId="0">
      <selection pane="topLeft" activeCell="M846" activeCellId="0" sqref="M846"/>
    </sheetView>
  </sheetViews>
  <sheetFormatPr defaultColWidth="13.1640625" defaultRowHeight="15" customHeight="false" zeroHeight="false" outlineLevelRow="0" outlineLevelCol="0"/>
  <cols>
    <col collapsed="false" customWidth="true" hidden="false" outlineLevel="0" max="1" min="1" style="0" width="14.67"/>
  </cols>
  <sheetData>
    <row r="1" s="28" customFormat="true" ht="12" hidden="false" customHeight="true" outlineLevel="0" collapsed="false"/>
    <row r="2" s="28" customFormat="true" ht="8.25" hidden="false" customHeight="true" outlineLevel="0" collapsed="false"/>
    <row r="3" s="28" customFormat="true" ht="9.75" hidden="false" customHeight="true" outlineLevel="0" collapsed="false"/>
    <row r="4" s="28" customFormat="true" ht="24" hidden="false" customHeight="true" outlineLevel="0" collapsed="false"/>
    <row r="5" customFormat="false" ht="15" hidden="false" customHeight="false" outlineLevel="0" collapsed="false">
      <c r="A5" s="29" t="s">
        <v>90</v>
      </c>
      <c r="B5" s="30" t="s">
        <v>91</v>
      </c>
    </row>
    <row r="6" customFormat="false" ht="15" hidden="false" customHeight="false" outlineLevel="0" collapsed="false">
      <c r="A6" s="29" t="s">
        <v>92</v>
      </c>
      <c r="B6" s="31"/>
    </row>
    <row r="8" s="33" customFormat="true" ht="84.75" hidden="false" customHeight="true" outlineLevel="0" collapsed="false">
      <c r="A8" s="32" t="s">
        <v>0</v>
      </c>
      <c r="B8" s="32" t="s">
        <v>93</v>
      </c>
      <c r="C8" s="32" t="s">
        <v>94</v>
      </c>
      <c r="D8" s="32" t="s">
        <v>95</v>
      </c>
      <c r="E8" s="32" t="s">
        <v>96</v>
      </c>
      <c r="F8" s="32" t="s">
        <v>97</v>
      </c>
      <c r="G8" s="32" t="s">
        <v>98</v>
      </c>
      <c r="H8" s="32" t="s">
        <v>99</v>
      </c>
      <c r="I8" s="32" t="s">
        <v>100</v>
      </c>
      <c r="J8" s="32" t="s">
        <v>101</v>
      </c>
      <c r="K8" s="32" t="s">
        <v>102</v>
      </c>
      <c r="L8" s="32" t="s">
        <v>103</v>
      </c>
      <c r="M8" s="32" t="s">
        <v>104</v>
      </c>
      <c r="N8" s="32" t="s">
        <v>105</v>
      </c>
      <c r="O8" s="32" t="s">
        <v>106</v>
      </c>
      <c r="P8" s="33" t="s">
        <v>107</v>
      </c>
      <c r="Q8" s="33" t="s">
        <v>108</v>
      </c>
    </row>
    <row r="9" customFormat="false" ht="15" hidden="false" customHeight="false" outlineLevel="0" collapsed="false">
      <c r="A9" s="34" t="n">
        <v>1</v>
      </c>
      <c r="B9" s="35" t="s">
        <v>109</v>
      </c>
      <c r="C9" s="35" t="s">
        <v>110</v>
      </c>
      <c r="D9" s="35" t="s">
        <v>111</v>
      </c>
      <c r="E9" s="34" t="n">
        <v>11400</v>
      </c>
      <c r="F9" s="34" t="n">
        <v>10945</v>
      </c>
      <c r="G9" s="34" t="n">
        <v>10722</v>
      </c>
      <c r="H9" s="34" t="n">
        <v>10845.8</v>
      </c>
      <c r="I9" s="36" t="n">
        <f aca="false">$E9/F9-1</f>
        <v>0.0415714938328005</v>
      </c>
      <c r="J9" s="36" t="n">
        <f aca="false">$E9/G9-1</f>
        <v>0.0632344711807498</v>
      </c>
      <c r="K9" s="36" t="n">
        <f aca="false">$E9/H9-1</f>
        <v>0.051098120931605</v>
      </c>
      <c r="L9" s="37" t="n">
        <v>4.97</v>
      </c>
      <c r="M9" s="37" t="n">
        <v>0.95</v>
      </c>
      <c r="N9" s="34" t="n">
        <v>12090.4</v>
      </c>
      <c r="O9" s="34" t="n">
        <v>9864.34</v>
      </c>
      <c r="P9" s="38"/>
      <c r="Q9" s="38"/>
    </row>
    <row r="10" customFormat="false" ht="15" hidden="false" customHeight="false" outlineLevel="0" collapsed="false">
      <c r="A10" s="34" t="n">
        <v>2</v>
      </c>
      <c r="B10" s="35" t="s">
        <v>112</v>
      </c>
      <c r="C10" s="35" t="s">
        <v>113</v>
      </c>
      <c r="D10" s="35" t="s">
        <v>111</v>
      </c>
      <c r="E10" s="34"/>
      <c r="F10" s="34"/>
      <c r="G10" s="34"/>
      <c r="H10" s="34"/>
      <c r="I10" s="36" t="e">
        <f aca="false">$E10/F10-1</f>
        <v>#DIV/0!</v>
      </c>
      <c r="J10" s="36" t="e">
        <f aca="false">$E10/G10-1</f>
        <v>#DIV/0!</v>
      </c>
      <c r="K10" s="36" t="e">
        <f aca="false">$E10/H10-1</f>
        <v>#DIV/0!</v>
      </c>
      <c r="L10" s="37"/>
      <c r="M10" s="37"/>
      <c r="N10" s="34"/>
      <c r="O10" s="34"/>
      <c r="P10" s="38"/>
      <c r="Q10" s="38"/>
    </row>
    <row r="11" customFormat="false" ht="15" hidden="false" customHeight="false" outlineLevel="0" collapsed="false">
      <c r="A11" s="34" t="n">
        <v>3</v>
      </c>
      <c r="B11" s="35" t="s">
        <v>114</v>
      </c>
      <c r="C11" s="35" t="s">
        <v>115</v>
      </c>
      <c r="D11" s="35" t="s">
        <v>116</v>
      </c>
      <c r="E11" s="34" t="n">
        <v>17300</v>
      </c>
      <c r="F11" s="34" t="n">
        <v>17300</v>
      </c>
      <c r="G11" s="34" t="n">
        <v>17450</v>
      </c>
      <c r="H11" s="34" t="n">
        <v>19500</v>
      </c>
      <c r="I11" s="36" t="n">
        <f aca="false">$E11/F11-1</f>
        <v>0</v>
      </c>
      <c r="J11" s="36" t="n">
        <f aca="false">$E11/G11-1</f>
        <v>-0.00859598853868193</v>
      </c>
      <c r="K11" s="36" t="n">
        <f aca="false">$E11/H11-1</f>
        <v>-0.112820512820513</v>
      </c>
      <c r="L11" s="37" t="n">
        <v>182.09</v>
      </c>
      <c r="M11" s="37" t="n">
        <v>0.96</v>
      </c>
      <c r="N11" s="34" t="n">
        <v>26800</v>
      </c>
      <c r="O11" s="34" t="n">
        <v>16100</v>
      </c>
      <c r="P11" s="38"/>
      <c r="Q11" s="38"/>
    </row>
    <row r="12" customFormat="false" ht="15" hidden="false" customHeight="false" outlineLevel="0" collapsed="false">
      <c r="A12" s="34" t="n">
        <v>4</v>
      </c>
      <c r="B12" s="35" t="s">
        <v>117</v>
      </c>
      <c r="C12" s="35" t="s">
        <v>118</v>
      </c>
      <c r="D12" s="35" t="s">
        <v>111</v>
      </c>
      <c r="E12" s="34" t="n">
        <v>6367</v>
      </c>
      <c r="F12" s="34" t="n">
        <v>6452</v>
      </c>
      <c r="G12" s="34" t="n">
        <v>6828</v>
      </c>
      <c r="H12" s="34" t="n">
        <v>6300</v>
      </c>
      <c r="I12" s="36" t="n">
        <f aca="false">$E12/F12-1</f>
        <v>-0.0131742095474272</v>
      </c>
      <c r="J12" s="36" t="n">
        <f aca="false">$E12/G12-1</f>
        <v>-0.0675161101347394</v>
      </c>
      <c r="K12" s="36" t="n">
        <f aca="false">$E12/H12-1</f>
        <v>0.0106349206349206</v>
      </c>
      <c r="L12" s="37" t="n">
        <v>-20.33</v>
      </c>
      <c r="M12" s="37" t="n">
        <v>0.62</v>
      </c>
      <c r="N12" s="34" t="n">
        <v>9000</v>
      </c>
      <c r="O12" s="34" t="n">
        <v>5400</v>
      </c>
      <c r="P12" s="38"/>
      <c r="Q12" s="38"/>
    </row>
    <row r="13" customFormat="false" ht="15" hidden="false" customHeight="false" outlineLevel="0" collapsed="false">
      <c r="A13" s="34" t="n">
        <v>5</v>
      </c>
      <c r="B13" s="35" t="s">
        <v>53</v>
      </c>
      <c r="C13" s="35" t="s">
        <v>53</v>
      </c>
      <c r="D13" s="35" t="s">
        <v>116</v>
      </c>
      <c r="E13" s="34" t="n">
        <v>22400</v>
      </c>
      <c r="F13" s="34" t="n">
        <v>21900</v>
      </c>
      <c r="G13" s="34" t="n">
        <v>22600</v>
      </c>
      <c r="H13" s="34" t="n">
        <v>20678.4</v>
      </c>
      <c r="I13" s="36" t="n">
        <f aca="false">$E13/F13-1</f>
        <v>0.0228310502283104</v>
      </c>
      <c r="J13" s="36" t="n">
        <f aca="false">$E13/G13-1</f>
        <v>-0.00884955752212391</v>
      </c>
      <c r="K13" s="36" t="n">
        <f aca="false">$E13/H13-1</f>
        <v>0.0832559579077685</v>
      </c>
      <c r="L13" s="37" t="n">
        <v>8.29</v>
      </c>
      <c r="M13" s="37" t="n">
        <v>1.31</v>
      </c>
      <c r="N13" s="34" t="n">
        <v>25374.12</v>
      </c>
      <c r="O13" s="34" t="n">
        <v>18696.72</v>
      </c>
      <c r="P13" s="38" t="n">
        <v>6.93</v>
      </c>
      <c r="Q13" s="38" t="n">
        <v>1.42</v>
      </c>
    </row>
    <row r="14" customFormat="false" ht="15" hidden="false" customHeight="false" outlineLevel="0" collapsed="false">
      <c r="A14" s="34" t="n">
        <v>6</v>
      </c>
      <c r="B14" s="35" t="s">
        <v>119</v>
      </c>
      <c r="C14" s="35" t="s">
        <v>120</v>
      </c>
      <c r="D14" s="35" t="s">
        <v>116</v>
      </c>
      <c r="E14" s="34" t="n">
        <v>13050</v>
      </c>
      <c r="F14" s="34" t="n">
        <v>12900</v>
      </c>
      <c r="G14" s="34" t="n">
        <v>16000</v>
      </c>
      <c r="H14" s="34" t="n">
        <v>16100</v>
      </c>
      <c r="I14" s="36" t="n">
        <f aca="false">$E14/F14-1</f>
        <v>0.0116279069767442</v>
      </c>
      <c r="J14" s="36" t="n">
        <f aca="false">$E14/G14-1</f>
        <v>-0.184375</v>
      </c>
      <c r="K14" s="36" t="n">
        <f aca="false">$E14/H14-1</f>
        <v>-0.18944099378882</v>
      </c>
      <c r="L14" s="37" t="n">
        <v>17.38</v>
      </c>
      <c r="M14" s="37" t="n">
        <v>1.13</v>
      </c>
      <c r="N14" s="34" t="n">
        <v>20550</v>
      </c>
      <c r="O14" s="34" t="n">
        <v>12250</v>
      </c>
      <c r="P14" s="38"/>
      <c r="Q14" s="38"/>
    </row>
    <row r="15" customFormat="false" ht="15" hidden="false" customHeight="false" outlineLevel="0" collapsed="false">
      <c r="A15" s="34" t="n">
        <v>7</v>
      </c>
      <c r="B15" s="35" t="s">
        <v>121</v>
      </c>
      <c r="C15" s="35" t="s">
        <v>122</v>
      </c>
      <c r="D15" s="35" t="s">
        <v>116</v>
      </c>
      <c r="E15" s="34" t="n">
        <v>7150</v>
      </c>
      <c r="F15" s="34" t="n">
        <v>7110</v>
      </c>
      <c r="G15" s="34" t="n">
        <v>7186.5</v>
      </c>
      <c r="H15" s="34" t="n">
        <v>7550.62</v>
      </c>
      <c r="I15" s="36" t="n">
        <f aca="false">$E15/F15-1</f>
        <v>0.00562587904360057</v>
      </c>
      <c r="J15" s="36" t="n">
        <f aca="false">$E15/G15-1</f>
        <v>-0.00507896750852288</v>
      </c>
      <c r="K15" s="36" t="n">
        <f aca="false">$E15/H15-1</f>
        <v>-0.0530578945834912</v>
      </c>
      <c r="L15" s="37" t="n">
        <v>5.15</v>
      </c>
      <c r="M15" s="37" t="n">
        <v>0.5</v>
      </c>
      <c r="N15" s="34" t="n">
        <v>8480.07</v>
      </c>
      <c r="O15" s="34" t="n">
        <v>6410.36</v>
      </c>
      <c r="P15" s="38"/>
      <c r="Q15" s="38"/>
    </row>
    <row r="16" customFormat="false" ht="15" hidden="false" customHeight="false" outlineLevel="0" collapsed="false">
      <c r="A16" s="34" t="n">
        <v>8</v>
      </c>
      <c r="B16" s="35" t="s">
        <v>123</v>
      </c>
      <c r="C16" s="35" t="s">
        <v>124</v>
      </c>
      <c r="D16" s="35" t="s">
        <v>116</v>
      </c>
      <c r="E16" s="34" t="n">
        <v>8600</v>
      </c>
      <c r="F16" s="34" t="n">
        <v>7090</v>
      </c>
      <c r="G16" s="34" t="n">
        <v>5900</v>
      </c>
      <c r="H16" s="34" t="n">
        <v>5852.34</v>
      </c>
      <c r="I16" s="36" t="n">
        <f aca="false">$E16/F16-1</f>
        <v>0.212976022566996</v>
      </c>
      <c r="J16" s="36" t="n">
        <f aca="false">$E16/G16-1</f>
        <v>0.457627118644068</v>
      </c>
      <c r="K16" s="36" t="n">
        <f aca="false">$E16/H16-1</f>
        <v>0.469497671017063</v>
      </c>
      <c r="L16" s="37" t="n">
        <v>2.7</v>
      </c>
      <c r="M16" s="37" t="n">
        <v>0.57</v>
      </c>
      <c r="N16" s="34" t="n">
        <v>8850</v>
      </c>
      <c r="O16" s="34" t="n">
        <v>4329.78</v>
      </c>
      <c r="P16" s="38"/>
      <c r="Q16" s="38"/>
    </row>
    <row r="17" customFormat="false" ht="15" hidden="false" customHeight="false" outlineLevel="0" collapsed="false">
      <c r="A17" s="34" t="n">
        <v>9</v>
      </c>
      <c r="B17" s="35" t="s">
        <v>125</v>
      </c>
      <c r="C17" s="35" t="s">
        <v>126</v>
      </c>
      <c r="D17" s="35" t="s">
        <v>116</v>
      </c>
      <c r="E17" s="34" t="n">
        <v>7390</v>
      </c>
      <c r="F17" s="34" t="n">
        <v>7500</v>
      </c>
      <c r="G17" s="34" t="n">
        <v>7830</v>
      </c>
      <c r="H17" s="34" t="n">
        <v>9100</v>
      </c>
      <c r="I17" s="36" t="n">
        <f aca="false">$E17/F17-1</f>
        <v>-0.0146666666666667</v>
      </c>
      <c r="J17" s="36" t="n">
        <f aca="false">$E17/G17-1</f>
        <v>-0.0561941251596424</v>
      </c>
      <c r="K17" s="36" t="n">
        <f aca="false">$E17/H17-1</f>
        <v>-0.187912087912088</v>
      </c>
      <c r="L17" s="37" t="n">
        <v>446.42</v>
      </c>
      <c r="M17" s="37" t="n">
        <v>0.45</v>
      </c>
      <c r="N17" s="34" t="n">
        <v>9830</v>
      </c>
      <c r="O17" s="34" t="n">
        <v>7390</v>
      </c>
      <c r="P17" s="38"/>
      <c r="Q17" s="38"/>
    </row>
    <row r="18" customFormat="false" ht="15" hidden="false" customHeight="false" outlineLevel="0" collapsed="false">
      <c r="A18" s="34" t="n">
        <v>10</v>
      </c>
      <c r="B18" s="35" t="s">
        <v>127</v>
      </c>
      <c r="C18" s="35" t="s">
        <v>128</v>
      </c>
      <c r="D18" s="35" t="s">
        <v>111</v>
      </c>
      <c r="E18" s="34" t="n">
        <v>15500</v>
      </c>
      <c r="F18" s="34" t="n">
        <v>16000</v>
      </c>
      <c r="G18" s="34" t="n">
        <v>14500</v>
      </c>
      <c r="H18" s="34" t="n">
        <v>14700</v>
      </c>
      <c r="I18" s="36" t="n">
        <f aca="false">$E18/F18-1</f>
        <v>-0.03125</v>
      </c>
      <c r="J18" s="36" t="n">
        <f aca="false">$E18/G18-1</f>
        <v>0.0689655172413792</v>
      </c>
      <c r="K18" s="36" t="n">
        <f aca="false">$E18/H18-1</f>
        <v>0.0544217687074831</v>
      </c>
      <c r="L18" s="37" t="n">
        <v>26.81</v>
      </c>
      <c r="M18" s="37" t="n">
        <v>0.96</v>
      </c>
      <c r="N18" s="34" t="n">
        <v>16500</v>
      </c>
      <c r="O18" s="34" t="n">
        <v>11000</v>
      </c>
      <c r="P18" s="38"/>
      <c r="Q18" s="38"/>
    </row>
    <row r="19" customFormat="false" ht="15" hidden="false" customHeight="false" outlineLevel="0" collapsed="false">
      <c r="A19" s="34" t="n">
        <v>11</v>
      </c>
      <c r="B19" s="35" t="s">
        <v>129</v>
      </c>
      <c r="C19" s="35" t="s">
        <v>130</v>
      </c>
      <c r="D19" s="35" t="s">
        <v>111</v>
      </c>
      <c r="E19" s="34" t="n">
        <v>8100</v>
      </c>
      <c r="F19" s="34" t="n">
        <v>8133</v>
      </c>
      <c r="G19" s="34" t="n">
        <v>8600</v>
      </c>
      <c r="H19" s="34" t="n">
        <v>9500</v>
      </c>
      <c r="I19" s="36" t="n">
        <f aca="false">$E19/F19-1</f>
        <v>-0.0040575433419402</v>
      </c>
      <c r="J19" s="36" t="n">
        <f aca="false">$E19/G19-1</f>
        <v>-0.0581395348837209</v>
      </c>
      <c r="K19" s="36" t="n">
        <f aca="false">$E19/H19-1</f>
        <v>-0.147368421052632</v>
      </c>
      <c r="L19" s="37" t="n">
        <v>3.48</v>
      </c>
      <c r="M19" s="37" t="n">
        <v>13.93</v>
      </c>
      <c r="N19" s="34" t="n">
        <v>11500</v>
      </c>
      <c r="O19" s="34" t="n">
        <v>5500</v>
      </c>
      <c r="P19" s="38"/>
      <c r="Q19" s="38"/>
    </row>
    <row r="20" customFormat="false" ht="15" hidden="false" customHeight="false" outlineLevel="0" collapsed="false">
      <c r="A20" s="34" t="n">
        <v>12</v>
      </c>
      <c r="B20" s="35" t="s">
        <v>131</v>
      </c>
      <c r="C20" s="35" t="s">
        <v>132</v>
      </c>
      <c r="D20" s="35" t="s">
        <v>133</v>
      </c>
      <c r="E20" s="34" t="n">
        <v>21200</v>
      </c>
      <c r="F20" s="34" t="n">
        <v>20100</v>
      </c>
      <c r="G20" s="34" t="n">
        <v>21300</v>
      </c>
      <c r="H20" s="34" t="n">
        <v>27800</v>
      </c>
      <c r="I20" s="36" t="n">
        <f aca="false">$E20/F20-1</f>
        <v>0.0547263681592041</v>
      </c>
      <c r="J20" s="36" t="n">
        <f aca="false">$E20/G20-1</f>
        <v>-0.00469483568075113</v>
      </c>
      <c r="K20" s="36" t="n">
        <f aca="false">$E20/H20-1</f>
        <v>-0.237410071942446</v>
      </c>
      <c r="L20" s="37" t="n">
        <v>-103.41</v>
      </c>
      <c r="M20" s="37" t="n">
        <v>1.93</v>
      </c>
      <c r="N20" s="34" t="n">
        <v>41000</v>
      </c>
      <c r="O20" s="34" t="n">
        <v>18700</v>
      </c>
      <c r="P20" s="38"/>
      <c r="Q20" s="38"/>
    </row>
    <row r="21" customFormat="false" ht="15" hidden="false" customHeight="false" outlineLevel="0" collapsed="false">
      <c r="A21" s="34" t="n">
        <v>13</v>
      </c>
      <c r="B21" s="35" t="s">
        <v>134</v>
      </c>
      <c r="C21" s="35" t="s">
        <v>135</v>
      </c>
      <c r="D21" s="35" t="s">
        <v>111</v>
      </c>
      <c r="E21" s="34" t="n">
        <v>2500</v>
      </c>
      <c r="F21" s="34" t="n">
        <v>2500</v>
      </c>
      <c r="G21" s="34" t="n">
        <v>2530</v>
      </c>
      <c r="H21" s="34" t="n">
        <v>2530</v>
      </c>
      <c r="I21" s="36" t="n">
        <f aca="false">$E21/F21-1</f>
        <v>0</v>
      </c>
      <c r="J21" s="36" t="n">
        <f aca="false">$E21/G21-1</f>
        <v>-0.0118577075098815</v>
      </c>
      <c r="K21" s="36" t="n">
        <f aca="false">$E21/H21-1</f>
        <v>-0.0118577075098815</v>
      </c>
      <c r="L21" s="37" t="n">
        <v>4.7</v>
      </c>
      <c r="M21" s="37" t="n">
        <v>0.22</v>
      </c>
      <c r="N21" s="34" t="n">
        <v>3890</v>
      </c>
      <c r="O21" s="34" t="n">
        <v>2500</v>
      </c>
      <c r="P21" s="38"/>
      <c r="Q21" s="38"/>
    </row>
    <row r="22" customFormat="false" ht="15" hidden="false" customHeight="false" outlineLevel="0" collapsed="false">
      <c r="A22" s="34" t="n">
        <v>14</v>
      </c>
      <c r="B22" s="35" t="s">
        <v>136</v>
      </c>
      <c r="C22" s="35" t="s">
        <v>137</v>
      </c>
      <c r="D22" s="35" t="s">
        <v>111</v>
      </c>
      <c r="E22" s="34" t="n">
        <v>31177</v>
      </c>
      <c r="F22" s="34" t="n">
        <v>29000</v>
      </c>
      <c r="G22" s="34" t="n">
        <v>25706.88</v>
      </c>
      <c r="H22" s="34" t="n">
        <v>23921.68</v>
      </c>
      <c r="I22" s="36" t="n">
        <f aca="false">$E22/F22-1</f>
        <v>0.0750689655172414</v>
      </c>
      <c r="J22" s="36" t="n">
        <f aca="false">$E22/G22-1</f>
        <v>0.212788171882391</v>
      </c>
      <c r="K22" s="36" t="n">
        <f aca="false">$E22/H22-1</f>
        <v>0.303294751873614</v>
      </c>
      <c r="L22" s="37" t="n">
        <v>13.03</v>
      </c>
      <c r="M22" s="37" t="n">
        <v>0.87</v>
      </c>
      <c r="N22" s="34" t="n">
        <v>31177</v>
      </c>
      <c r="O22" s="34" t="n">
        <v>18744.6</v>
      </c>
      <c r="P22" s="38"/>
      <c r="Q22" s="38"/>
    </row>
    <row r="23" customFormat="false" ht="15" hidden="false" customHeight="false" outlineLevel="0" collapsed="false">
      <c r="A23" s="34" t="n">
        <v>15</v>
      </c>
      <c r="B23" s="35" t="s">
        <v>138</v>
      </c>
      <c r="C23" s="35" t="s">
        <v>139</v>
      </c>
      <c r="D23" s="35" t="s">
        <v>133</v>
      </c>
      <c r="E23" s="34" t="n">
        <v>9200</v>
      </c>
      <c r="F23" s="34" t="n">
        <v>9200</v>
      </c>
      <c r="G23" s="34" t="n">
        <v>9200</v>
      </c>
      <c r="H23" s="34" t="n">
        <v>9500</v>
      </c>
      <c r="I23" s="36" t="n">
        <f aca="false">$E23/F23-1</f>
        <v>0</v>
      </c>
      <c r="J23" s="36" t="n">
        <f aca="false">$E23/G23-1</f>
        <v>0</v>
      </c>
      <c r="K23" s="36" t="n">
        <f aca="false">$E23/H23-1</f>
        <v>-0.031578947368421</v>
      </c>
      <c r="L23" s="37" t="n">
        <v>-33.98</v>
      </c>
      <c r="M23" s="37" t="n">
        <v>0.53</v>
      </c>
      <c r="N23" s="34" t="n">
        <v>16200</v>
      </c>
      <c r="O23" s="34" t="n">
        <v>7200</v>
      </c>
      <c r="P23" s="38"/>
      <c r="Q23" s="38"/>
    </row>
    <row r="24" customFormat="false" ht="15" hidden="false" customHeight="false" outlineLevel="0" collapsed="false">
      <c r="A24" s="34" t="n">
        <v>16</v>
      </c>
      <c r="B24" s="35" t="s">
        <v>30</v>
      </c>
      <c r="C24" s="35" t="s">
        <v>140</v>
      </c>
      <c r="D24" s="35" t="s">
        <v>116</v>
      </c>
      <c r="E24" s="34" t="n">
        <v>132000</v>
      </c>
      <c r="F24" s="34" t="n">
        <v>124400</v>
      </c>
      <c r="G24" s="34" t="n">
        <v>117000</v>
      </c>
      <c r="H24" s="34" t="n">
        <v>142383.8</v>
      </c>
      <c r="I24" s="36" t="n">
        <f aca="false">$E24/F24-1</f>
        <v>0.0610932475884245</v>
      </c>
      <c r="J24" s="36" t="n">
        <f aca="false">$E24/G24-1</f>
        <v>0.128205128205128</v>
      </c>
      <c r="K24" s="36" t="n">
        <f aca="false">$E24/H24-1</f>
        <v>-0.0729282404318468</v>
      </c>
      <c r="L24" s="37" t="n">
        <v>20.76</v>
      </c>
      <c r="M24" s="37" t="n">
        <v>4.92</v>
      </c>
      <c r="N24" s="34" t="n">
        <v>167146.2</v>
      </c>
      <c r="O24" s="34" t="n">
        <v>105000</v>
      </c>
      <c r="P24" s="38" t="n">
        <v>23.835</v>
      </c>
      <c r="Q24" s="38" t="n">
        <v>6.895</v>
      </c>
    </row>
    <row r="25" customFormat="false" ht="15" hidden="false" customHeight="false" outlineLevel="0" collapsed="false">
      <c r="A25" s="34" t="n">
        <v>17</v>
      </c>
      <c r="B25" s="35" t="s">
        <v>141</v>
      </c>
      <c r="C25" s="35" t="s">
        <v>142</v>
      </c>
      <c r="D25" s="35" t="s">
        <v>111</v>
      </c>
      <c r="E25" s="34"/>
      <c r="F25" s="34"/>
      <c r="G25" s="34"/>
      <c r="H25" s="34"/>
      <c r="I25" s="36" t="e">
        <f aca="false">$E25/F25-1</f>
        <v>#DIV/0!</v>
      </c>
      <c r="J25" s="36" t="e">
        <f aca="false">$E25/G25-1</f>
        <v>#DIV/0!</v>
      </c>
      <c r="K25" s="36" t="e">
        <f aca="false">$E25/H25-1</f>
        <v>#DIV/0!</v>
      </c>
      <c r="L25" s="37"/>
      <c r="M25" s="37"/>
      <c r="N25" s="34"/>
      <c r="O25" s="34"/>
      <c r="P25" s="38"/>
      <c r="Q25" s="38"/>
    </row>
    <row r="26" customFormat="false" ht="15" hidden="false" customHeight="false" outlineLevel="0" collapsed="false">
      <c r="A26" s="34" t="n">
        <v>18</v>
      </c>
      <c r="B26" s="35" t="s">
        <v>143</v>
      </c>
      <c r="C26" s="35" t="s">
        <v>144</v>
      </c>
      <c r="D26" s="35" t="s">
        <v>133</v>
      </c>
      <c r="E26" s="34" t="n">
        <v>74700</v>
      </c>
      <c r="F26" s="34" t="n">
        <v>74200</v>
      </c>
      <c r="G26" s="34" t="n">
        <v>74500</v>
      </c>
      <c r="H26" s="34" t="n">
        <v>149700</v>
      </c>
      <c r="I26" s="36" t="n">
        <f aca="false">$E26/F26-1</f>
        <v>0.00673854447439348</v>
      </c>
      <c r="J26" s="36" t="n">
        <f aca="false">$E26/G26-1</f>
        <v>0.00268456375838921</v>
      </c>
      <c r="K26" s="36" t="n">
        <f aca="false">$E26/H26-1</f>
        <v>-0.501002004008016</v>
      </c>
      <c r="L26" s="37" t="n">
        <v>22.5</v>
      </c>
      <c r="M26" s="37" t="n">
        <v>1.8</v>
      </c>
      <c r="N26" s="34" t="n">
        <v>167000</v>
      </c>
      <c r="O26" s="34" t="n">
        <v>67700</v>
      </c>
      <c r="P26" s="38"/>
      <c r="Q26" s="38"/>
    </row>
    <row r="27" customFormat="false" ht="15" hidden="false" customHeight="false" outlineLevel="0" collapsed="false">
      <c r="A27" s="34" t="n">
        <v>19</v>
      </c>
      <c r="B27" s="35" t="s">
        <v>145</v>
      </c>
      <c r="C27" s="35" t="s">
        <v>146</v>
      </c>
      <c r="D27" s="35" t="s">
        <v>111</v>
      </c>
      <c r="E27" s="34" t="n">
        <v>23400</v>
      </c>
      <c r="F27" s="34" t="n">
        <v>23400</v>
      </c>
      <c r="G27" s="34" t="n">
        <v>24000</v>
      </c>
      <c r="H27" s="34" t="n">
        <v>32017.52</v>
      </c>
      <c r="I27" s="36" t="n">
        <f aca="false">$E27/F27-1</f>
        <v>0</v>
      </c>
      <c r="J27" s="36" t="n">
        <f aca="false">$E27/G27-1</f>
        <v>-0.025</v>
      </c>
      <c r="K27" s="36" t="n">
        <f aca="false">$E27/H27-1</f>
        <v>-0.269150140298187</v>
      </c>
      <c r="L27" s="37" t="n">
        <v>6.93</v>
      </c>
      <c r="M27" s="37" t="n">
        <v>1.05</v>
      </c>
      <c r="N27" s="34" t="n">
        <v>34272.28</v>
      </c>
      <c r="O27" s="34" t="n">
        <v>20500</v>
      </c>
      <c r="P27" s="38"/>
      <c r="Q27" s="38"/>
    </row>
    <row r="28" customFormat="false" ht="15" hidden="false" customHeight="false" outlineLevel="0" collapsed="false">
      <c r="A28" s="34" t="n">
        <v>20</v>
      </c>
      <c r="B28" s="35" t="s">
        <v>147</v>
      </c>
      <c r="C28" s="35" t="s">
        <v>148</v>
      </c>
      <c r="D28" s="35" t="s">
        <v>133</v>
      </c>
      <c r="E28" s="34" t="n">
        <v>104100</v>
      </c>
      <c r="F28" s="34" t="n">
        <v>106000</v>
      </c>
      <c r="G28" s="34" t="n">
        <v>106100</v>
      </c>
      <c r="H28" s="34" t="n">
        <v>82000</v>
      </c>
      <c r="I28" s="36" t="n">
        <f aca="false">$E28/F28-1</f>
        <v>-0.0179245283018868</v>
      </c>
      <c r="J28" s="36" t="n">
        <f aca="false">$E28/G28-1</f>
        <v>-0.0188501413760603</v>
      </c>
      <c r="K28" s="36" t="n">
        <f aca="false">$E28/H28-1</f>
        <v>0.269512195121951</v>
      </c>
      <c r="L28" s="37" t="n">
        <v>5.66</v>
      </c>
      <c r="M28" s="37" t="n">
        <v>1.42</v>
      </c>
      <c r="N28" s="34" t="n">
        <v>113800</v>
      </c>
      <c r="O28" s="34" t="n">
        <v>75400</v>
      </c>
      <c r="P28" s="38"/>
      <c r="Q28" s="38"/>
    </row>
    <row r="29" customFormat="false" ht="15" hidden="false" customHeight="false" outlineLevel="0" collapsed="false">
      <c r="A29" s="34" t="n">
        <v>21</v>
      </c>
      <c r="B29" s="35" t="s">
        <v>149</v>
      </c>
      <c r="C29" s="35" t="s">
        <v>150</v>
      </c>
      <c r="D29" s="35" t="s">
        <v>111</v>
      </c>
      <c r="E29" s="34" t="n">
        <v>7500</v>
      </c>
      <c r="F29" s="34" t="n">
        <v>7500</v>
      </c>
      <c r="G29" s="34" t="n">
        <v>7100</v>
      </c>
      <c r="H29" s="34" t="n">
        <v>9500</v>
      </c>
      <c r="I29" s="36" t="n">
        <f aca="false">$E29/F29-1</f>
        <v>0</v>
      </c>
      <c r="J29" s="36" t="n">
        <f aca="false">$E29/G29-1</f>
        <v>0.056338028169014</v>
      </c>
      <c r="K29" s="36" t="n">
        <f aca="false">$E29/H29-1</f>
        <v>-0.210526315789474</v>
      </c>
      <c r="L29" s="37" t="n">
        <v>9.67</v>
      </c>
      <c r="M29" s="37" t="n">
        <v>0.49</v>
      </c>
      <c r="N29" s="34" t="n">
        <v>10426.9</v>
      </c>
      <c r="O29" s="34" t="n">
        <v>6200</v>
      </c>
      <c r="P29" s="38"/>
      <c r="Q29" s="38"/>
    </row>
    <row r="30" customFormat="false" ht="15" hidden="false" customHeight="false" outlineLevel="0" collapsed="false">
      <c r="A30" s="34" t="n">
        <v>22</v>
      </c>
      <c r="B30" s="35" t="s">
        <v>151</v>
      </c>
      <c r="C30" s="35" t="s">
        <v>152</v>
      </c>
      <c r="D30" s="35" t="s">
        <v>133</v>
      </c>
      <c r="E30" s="34" t="n">
        <v>12500</v>
      </c>
      <c r="F30" s="34" t="n">
        <v>12500</v>
      </c>
      <c r="G30" s="34" t="n">
        <v>12500</v>
      </c>
      <c r="H30" s="34" t="n">
        <v>12300</v>
      </c>
      <c r="I30" s="36" t="n">
        <f aca="false">$E30/F30-1</f>
        <v>0</v>
      </c>
      <c r="J30" s="36" t="n">
        <f aca="false">$E30/G30-1</f>
        <v>0</v>
      </c>
      <c r="K30" s="36" t="n">
        <f aca="false">$E30/H30-1</f>
        <v>0.0162601626016261</v>
      </c>
      <c r="L30" s="37" t="n">
        <v>22.69</v>
      </c>
      <c r="M30" s="37" t="n">
        <v>0.5</v>
      </c>
      <c r="N30" s="34" t="n">
        <v>14583.92</v>
      </c>
      <c r="O30" s="34" t="n">
        <v>10149.62</v>
      </c>
      <c r="P30" s="38"/>
      <c r="Q30" s="38"/>
    </row>
    <row r="31" customFormat="false" ht="15" hidden="false" customHeight="false" outlineLevel="0" collapsed="false">
      <c r="A31" s="34" t="n">
        <v>23</v>
      </c>
      <c r="B31" s="35" t="s">
        <v>153</v>
      </c>
      <c r="C31" s="35" t="s">
        <v>154</v>
      </c>
      <c r="D31" s="35" t="s">
        <v>133</v>
      </c>
      <c r="E31" s="34" t="n">
        <v>11400</v>
      </c>
      <c r="F31" s="34" t="n">
        <v>11700</v>
      </c>
      <c r="G31" s="34" t="n">
        <v>11200</v>
      </c>
      <c r="H31" s="34" t="n">
        <v>12600</v>
      </c>
      <c r="I31" s="36" t="n">
        <f aca="false">$E31/F31-1</f>
        <v>-0.0256410256410257</v>
      </c>
      <c r="J31" s="36" t="n">
        <f aca="false">$E31/G31-1</f>
        <v>0.0178571428571428</v>
      </c>
      <c r="K31" s="36" t="n">
        <f aca="false">$E31/H31-1</f>
        <v>-0.0952380952380952</v>
      </c>
      <c r="L31" s="37" t="n">
        <v>6.86</v>
      </c>
      <c r="M31" s="37" t="n">
        <v>0.75</v>
      </c>
      <c r="N31" s="34" t="n">
        <v>13500</v>
      </c>
      <c r="O31" s="34" t="n">
        <v>11100</v>
      </c>
      <c r="P31" s="38"/>
      <c r="Q31" s="38"/>
    </row>
    <row r="32" customFormat="false" ht="15" hidden="false" customHeight="false" outlineLevel="0" collapsed="false">
      <c r="A32" s="34" t="n">
        <v>24</v>
      </c>
      <c r="B32" s="35" t="s">
        <v>155</v>
      </c>
      <c r="C32" s="35" t="s">
        <v>156</v>
      </c>
      <c r="D32" s="35" t="s">
        <v>133</v>
      </c>
      <c r="E32" s="34" t="n">
        <v>12000</v>
      </c>
      <c r="F32" s="34" t="n">
        <v>12000</v>
      </c>
      <c r="G32" s="34" t="n">
        <v>12000</v>
      </c>
      <c r="H32" s="34" t="n">
        <v>12500</v>
      </c>
      <c r="I32" s="36" t="n">
        <f aca="false">$E32/F32-1</f>
        <v>0</v>
      </c>
      <c r="J32" s="36" t="n">
        <f aca="false">$E32/G32-1</f>
        <v>0</v>
      </c>
      <c r="K32" s="36" t="n">
        <f aca="false">$E32/H32-1</f>
        <v>-0.04</v>
      </c>
      <c r="L32" s="37" t="n">
        <v>5.53</v>
      </c>
      <c r="M32" s="37" t="n">
        <v>0.66</v>
      </c>
      <c r="N32" s="34" t="n">
        <v>14932.8</v>
      </c>
      <c r="O32" s="34" t="n">
        <v>11500</v>
      </c>
      <c r="P32" s="38"/>
      <c r="Q32" s="38"/>
    </row>
    <row r="33" customFormat="false" ht="15" hidden="false" customHeight="false" outlineLevel="0" collapsed="false">
      <c r="A33" s="34" t="n">
        <v>25</v>
      </c>
      <c r="B33" s="35" t="s">
        <v>157</v>
      </c>
      <c r="C33" s="35" t="s">
        <v>158</v>
      </c>
      <c r="D33" s="35" t="s">
        <v>111</v>
      </c>
      <c r="E33" s="34" t="n">
        <v>9000</v>
      </c>
      <c r="F33" s="34" t="n">
        <v>8447</v>
      </c>
      <c r="G33" s="34" t="n">
        <v>7719</v>
      </c>
      <c r="H33" s="34" t="n">
        <v>13412.22</v>
      </c>
      <c r="I33" s="36" t="n">
        <f aca="false">$E33/F33-1</f>
        <v>0.0654670297146915</v>
      </c>
      <c r="J33" s="36" t="n">
        <f aca="false">$E33/G33-1</f>
        <v>0.165954139137194</v>
      </c>
      <c r="K33" s="36" t="n">
        <f aca="false">$E33/H33-1</f>
        <v>-0.328970148118656</v>
      </c>
      <c r="L33" s="37" t="n">
        <v>25.38</v>
      </c>
      <c r="M33" s="37" t="n">
        <v>0.25</v>
      </c>
      <c r="N33" s="34" t="n">
        <v>16522.3</v>
      </c>
      <c r="O33" s="34" t="n">
        <v>6839</v>
      </c>
      <c r="P33" s="38"/>
      <c r="Q33" s="38"/>
    </row>
    <row r="34" customFormat="false" ht="15" hidden="false" customHeight="false" outlineLevel="0" collapsed="false">
      <c r="A34" s="34" t="n">
        <v>26</v>
      </c>
      <c r="B34" s="35" t="s">
        <v>159</v>
      </c>
      <c r="C34" s="35" t="s">
        <v>160</v>
      </c>
      <c r="D34" s="35" t="s">
        <v>111</v>
      </c>
      <c r="E34" s="34" t="n">
        <v>18500</v>
      </c>
      <c r="F34" s="34" t="n">
        <v>18100</v>
      </c>
      <c r="G34" s="34" t="n">
        <v>20000</v>
      </c>
      <c r="H34" s="34" t="n">
        <v>14733.56</v>
      </c>
      <c r="I34" s="36" t="n">
        <f aca="false">$E34/F34-1</f>
        <v>0.0220994475138121</v>
      </c>
      <c r="J34" s="36" t="n">
        <f aca="false">$E34/G34-1</f>
        <v>-0.075</v>
      </c>
      <c r="K34" s="36" t="n">
        <f aca="false">$E34/H34-1</f>
        <v>0.255636791108191</v>
      </c>
      <c r="L34" s="37" t="n">
        <v>8.21</v>
      </c>
      <c r="M34" s="37" t="n">
        <v>0.51</v>
      </c>
      <c r="N34" s="34" t="n">
        <v>37744.56</v>
      </c>
      <c r="O34" s="34" t="n">
        <v>11833.87</v>
      </c>
      <c r="P34" s="38"/>
      <c r="Q34" s="38"/>
    </row>
    <row r="35" customFormat="false" ht="15" hidden="false" customHeight="false" outlineLevel="0" collapsed="false">
      <c r="A35" s="34" t="n">
        <v>27</v>
      </c>
      <c r="B35" s="35" t="s">
        <v>161</v>
      </c>
      <c r="C35" s="35" t="s">
        <v>162</v>
      </c>
      <c r="D35" s="35" t="s">
        <v>111</v>
      </c>
      <c r="E35" s="34" t="n">
        <v>26000</v>
      </c>
      <c r="F35" s="34" t="n">
        <v>26400</v>
      </c>
      <c r="G35" s="34" t="n">
        <v>25500</v>
      </c>
      <c r="H35" s="34" t="n">
        <v>17751.7</v>
      </c>
      <c r="I35" s="36" t="n">
        <f aca="false">$E35/F35-1</f>
        <v>-0.0151515151515151</v>
      </c>
      <c r="J35" s="36" t="n">
        <f aca="false">$E35/G35-1</f>
        <v>0.0196078431372548</v>
      </c>
      <c r="K35" s="36" t="n">
        <f aca="false">$E35/H35-1</f>
        <v>0.464648456204194</v>
      </c>
      <c r="L35" s="37" t="n">
        <v>12.45</v>
      </c>
      <c r="M35" s="37" t="n">
        <v>1.35</v>
      </c>
      <c r="N35" s="34" t="n">
        <v>26400</v>
      </c>
      <c r="O35" s="34" t="n">
        <v>15415.95</v>
      </c>
      <c r="P35" s="38"/>
      <c r="Q35" s="38"/>
    </row>
    <row r="36" customFormat="false" ht="15" hidden="false" customHeight="false" outlineLevel="0" collapsed="false">
      <c r="A36" s="34" t="n">
        <v>28</v>
      </c>
      <c r="B36" s="35" t="s">
        <v>163</v>
      </c>
      <c r="C36" s="35" t="s">
        <v>164</v>
      </c>
      <c r="D36" s="35" t="s">
        <v>111</v>
      </c>
      <c r="E36" s="34" t="n">
        <v>3000</v>
      </c>
      <c r="F36" s="34" t="n">
        <v>3000</v>
      </c>
      <c r="G36" s="34" t="n">
        <v>3000</v>
      </c>
      <c r="H36" s="34" t="n">
        <v>3000</v>
      </c>
      <c r="I36" s="36" t="n">
        <f aca="false">$E36/F36-1</f>
        <v>0</v>
      </c>
      <c r="J36" s="36" t="n">
        <f aca="false">$E36/G36-1</f>
        <v>0</v>
      </c>
      <c r="K36" s="36" t="n">
        <f aca="false">$E36/H36-1</f>
        <v>0</v>
      </c>
      <c r="L36" s="37" t="n">
        <v>1.09</v>
      </c>
      <c r="M36" s="37" t="n">
        <v>0.2</v>
      </c>
      <c r="N36" s="34" t="n">
        <v>3000</v>
      </c>
      <c r="O36" s="34" t="n">
        <v>2965.46</v>
      </c>
      <c r="P36" s="38"/>
      <c r="Q36" s="38"/>
    </row>
    <row r="37" customFormat="false" ht="15" hidden="false" customHeight="false" outlineLevel="0" collapsed="false">
      <c r="A37" s="34" t="n">
        <v>29</v>
      </c>
      <c r="B37" s="35" t="s">
        <v>165</v>
      </c>
      <c r="C37" s="35" t="s">
        <v>166</v>
      </c>
      <c r="D37" s="35" t="s">
        <v>111</v>
      </c>
      <c r="E37" s="34" t="n">
        <v>8100</v>
      </c>
      <c r="F37" s="34" t="n">
        <v>8100</v>
      </c>
      <c r="G37" s="34" t="n">
        <v>8100</v>
      </c>
      <c r="H37" s="34" t="n">
        <v>7600</v>
      </c>
      <c r="I37" s="36" t="n">
        <f aca="false">$E37/F37-1</f>
        <v>0</v>
      </c>
      <c r="J37" s="36" t="n">
        <f aca="false">$E37/G37-1</f>
        <v>0</v>
      </c>
      <c r="K37" s="36" t="n">
        <f aca="false">$E37/H37-1</f>
        <v>0.0657894736842106</v>
      </c>
      <c r="L37" s="37" t="n">
        <v>-5.86</v>
      </c>
      <c r="M37" s="37" t="n">
        <v>0.62</v>
      </c>
      <c r="N37" s="34" t="n">
        <v>10300</v>
      </c>
      <c r="O37" s="34" t="n">
        <v>7600</v>
      </c>
      <c r="P37" s="38"/>
      <c r="Q37" s="38"/>
    </row>
    <row r="38" customFormat="false" ht="15" hidden="false" customHeight="false" outlineLevel="0" collapsed="false">
      <c r="A38" s="34" t="n">
        <v>30</v>
      </c>
      <c r="B38" s="35" t="s">
        <v>167</v>
      </c>
      <c r="C38" s="35" t="s">
        <v>168</v>
      </c>
      <c r="D38" s="35" t="s">
        <v>133</v>
      </c>
      <c r="E38" s="34" t="n">
        <v>35600</v>
      </c>
      <c r="F38" s="34" t="n">
        <v>36700</v>
      </c>
      <c r="G38" s="34" t="n">
        <v>35700</v>
      </c>
      <c r="H38" s="34" t="n">
        <v>39788.24</v>
      </c>
      <c r="I38" s="36" t="n">
        <f aca="false">$E38/F38-1</f>
        <v>-0.0299727520435967</v>
      </c>
      <c r="J38" s="36" t="n">
        <f aca="false">$E38/G38-1</f>
        <v>-0.00280112044817926</v>
      </c>
      <c r="K38" s="36" t="n">
        <f aca="false">$E38/H38-1</f>
        <v>-0.105263263718124</v>
      </c>
      <c r="L38" s="37" t="n">
        <v>7.25</v>
      </c>
      <c r="M38" s="37" t="n">
        <v>1.14</v>
      </c>
      <c r="N38" s="34" t="n">
        <v>45580.8</v>
      </c>
      <c r="O38" s="34" t="n">
        <v>35100</v>
      </c>
      <c r="P38" s="38"/>
      <c r="Q38" s="38"/>
    </row>
    <row r="39" customFormat="false" ht="15" hidden="false" customHeight="false" outlineLevel="0" collapsed="false">
      <c r="A39" s="34" t="n">
        <v>31</v>
      </c>
      <c r="B39" s="35" t="s">
        <v>169</v>
      </c>
      <c r="C39" s="35" t="s">
        <v>170</v>
      </c>
      <c r="D39" s="35" t="s">
        <v>111</v>
      </c>
      <c r="E39" s="34" t="n">
        <v>13000</v>
      </c>
      <c r="F39" s="34" t="n">
        <v>13000</v>
      </c>
      <c r="G39" s="34" t="n">
        <v>12400</v>
      </c>
      <c r="H39" s="34" t="n">
        <v>13483</v>
      </c>
      <c r="I39" s="36" t="n">
        <f aca="false">$E39/F39-1</f>
        <v>0</v>
      </c>
      <c r="J39" s="36" t="n">
        <f aca="false">$E39/G39-1</f>
        <v>0.0483870967741935</v>
      </c>
      <c r="K39" s="36" t="n">
        <f aca="false">$E39/H39-1</f>
        <v>-0.0358228880812875</v>
      </c>
      <c r="L39" s="37" t="n">
        <v>10.89</v>
      </c>
      <c r="M39" s="37" t="n">
        <v>1.15</v>
      </c>
      <c r="N39" s="34" t="n">
        <v>34800</v>
      </c>
      <c r="O39" s="34" t="n">
        <v>10700</v>
      </c>
      <c r="P39" s="38"/>
      <c r="Q39" s="38"/>
    </row>
    <row r="40" customFormat="false" ht="15" hidden="false" customHeight="false" outlineLevel="0" collapsed="false">
      <c r="A40" s="34" t="n">
        <v>32</v>
      </c>
      <c r="B40" s="35" t="s">
        <v>171</v>
      </c>
      <c r="C40" s="35" t="s">
        <v>172</v>
      </c>
      <c r="D40" s="35" t="s">
        <v>133</v>
      </c>
      <c r="E40" s="34" t="n">
        <v>12500</v>
      </c>
      <c r="F40" s="34" t="n">
        <v>10740.44</v>
      </c>
      <c r="G40" s="34" t="n">
        <v>11758.93</v>
      </c>
      <c r="H40" s="34" t="n">
        <v>11944.11</v>
      </c>
      <c r="I40" s="36" t="n">
        <f aca="false">$E40/F40-1</f>
        <v>0.163825690567612</v>
      </c>
      <c r="J40" s="36" t="n">
        <f aca="false">$E40/G40-1</f>
        <v>0.0630218905971887</v>
      </c>
      <c r="K40" s="36" t="n">
        <f aca="false">$E40/H40-1</f>
        <v>0.0465409310530462</v>
      </c>
      <c r="L40" s="37" t="n">
        <v>9.19</v>
      </c>
      <c r="M40" s="37" t="n">
        <v>0.67</v>
      </c>
      <c r="N40" s="34" t="n">
        <v>14536.63</v>
      </c>
      <c r="O40" s="34" t="n">
        <v>9073.82</v>
      </c>
      <c r="P40" s="38"/>
      <c r="Q40" s="38"/>
    </row>
    <row r="41" customFormat="false" ht="15" hidden="false" customHeight="false" outlineLevel="0" collapsed="false">
      <c r="A41" s="34" t="n">
        <v>33</v>
      </c>
      <c r="B41" s="35" t="s">
        <v>173</v>
      </c>
      <c r="C41" s="35" t="s">
        <v>174</v>
      </c>
      <c r="D41" s="35" t="s">
        <v>133</v>
      </c>
      <c r="E41" s="34" t="n">
        <v>12000</v>
      </c>
      <c r="F41" s="34" t="n">
        <v>12100</v>
      </c>
      <c r="G41" s="34" t="n">
        <v>13200</v>
      </c>
      <c r="H41" s="34" t="n">
        <v>20000</v>
      </c>
      <c r="I41" s="36" t="n">
        <f aca="false">$E41/F41-1</f>
        <v>-0.00826446280991733</v>
      </c>
      <c r="J41" s="36" t="n">
        <f aca="false">$E41/G41-1</f>
        <v>-0.0909090909090909</v>
      </c>
      <c r="K41" s="36" t="n">
        <f aca="false">$E41/H41-1</f>
        <v>-0.4</v>
      </c>
      <c r="L41" s="37" t="n">
        <v>33.2</v>
      </c>
      <c r="M41" s="37" t="n">
        <v>0.65</v>
      </c>
      <c r="N41" s="34" t="n">
        <v>20000</v>
      </c>
      <c r="O41" s="34" t="n">
        <v>11100</v>
      </c>
      <c r="P41" s="38"/>
      <c r="Q41" s="38"/>
    </row>
    <row r="42" customFormat="false" ht="15" hidden="false" customHeight="false" outlineLevel="0" collapsed="false">
      <c r="A42" s="34" t="n">
        <v>34</v>
      </c>
      <c r="B42" s="35" t="s">
        <v>175</v>
      </c>
      <c r="C42" s="35" t="s">
        <v>176</v>
      </c>
      <c r="D42" s="35" t="s">
        <v>111</v>
      </c>
      <c r="E42" s="34" t="n">
        <v>7920</v>
      </c>
      <c r="F42" s="34" t="n">
        <v>8100</v>
      </c>
      <c r="G42" s="34" t="n">
        <v>7900</v>
      </c>
      <c r="H42" s="34" t="n">
        <v>9070</v>
      </c>
      <c r="I42" s="36" t="n">
        <f aca="false">$E42/F42-1</f>
        <v>-0.0222222222222223</v>
      </c>
      <c r="J42" s="36" t="n">
        <f aca="false">$E42/G42-1</f>
        <v>0.00253164556962027</v>
      </c>
      <c r="K42" s="36" t="n">
        <f aca="false">$E42/H42-1</f>
        <v>-0.126791620727674</v>
      </c>
      <c r="L42" s="37" t="n">
        <v>18.32</v>
      </c>
      <c r="M42" s="37" t="n">
        <v>0.5</v>
      </c>
      <c r="N42" s="34" t="n">
        <v>10200</v>
      </c>
      <c r="O42" s="34" t="n">
        <v>7500</v>
      </c>
      <c r="P42" s="38"/>
      <c r="Q42" s="38"/>
    </row>
    <row r="43" customFormat="false" ht="15" hidden="false" customHeight="false" outlineLevel="0" collapsed="false">
      <c r="A43" s="34" t="n">
        <v>35</v>
      </c>
      <c r="B43" s="35" t="s">
        <v>177</v>
      </c>
      <c r="C43" s="35" t="s">
        <v>178</v>
      </c>
      <c r="D43" s="35" t="s">
        <v>116</v>
      </c>
      <c r="E43" s="34" t="n">
        <v>13600</v>
      </c>
      <c r="F43" s="34" t="n">
        <v>13450</v>
      </c>
      <c r="G43" s="34" t="n">
        <v>13800</v>
      </c>
      <c r="H43" s="34" t="n">
        <v>17300</v>
      </c>
      <c r="I43" s="36" t="n">
        <f aca="false">$E43/F43-1</f>
        <v>0.0111524163568772</v>
      </c>
      <c r="J43" s="36" t="n">
        <f aca="false">$E43/G43-1</f>
        <v>-0.0144927536231884</v>
      </c>
      <c r="K43" s="36" t="n">
        <f aca="false">$E43/H43-1</f>
        <v>-0.213872832369942</v>
      </c>
      <c r="L43" s="37" t="n">
        <v>6.86</v>
      </c>
      <c r="M43" s="37" t="n">
        <v>0.66</v>
      </c>
      <c r="N43" s="34" t="n">
        <v>20950</v>
      </c>
      <c r="O43" s="34" t="n">
        <v>12600</v>
      </c>
      <c r="P43" s="38"/>
      <c r="Q43" s="38"/>
    </row>
    <row r="44" customFormat="false" ht="15" hidden="false" customHeight="false" outlineLevel="0" collapsed="false">
      <c r="A44" s="34" t="n">
        <v>36</v>
      </c>
      <c r="B44" s="35" t="s">
        <v>179</v>
      </c>
      <c r="C44" s="35" t="s">
        <v>180</v>
      </c>
      <c r="D44" s="35" t="s">
        <v>116</v>
      </c>
      <c r="E44" s="34" t="n">
        <v>21250</v>
      </c>
      <c r="F44" s="34" t="n">
        <v>21250</v>
      </c>
      <c r="G44" s="34" t="n">
        <v>22800</v>
      </c>
      <c r="H44" s="34" t="n">
        <v>22800</v>
      </c>
      <c r="I44" s="36" t="n">
        <f aca="false">$E44/F44-1</f>
        <v>0</v>
      </c>
      <c r="J44" s="36" t="n">
        <f aca="false">$E44/G44-1</f>
        <v>-0.0679824561403509</v>
      </c>
      <c r="K44" s="36" t="n">
        <f aca="false">$E44/H44-1</f>
        <v>-0.0679824561403509</v>
      </c>
      <c r="L44" s="37" t="n">
        <v>10</v>
      </c>
      <c r="M44" s="37" t="n">
        <v>1.26</v>
      </c>
      <c r="N44" s="34" t="n">
        <v>31595.52</v>
      </c>
      <c r="O44" s="34" t="n">
        <v>20300</v>
      </c>
      <c r="P44" s="38"/>
      <c r="Q44" s="38"/>
    </row>
    <row r="45" customFormat="false" ht="15" hidden="false" customHeight="false" outlineLevel="0" collapsed="false">
      <c r="A45" s="34" t="n">
        <v>37</v>
      </c>
      <c r="B45" s="35" t="s">
        <v>181</v>
      </c>
      <c r="C45" s="35" t="s">
        <v>182</v>
      </c>
      <c r="D45" s="35" t="s">
        <v>133</v>
      </c>
      <c r="E45" s="34" t="n">
        <v>18800</v>
      </c>
      <c r="F45" s="34" t="n">
        <v>19200</v>
      </c>
      <c r="G45" s="34" t="n">
        <v>24800</v>
      </c>
      <c r="H45" s="34" t="n">
        <v>34000</v>
      </c>
      <c r="I45" s="36" t="n">
        <f aca="false">$E45/F45-1</f>
        <v>-0.0208333333333334</v>
      </c>
      <c r="J45" s="36" t="n">
        <f aca="false">$E45/G45-1</f>
        <v>-0.241935483870968</v>
      </c>
      <c r="K45" s="36" t="n">
        <f aca="false">$E45/H45-1</f>
        <v>-0.447058823529412</v>
      </c>
      <c r="L45" s="37" t="n">
        <v>8.5</v>
      </c>
      <c r="M45" s="37" t="n">
        <v>0.82</v>
      </c>
      <c r="N45" s="34" t="n">
        <v>42000</v>
      </c>
      <c r="O45" s="34" t="n">
        <v>18500</v>
      </c>
      <c r="P45" s="38"/>
      <c r="Q45" s="38"/>
    </row>
    <row r="46" customFormat="false" ht="15" hidden="false" customHeight="false" outlineLevel="0" collapsed="false">
      <c r="A46" s="34" t="n">
        <v>38</v>
      </c>
      <c r="B46" s="35" t="s">
        <v>183</v>
      </c>
      <c r="C46" s="35" t="s">
        <v>184</v>
      </c>
      <c r="D46" s="35" t="s">
        <v>111</v>
      </c>
      <c r="E46" s="34" t="n">
        <v>8500</v>
      </c>
      <c r="F46" s="34" t="n">
        <v>8600</v>
      </c>
      <c r="G46" s="34" t="n">
        <v>8400</v>
      </c>
      <c r="H46" s="34" t="n">
        <v>10000</v>
      </c>
      <c r="I46" s="36" t="n">
        <f aca="false">$E46/F46-1</f>
        <v>-0.0116279069767442</v>
      </c>
      <c r="J46" s="36" t="n">
        <f aca="false">$E46/G46-1</f>
        <v>0.0119047619047619</v>
      </c>
      <c r="K46" s="36" t="n">
        <f aca="false">$E46/H46-1</f>
        <v>-0.15</v>
      </c>
      <c r="L46" s="37" t="n">
        <v>49.56</v>
      </c>
      <c r="M46" s="37" t="n">
        <v>0.74</v>
      </c>
      <c r="N46" s="34" t="n">
        <v>11351</v>
      </c>
      <c r="O46" s="34" t="n">
        <v>8000</v>
      </c>
      <c r="P46" s="38"/>
      <c r="Q46" s="38"/>
    </row>
    <row r="47" customFormat="false" ht="15" hidden="false" customHeight="false" outlineLevel="0" collapsed="false">
      <c r="A47" s="34" t="n">
        <v>39</v>
      </c>
      <c r="B47" s="35" t="s">
        <v>185</v>
      </c>
      <c r="C47" s="35" t="s">
        <v>186</v>
      </c>
      <c r="D47" s="35" t="s">
        <v>116</v>
      </c>
      <c r="E47" s="34" t="n">
        <v>23450</v>
      </c>
      <c r="F47" s="34" t="n">
        <v>21000</v>
      </c>
      <c r="G47" s="34" t="n">
        <v>16900</v>
      </c>
      <c r="H47" s="34" t="n">
        <v>18750</v>
      </c>
      <c r="I47" s="36" t="n">
        <f aca="false">$E47/F47-1</f>
        <v>0.116666666666667</v>
      </c>
      <c r="J47" s="36" t="n">
        <f aca="false">$E47/G47-1</f>
        <v>0.387573964497042</v>
      </c>
      <c r="K47" s="36" t="n">
        <f aca="false">$E47/H47-1</f>
        <v>0.250666666666667</v>
      </c>
      <c r="L47" s="37" t="n">
        <v>10.04</v>
      </c>
      <c r="M47" s="37" t="n">
        <v>1.36</v>
      </c>
      <c r="N47" s="34" t="n">
        <v>23450</v>
      </c>
      <c r="O47" s="34" t="n">
        <v>16900</v>
      </c>
      <c r="P47" s="38"/>
      <c r="Q47" s="38"/>
    </row>
    <row r="48" customFormat="false" ht="15" hidden="false" customHeight="false" outlineLevel="0" collapsed="false">
      <c r="A48" s="34" t="n">
        <v>40</v>
      </c>
      <c r="B48" s="35" t="s">
        <v>187</v>
      </c>
      <c r="C48" s="35" t="s">
        <v>188</v>
      </c>
      <c r="D48" s="35" t="s">
        <v>116</v>
      </c>
      <c r="E48" s="34" t="n">
        <v>16900</v>
      </c>
      <c r="F48" s="34" t="n">
        <v>16700</v>
      </c>
      <c r="G48" s="34" t="n">
        <v>17500</v>
      </c>
      <c r="H48" s="34" t="n">
        <v>17750</v>
      </c>
      <c r="I48" s="36" t="n">
        <f aca="false">$E48/F48-1</f>
        <v>0.0119760479041917</v>
      </c>
      <c r="J48" s="36" t="n">
        <f aca="false">$E48/G48-1</f>
        <v>-0.0342857142857143</v>
      </c>
      <c r="K48" s="36" t="n">
        <f aca="false">$E48/H48-1</f>
        <v>-0.047887323943662</v>
      </c>
      <c r="L48" s="37" t="n">
        <v>10.68</v>
      </c>
      <c r="M48" s="37" t="n">
        <v>1.28</v>
      </c>
      <c r="N48" s="34" t="n">
        <v>20300</v>
      </c>
      <c r="O48" s="34" t="n">
        <v>15200</v>
      </c>
      <c r="P48" s="38"/>
      <c r="Q48" s="38"/>
    </row>
    <row r="49" customFormat="false" ht="15" hidden="false" customHeight="false" outlineLevel="0" collapsed="false">
      <c r="A49" s="34" t="n">
        <v>41</v>
      </c>
      <c r="B49" s="35" t="s">
        <v>189</v>
      </c>
      <c r="C49" s="35" t="s">
        <v>190</v>
      </c>
      <c r="D49" s="35" t="s">
        <v>111</v>
      </c>
      <c r="E49" s="34" t="n">
        <v>9400</v>
      </c>
      <c r="F49" s="34" t="n">
        <v>8500</v>
      </c>
      <c r="G49" s="34" t="n">
        <v>7200</v>
      </c>
      <c r="H49" s="34" t="n">
        <v>7850</v>
      </c>
      <c r="I49" s="36" t="n">
        <f aca="false">$E49/F49-1</f>
        <v>0.105882352941177</v>
      </c>
      <c r="J49" s="36" t="n">
        <f aca="false">$E49/G49-1</f>
        <v>0.305555555555556</v>
      </c>
      <c r="K49" s="36" t="n">
        <f aca="false">$E49/H49-1</f>
        <v>0.197452229299363</v>
      </c>
      <c r="L49" s="37" t="n">
        <v>35.62</v>
      </c>
      <c r="M49" s="37" t="n">
        <v>0.77</v>
      </c>
      <c r="N49" s="34" t="n">
        <v>11000</v>
      </c>
      <c r="O49" s="34" t="n">
        <v>4700</v>
      </c>
      <c r="P49" s="38"/>
      <c r="Q49" s="38"/>
    </row>
    <row r="50" customFormat="false" ht="15" hidden="false" customHeight="false" outlineLevel="0" collapsed="false">
      <c r="A50" s="34" t="n">
        <v>42</v>
      </c>
      <c r="B50" s="35" t="s">
        <v>191</v>
      </c>
      <c r="C50" s="35" t="s">
        <v>192</v>
      </c>
      <c r="D50" s="35" t="s">
        <v>111</v>
      </c>
      <c r="E50" s="34" t="n">
        <v>11000</v>
      </c>
      <c r="F50" s="34" t="n">
        <v>11500</v>
      </c>
      <c r="G50" s="34" t="n">
        <v>11600</v>
      </c>
      <c r="H50" s="34" t="n">
        <v>10940</v>
      </c>
      <c r="I50" s="36" t="n">
        <f aca="false">$E50/F50-1</f>
        <v>-0.0434782608695652</v>
      </c>
      <c r="J50" s="36" t="n">
        <f aca="false">$E50/G50-1</f>
        <v>-0.0517241379310345</v>
      </c>
      <c r="K50" s="36" t="n">
        <f aca="false">$E50/H50-1</f>
        <v>0.00548446069469843</v>
      </c>
      <c r="L50" s="37" t="n">
        <v>15.8</v>
      </c>
      <c r="M50" s="37" t="n">
        <v>1.06</v>
      </c>
      <c r="N50" s="34" t="n">
        <v>14286</v>
      </c>
      <c r="O50" s="34" t="n">
        <v>8563.5</v>
      </c>
      <c r="P50" s="38"/>
      <c r="Q50" s="38"/>
    </row>
    <row r="51" customFormat="false" ht="15" hidden="false" customHeight="false" outlineLevel="0" collapsed="false">
      <c r="A51" s="34" t="n">
        <v>43</v>
      </c>
      <c r="B51" s="35" t="s">
        <v>193</v>
      </c>
      <c r="C51" s="35" t="s">
        <v>194</v>
      </c>
      <c r="D51" s="35" t="s">
        <v>116</v>
      </c>
      <c r="E51" s="34" t="n">
        <v>11250</v>
      </c>
      <c r="F51" s="34" t="n">
        <v>11450</v>
      </c>
      <c r="G51" s="34" t="n">
        <v>11650</v>
      </c>
      <c r="H51" s="34" t="n">
        <v>14250</v>
      </c>
      <c r="I51" s="36" t="n">
        <f aca="false">$E51/F51-1</f>
        <v>-0.017467248908297</v>
      </c>
      <c r="J51" s="36" t="n">
        <f aca="false">$E51/G51-1</f>
        <v>-0.0343347639484979</v>
      </c>
      <c r="K51" s="36" t="n">
        <f aca="false">$E51/H51-1</f>
        <v>-0.210526315789474</v>
      </c>
      <c r="L51" s="37" t="n">
        <v>3.17</v>
      </c>
      <c r="M51" s="37" t="n">
        <v>0.48</v>
      </c>
      <c r="N51" s="34" t="n">
        <v>21550</v>
      </c>
      <c r="O51" s="34" t="n">
        <v>10950</v>
      </c>
      <c r="P51" s="38"/>
      <c r="Q51" s="38"/>
    </row>
    <row r="52" customFormat="false" ht="15" hidden="false" customHeight="false" outlineLevel="0" collapsed="false">
      <c r="A52" s="34" t="n">
        <v>44</v>
      </c>
      <c r="B52" s="35" t="s">
        <v>195</v>
      </c>
      <c r="C52" s="35" t="s">
        <v>196</v>
      </c>
      <c r="D52" s="35" t="s">
        <v>111</v>
      </c>
      <c r="E52" s="34" t="n">
        <v>6300</v>
      </c>
      <c r="F52" s="34" t="n">
        <v>5700</v>
      </c>
      <c r="G52" s="34" t="n">
        <v>5500</v>
      </c>
      <c r="H52" s="34" t="n">
        <v>7393</v>
      </c>
      <c r="I52" s="36" t="n">
        <f aca="false">$E52/F52-1</f>
        <v>0.105263157894737</v>
      </c>
      <c r="J52" s="36" t="n">
        <f aca="false">$E52/G52-1</f>
        <v>0.145454545454546</v>
      </c>
      <c r="K52" s="36" t="n">
        <f aca="false">$E52/H52-1</f>
        <v>-0.147842553767077</v>
      </c>
      <c r="L52" s="37" t="n">
        <v>7.33</v>
      </c>
      <c r="M52" s="37" t="n">
        <v>0.82</v>
      </c>
      <c r="N52" s="34" t="n">
        <v>9487</v>
      </c>
      <c r="O52" s="34" t="n">
        <v>3309</v>
      </c>
      <c r="P52" s="38"/>
      <c r="Q52" s="38"/>
    </row>
    <row r="53" customFormat="false" ht="15" hidden="false" customHeight="false" outlineLevel="0" collapsed="false">
      <c r="A53" s="34" t="n">
        <v>45</v>
      </c>
      <c r="B53" s="35" t="s">
        <v>197</v>
      </c>
      <c r="C53" s="35" t="s">
        <v>198</v>
      </c>
      <c r="D53" s="35" t="s">
        <v>133</v>
      </c>
      <c r="E53" s="34" t="n">
        <v>14000</v>
      </c>
      <c r="F53" s="34" t="n">
        <v>14000</v>
      </c>
      <c r="G53" s="34" t="n">
        <v>15000</v>
      </c>
      <c r="H53" s="34" t="n">
        <v>23100</v>
      </c>
      <c r="I53" s="36" t="n">
        <f aca="false">$E53/F53-1</f>
        <v>0</v>
      </c>
      <c r="J53" s="36" t="n">
        <f aca="false">$E53/G53-1</f>
        <v>-0.0666666666666667</v>
      </c>
      <c r="K53" s="36" t="n">
        <f aca="false">$E53/H53-1</f>
        <v>-0.393939393939394</v>
      </c>
      <c r="L53" s="37" t="n">
        <v>22.02</v>
      </c>
      <c r="M53" s="37" t="n">
        <v>1.18</v>
      </c>
      <c r="N53" s="34" t="n">
        <v>24800</v>
      </c>
      <c r="O53" s="34" t="n">
        <v>13400</v>
      </c>
      <c r="P53" s="38"/>
      <c r="Q53" s="38"/>
    </row>
    <row r="54" customFormat="false" ht="15" hidden="false" customHeight="false" outlineLevel="0" collapsed="false">
      <c r="A54" s="34" t="n">
        <v>46</v>
      </c>
      <c r="B54" s="35" t="s">
        <v>199</v>
      </c>
      <c r="C54" s="35" t="s">
        <v>200</v>
      </c>
      <c r="D54" s="35" t="s">
        <v>116</v>
      </c>
      <c r="E54" s="34" t="n">
        <v>7470</v>
      </c>
      <c r="F54" s="34" t="n">
        <v>7000</v>
      </c>
      <c r="G54" s="34" t="n">
        <v>6920</v>
      </c>
      <c r="H54" s="34" t="n">
        <v>8590</v>
      </c>
      <c r="I54" s="36" t="n">
        <f aca="false">$E54/F54-1</f>
        <v>0.0671428571428572</v>
      </c>
      <c r="J54" s="36" t="n">
        <f aca="false">$E54/G54-1</f>
        <v>0.0794797687861271</v>
      </c>
      <c r="K54" s="36" t="n">
        <f aca="false">$E54/H54-1</f>
        <v>-0.130384167636787</v>
      </c>
      <c r="L54" s="37" t="n">
        <v>68.24</v>
      </c>
      <c r="M54" s="37" t="n">
        <v>0.61</v>
      </c>
      <c r="N54" s="34" t="n">
        <v>11600</v>
      </c>
      <c r="O54" s="34" t="n">
        <v>6450</v>
      </c>
      <c r="P54" s="38"/>
      <c r="Q54" s="38"/>
    </row>
    <row r="55" customFormat="false" ht="15" hidden="false" customHeight="false" outlineLevel="0" collapsed="false">
      <c r="A55" s="34" t="n">
        <v>47</v>
      </c>
      <c r="B55" s="35" t="s">
        <v>201</v>
      </c>
      <c r="C55" s="35" t="s">
        <v>202</v>
      </c>
      <c r="D55" s="35" t="s">
        <v>116</v>
      </c>
      <c r="E55" s="34" t="n">
        <v>11700</v>
      </c>
      <c r="F55" s="34" t="n">
        <v>12500</v>
      </c>
      <c r="G55" s="34" t="n">
        <v>12000</v>
      </c>
      <c r="H55" s="34" t="n">
        <v>15000</v>
      </c>
      <c r="I55" s="36" t="n">
        <f aca="false">$E55/F55-1</f>
        <v>-0.064</v>
      </c>
      <c r="J55" s="36" t="n">
        <f aca="false">$E55/G55-1</f>
        <v>-0.025</v>
      </c>
      <c r="K55" s="36" t="n">
        <f aca="false">$E55/H55-1</f>
        <v>-0.22</v>
      </c>
      <c r="L55" s="37" t="n">
        <v>1387.9</v>
      </c>
      <c r="M55" s="37" t="n">
        <v>0.59</v>
      </c>
      <c r="N55" s="34" t="n">
        <v>15800</v>
      </c>
      <c r="O55" s="34" t="n">
        <v>11600</v>
      </c>
      <c r="P55" s="38"/>
      <c r="Q55" s="38"/>
    </row>
    <row r="56" customFormat="false" ht="15" hidden="false" customHeight="false" outlineLevel="0" collapsed="false">
      <c r="A56" s="34" t="n">
        <v>48</v>
      </c>
      <c r="B56" s="35" t="s">
        <v>203</v>
      </c>
      <c r="C56" s="35" t="s">
        <v>204</v>
      </c>
      <c r="D56" s="35" t="s">
        <v>111</v>
      </c>
      <c r="E56" s="34" t="n">
        <v>2840</v>
      </c>
      <c r="F56" s="34" t="n">
        <v>2938</v>
      </c>
      <c r="G56" s="34" t="n">
        <v>2800</v>
      </c>
      <c r="H56" s="34" t="n">
        <v>4800</v>
      </c>
      <c r="I56" s="36" t="n">
        <f aca="false">$E56/F56-1</f>
        <v>-0.033356024506467</v>
      </c>
      <c r="J56" s="36" t="n">
        <f aca="false">$E56/G56-1</f>
        <v>0.0142857142857142</v>
      </c>
      <c r="K56" s="36" t="n">
        <f aca="false">$E56/H56-1</f>
        <v>-0.408333333333333</v>
      </c>
      <c r="L56" s="37" t="n">
        <v>57.58</v>
      </c>
      <c r="M56" s="37" t="n">
        <v>0.31</v>
      </c>
      <c r="N56" s="34" t="n">
        <v>6322</v>
      </c>
      <c r="O56" s="34" t="n">
        <v>2775</v>
      </c>
      <c r="P56" s="38"/>
      <c r="Q56" s="38"/>
    </row>
    <row r="57" customFormat="false" ht="15" hidden="false" customHeight="false" outlineLevel="0" collapsed="false">
      <c r="A57" s="34" t="n">
        <v>49</v>
      </c>
      <c r="B57" s="35" t="s">
        <v>205</v>
      </c>
      <c r="C57" s="35" t="s">
        <v>206</v>
      </c>
      <c r="D57" s="35" t="s">
        <v>111</v>
      </c>
      <c r="E57" s="34" t="n">
        <v>1000</v>
      </c>
      <c r="F57" s="34" t="n">
        <v>1000</v>
      </c>
      <c r="G57" s="34" t="n">
        <v>1000</v>
      </c>
      <c r="H57" s="34" t="n">
        <v>1700</v>
      </c>
      <c r="I57" s="36" t="n">
        <f aca="false">$E57/F57-1</f>
        <v>0</v>
      </c>
      <c r="J57" s="36" t="n">
        <f aca="false">$E57/G57-1</f>
        <v>0</v>
      </c>
      <c r="K57" s="36" t="n">
        <f aca="false">$E57/H57-1</f>
        <v>-0.411764705882353</v>
      </c>
      <c r="L57" s="37" t="n">
        <v>1.83</v>
      </c>
      <c r="M57" s="37" t="n">
        <v>0.09</v>
      </c>
      <c r="N57" s="34" t="n">
        <v>2100</v>
      </c>
      <c r="O57" s="34" t="n">
        <v>1000</v>
      </c>
      <c r="P57" s="38"/>
      <c r="Q57" s="38"/>
    </row>
    <row r="58" customFormat="false" ht="15" hidden="false" customHeight="false" outlineLevel="0" collapsed="false">
      <c r="A58" s="34" t="n">
        <v>50</v>
      </c>
      <c r="B58" s="35" t="s">
        <v>207</v>
      </c>
      <c r="C58" s="35" t="s">
        <v>208</v>
      </c>
      <c r="D58" s="35" t="s">
        <v>133</v>
      </c>
      <c r="E58" s="34" t="n">
        <v>4800</v>
      </c>
      <c r="F58" s="34" t="n">
        <v>4900</v>
      </c>
      <c r="G58" s="34" t="n">
        <v>5600</v>
      </c>
      <c r="H58" s="34" t="n">
        <v>6700</v>
      </c>
      <c r="I58" s="36" t="n">
        <f aca="false">$E58/F58-1</f>
        <v>-0.0204081632653061</v>
      </c>
      <c r="J58" s="36" t="n">
        <f aca="false">$E58/G58-1</f>
        <v>-0.142857142857143</v>
      </c>
      <c r="K58" s="36" t="n">
        <f aca="false">$E58/H58-1</f>
        <v>-0.283582089552239</v>
      </c>
      <c r="L58" s="37" t="n">
        <v>768.89</v>
      </c>
      <c r="M58" s="37" t="n">
        <v>0.37</v>
      </c>
      <c r="N58" s="34" t="n">
        <v>8600</v>
      </c>
      <c r="O58" s="34" t="n">
        <v>4200</v>
      </c>
      <c r="P58" s="38"/>
      <c r="Q58" s="38"/>
    </row>
    <row r="59" customFormat="false" ht="15" hidden="false" customHeight="false" outlineLevel="0" collapsed="false">
      <c r="A59" s="34" t="n">
        <v>51</v>
      </c>
      <c r="B59" s="35" t="s">
        <v>209</v>
      </c>
      <c r="C59" s="35" t="s">
        <v>210</v>
      </c>
      <c r="D59" s="35" t="s">
        <v>116</v>
      </c>
      <c r="E59" s="34" t="n">
        <v>2890</v>
      </c>
      <c r="F59" s="34" t="n">
        <v>2950</v>
      </c>
      <c r="G59" s="34" t="n">
        <v>3140</v>
      </c>
      <c r="H59" s="34" t="n">
        <v>3930</v>
      </c>
      <c r="I59" s="36" t="n">
        <f aca="false">$E59/F59-1</f>
        <v>-0.0203389830508475</v>
      </c>
      <c r="J59" s="36" t="n">
        <f aca="false">$E59/G59-1</f>
        <v>-0.0796178343949044</v>
      </c>
      <c r="K59" s="36" t="n">
        <f aca="false">$E59/H59-1</f>
        <v>-0.264631043256998</v>
      </c>
      <c r="L59" s="37" t="n">
        <v>21.29</v>
      </c>
      <c r="M59" s="37" t="n">
        <v>0.25</v>
      </c>
      <c r="N59" s="34" t="n">
        <v>6070</v>
      </c>
      <c r="O59" s="34" t="n">
        <v>2850</v>
      </c>
      <c r="P59" s="38"/>
      <c r="Q59" s="38"/>
    </row>
    <row r="60" customFormat="false" ht="15" hidden="false" customHeight="false" outlineLevel="0" collapsed="false">
      <c r="A60" s="34" t="n">
        <v>52</v>
      </c>
      <c r="B60" s="35" t="s">
        <v>211</v>
      </c>
      <c r="C60" s="35" t="s">
        <v>212</v>
      </c>
      <c r="D60" s="35" t="s">
        <v>111</v>
      </c>
      <c r="E60" s="34" t="n">
        <v>8000</v>
      </c>
      <c r="F60" s="34" t="n">
        <v>9100</v>
      </c>
      <c r="G60" s="34" t="n">
        <v>10300</v>
      </c>
      <c r="H60" s="34" t="n">
        <v>9040</v>
      </c>
      <c r="I60" s="36" t="n">
        <f aca="false">$E60/F60-1</f>
        <v>-0.120879120879121</v>
      </c>
      <c r="J60" s="36" t="n">
        <f aca="false">$E60/G60-1</f>
        <v>-0.223300970873786</v>
      </c>
      <c r="K60" s="36" t="n">
        <f aca="false">$E60/H60-1</f>
        <v>-0.115044247787611</v>
      </c>
      <c r="L60" s="37" t="n">
        <v>-19.89</v>
      </c>
      <c r="M60" s="37" t="n">
        <v>0.68</v>
      </c>
      <c r="N60" s="34" t="n">
        <v>13900</v>
      </c>
      <c r="O60" s="34" t="n">
        <v>8000</v>
      </c>
      <c r="P60" s="38"/>
      <c r="Q60" s="38"/>
    </row>
    <row r="61" customFormat="false" ht="15" hidden="false" customHeight="false" outlineLevel="0" collapsed="false">
      <c r="A61" s="34" t="n">
        <v>53</v>
      </c>
      <c r="B61" s="35" t="s">
        <v>213</v>
      </c>
      <c r="C61" s="35" t="s">
        <v>214</v>
      </c>
      <c r="D61" s="35" t="s">
        <v>116</v>
      </c>
      <c r="E61" s="34" t="n">
        <v>3600</v>
      </c>
      <c r="F61" s="34" t="n">
        <v>3600</v>
      </c>
      <c r="G61" s="34" t="n">
        <v>3640</v>
      </c>
      <c r="H61" s="34" t="n">
        <v>3870.26</v>
      </c>
      <c r="I61" s="36" t="n">
        <f aca="false">$E61/F61-1</f>
        <v>0</v>
      </c>
      <c r="J61" s="36" t="n">
        <f aca="false">$E61/G61-1</f>
        <v>-0.010989010989011</v>
      </c>
      <c r="K61" s="36" t="n">
        <f aca="false">$E61/H61-1</f>
        <v>-0.0698299339062493</v>
      </c>
      <c r="L61" s="37" t="n">
        <v>10.2</v>
      </c>
      <c r="M61" s="37" t="n">
        <v>0.33</v>
      </c>
      <c r="N61" s="34" t="n">
        <v>5138.74</v>
      </c>
      <c r="O61" s="34" t="n">
        <v>3270</v>
      </c>
      <c r="P61" s="38"/>
      <c r="Q61" s="38"/>
    </row>
    <row r="62" customFormat="false" ht="15" hidden="false" customHeight="false" outlineLevel="0" collapsed="false">
      <c r="A62" s="34" t="n">
        <v>54</v>
      </c>
      <c r="B62" s="35" t="s">
        <v>215</v>
      </c>
      <c r="C62" s="35" t="s">
        <v>216</v>
      </c>
      <c r="D62" s="35" t="s">
        <v>111</v>
      </c>
      <c r="E62" s="34" t="n">
        <v>4500</v>
      </c>
      <c r="F62" s="34" t="n">
        <v>4500</v>
      </c>
      <c r="G62" s="34" t="n">
        <v>5000</v>
      </c>
      <c r="H62" s="34" t="n">
        <v>3300</v>
      </c>
      <c r="I62" s="36" t="n">
        <f aca="false">$E62/F62-1</f>
        <v>0</v>
      </c>
      <c r="J62" s="36" t="n">
        <f aca="false">$E62/G62-1</f>
        <v>-0.1</v>
      </c>
      <c r="K62" s="36" t="n">
        <f aca="false">$E62/H62-1</f>
        <v>0.363636363636364</v>
      </c>
      <c r="L62" s="37" t="n">
        <v>-5.62</v>
      </c>
      <c r="M62" s="37" t="n">
        <v>0.52</v>
      </c>
      <c r="N62" s="34" t="n">
        <v>5806</v>
      </c>
      <c r="O62" s="34" t="n">
        <v>3100</v>
      </c>
      <c r="P62" s="38"/>
      <c r="Q62" s="38"/>
    </row>
    <row r="63" customFormat="false" ht="15" hidden="false" customHeight="false" outlineLevel="0" collapsed="false">
      <c r="A63" s="34" t="n">
        <v>55</v>
      </c>
      <c r="B63" s="35" t="s">
        <v>82</v>
      </c>
      <c r="C63" s="35" t="s">
        <v>217</v>
      </c>
      <c r="D63" s="35" t="s">
        <v>116</v>
      </c>
      <c r="E63" s="34" t="n">
        <v>22200</v>
      </c>
      <c r="F63" s="34" t="n">
        <v>22200</v>
      </c>
      <c r="G63" s="34" t="n">
        <v>25650</v>
      </c>
      <c r="H63" s="34" t="n">
        <v>29874.5</v>
      </c>
      <c r="I63" s="36" t="n">
        <f aca="false">$E63/F63-1</f>
        <v>0</v>
      </c>
      <c r="J63" s="36" t="n">
        <f aca="false">$E63/G63-1</f>
        <v>-0.134502923976608</v>
      </c>
      <c r="K63" s="36" t="n">
        <f aca="false">$E63/H63-1</f>
        <v>-0.256891328725167</v>
      </c>
      <c r="L63" s="37" t="n">
        <v>15.77</v>
      </c>
      <c r="M63" s="37" t="n">
        <v>0.86</v>
      </c>
      <c r="N63" s="34" t="n">
        <v>42252.15</v>
      </c>
      <c r="O63" s="34" t="n">
        <v>20000</v>
      </c>
      <c r="P63" s="38" t="n">
        <v>21.32</v>
      </c>
      <c r="Q63" s="38" t="n">
        <v>1.58</v>
      </c>
    </row>
    <row r="64" customFormat="false" ht="15" hidden="false" customHeight="false" outlineLevel="0" collapsed="false">
      <c r="A64" s="34" t="n">
        <v>56</v>
      </c>
      <c r="B64" s="35" t="s">
        <v>38</v>
      </c>
      <c r="C64" s="35" t="s">
        <v>218</v>
      </c>
      <c r="D64" s="35" t="s">
        <v>116</v>
      </c>
      <c r="E64" s="34" t="n">
        <v>11900</v>
      </c>
      <c r="F64" s="34" t="n">
        <v>11450</v>
      </c>
      <c r="G64" s="34" t="n">
        <v>14300</v>
      </c>
      <c r="H64" s="34" t="n">
        <v>18800</v>
      </c>
      <c r="I64" s="36" t="n">
        <f aca="false">$E64/F64-1</f>
        <v>0.0393013100436681</v>
      </c>
      <c r="J64" s="36" t="n">
        <f aca="false">$E64/G64-1</f>
        <v>-0.167832167832168</v>
      </c>
      <c r="K64" s="36" t="n">
        <f aca="false">$E64/H64-1</f>
        <v>-0.367021276595745</v>
      </c>
      <c r="L64" s="37" t="n">
        <v>19.22</v>
      </c>
      <c r="M64" s="37" t="n">
        <v>0.94</v>
      </c>
      <c r="N64" s="34" t="n">
        <v>26300</v>
      </c>
      <c r="O64" s="34" t="n">
        <v>11150</v>
      </c>
      <c r="P64" s="38" t="n">
        <v>27.94</v>
      </c>
      <c r="Q64" s="38" t="n">
        <v>1.79</v>
      </c>
    </row>
    <row r="65" customFormat="false" ht="15" hidden="false" customHeight="false" outlineLevel="0" collapsed="false">
      <c r="A65" s="34" t="n">
        <v>57</v>
      </c>
      <c r="B65" s="35" t="s">
        <v>219</v>
      </c>
      <c r="C65" s="35" t="s">
        <v>220</v>
      </c>
      <c r="D65" s="35" t="s">
        <v>111</v>
      </c>
      <c r="E65" s="34" t="n">
        <v>35075</v>
      </c>
      <c r="F65" s="34" t="n">
        <v>32497</v>
      </c>
      <c r="G65" s="34" t="n">
        <v>33565</v>
      </c>
      <c r="H65" s="34" t="n">
        <v>32297</v>
      </c>
      <c r="I65" s="36" t="n">
        <f aca="false">$E65/F65-1</f>
        <v>0.0793303997292059</v>
      </c>
      <c r="J65" s="36" t="n">
        <f aca="false">$E65/G65-1</f>
        <v>0.0449873380008938</v>
      </c>
      <c r="K65" s="36" t="n">
        <f aca="false">$E65/H65-1</f>
        <v>0.0860141808836734</v>
      </c>
      <c r="L65" s="37" t="n">
        <v>46.35</v>
      </c>
      <c r="M65" s="37" t="n">
        <v>2.86</v>
      </c>
      <c r="N65" s="34" t="n">
        <v>38833</v>
      </c>
      <c r="O65" s="34" t="n">
        <v>19870</v>
      </c>
      <c r="P65" s="38"/>
      <c r="Q65" s="38"/>
    </row>
    <row r="66" customFormat="false" ht="15" hidden="false" customHeight="false" outlineLevel="0" collapsed="false">
      <c r="A66" s="34" t="n">
        <v>58</v>
      </c>
      <c r="B66" s="35" t="s">
        <v>221</v>
      </c>
      <c r="C66" s="35" t="s">
        <v>222</v>
      </c>
      <c r="D66" s="35" t="s">
        <v>111</v>
      </c>
      <c r="E66" s="34" t="n">
        <v>400</v>
      </c>
      <c r="F66" s="34" t="n">
        <v>400</v>
      </c>
      <c r="G66" s="34" t="n">
        <v>400</v>
      </c>
      <c r="H66" s="34" t="n">
        <v>400</v>
      </c>
      <c r="I66" s="36" t="n">
        <f aca="false">$E66/F66-1</f>
        <v>0</v>
      </c>
      <c r="J66" s="36" t="n">
        <f aca="false">$E66/G66-1</f>
        <v>0</v>
      </c>
      <c r="K66" s="36" t="n">
        <f aca="false">$E66/H66-1</f>
        <v>0</v>
      </c>
      <c r="L66" s="37" t="n">
        <v>-5.72</v>
      </c>
      <c r="M66" s="37" t="n">
        <v>-0.13</v>
      </c>
      <c r="N66" s="34" t="n">
        <v>400</v>
      </c>
      <c r="O66" s="34" t="n">
        <v>400</v>
      </c>
      <c r="P66" s="38"/>
      <c r="Q66" s="38"/>
    </row>
    <row r="67" customFormat="false" ht="15" hidden="false" customHeight="false" outlineLevel="0" collapsed="false">
      <c r="A67" s="34" t="n">
        <v>59</v>
      </c>
      <c r="B67" s="35" t="s">
        <v>26</v>
      </c>
      <c r="C67" s="35" t="s">
        <v>223</v>
      </c>
      <c r="D67" s="35" t="s">
        <v>116</v>
      </c>
      <c r="E67" s="34" t="n">
        <v>38600</v>
      </c>
      <c r="F67" s="34" t="n">
        <v>35700</v>
      </c>
      <c r="G67" s="34" t="n">
        <v>50700</v>
      </c>
      <c r="H67" s="34" t="n">
        <v>60749.4</v>
      </c>
      <c r="I67" s="36" t="n">
        <f aca="false">$E67/F67-1</f>
        <v>0.0812324929971988</v>
      </c>
      <c r="J67" s="36" t="n">
        <f aca="false">$E67/G67-1</f>
        <v>-0.238658777120316</v>
      </c>
      <c r="K67" s="36" t="n">
        <f aca="false">$E67/H67-1</f>
        <v>-0.364602777969824</v>
      </c>
      <c r="L67" s="37" t="n">
        <v>18.68</v>
      </c>
      <c r="M67" s="37" t="n">
        <v>1.83</v>
      </c>
      <c r="N67" s="34" t="n">
        <v>78640</v>
      </c>
      <c r="O67" s="34" t="n">
        <v>35000</v>
      </c>
      <c r="P67" s="38" t="n">
        <v>28.87</v>
      </c>
      <c r="Q67" s="38" t="n">
        <v>3.735</v>
      </c>
    </row>
    <row r="68" customFormat="false" ht="15" hidden="false" customHeight="false" outlineLevel="0" collapsed="false">
      <c r="A68" s="34" t="n">
        <v>60</v>
      </c>
      <c r="B68" s="35" t="s">
        <v>44</v>
      </c>
      <c r="C68" s="35" t="s">
        <v>224</v>
      </c>
      <c r="D68" s="35" t="s">
        <v>116</v>
      </c>
      <c r="E68" s="34" t="n">
        <v>7420</v>
      </c>
      <c r="F68" s="34" t="n">
        <v>7180</v>
      </c>
      <c r="G68" s="34" t="n">
        <v>8630</v>
      </c>
      <c r="H68" s="34" t="n">
        <v>10186.7</v>
      </c>
      <c r="I68" s="36" t="n">
        <f aca="false">$E68/F68-1</f>
        <v>0.0334261838440111</v>
      </c>
      <c r="J68" s="36" t="n">
        <f aca="false">$E68/G68-1</f>
        <v>-0.140208574739282</v>
      </c>
      <c r="K68" s="36" t="n">
        <f aca="false">$E68/H68-1</f>
        <v>-0.271599242149077</v>
      </c>
      <c r="L68" s="37" t="n">
        <v>6.22</v>
      </c>
      <c r="M68" s="37" t="n">
        <v>0.59</v>
      </c>
      <c r="N68" s="34" t="n">
        <v>13455.92</v>
      </c>
      <c r="O68" s="34" t="n">
        <v>6690</v>
      </c>
      <c r="P68" s="38" t="n">
        <v>9.225</v>
      </c>
      <c r="Q68" s="38" t="n">
        <v>1.03</v>
      </c>
    </row>
    <row r="69" customFormat="false" ht="15" hidden="false" customHeight="false" outlineLevel="0" collapsed="false">
      <c r="A69" s="34" t="n">
        <v>61</v>
      </c>
      <c r="B69" s="35" t="s">
        <v>225</v>
      </c>
      <c r="C69" s="35" t="s">
        <v>226</v>
      </c>
      <c r="D69" s="35" t="s">
        <v>116</v>
      </c>
      <c r="E69" s="34" t="n">
        <v>7250</v>
      </c>
      <c r="F69" s="34" t="n">
        <v>7070</v>
      </c>
      <c r="G69" s="34" t="n">
        <v>9170</v>
      </c>
      <c r="H69" s="34" t="n">
        <v>10887.86</v>
      </c>
      <c r="I69" s="36" t="n">
        <f aca="false">$E69/F69-1</f>
        <v>0.0254596888260255</v>
      </c>
      <c r="J69" s="36" t="n">
        <f aca="false">$E69/G69-1</f>
        <v>-0.20937840785169</v>
      </c>
      <c r="K69" s="36" t="n">
        <f aca="false">$E69/H69-1</f>
        <v>-0.334120754675391</v>
      </c>
      <c r="L69" s="37" t="n">
        <v>4.21</v>
      </c>
      <c r="M69" s="37" t="n">
        <v>0.53</v>
      </c>
      <c r="N69" s="34" t="n">
        <v>13379.15</v>
      </c>
      <c r="O69" s="34" t="n">
        <v>6870</v>
      </c>
      <c r="P69" s="38"/>
      <c r="Q69" s="38"/>
    </row>
    <row r="70" customFormat="false" ht="15" hidden="false" customHeight="false" outlineLevel="0" collapsed="false">
      <c r="A70" s="34" t="n">
        <v>62</v>
      </c>
      <c r="B70" s="35" t="s">
        <v>227</v>
      </c>
      <c r="C70" s="35" t="s">
        <v>228</v>
      </c>
      <c r="D70" s="35" t="s">
        <v>111</v>
      </c>
      <c r="E70" s="34" t="n">
        <v>5907</v>
      </c>
      <c r="F70" s="34" t="n">
        <v>5914</v>
      </c>
      <c r="G70" s="34" t="n">
        <v>6700</v>
      </c>
      <c r="H70" s="34" t="n">
        <v>7272</v>
      </c>
      <c r="I70" s="36" t="n">
        <f aca="false">$E70/F70-1</f>
        <v>-0.00118363205951977</v>
      </c>
      <c r="J70" s="36" t="n">
        <f aca="false">$E70/G70-1</f>
        <v>-0.118358208955224</v>
      </c>
      <c r="K70" s="36" t="n">
        <f aca="false">$E70/H70-1</f>
        <v>-0.187706270627063</v>
      </c>
      <c r="L70" s="37" t="n">
        <v>-131.28</v>
      </c>
      <c r="M70" s="37" t="n">
        <v>0.44</v>
      </c>
      <c r="N70" s="34" t="n">
        <v>7631.25</v>
      </c>
      <c r="O70" s="34" t="n">
        <v>5813</v>
      </c>
      <c r="P70" s="38"/>
      <c r="Q70" s="38"/>
    </row>
    <row r="71" customFormat="false" ht="15" hidden="false" customHeight="false" outlineLevel="0" collapsed="false">
      <c r="A71" s="34" t="n">
        <v>63</v>
      </c>
      <c r="B71" s="35" t="s">
        <v>229</v>
      </c>
      <c r="C71" s="35" t="s">
        <v>230</v>
      </c>
      <c r="D71" s="35" t="s">
        <v>111</v>
      </c>
      <c r="E71" s="34" t="n">
        <v>3400</v>
      </c>
      <c r="F71" s="34" t="n">
        <v>3400</v>
      </c>
      <c r="G71" s="34" t="n">
        <v>3400</v>
      </c>
      <c r="H71" s="34" t="n">
        <v>3400</v>
      </c>
      <c r="I71" s="36" t="n">
        <f aca="false">$E71/F71-1</f>
        <v>0</v>
      </c>
      <c r="J71" s="36" t="n">
        <f aca="false">$E71/G71-1</f>
        <v>0</v>
      </c>
      <c r="K71" s="36" t="n">
        <f aca="false">$E71/H71-1</f>
        <v>0</v>
      </c>
      <c r="L71" s="37" t="n">
        <v>-1.22</v>
      </c>
      <c r="M71" s="37" t="n">
        <v>-0.1</v>
      </c>
      <c r="N71" s="34" t="n">
        <v>3400</v>
      </c>
      <c r="O71" s="34" t="n">
        <v>3400</v>
      </c>
      <c r="P71" s="38"/>
      <c r="Q71" s="38"/>
    </row>
    <row r="72" customFormat="false" ht="15" hidden="false" customHeight="false" outlineLevel="0" collapsed="false">
      <c r="A72" s="34" t="n">
        <v>64</v>
      </c>
      <c r="B72" s="35" t="s">
        <v>231</v>
      </c>
      <c r="C72" s="35" t="s">
        <v>232</v>
      </c>
      <c r="D72" s="35" t="s">
        <v>111</v>
      </c>
      <c r="E72" s="34" t="n">
        <v>36242</v>
      </c>
      <c r="F72" s="34" t="n">
        <v>35884</v>
      </c>
      <c r="G72" s="34" t="n">
        <v>36524</v>
      </c>
      <c r="H72" s="34" t="n">
        <v>42320.66</v>
      </c>
      <c r="I72" s="36" t="n">
        <f aca="false">$E72/F72-1</f>
        <v>0.00997659123843486</v>
      </c>
      <c r="J72" s="36" t="n">
        <f aca="false">$E72/G72-1</f>
        <v>-0.00772095060781952</v>
      </c>
      <c r="K72" s="36" t="n">
        <f aca="false">$E72/H72-1</f>
        <v>-0.143633393241032</v>
      </c>
      <c r="L72" s="37" t="n">
        <v>6.44</v>
      </c>
      <c r="M72" s="37" t="n">
        <v>1.5</v>
      </c>
      <c r="N72" s="34" t="n">
        <v>43112.68</v>
      </c>
      <c r="O72" s="34" t="n">
        <v>33175</v>
      </c>
      <c r="P72" s="38"/>
      <c r="Q72" s="38"/>
    </row>
    <row r="73" customFormat="false" ht="15" hidden="false" customHeight="false" outlineLevel="0" collapsed="false">
      <c r="A73" s="34" t="n">
        <v>65</v>
      </c>
      <c r="B73" s="35" t="s">
        <v>233</v>
      </c>
      <c r="C73" s="35" t="s">
        <v>234</v>
      </c>
      <c r="D73" s="35" t="s">
        <v>111</v>
      </c>
      <c r="E73" s="34" t="n">
        <v>900</v>
      </c>
      <c r="F73" s="34" t="n">
        <v>900</v>
      </c>
      <c r="G73" s="34" t="n">
        <v>900</v>
      </c>
      <c r="H73" s="34" t="n">
        <v>1200</v>
      </c>
      <c r="I73" s="36" t="n">
        <f aca="false">$E73/F73-1</f>
        <v>0</v>
      </c>
      <c r="J73" s="36" t="n">
        <f aca="false">$E73/G73-1</f>
        <v>0</v>
      </c>
      <c r="K73" s="36" t="n">
        <f aca="false">$E73/H73-1</f>
        <v>-0.25</v>
      </c>
      <c r="L73" s="37" t="n">
        <v>-79.95</v>
      </c>
      <c r="M73" s="37" t="n">
        <v>-0.05</v>
      </c>
      <c r="N73" s="34" t="n">
        <v>1600</v>
      </c>
      <c r="O73" s="34" t="n">
        <v>866</v>
      </c>
      <c r="P73" s="38"/>
      <c r="Q73" s="38"/>
    </row>
    <row r="74" customFormat="false" ht="15" hidden="false" customHeight="false" outlineLevel="0" collapsed="false">
      <c r="A74" s="34" t="n">
        <v>66</v>
      </c>
      <c r="B74" s="35" t="s">
        <v>235</v>
      </c>
      <c r="C74" s="35" t="s">
        <v>236</v>
      </c>
      <c r="D74" s="35" t="s">
        <v>133</v>
      </c>
      <c r="E74" s="34" t="n">
        <v>28000</v>
      </c>
      <c r="F74" s="34" t="n">
        <v>28100</v>
      </c>
      <c r="G74" s="34" t="n">
        <v>25700</v>
      </c>
      <c r="H74" s="34" t="n">
        <v>30500</v>
      </c>
      <c r="I74" s="36" t="n">
        <f aca="false">$E74/F74-1</f>
        <v>-0.00355871886120995</v>
      </c>
      <c r="J74" s="36" t="n">
        <f aca="false">$E74/G74-1</f>
        <v>0.0894941634241244</v>
      </c>
      <c r="K74" s="36" t="n">
        <f aca="false">$E74/H74-1</f>
        <v>-0.0819672131147541</v>
      </c>
      <c r="L74" s="37" t="n">
        <v>4.04</v>
      </c>
      <c r="M74" s="37" t="n">
        <v>1.38</v>
      </c>
      <c r="N74" s="34" t="n">
        <v>31500</v>
      </c>
      <c r="O74" s="34" t="n">
        <v>21685.8</v>
      </c>
      <c r="P74" s="38"/>
      <c r="Q74" s="38"/>
    </row>
    <row r="75" customFormat="false" ht="15" hidden="false" customHeight="false" outlineLevel="0" collapsed="false">
      <c r="A75" s="34" t="n">
        <v>67</v>
      </c>
      <c r="B75" s="35" t="s">
        <v>237</v>
      </c>
      <c r="C75" s="35" t="s">
        <v>238</v>
      </c>
      <c r="D75" s="35" t="s">
        <v>111</v>
      </c>
      <c r="E75" s="34" t="n">
        <v>18600</v>
      </c>
      <c r="F75" s="34" t="n">
        <v>17000</v>
      </c>
      <c r="G75" s="34" t="n">
        <v>18000</v>
      </c>
      <c r="H75" s="34" t="n">
        <v>16062</v>
      </c>
      <c r="I75" s="36" t="n">
        <f aca="false">$E75/F75-1</f>
        <v>0.0941176470588236</v>
      </c>
      <c r="J75" s="36" t="n">
        <f aca="false">$E75/G75-1</f>
        <v>0.0333333333333334</v>
      </c>
      <c r="K75" s="36" t="n">
        <f aca="false">$E75/H75-1</f>
        <v>0.15801270078446</v>
      </c>
      <c r="L75" s="37" t="n">
        <v>9.9</v>
      </c>
      <c r="M75" s="37" t="n">
        <v>0.63</v>
      </c>
      <c r="N75" s="34" t="n">
        <v>21900</v>
      </c>
      <c r="O75" s="34" t="n">
        <v>15100</v>
      </c>
      <c r="P75" s="38"/>
      <c r="Q75" s="38"/>
    </row>
    <row r="76" customFormat="false" ht="15" hidden="false" customHeight="false" outlineLevel="0" collapsed="false">
      <c r="A76" s="34" t="n">
        <v>68</v>
      </c>
      <c r="B76" s="35" t="s">
        <v>239</v>
      </c>
      <c r="C76" s="35" t="s">
        <v>240</v>
      </c>
      <c r="D76" s="35" t="s">
        <v>116</v>
      </c>
      <c r="E76" s="34" t="n">
        <v>3060</v>
      </c>
      <c r="F76" s="34" t="n">
        <v>3076.65</v>
      </c>
      <c r="G76" s="34" t="n">
        <v>3231.45</v>
      </c>
      <c r="H76" s="34" t="n">
        <v>3304.12</v>
      </c>
      <c r="I76" s="36" t="n">
        <f aca="false">$E76/F76-1</f>
        <v>-0.00541173029106334</v>
      </c>
      <c r="J76" s="36" t="n">
        <f aca="false">$E76/G76-1</f>
        <v>-0.0530566773429884</v>
      </c>
      <c r="K76" s="36" t="n">
        <f aca="false">$E76/H76-1</f>
        <v>-0.0738835151265692</v>
      </c>
      <c r="L76" s="37" t="n">
        <v>8.05</v>
      </c>
      <c r="M76" s="37" t="n">
        <v>0.26</v>
      </c>
      <c r="N76" s="34" t="n">
        <v>4018.77</v>
      </c>
      <c r="O76" s="34" t="n">
        <v>2970.22</v>
      </c>
      <c r="P76" s="38"/>
      <c r="Q76" s="38"/>
    </row>
    <row r="77" customFormat="false" ht="15" hidden="false" customHeight="false" outlineLevel="0" collapsed="false">
      <c r="A77" s="34" t="n">
        <v>69</v>
      </c>
      <c r="B77" s="35" t="s">
        <v>241</v>
      </c>
      <c r="C77" s="35" t="s">
        <v>242</v>
      </c>
      <c r="D77" s="35" t="s">
        <v>111</v>
      </c>
      <c r="E77" s="34" t="n">
        <v>9800</v>
      </c>
      <c r="F77" s="34" t="n">
        <v>9889</v>
      </c>
      <c r="G77" s="34" t="n">
        <v>10000</v>
      </c>
      <c r="H77" s="34" t="n">
        <v>9934</v>
      </c>
      <c r="I77" s="36" t="n">
        <f aca="false">$E77/F77-1</f>
        <v>-0.00899989887754071</v>
      </c>
      <c r="J77" s="36" t="n">
        <f aca="false">$E77/G77-1</f>
        <v>-0.02</v>
      </c>
      <c r="K77" s="36" t="n">
        <f aca="false">$E77/H77-1</f>
        <v>-0.0134890275820415</v>
      </c>
      <c r="L77" s="37" t="n">
        <v>16.79</v>
      </c>
      <c r="M77" s="37" t="n">
        <v>0.77</v>
      </c>
      <c r="N77" s="34" t="n">
        <v>10546</v>
      </c>
      <c r="O77" s="34" t="n">
        <v>6418</v>
      </c>
      <c r="P77" s="38"/>
      <c r="Q77" s="38"/>
    </row>
    <row r="78" customFormat="false" ht="15" hidden="false" customHeight="false" outlineLevel="0" collapsed="false">
      <c r="A78" s="34" t="n">
        <v>70</v>
      </c>
      <c r="B78" s="35" t="s">
        <v>243</v>
      </c>
      <c r="C78" s="35" t="s">
        <v>244</v>
      </c>
      <c r="D78" s="35" t="s">
        <v>111</v>
      </c>
      <c r="E78" s="34" t="n">
        <v>58000</v>
      </c>
      <c r="F78" s="34" t="n">
        <v>47400</v>
      </c>
      <c r="G78" s="34" t="n">
        <v>47400</v>
      </c>
      <c r="H78" s="34" t="n">
        <v>47550</v>
      </c>
      <c r="I78" s="36" t="n">
        <f aca="false">$E78/F78-1</f>
        <v>0.223628691983122</v>
      </c>
      <c r="J78" s="36" t="n">
        <f aca="false">$E78/G78-1</f>
        <v>0.223628691983122</v>
      </c>
      <c r="K78" s="36" t="n">
        <f aca="false">$E78/H78-1</f>
        <v>0.219768664563617</v>
      </c>
      <c r="L78" s="37" t="n">
        <v>8</v>
      </c>
      <c r="M78" s="37" t="n">
        <v>2.92</v>
      </c>
      <c r="N78" s="34" t="n">
        <v>64002.3</v>
      </c>
      <c r="O78" s="34" t="n">
        <v>34734.32</v>
      </c>
      <c r="P78" s="38"/>
      <c r="Q78" s="38"/>
    </row>
    <row r="79" customFormat="false" ht="15" hidden="false" customHeight="false" outlineLevel="0" collapsed="false">
      <c r="A79" s="34" t="n">
        <v>71</v>
      </c>
      <c r="B79" s="35" t="s">
        <v>245</v>
      </c>
      <c r="C79" s="35" t="s">
        <v>246</v>
      </c>
      <c r="D79" s="35" t="s">
        <v>111</v>
      </c>
      <c r="E79" s="34" t="n">
        <v>12300</v>
      </c>
      <c r="F79" s="34" t="n">
        <v>12300</v>
      </c>
      <c r="G79" s="34" t="n">
        <v>12000</v>
      </c>
      <c r="H79" s="34" t="n">
        <v>11761.4</v>
      </c>
      <c r="I79" s="36" t="n">
        <f aca="false">$E79/F79-1</f>
        <v>0</v>
      </c>
      <c r="J79" s="36" t="n">
        <f aca="false">$E79/G79-1</f>
        <v>0.0249999999999999</v>
      </c>
      <c r="K79" s="36" t="n">
        <f aca="false">$E79/H79-1</f>
        <v>0.0457938680769296</v>
      </c>
      <c r="L79" s="37" t="n">
        <v>9.42</v>
      </c>
      <c r="M79" s="37" t="n">
        <v>1.01</v>
      </c>
      <c r="N79" s="34" t="n">
        <v>17642.1</v>
      </c>
      <c r="O79" s="34" t="n">
        <v>10101.52</v>
      </c>
      <c r="P79" s="38"/>
      <c r="Q79" s="38"/>
    </row>
    <row r="80" customFormat="false" ht="15" hidden="false" customHeight="false" outlineLevel="0" collapsed="false">
      <c r="A80" s="34" t="n">
        <v>72</v>
      </c>
      <c r="B80" s="35" t="s">
        <v>247</v>
      </c>
      <c r="C80" s="35" t="s">
        <v>248</v>
      </c>
      <c r="D80" s="35" t="s">
        <v>133</v>
      </c>
      <c r="E80" s="34" t="n">
        <v>296000</v>
      </c>
      <c r="F80" s="34" t="n">
        <v>300000</v>
      </c>
      <c r="G80" s="34" t="n">
        <v>305000</v>
      </c>
      <c r="H80" s="34" t="n">
        <v>279200</v>
      </c>
      <c r="I80" s="36" t="n">
        <f aca="false">$E80/F80-1</f>
        <v>-0.0133333333333333</v>
      </c>
      <c r="J80" s="36" t="n">
        <f aca="false">$E80/G80-1</f>
        <v>-0.0295081967213114</v>
      </c>
      <c r="K80" s="36" t="n">
        <f aca="false">$E80/H80-1</f>
        <v>0.0601719197707737</v>
      </c>
      <c r="L80" s="37" t="n">
        <v>10.74</v>
      </c>
      <c r="M80" s="37" t="n">
        <v>2.89</v>
      </c>
      <c r="N80" s="34" t="n">
        <v>355000</v>
      </c>
      <c r="O80" s="34" t="n">
        <v>260000</v>
      </c>
      <c r="P80" s="38"/>
      <c r="Q80" s="38"/>
    </row>
    <row r="81" customFormat="false" ht="15" hidden="false" customHeight="false" outlineLevel="0" collapsed="false">
      <c r="A81" s="34" t="n">
        <v>73</v>
      </c>
      <c r="B81" s="35" t="s">
        <v>249</v>
      </c>
      <c r="C81" s="35" t="s">
        <v>250</v>
      </c>
      <c r="D81" s="35" t="s">
        <v>111</v>
      </c>
      <c r="E81" s="34" t="n">
        <v>99600</v>
      </c>
      <c r="F81" s="34" t="n">
        <v>95000</v>
      </c>
      <c r="G81" s="34" t="n">
        <v>99900</v>
      </c>
      <c r="H81" s="34" t="n">
        <v>42818.03</v>
      </c>
      <c r="I81" s="36" t="n">
        <f aca="false">$E81/F81-1</f>
        <v>0.0484210526315789</v>
      </c>
      <c r="J81" s="36" t="n">
        <f aca="false">$E81/G81-1</f>
        <v>-0.00300300300300305</v>
      </c>
      <c r="K81" s="36" t="n">
        <f aca="false">$E81/H81-1</f>
        <v>1.3261228972935</v>
      </c>
      <c r="L81" s="37" t="n">
        <v>36.36</v>
      </c>
      <c r="M81" s="37" t="n">
        <v>8.99</v>
      </c>
      <c r="N81" s="34" t="n">
        <v>120668</v>
      </c>
      <c r="O81" s="34" t="n">
        <v>36868.37</v>
      </c>
      <c r="P81" s="38"/>
      <c r="Q81" s="38"/>
    </row>
    <row r="82" customFormat="false" ht="15" hidden="false" customHeight="false" outlineLevel="0" collapsed="false">
      <c r="A82" s="34" t="n">
        <v>74</v>
      </c>
      <c r="B82" s="35" t="s">
        <v>251</v>
      </c>
      <c r="C82" s="35" t="s">
        <v>252</v>
      </c>
      <c r="D82" s="35" t="s">
        <v>133</v>
      </c>
      <c r="E82" s="34" t="n">
        <v>7300</v>
      </c>
      <c r="F82" s="34" t="n">
        <v>7100</v>
      </c>
      <c r="G82" s="34" t="n">
        <v>8200</v>
      </c>
      <c r="H82" s="34" t="n">
        <v>9025</v>
      </c>
      <c r="I82" s="36" t="n">
        <f aca="false">$E82/F82-1</f>
        <v>0.028169014084507</v>
      </c>
      <c r="J82" s="36" t="n">
        <f aca="false">$E82/G82-1</f>
        <v>-0.109756097560976</v>
      </c>
      <c r="K82" s="36" t="n">
        <f aca="false">$E82/H82-1</f>
        <v>-0.191135734072022</v>
      </c>
      <c r="L82" s="37" t="n">
        <v>30.46</v>
      </c>
      <c r="M82" s="37" t="n">
        <v>0.66</v>
      </c>
      <c r="N82" s="34" t="n">
        <v>12730</v>
      </c>
      <c r="O82" s="34" t="n">
        <v>7100</v>
      </c>
      <c r="P82" s="38"/>
      <c r="Q82" s="38"/>
    </row>
    <row r="83" customFormat="false" ht="15" hidden="false" customHeight="false" outlineLevel="0" collapsed="false">
      <c r="A83" s="34" t="n">
        <v>75</v>
      </c>
      <c r="B83" s="35" t="s">
        <v>253</v>
      </c>
      <c r="C83" s="35" t="s">
        <v>254</v>
      </c>
      <c r="D83" s="35" t="s">
        <v>111</v>
      </c>
      <c r="E83" s="34" t="n">
        <v>18810</v>
      </c>
      <c r="F83" s="34" t="n">
        <v>18791</v>
      </c>
      <c r="G83" s="34" t="n">
        <v>19282</v>
      </c>
      <c r="H83" s="34" t="n">
        <v>20390</v>
      </c>
      <c r="I83" s="36" t="n">
        <f aca="false">$E83/F83-1</f>
        <v>0.00101112234580381</v>
      </c>
      <c r="J83" s="36" t="n">
        <f aca="false">$E83/G83-1</f>
        <v>-0.0244787885074163</v>
      </c>
      <c r="K83" s="36" t="n">
        <f aca="false">$E83/H83-1</f>
        <v>-0.0774889651790093</v>
      </c>
      <c r="L83" s="37" t="n">
        <v>6.57</v>
      </c>
      <c r="M83" s="37" t="n">
        <v>1.02</v>
      </c>
      <c r="N83" s="34" t="n">
        <v>22160.44</v>
      </c>
      <c r="O83" s="34" t="n">
        <v>18438</v>
      </c>
      <c r="P83" s="38"/>
      <c r="Q83" s="38"/>
    </row>
    <row r="84" customFormat="false" ht="15" hidden="false" customHeight="false" outlineLevel="0" collapsed="false">
      <c r="A84" s="34" t="n">
        <v>76</v>
      </c>
      <c r="B84" s="35" t="s">
        <v>255</v>
      </c>
      <c r="C84" s="35" t="s">
        <v>256</v>
      </c>
      <c r="D84" s="35" t="s">
        <v>111</v>
      </c>
      <c r="E84" s="34" t="n">
        <v>6263</v>
      </c>
      <c r="F84" s="34" t="n">
        <v>5700</v>
      </c>
      <c r="G84" s="34" t="n">
        <v>5800</v>
      </c>
      <c r="H84" s="34"/>
      <c r="I84" s="36" t="n">
        <f aca="false">$E84/F84-1</f>
        <v>0.0987719298245615</v>
      </c>
      <c r="J84" s="36" t="n">
        <f aca="false">$E84/G84-1</f>
        <v>0.0798275862068965</v>
      </c>
      <c r="K84" s="36" t="e">
        <f aca="false">$E84/H84-1</f>
        <v>#DIV/0!</v>
      </c>
      <c r="L84" s="37" t="n">
        <v>24.23</v>
      </c>
      <c r="M84" s="37" t="n">
        <v>0.47</v>
      </c>
      <c r="N84" s="34"/>
      <c r="O84" s="34"/>
      <c r="P84" s="38"/>
      <c r="Q84" s="38"/>
    </row>
    <row r="85" customFormat="false" ht="15" hidden="false" customHeight="false" outlineLevel="0" collapsed="false">
      <c r="A85" s="34" t="n">
        <v>77</v>
      </c>
      <c r="B85" s="35" t="s">
        <v>257</v>
      </c>
      <c r="C85" s="35" t="s">
        <v>258</v>
      </c>
      <c r="D85" s="35" t="s">
        <v>133</v>
      </c>
      <c r="E85" s="34" t="n">
        <v>13400</v>
      </c>
      <c r="F85" s="34" t="n">
        <v>13400</v>
      </c>
      <c r="G85" s="34" t="n">
        <v>13400</v>
      </c>
      <c r="H85" s="34" t="n">
        <v>14500</v>
      </c>
      <c r="I85" s="36" t="n">
        <f aca="false">$E85/F85-1</f>
        <v>0</v>
      </c>
      <c r="J85" s="36" t="n">
        <f aca="false">$E85/G85-1</f>
        <v>0</v>
      </c>
      <c r="K85" s="36" t="n">
        <f aca="false">$E85/H85-1</f>
        <v>-0.0758620689655173</v>
      </c>
      <c r="L85" s="37" t="n">
        <v>6.18</v>
      </c>
      <c r="M85" s="37" t="n">
        <v>0.69</v>
      </c>
      <c r="N85" s="34" t="n">
        <v>15700</v>
      </c>
      <c r="O85" s="34" t="n">
        <v>13000</v>
      </c>
      <c r="P85" s="38"/>
      <c r="Q85" s="38"/>
    </row>
    <row r="86" customFormat="false" ht="15" hidden="false" customHeight="false" outlineLevel="0" collapsed="false">
      <c r="A86" s="34" t="n">
        <v>78</v>
      </c>
      <c r="B86" s="35" t="s">
        <v>259</v>
      </c>
      <c r="C86" s="35" t="s">
        <v>260</v>
      </c>
      <c r="D86" s="35" t="s">
        <v>111</v>
      </c>
      <c r="E86" s="34" t="n">
        <v>7900</v>
      </c>
      <c r="F86" s="34" t="n">
        <v>6900</v>
      </c>
      <c r="G86" s="34" t="n">
        <v>6400</v>
      </c>
      <c r="H86" s="34" t="n">
        <v>7000</v>
      </c>
      <c r="I86" s="36" t="n">
        <f aca="false">$E86/F86-1</f>
        <v>0.144927536231884</v>
      </c>
      <c r="J86" s="36" t="n">
        <f aca="false">$E86/G86-1</f>
        <v>0.234375</v>
      </c>
      <c r="K86" s="36" t="n">
        <f aca="false">$E86/H86-1</f>
        <v>0.128571428571429</v>
      </c>
      <c r="L86" s="37" t="n">
        <v>23.36</v>
      </c>
      <c r="M86" s="37" t="n">
        <v>0.47</v>
      </c>
      <c r="N86" s="34" t="n">
        <v>9300</v>
      </c>
      <c r="O86" s="34" t="n">
        <v>5700</v>
      </c>
      <c r="P86" s="38"/>
      <c r="Q86" s="38"/>
    </row>
    <row r="87" customFormat="false" ht="15" hidden="false" customHeight="false" outlineLevel="0" collapsed="false">
      <c r="A87" s="34" t="n">
        <v>79</v>
      </c>
      <c r="B87" s="35" t="s">
        <v>261</v>
      </c>
      <c r="C87" s="35" t="s">
        <v>262</v>
      </c>
      <c r="D87" s="35" t="s">
        <v>111</v>
      </c>
      <c r="E87" s="34" t="n">
        <v>28900</v>
      </c>
      <c r="F87" s="34" t="n">
        <v>28900</v>
      </c>
      <c r="G87" s="34" t="n">
        <v>28900</v>
      </c>
      <c r="H87" s="34" t="n">
        <v>24002.5</v>
      </c>
      <c r="I87" s="36" t="n">
        <f aca="false">$E87/F87-1</f>
        <v>0</v>
      </c>
      <c r="J87" s="36" t="n">
        <f aca="false">$E87/G87-1</f>
        <v>0</v>
      </c>
      <c r="K87" s="36" t="n">
        <f aca="false">$E87/H87-1</f>
        <v>0.204041245703573</v>
      </c>
      <c r="L87" s="37"/>
      <c r="M87" s="37"/>
      <c r="N87" s="34"/>
      <c r="O87" s="34"/>
      <c r="P87" s="38"/>
      <c r="Q87" s="38"/>
    </row>
    <row r="88" customFormat="false" ht="15" hidden="false" customHeight="false" outlineLevel="0" collapsed="false">
      <c r="A88" s="34" t="n">
        <v>80</v>
      </c>
      <c r="B88" s="35" t="s">
        <v>263</v>
      </c>
      <c r="C88" s="35" t="s">
        <v>264</v>
      </c>
      <c r="D88" s="35" t="s">
        <v>111</v>
      </c>
      <c r="E88" s="34" t="n">
        <v>12000</v>
      </c>
      <c r="F88" s="34" t="n">
        <v>12000</v>
      </c>
      <c r="G88" s="34" t="n">
        <v>13100</v>
      </c>
      <c r="H88" s="34" t="n">
        <v>11041.26</v>
      </c>
      <c r="I88" s="36" t="n">
        <f aca="false">$E88/F88-1</f>
        <v>0</v>
      </c>
      <c r="J88" s="36" t="n">
        <f aca="false">$E88/G88-1</f>
        <v>-0.083969465648855</v>
      </c>
      <c r="K88" s="36" t="n">
        <f aca="false">$E88/H88-1</f>
        <v>0.0868324810755294</v>
      </c>
      <c r="L88" s="37" t="n">
        <v>9.86</v>
      </c>
      <c r="M88" s="37" t="n">
        <v>0.95</v>
      </c>
      <c r="N88" s="34" t="n">
        <v>15064.77</v>
      </c>
      <c r="O88" s="34" t="n">
        <v>9357</v>
      </c>
      <c r="P88" s="38"/>
      <c r="Q88" s="38"/>
    </row>
    <row r="89" customFormat="false" ht="15" hidden="false" customHeight="false" outlineLevel="0" collapsed="false">
      <c r="A89" s="34" t="n">
        <v>81</v>
      </c>
      <c r="B89" s="35" t="s">
        <v>265</v>
      </c>
      <c r="C89" s="35" t="s">
        <v>266</v>
      </c>
      <c r="D89" s="35" t="s">
        <v>111</v>
      </c>
      <c r="E89" s="34" t="n">
        <v>7500</v>
      </c>
      <c r="F89" s="34" t="n">
        <v>7500</v>
      </c>
      <c r="G89" s="34" t="n">
        <v>8600</v>
      </c>
      <c r="H89" s="34" t="n">
        <v>9437.47</v>
      </c>
      <c r="I89" s="36" t="n">
        <f aca="false">$E89/F89-1</f>
        <v>0</v>
      </c>
      <c r="J89" s="36" t="n">
        <f aca="false">$E89/G89-1</f>
        <v>-0.127906976744186</v>
      </c>
      <c r="K89" s="36" t="n">
        <f aca="false">$E89/H89-1</f>
        <v>-0.205295487032012</v>
      </c>
      <c r="L89" s="37" t="n">
        <v>11.48</v>
      </c>
      <c r="M89" s="37" t="n">
        <v>0.6</v>
      </c>
      <c r="N89" s="34" t="n">
        <v>9441.32</v>
      </c>
      <c r="O89" s="34" t="n">
        <v>5828.57</v>
      </c>
      <c r="P89" s="38"/>
      <c r="Q89" s="38"/>
    </row>
    <row r="90" customFormat="false" ht="15" hidden="false" customHeight="false" outlineLevel="0" collapsed="false">
      <c r="A90" s="34" t="n">
        <v>82</v>
      </c>
      <c r="B90" s="35" t="s">
        <v>267</v>
      </c>
      <c r="C90" s="35" t="s">
        <v>268</v>
      </c>
      <c r="D90" s="35" t="s">
        <v>111</v>
      </c>
      <c r="E90" s="34" t="n">
        <v>3566</v>
      </c>
      <c r="F90" s="34" t="n">
        <v>3600</v>
      </c>
      <c r="G90" s="34" t="n">
        <v>3900</v>
      </c>
      <c r="H90" s="34" t="n">
        <v>4700</v>
      </c>
      <c r="I90" s="36" t="n">
        <f aca="false">$E90/F90-1</f>
        <v>-0.00944444444444448</v>
      </c>
      <c r="J90" s="36" t="n">
        <f aca="false">$E90/G90-1</f>
        <v>-0.0856410256410256</v>
      </c>
      <c r="K90" s="36" t="n">
        <f aca="false">$E90/H90-1</f>
        <v>-0.241276595744681</v>
      </c>
      <c r="L90" s="37" t="n">
        <v>406.29</v>
      </c>
      <c r="M90" s="37" t="n">
        <v>0.78</v>
      </c>
      <c r="N90" s="34" t="n">
        <v>5100</v>
      </c>
      <c r="O90" s="34" t="n">
        <v>3350</v>
      </c>
      <c r="P90" s="38"/>
      <c r="Q90" s="38"/>
    </row>
    <row r="91" customFormat="false" ht="15" hidden="false" customHeight="false" outlineLevel="0" collapsed="false">
      <c r="A91" s="34" t="n">
        <v>83</v>
      </c>
      <c r="B91" s="35" t="s">
        <v>269</v>
      </c>
      <c r="C91" s="35" t="s">
        <v>270</v>
      </c>
      <c r="D91" s="35" t="s">
        <v>111</v>
      </c>
      <c r="E91" s="34" t="n">
        <v>4700</v>
      </c>
      <c r="F91" s="34" t="n">
        <v>4100</v>
      </c>
      <c r="G91" s="34" t="n">
        <v>4800</v>
      </c>
      <c r="H91" s="34" t="n">
        <v>4795</v>
      </c>
      <c r="I91" s="36" t="n">
        <f aca="false">$E91/F91-1</f>
        <v>0.146341463414634</v>
      </c>
      <c r="J91" s="36" t="n">
        <f aca="false">$E91/G91-1</f>
        <v>-0.0208333333333334</v>
      </c>
      <c r="K91" s="36" t="n">
        <f aca="false">$E91/H91-1</f>
        <v>-0.0198123044838373</v>
      </c>
      <c r="L91" s="37" t="n">
        <v>87.61</v>
      </c>
      <c r="M91" s="37" t="n">
        <v>0.32</v>
      </c>
      <c r="N91" s="34" t="n">
        <v>6341</v>
      </c>
      <c r="O91" s="34" t="n">
        <v>3848</v>
      </c>
      <c r="P91" s="38"/>
      <c r="Q91" s="38"/>
    </row>
    <row r="92" customFormat="false" ht="15" hidden="false" customHeight="false" outlineLevel="0" collapsed="false">
      <c r="A92" s="34" t="n">
        <v>84</v>
      </c>
      <c r="B92" s="35" t="s">
        <v>271</v>
      </c>
      <c r="C92" s="35" t="s">
        <v>272</v>
      </c>
      <c r="D92" s="35" t="s">
        <v>133</v>
      </c>
      <c r="E92" s="34" t="n">
        <v>9000</v>
      </c>
      <c r="F92" s="34" t="n">
        <v>9000</v>
      </c>
      <c r="G92" s="34" t="n">
        <v>9700</v>
      </c>
      <c r="H92" s="34" t="n">
        <v>9200</v>
      </c>
      <c r="I92" s="36" t="n">
        <f aca="false">$E92/F92-1</f>
        <v>0</v>
      </c>
      <c r="J92" s="36" t="n">
        <f aca="false">$E92/G92-1</f>
        <v>-0.0721649484536082</v>
      </c>
      <c r="K92" s="36" t="n">
        <f aca="false">$E92/H92-1</f>
        <v>-0.0217391304347826</v>
      </c>
      <c r="L92" s="37" t="n">
        <v>8.86</v>
      </c>
      <c r="M92" s="37" t="n">
        <v>0.69</v>
      </c>
      <c r="N92" s="34" t="n">
        <v>10700</v>
      </c>
      <c r="O92" s="34" t="n">
        <v>8200</v>
      </c>
      <c r="P92" s="38"/>
      <c r="Q92" s="38"/>
    </row>
    <row r="93" customFormat="false" ht="15" hidden="false" customHeight="false" outlineLevel="0" collapsed="false">
      <c r="A93" s="34" t="n">
        <v>85</v>
      </c>
      <c r="B93" s="35" t="s">
        <v>273</v>
      </c>
      <c r="C93" s="35" t="s">
        <v>274</v>
      </c>
      <c r="D93" s="35" t="s">
        <v>111</v>
      </c>
      <c r="E93" s="34" t="n">
        <v>6200</v>
      </c>
      <c r="F93" s="34" t="n">
        <v>5900</v>
      </c>
      <c r="G93" s="34" t="n">
        <v>5100</v>
      </c>
      <c r="H93" s="34" t="n">
        <v>6500</v>
      </c>
      <c r="I93" s="36" t="n">
        <f aca="false">$E93/F93-1</f>
        <v>0.0508474576271187</v>
      </c>
      <c r="J93" s="36" t="n">
        <f aca="false">$E93/G93-1</f>
        <v>0.215686274509804</v>
      </c>
      <c r="K93" s="36" t="n">
        <f aca="false">$E93/H93-1</f>
        <v>-0.0461538461538461</v>
      </c>
      <c r="L93" s="37" t="n">
        <v>22.25</v>
      </c>
      <c r="M93" s="37" t="n">
        <v>0.41</v>
      </c>
      <c r="N93" s="34" t="n">
        <v>7837</v>
      </c>
      <c r="O93" s="34" t="n">
        <v>4485</v>
      </c>
      <c r="P93" s="38"/>
      <c r="Q93" s="38"/>
    </row>
    <row r="94" customFormat="false" ht="15" hidden="false" customHeight="false" outlineLevel="0" collapsed="false">
      <c r="A94" s="34" t="n">
        <v>86</v>
      </c>
      <c r="B94" s="35" t="s">
        <v>275</v>
      </c>
      <c r="C94" s="35" t="s">
        <v>276</v>
      </c>
      <c r="D94" s="35" t="s">
        <v>111</v>
      </c>
      <c r="E94" s="34" t="n">
        <v>16200</v>
      </c>
      <c r="F94" s="34" t="n">
        <v>16200</v>
      </c>
      <c r="G94" s="34" t="n">
        <v>16200</v>
      </c>
      <c r="H94" s="34" t="n">
        <v>15654.24</v>
      </c>
      <c r="I94" s="36" t="n">
        <f aca="false">$E94/F94-1</f>
        <v>0</v>
      </c>
      <c r="J94" s="36" t="n">
        <f aca="false">$E94/G94-1</f>
        <v>0</v>
      </c>
      <c r="K94" s="36" t="n">
        <f aca="false">$E94/H94-1</f>
        <v>0.0348633980314599</v>
      </c>
      <c r="L94" s="37" t="n">
        <v>6.5</v>
      </c>
      <c r="M94" s="37" t="n">
        <v>0.95</v>
      </c>
      <c r="N94" s="34" t="n">
        <v>20499.6</v>
      </c>
      <c r="O94" s="34" t="n">
        <v>15100</v>
      </c>
      <c r="P94" s="38"/>
      <c r="Q94" s="38"/>
    </row>
    <row r="95" customFormat="false" ht="15" hidden="false" customHeight="false" outlineLevel="0" collapsed="false">
      <c r="A95" s="34" t="n">
        <v>87</v>
      </c>
      <c r="B95" s="35" t="s">
        <v>277</v>
      </c>
      <c r="C95" s="35" t="s">
        <v>278</v>
      </c>
      <c r="D95" s="35" t="s">
        <v>111</v>
      </c>
      <c r="E95" s="34" t="n">
        <v>55400</v>
      </c>
      <c r="F95" s="34" t="n">
        <v>55375</v>
      </c>
      <c r="G95" s="34" t="n">
        <v>55900</v>
      </c>
      <c r="H95" s="34" t="n">
        <v>53137.92</v>
      </c>
      <c r="I95" s="36" t="n">
        <f aca="false">$E95/F95-1</f>
        <v>0.000451467268623107</v>
      </c>
      <c r="J95" s="36" t="n">
        <f aca="false">$E95/G95-1</f>
        <v>-0.00894454382826471</v>
      </c>
      <c r="K95" s="36" t="n">
        <f aca="false">$E95/H95-1</f>
        <v>0.0425699763935059</v>
      </c>
      <c r="L95" s="37" t="n">
        <v>7.54</v>
      </c>
      <c r="M95" s="37" t="n">
        <v>1.01</v>
      </c>
      <c r="N95" s="34" t="n">
        <v>62108.88</v>
      </c>
      <c r="O95" s="34" t="n">
        <v>48343.39</v>
      </c>
      <c r="P95" s="38"/>
      <c r="Q95" s="38"/>
    </row>
    <row r="96" customFormat="false" ht="15" hidden="false" customHeight="false" outlineLevel="0" collapsed="false">
      <c r="A96" s="34" t="n">
        <v>88</v>
      </c>
      <c r="B96" s="35" t="s">
        <v>279</v>
      </c>
      <c r="C96" s="35" t="s">
        <v>280</v>
      </c>
      <c r="D96" s="35" t="s">
        <v>116</v>
      </c>
      <c r="E96" s="34" t="n">
        <v>39150</v>
      </c>
      <c r="F96" s="34" t="n">
        <v>38500</v>
      </c>
      <c r="G96" s="34" t="n">
        <v>38900</v>
      </c>
      <c r="H96" s="34" t="n">
        <v>38829.84</v>
      </c>
      <c r="I96" s="36" t="n">
        <f aca="false">$E96/F96-1</f>
        <v>0.0168831168831169</v>
      </c>
      <c r="J96" s="36" t="n">
        <f aca="false">$E96/G96-1</f>
        <v>0.00642673521850901</v>
      </c>
      <c r="K96" s="36" t="n">
        <f aca="false">$E96/H96-1</f>
        <v>0.00824520523391303</v>
      </c>
      <c r="L96" s="37" t="n">
        <v>6.62</v>
      </c>
      <c r="M96" s="37" t="n">
        <v>1.79</v>
      </c>
      <c r="N96" s="34" t="n">
        <v>39560.64</v>
      </c>
      <c r="O96" s="34" t="n">
        <v>36192.72</v>
      </c>
      <c r="P96" s="38"/>
      <c r="Q96" s="38"/>
    </row>
    <row r="97" customFormat="false" ht="15" hidden="false" customHeight="false" outlineLevel="0" collapsed="false">
      <c r="A97" s="34" t="n">
        <v>89</v>
      </c>
      <c r="B97" s="35" t="s">
        <v>281</v>
      </c>
      <c r="C97" s="35" t="s">
        <v>282</v>
      </c>
      <c r="D97" s="35" t="s">
        <v>111</v>
      </c>
      <c r="E97" s="34" t="n">
        <v>7600</v>
      </c>
      <c r="F97" s="34" t="n">
        <v>7640</v>
      </c>
      <c r="G97" s="34" t="n">
        <v>7700</v>
      </c>
      <c r="H97" s="34" t="n">
        <v>6010</v>
      </c>
      <c r="I97" s="36" t="n">
        <f aca="false">$E97/F97-1</f>
        <v>-0.00523560209424079</v>
      </c>
      <c r="J97" s="36" t="n">
        <f aca="false">$E97/G97-1</f>
        <v>-0.012987012987013</v>
      </c>
      <c r="K97" s="36" t="n">
        <f aca="false">$E97/H97-1</f>
        <v>0.264559068219634</v>
      </c>
      <c r="L97" s="37" t="n">
        <v>4.55</v>
      </c>
      <c r="M97" s="37" t="n">
        <v>0.57</v>
      </c>
      <c r="N97" s="34" t="n">
        <v>7800</v>
      </c>
      <c r="O97" s="34" t="n">
        <v>5827</v>
      </c>
      <c r="P97" s="38"/>
      <c r="Q97" s="38"/>
    </row>
    <row r="98" customFormat="false" ht="15" hidden="false" customHeight="false" outlineLevel="0" collapsed="false">
      <c r="A98" s="34" t="n">
        <v>90</v>
      </c>
      <c r="B98" s="35" t="s">
        <v>283</v>
      </c>
      <c r="C98" s="35" t="s">
        <v>284</v>
      </c>
      <c r="D98" s="35" t="s">
        <v>111</v>
      </c>
      <c r="E98" s="34" t="n">
        <v>12300</v>
      </c>
      <c r="F98" s="34" t="n">
        <v>12300</v>
      </c>
      <c r="G98" s="34" t="n">
        <v>10500</v>
      </c>
      <c r="H98" s="34" t="n">
        <v>9727.37</v>
      </c>
      <c r="I98" s="36" t="n">
        <f aca="false">$E98/F98-1</f>
        <v>0</v>
      </c>
      <c r="J98" s="36" t="n">
        <f aca="false">$E98/G98-1</f>
        <v>0.171428571428571</v>
      </c>
      <c r="K98" s="36" t="n">
        <f aca="false">$E98/H98-1</f>
        <v>0.264473336575045</v>
      </c>
      <c r="L98" s="37" t="n">
        <v>7.84</v>
      </c>
      <c r="M98" s="37" t="n">
        <v>0.85</v>
      </c>
      <c r="N98" s="34" t="n">
        <v>15468</v>
      </c>
      <c r="O98" s="34" t="n">
        <v>8409.18</v>
      </c>
      <c r="P98" s="38"/>
      <c r="Q98" s="38"/>
    </row>
    <row r="99" customFormat="false" ht="15" hidden="false" customHeight="false" outlineLevel="0" collapsed="false">
      <c r="A99" s="34" t="n">
        <v>91</v>
      </c>
      <c r="B99" s="35" t="s">
        <v>285</v>
      </c>
      <c r="C99" s="35" t="s">
        <v>286</v>
      </c>
      <c r="D99" s="35" t="s">
        <v>111</v>
      </c>
      <c r="E99" s="34" t="n">
        <v>18000</v>
      </c>
      <c r="F99" s="34" t="n">
        <v>18000</v>
      </c>
      <c r="G99" s="34" t="n">
        <v>17500</v>
      </c>
      <c r="H99" s="34" t="n">
        <v>17667.84</v>
      </c>
      <c r="I99" s="36" t="n">
        <f aca="false">$E99/F99-1</f>
        <v>0</v>
      </c>
      <c r="J99" s="36" t="n">
        <f aca="false">$E99/G99-1</f>
        <v>0.0285714285714285</v>
      </c>
      <c r="K99" s="36" t="n">
        <f aca="false">$E99/H99-1</f>
        <v>0.0188002608128668</v>
      </c>
      <c r="L99" s="37" t="n">
        <v>6.67</v>
      </c>
      <c r="M99" s="37" t="n">
        <v>0.95</v>
      </c>
      <c r="N99" s="34" t="n">
        <v>20318.02</v>
      </c>
      <c r="O99" s="34" t="n">
        <v>13342.9</v>
      </c>
      <c r="P99" s="38"/>
      <c r="Q99" s="38"/>
    </row>
    <row r="100" customFormat="false" ht="15" hidden="false" customHeight="false" outlineLevel="0" collapsed="false">
      <c r="A100" s="34" t="n">
        <v>92</v>
      </c>
      <c r="B100" s="35" t="s">
        <v>287</v>
      </c>
      <c r="C100" s="35" t="s">
        <v>288</v>
      </c>
      <c r="D100" s="35" t="s">
        <v>111</v>
      </c>
      <c r="E100" s="34" t="n">
        <v>12773</v>
      </c>
      <c r="F100" s="34" t="n">
        <v>12916</v>
      </c>
      <c r="G100" s="34" t="n">
        <v>12900</v>
      </c>
      <c r="H100" s="34" t="n">
        <v>9860.24</v>
      </c>
      <c r="I100" s="36" t="n">
        <f aca="false">$E100/F100-1</f>
        <v>-0.0110715391762155</v>
      </c>
      <c r="J100" s="36" t="n">
        <f aca="false">$E100/G100-1</f>
        <v>-0.00984496124031009</v>
      </c>
      <c r="K100" s="36" t="n">
        <f aca="false">$E100/H100-1</f>
        <v>0.295404574330848</v>
      </c>
      <c r="L100" s="37" t="n">
        <v>6.44</v>
      </c>
      <c r="M100" s="37" t="n">
        <v>1.08</v>
      </c>
      <c r="N100" s="34" t="n">
        <v>14000</v>
      </c>
      <c r="O100" s="34" t="n">
        <v>8532.9</v>
      </c>
      <c r="P100" s="38"/>
      <c r="Q100" s="38"/>
    </row>
    <row r="101" customFormat="false" ht="15" hidden="false" customHeight="false" outlineLevel="0" collapsed="false">
      <c r="A101" s="34" t="n">
        <v>93</v>
      </c>
      <c r="B101" s="35" t="s">
        <v>289</v>
      </c>
      <c r="C101" s="35" t="s">
        <v>290</v>
      </c>
      <c r="D101" s="35" t="s">
        <v>111</v>
      </c>
      <c r="E101" s="34" t="n">
        <v>19790</v>
      </c>
      <c r="F101" s="34" t="n">
        <v>20905</v>
      </c>
      <c r="G101" s="34" t="n">
        <v>20107</v>
      </c>
      <c r="H101" s="34" t="n">
        <v>16500</v>
      </c>
      <c r="I101" s="36" t="n">
        <f aca="false">$E101/F101-1</f>
        <v>-0.0533365223630711</v>
      </c>
      <c r="J101" s="36" t="n">
        <f aca="false">$E101/G101-1</f>
        <v>-0.0157656537524246</v>
      </c>
      <c r="K101" s="36" t="n">
        <f aca="false">$E101/H101-1</f>
        <v>0.199393939393939</v>
      </c>
      <c r="L101" s="37" t="n">
        <v>5.04</v>
      </c>
      <c r="M101" s="37" t="n">
        <v>1.17</v>
      </c>
      <c r="N101" s="34" t="n">
        <v>21500</v>
      </c>
      <c r="O101" s="34" t="n">
        <v>14641</v>
      </c>
      <c r="P101" s="38"/>
      <c r="Q101" s="38"/>
    </row>
    <row r="102" customFormat="false" ht="15" hidden="false" customHeight="false" outlineLevel="0" collapsed="false">
      <c r="A102" s="34" t="n">
        <v>94</v>
      </c>
      <c r="B102" s="35" t="s">
        <v>291</v>
      </c>
      <c r="C102" s="35" t="s">
        <v>292</v>
      </c>
      <c r="D102" s="35" t="s">
        <v>111</v>
      </c>
      <c r="E102" s="34" t="n">
        <v>505500</v>
      </c>
      <c r="F102" s="34" t="n">
        <v>505500</v>
      </c>
      <c r="G102" s="34" t="n">
        <v>445400</v>
      </c>
      <c r="H102" s="34" t="n">
        <v>332175.67</v>
      </c>
      <c r="I102" s="36" t="n">
        <f aca="false">$E102/F102-1</f>
        <v>0</v>
      </c>
      <c r="J102" s="36" t="n">
        <f aca="false">$E102/G102-1</f>
        <v>0.134934889986529</v>
      </c>
      <c r="K102" s="36" t="n">
        <f aca="false">$E102/H102-1</f>
        <v>0.521785144589307</v>
      </c>
      <c r="L102" s="37" t="n">
        <v>10.05</v>
      </c>
      <c r="M102" s="37" t="n">
        <v>2.34</v>
      </c>
      <c r="N102" s="34" t="n">
        <v>524000</v>
      </c>
      <c r="O102" s="34" t="n">
        <v>293010</v>
      </c>
      <c r="P102" s="38"/>
      <c r="Q102" s="38"/>
    </row>
    <row r="103" customFormat="false" ht="15" hidden="false" customHeight="false" outlineLevel="0" collapsed="false">
      <c r="A103" s="34" t="n">
        <v>95</v>
      </c>
      <c r="B103" s="35" t="s">
        <v>293</v>
      </c>
      <c r="C103" s="35" t="s">
        <v>294</v>
      </c>
      <c r="D103" s="35" t="s">
        <v>111</v>
      </c>
      <c r="E103" s="34" t="n">
        <v>16500</v>
      </c>
      <c r="F103" s="34" t="n">
        <v>15100</v>
      </c>
      <c r="G103" s="34" t="n">
        <v>15100</v>
      </c>
      <c r="H103" s="34" t="n">
        <v>21981.1</v>
      </c>
      <c r="I103" s="36" t="n">
        <f aca="false">$E103/F103-1</f>
        <v>0.0927152317880795</v>
      </c>
      <c r="J103" s="36" t="n">
        <f aca="false">$E103/G103-1</f>
        <v>0.0927152317880795</v>
      </c>
      <c r="K103" s="36" t="n">
        <f aca="false">$E103/H103-1</f>
        <v>-0.24935512781435</v>
      </c>
      <c r="L103" s="37" t="n">
        <v>9.23</v>
      </c>
      <c r="M103" s="37" t="n">
        <v>0.71</v>
      </c>
      <c r="N103" s="34" t="n">
        <v>21981.1</v>
      </c>
      <c r="O103" s="34" t="n">
        <v>8027.88</v>
      </c>
      <c r="P103" s="38"/>
      <c r="Q103" s="38"/>
    </row>
    <row r="104" customFormat="false" ht="15" hidden="false" customHeight="false" outlineLevel="0" collapsed="false">
      <c r="A104" s="34" t="n">
        <v>96</v>
      </c>
      <c r="B104" s="35" t="s">
        <v>48</v>
      </c>
      <c r="C104" s="35" t="s">
        <v>295</v>
      </c>
      <c r="D104" s="35" t="s">
        <v>116</v>
      </c>
      <c r="E104" s="34" t="n">
        <v>39050</v>
      </c>
      <c r="F104" s="34" t="n">
        <v>38000</v>
      </c>
      <c r="G104" s="34" t="n">
        <v>41171.02</v>
      </c>
      <c r="H104" s="34" t="n">
        <v>38452.65</v>
      </c>
      <c r="I104" s="36" t="n">
        <f aca="false">$E104/F104-1</f>
        <v>0.0276315789473685</v>
      </c>
      <c r="J104" s="36" t="n">
        <f aca="false">$E104/G104-1</f>
        <v>-0.0515173051335623</v>
      </c>
      <c r="K104" s="36" t="n">
        <f aca="false">$E104/H104-1</f>
        <v>0.0155346900668745</v>
      </c>
      <c r="L104" s="37" t="n">
        <v>8.59</v>
      </c>
      <c r="M104" s="37" t="n">
        <v>1.47</v>
      </c>
      <c r="N104" s="34" t="n">
        <v>54367.5</v>
      </c>
      <c r="O104" s="34" t="n">
        <v>34700</v>
      </c>
      <c r="P104" s="38" t="n">
        <v>11.98</v>
      </c>
      <c r="Q104" s="38" t="n">
        <v>2.05</v>
      </c>
    </row>
    <row r="105" customFormat="false" ht="15" hidden="false" customHeight="false" outlineLevel="0" collapsed="false">
      <c r="A105" s="34" t="n">
        <v>97</v>
      </c>
      <c r="B105" s="35" t="s">
        <v>296</v>
      </c>
      <c r="C105" s="35" t="s">
        <v>297</v>
      </c>
      <c r="D105" s="35" t="s">
        <v>111</v>
      </c>
      <c r="E105" s="34" t="n">
        <v>20600</v>
      </c>
      <c r="F105" s="34" t="n">
        <v>21138</v>
      </c>
      <c r="G105" s="34" t="n">
        <v>19814.27</v>
      </c>
      <c r="H105" s="34" t="n">
        <v>23201.87</v>
      </c>
      <c r="I105" s="36" t="n">
        <f aca="false">$E105/F105-1</f>
        <v>-0.0254517929794682</v>
      </c>
      <c r="J105" s="36" t="n">
        <f aca="false">$E105/G105-1</f>
        <v>0.0396547538718308</v>
      </c>
      <c r="K105" s="36" t="n">
        <f aca="false">$E105/H105-1</f>
        <v>-0.112140530052104</v>
      </c>
      <c r="L105" s="37" t="n">
        <v>2.1</v>
      </c>
      <c r="M105" s="37" t="n">
        <v>0.92</v>
      </c>
      <c r="N105" s="34" t="n">
        <v>41378.76</v>
      </c>
      <c r="O105" s="34" t="n">
        <v>19357.72</v>
      </c>
      <c r="P105" s="38"/>
      <c r="Q105" s="38"/>
    </row>
    <row r="106" customFormat="false" ht="15" hidden="false" customHeight="false" outlineLevel="0" collapsed="false">
      <c r="A106" s="34" t="n">
        <v>98</v>
      </c>
      <c r="B106" s="35" t="s">
        <v>298</v>
      </c>
      <c r="C106" s="35" t="s">
        <v>299</v>
      </c>
      <c r="D106" s="35" t="s">
        <v>111</v>
      </c>
      <c r="E106" s="34" t="n">
        <v>10809</v>
      </c>
      <c r="F106" s="34" t="n">
        <v>12897</v>
      </c>
      <c r="G106" s="34" t="n">
        <v>14000</v>
      </c>
      <c r="H106" s="34" t="n">
        <v>14000</v>
      </c>
      <c r="I106" s="36" t="n">
        <f aca="false">$E106/F106-1</f>
        <v>-0.161898115840893</v>
      </c>
      <c r="J106" s="36" t="n">
        <f aca="false">$E106/G106-1</f>
        <v>-0.227928571428571</v>
      </c>
      <c r="K106" s="36" t="n">
        <f aca="false">$E106/H106-1</f>
        <v>-0.227928571428571</v>
      </c>
      <c r="L106" s="37" t="n">
        <v>61.91</v>
      </c>
      <c r="M106" s="37" t="n">
        <v>1.05</v>
      </c>
      <c r="N106" s="34" t="n">
        <v>18000</v>
      </c>
      <c r="O106" s="34" t="n">
        <v>10809</v>
      </c>
      <c r="P106" s="38"/>
      <c r="Q106" s="38"/>
    </row>
    <row r="107" customFormat="false" ht="15" hidden="false" customHeight="false" outlineLevel="0" collapsed="false">
      <c r="A107" s="34" t="n">
        <v>99</v>
      </c>
      <c r="B107" s="35" t="s">
        <v>39</v>
      </c>
      <c r="C107" s="35" t="s">
        <v>300</v>
      </c>
      <c r="D107" s="35" t="s">
        <v>116</v>
      </c>
      <c r="E107" s="34" t="n">
        <v>10700</v>
      </c>
      <c r="F107" s="34" t="n">
        <v>10300</v>
      </c>
      <c r="G107" s="34" t="n">
        <v>11900</v>
      </c>
      <c r="H107" s="34" t="n">
        <v>15000.12</v>
      </c>
      <c r="I107" s="36" t="n">
        <f aca="false">$E107/F107-1</f>
        <v>0.0388349514563107</v>
      </c>
      <c r="J107" s="36" t="n">
        <f aca="false">$E107/G107-1</f>
        <v>-0.100840336134454</v>
      </c>
      <c r="K107" s="36" t="n">
        <f aca="false">$E107/H107-1</f>
        <v>-0.28667237328768</v>
      </c>
      <c r="L107" s="37" t="n">
        <v>68.32</v>
      </c>
      <c r="M107" s="37" t="n">
        <v>0.95</v>
      </c>
      <c r="N107" s="34" t="n">
        <v>21228.24</v>
      </c>
      <c r="O107" s="34" t="n">
        <v>9970</v>
      </c>
      <c r="P107" s="38" t="n">
        <v>35.83</v>
      </c>
      <c r="Q107" s="38" t="n">
        <v>1.27</v>
      </c>
    </row>
    <row r="108" customFormat="false" ht="15" hidden="false" customHeight="false" outlineLevel="0" collapsed="false">
      <c r="A108" s="34" t="n">
        <v>100</v>
      </c>
      <c r="B108" s="35" t="s">
        <v>301</v>
      </c>
      <c r="C108" s="35" t="s">
        <v>302</v>
      </c>
      <c r="D108" s="35" t="s">
        <v>133</v>
      </c>
      <c r="E108" s="34" t="n">
        <v>21000</v>
      </c>
      <c r="F108" s="34" t="n">
        <v>21000</v>
      </c>
      <c r="G108" s="34" t="n">
        <v>23300</v>
      </c>
      <c r="H108" s="34" t="n">
        <v>35800</v>
      </c>
      <c r="I108" s="36" t="n">
        <f aca="false">$E108/F108-1</f>
        <v>0</v>
      </c>
      <c r="J108" s="36" t="n">
        <f aca="false">$E108/G108-1</f>
        <v>-0.0987124463519313</v>
      </c>
      <c r="K108" s="36" t="n">
        <f aca="false">$E108/H108-1</f>
        <v>-0.41340782122905</v>
      </c>
      <c r="L108" s="37" t="n">
        <v>5.25</v>
      </c>
      <c r="M108" s="37" t="n">
        <v>1</v>
      </c>
      <c r="N108" s="34" t="n">
        <v>42000</v>
      </c>
      <c r="O108" s="34" t="n">
        <v>20500</v>
      </c>
      <c r="P108" s="38"/>
      <c r="Q108" s="38"/>
    </row>
    <row r="109" customFormat="false" ht="15" hidden="false" customHeight="false" outlineLevel="0" collapsed="false">
      <c r="A109" s="34" t="n">
        <v>101</v>
      </c>
      <c r="B109" s="35" t="s">
        <v>303</v>
      </c>
      <c r="C109" s="35" t="s">
        <v>304</v>
      </c>
      <c r="D109" s="35" t="s">
        <v>116</v>
      </c>
      <c r="E109" s="34" t="n">
        <v>80200</v>
      </c>
      <c r="F109" s="34" t="n">
        <v>79000</v>
      </c>
      <c r="G109" s="34" t="n">
        <v>83900</v>
      </c>
      <c r="H109" s="34" t="n">
        <v>90405.3</v>
      </c>
      <c r="I109" s="36" t="n">
        <f aca="false">$E109/F109-1</f>
        <v>0.0151898734177216</v>
      </c>
      <c r="J109" s="36" t="n">
        <f aca="false">$E109/G109-1</f>
        <v>-0.0441001191895113</v>
      </c>
      <c r="K109" s="36" t="n">
        <f aca="false">$E109/H109-1</f>
        <v>-0.112883868534256</v>
      </c>
      <c r="L109" s="37" t="n">
        <v>4.45</v>
      </c>
      <c r="M109" s="37" t="n">
        <v>0.54</v>
      </c>
      <c r="N109" s="34" t="n">
        <v>92349.5</v>
      </c>
      <c r="O109" s="34" t="n">
        <v>77900</v>
      </c>
      <c r="P109" s="38"/>
      <c r="Q109" s="38"/>
    </row>
    <row r="110" customFormat="false" ht="15" hidden="false" customHeight="false" outlineLevel="0" collapsed="false">
      <c r="A110" s="34" t="n">
        <v>102</v>
      </c>
      <c r="B110" s="35" t="s">
        <v>305</v>
      </c>
      <c r="C110" s="35" t="s">
        <v>306</v>
      </c>
      <c r="D110" s="35" t="s">
        <v>111</v>
      </c>
      <c r="E110" s="34" t="n">
        <v>1471</v>
      </c>
      <c r="F110" s="34" t="n">
        <v>1493</v>
      </c>
      <c r="G110" s="34" t="n">
        <v>1700</v>
      </c>
      <c r="H110" s="34" t="n">
        <v>1800</v>
      </c>
      <c r="I110" s="36" t="n">
        <f aca="false">$E110/F110-1</f>
        <v>-0.014735432016075</v>
      </c>
      <c r="J110" s="36" t="n">
        <f aca="false">$E110/G110-1</f>
        <v>-0.134705882352941</v>
      </c>
      <c r="K110" s="36" t="n">
        <f aca="false">$E110/H110-1</f>
        <v>-0.182777777777778</v>
      </c>
      <c r="L110" s="37" t="n">
        <v>-0.86</v>
      </c>
      <c r="M110" s="37" t="n">
        <v>-1.92</v>
      </c>
      <c r="N110" s="34" t="n">
        <v>2500</v>
      </c>
      <c r="O110" s="34" t="n">
        <v>1468</v>
      </c>
      <c r="P110" s="38"/>
      <c r="Q110" s="38"/>
    </row>
    <row r="111" customFormat="false" ht="15" hidden="false" customHeight="false" outlineLevel="0" collapsed="false">
      <c r="A111" s="34" t="n">
        <v>103</v>
      </c>
      <c r="B111" s="35" t="s">
        <v>307</v>
      </c>
      <c r="C111" s="35" t="s">
        <v>308</v>
      </c>
      <c r="D111" s="35" t="s">
        <v>111</v>
      </c>
      <c r="E111" s="34" t="n">
        <v>12500</v>
      </c>
      <c r="F111" s="34" t="n">
        <v>12500</v>
      </c>
      <c r="G111" s="34" t="n">
        <v>11891.6</v>
      </c>
      <c r="H111" s="34" t="n">
        <v>11491.7</v>
      </c>
      <c r="I111" s="36" t="n">
        <f aca="false">$E111/F111-1</f>
        <v>0</v>
      </c>
      <c r="J111" s="36" t="n">
        <f aca="false">$E111/G111-1</f>
        <v>0.0511621648895018</v>
      </c>
      <c r="K111" s="36" t="n">
        <f aca="false">$E111/H111-1</f>
        <v>0.087741587406563</v>
      </c>
      <c r="L111" s="37" t="n">
        <v>7.71</v>
      </c>
      <c r="M111" s="37" t="n">
        <v>0.93</v>
      </c>
      <c r="N111" s="34" t="n">
        <v>17985.09</v>
      </c>
      <c r="O111" s="34" t="n">
        <v>9628.36</v>
      </c>
      <c r="P111" s="38"/>
      <c r="Q111" s="38"/>
    </row>
    <row r="112" customFormat="false" ht="15" hidden="false" customHeight="false" outlineLevel="0" collapsed="false">
      <c r="A112" s="34" t="n">
        <v>104</v>
      </c>
      <c r="B112" s="35" t="s">
        <v>309</v>
      </c>
      <c r="C112" s="35" t="s">
        <v>310</v>
      </c>
      <c r="D112" s="35" t="s">
        <v>111</v>
      </c>
      <c r="E112" s="34" t="n">
        <v>18100</v>
      </c>
      <c r="F112" s="34" t="n">
        <v>17650</v>
      </c>
      <c r="G112" s="34" t="n">
        <v>18100</v>
      </c>
      <c r="H112" s="34" t="n">
        <v>15100</v>
      </c>
      <c r="I112" s="36" t="n">
        <f aca="false">$E112/F112-1</f>
        <v>0.0254957507082152</v>
      </c>
      <c r="J112" s="36" t="n">
        <f aca="false">$E112/G112-1</f>
        <v>0</v>
      </c>
      <c r="K112" s="36" t="n">
        <f aca="false">$E112/H112-1</f>
        <v>0.198675496688742</v>
      </c>
      <c r="L112" s="37" t="n">
        <v>3.15</v>
      </c>
      <c r="M112" s="37" t="n">
        <v>0.67</v>
      </c>
      <c r="N112" s="34" t="n">
        <v>25800</v>
      </c>
      <c r="O112" s="34" t="n">
        <v>12500</v>
      </c>
      <c r="P112" s="38"/>
      <c r="Q112" s="38"/>
    </row>
    <row r="113" customFormat="false" ht="15" hidden="false" customHeight="false" outlineLevel="0" collapsed="false">
      <c r="A113" s="34" t="n">
        <v>105</v>
      </c>
      <c r="B113" s="35" t="s">
        <v>311</v>
      </c>
      <c r="C113" s="35" t="s">
        <v>312</v>
      </c>
      <c r="D113" s="35" t="s">
        <v>116</v>
      </c>
      <c r="E113" s="34" t="n">
        <v>24950</v>
      </c>
      <c r="F113" s="34" t="n">
        <v>24950</v>
      </c>
      <c r="G113" s="34" t="n">
        <v>27000</v>
      </c>
      <c r="H113" s="34" t="n">
        <v>32437.51</v>
      </c>
      <c r="I113" s="36" t="n">
        <f aca="false">$E113/F113-1</f>
        <v>0</v>
      </c>
      <c r="J113" s="36" t="n">
        <f aca="false">$E113/G113-1</f>
        <v>-0.075925925925926</v>
      </c>
      <c r="K113" s="36" t="n">
        <f aca="false">$E113/H113-1</f>
        <v>-0.230828753501733</v>
      </c>
      <c r="L113" s="37" t="n">
        <v>8.74</v>
      </c>
      <c r="M113" s="37" t="n">
        <v>1.64</v>
      </c>
      <c r="N113" s="34" t="n">
        <v>38300.85</v>
      </c>
      <c r="O113" s="34" t="n">
        <v>24800</v>
      </c>
      <c r="P113" s="38"/>
      <c r="Q113" s="38"/>
    </row>
    <row r="114" customFormat="false" ht="15" hidden="false" customHeight="false" outlineLevel="0" collapsed="false">
      <c r="A114" s="34" t="n">
        <v>106</v>
      </c>
      <c r="B114" s="35" t="s">
        <v>313</v>
      </c>
      <c r="C114" s="35" t="s">
        <v>314</v>
      </c>
      <c r="D114" s="35" t="s">
        <v>133</v>
      </c>
      <c r="E114" s="34" t="n">
        <v>59800</v>
      </c>
      <c r="F114" s="34" t="n">
        <v>59900</v>
      </c>
      <c r="G114" s="34" t="n">
        <v>65600</v>
      </c>
      <c r="H114" s="34" t="n">
        <v>67800</v>
      </c>
      <c r="I114" s="36" t="n">
        <f aca="false">$E114/F114-1</f>
        <v>-0.001669449081803</v>
      </c>
      <c r="J114" s="36" t="n">
        <f aca="false">$E114/G114-1</f>
        <v>-0.0884146341463414</v>
      </c>
      <c r="K114" s="36" t="n">
        <f aca="false">$E114/H114-1</f>
        <v>-0.117994100294985</v>
      </c>
      <c r="L114" s="37" t="n">
        <v>10.84</v>
      </c>
      <c r="M114" s="37" t="n">
        <v>2.28</v>
      </c>
      <c r="N114" s="34" t="n">
        <v>78218.37</v>
      </c>
      <c r="O114" s="34" t="n">
        <v>58500</v>
      </c>
      <c r="P114" s="38"/>
      <c r="Q114" s="38"/>
    </row>
    <row r="115" customFormat="false" ht="15" hidden="false" customHeight="false" outlineLevel="0" collapsed="false">
      <c r="A115" s="34" t="n">
        <v>107</v>
      </c>
      <c r="B115" s="35" t="s">
        <v>315</v>
      </c>
      <c r="C115" s="35" t="s">
        <v>316</v>
      </c>
      <c r="D115" s="35" t="s">
        <v>111</v>
      </c>
      <c r="E115" s="34" t="n">
        <v>2700</v>
      </c>
      <c r="F115" s="34" t="n">
        <v>2700</v>
      </c>
      <c r="G115" s="34" t="n">
        <v>3000</v>
      </c>
      <c r="H115" s="34" t="n">
        <v>5650</v>
      </c>
      <c r="I115" s="36" t="n">
        <f aca="false">$E115/F115-1</f>
        <v>0</v>
      </c>
      <c r="J115" s="36" t="n">
        <f aca="false">$E115/G115-1</f>
        <v>-0.1</v>
      </c>
      <c r="K115" s="36" t="n">
        <f aca="false">$E115/H115-1</f>
        <v>-0.52212389380531</v>
      </c>
      <c r="L115" s="37" t="n">
        <v>9.89</v>
      </c>
      <c r="M115" s="37" t="n">
        <v>0.26</v>
      </c>
      <c r="N115" s="34" t="n">
        <v>6900</v>
      </c>
      <c r="O115" s="34" t="n">
        <v>2700</v>
      </c>
      <c r="P115" s="38"/>
      <c r="Q115" s="38"/>
    </row>
    <row r="116" customFormat="false" ht="15" hidden="false" customHeight="false" outlineLevel="0" collapsed="false">
      <c r="A116" s="34" t="n">
        <v>108</v>
      </c>
      <c r="B116" s="35" t="s">
        <v>317</v>
      </c>
      <c r="C116" s="35" t="s">
        <v>318</v>
      </c>
      <c r="D116" s="35" t="s">
        <v>133</v>
      </c>
      <c r="E116" s="34" t="n">
        <v>16100</v>
      </c>
      <c r="F116" s="34" t="n">
        <v>16395.58</v>
      </c>
      <c r="G116" s="34" t="n">
        <v>16211.36</v>
      </c>
      <c r="H116" s="34" t="n">
        <v>15658.7</v>
      </c>
      <c r="I116" s="36" t="n">
        <f aca="false">$E116/F116-1</f>
        <v>-0.0180280295055132</v>
      </c>
      <c r="J116" s="36" t="n">
        <f aca="false">$E116/G116-1</f>
        <v>-0.00686925711353026</v>
      </c>
      <c r="K116" s="36" t="n">
        <f aca="false">$E116/H116-1</f>
        <v>0.0281824161648157</v>
      </c>
      <c r="L116" s="37" t="n">
        <v>6.06</v>
      </c>
      <c r="M116" s="37" t="n">
        <v>1.07</v>
      </c>
      <c r="N116" s="34" t="n">
        <v>19651.12</v>
      </c>
      <c r="O116" s="34" t="n">
        <v>14277.05</v>
      </c>
      <c r="P116" s="38"/>
      <c r="Q116" s="38"/>
    </row>
    <row r="117" customFormat="false" ht="15" hidden="false" customHeight="false" outlineLevel="0" collapsed="false">
      <c r="A117" s="34" t="n">
        <v>109</v>
      </c>
      <c r="B117" s="35" t="s">
        <v>319</v>
      </c>
      <c r="C117" s="35" t="s">
        <v>320</v>
      </c>
      <c r="D117" s="35" t="s">
        <v>116</v>
      </c>
      <c r="E117" s="34" t="n">
        <v>51500</v>
      </c>
      <c r="F117" s="34" t="n">
        <v>48000</v>
      </c>
      <c r="G117" s="34" t="n">
        <v>53682.3</v>
      </c>
      <c r="H117" s="34" t="n">
        <v>61928.31</v>
      </c>
      <c r="I117" s="36" t="n">
        <f aca="false">$E117/F117-1</f>
        <v>0.0729166666666667</v>
      </c>
      <c r="J117" s="36" t="n">
        <f aca="false">$E117/G117-1</f>
        <v>-0.0406521330121847</v>
      </c>
      <c r="K117" s="36" t="n">
        <f aca="false">$E117/H117-1</f>
        <v>-0.168393259883888</v>
      </c>
      <c r="L117" s="37" t="n">
        <v>23.15</v>
      </c>
      <c r="M117" s="37" t="n">
        <v>4.5</v>
      </c>
      <c r="N117" s="34" t="n">
        <v>80795.13</v>
      </c>
      <c r="O117" s="34" t="n">
        <v>44800</v>
      </c>
      <c r="P117" s="38" t="n">
        <v>24.33</v>
      </c>
      <c r="Q117" s="38" t="n">
        <v>5.96</v>
      </c>
    </row>
    <row r="118" customFormat="false" ht="15" hidden="false" customHeight="false" outlineLevel="0" collapsed="false">
      <c r="A118" s="34" t="n">
        <v>110</v>
      </c>
      <c r="B118" s="35" t="s">
        <v>321</v>
      </c>
      <c r="C118" s="35" t="s">
        <v>322</v>
      </c>
      <c r="D118" s="35" t="s">
        <v>111</v>
      </c>
      <c r="E118" s="34" t="n">
        <v>14500</v>
      </c>
      <c r="F118" s="34" t="n">
        <v>13700</v>
      </c>
      <c r="G118" s="34" t="n">
        <v>14100</v>
      </c>
      <c r="H118" s="34" t="n">
        <v>14101.1</v>
      </c>
      <c r="I118" s="36" t="n">
        <f aca="false">$E118/F118-1</f>
        <v>0.0583941605839415</v>
      </c>
      <c r="J118" s="36" t="n">
        <f aca="false">$E118/G118-1</f>
        <v>0.0283687943262412</v>
      </c>
      <c r="K118" s="36" t="n">
        <f aca="false">$E118/H118-1</f>
        <v>0.0282885732318754</v>
      </c>
      <c r="L118" s="37" t="n">
        <v>7.8</v>
      </c>
      <c r="M118" s="37" t="n">
        <v>1.18</v>
      </c>
      <c r="N118" s="34" t="n">
        <v>17277.64</v>
      </c>
      <c r="O118" s="34" t="n">
        <v>12233.68</v>
      </c>
      <c r="P118" s="38"/>
      <c r="Q118" s="38"/>
    </row>
    <row r="119" customFormat="false" ht="15" hidden="false" customHeight="false" outlineLevel="0" collapsed="false">
      <c r="A119" s="34" t="n">
        <v>111</v>
      </c>
      <c r="B119" s="35" t="s">
        <v>323</v>
      </c>
      <c r="C119" s="35" t="s">
        <v>324</v>
      </c>
      <c r="D119" s="35" t="s">
        <v>133</v>
      </c>
      <c r="E119" s="34" t="n">
        <v>6300</v>
      </c>
      <c r="F119" s="34" t="n">
        <v>6800</v>
      </c>
      <c r="G119" s="34" t="n">
        <v>8800</v>
      </c>
      <c r="H119" s="34" t="n">
        <v>9500</v>
      </c>
      <c r="I119" s="36" t="n">
        <f aca="false">$E119/F119-1</f>
        <v>-0.0735294117647058</v>
      </c>
      <c r="J119" s="36" t="n">
        <f aca="false">$E119/G119-1</f>
        <v>-0.284090909090909</v>
      </c>
      <c r="K119" s="36" t="n">
        <f aca="false">$E119/H119-1</f>
        <v>-0.336842105263158</v>
      </c>
      <c r="L119" s="37" t="n">
        <v>1.78</v>
      </c>
      <c r="M119" s="37" t="n">
        <v>0.46</v>
      </c>
      <c r="N119" s="34" t="n">
        <v>11200</v>
      </c>
      <c r="O119" s="34" t="n">
        <v>5800</v>
      </c>
      <c r="P119" s="38"/>
      <c r="Q119" s="38"/>
    </row>
    <row r="120" customFormat="false" ht="15" hidden="false" customHeight="false" outlineLevel="0" collapsed="false">
      <c r="A120" s="34" t="n">
        <v>112</v>
      </c>
      <c r="B120" s="35" t="s">
        <v>325</v>
      </c>
      <c r="C120" s="35" t="s">
        <v>326</v>
      </c>
      <c r="D120" s="35" t="s">
        <v>133</v>
      </c>
      <c r="E120" s="34" t="n">
        <v>10300</v>
      </c>
      <c r="F120" s="34" t="n">
        <v>9500</v>
      </c>
      <c r="G120" s="34" t="n">
        <v>8700</v>
      </c>
      <c r="H120" s="34" t="n">
        <v>7800</v>
      </c>
      <c r="I120" s="36" t="n">
        <f aca="false">$E120/F120-1</f>
        <v>0.0842105263157895</v>
      </c>
      <c r="J120" s="36" t="n">
        <f aca="false">$E120/G120-1</f>
        <v>0.183908045977012</v>
      </c>
      <c r="K120" s="36" t="n">
        <f aca="false">$E120/H120-1</f>
        <v>0.320512820512821</v>
      </c>
      <c r="L120" s="37" t="n">
        <v>3.47</v>
      </c>
      <c r="M120" s="37" t="n">
        <v>0.73</v>
      </c>
      <c r="N120" s="34" t="n">
        <v>12100</v>
      </c>
      <c r="O120" s="34" t="n">
        <v>7100</v>
      </c>
      <c r="P120" s="38"/>
      <c r="Q120" s="38"/>
    </row>
    <row r="121" customFormat="false" ht="15" hidden="false" customHeight="false" outlineLevel="0" collapsed="false">
      <c r="A121" s="34" t="n">
        <v>113</v>
      </c>
      <c r="B121" s="35" t="s">
        <v>327</v>
      </c>
      <c r="C121" s="35" t="s">
        <v>328</v>
      </c>
      <c r="D121" s="35" t="s">
        <v>111</v>
      </c>
      <c r="E121" s="34" t="n">
        <v>5000</v>
      </c>
      <c r="F121" s="34" t="n">
        <v>4400</v>
      </c>
      <c r="G121" s="34" t="n">
        <v>4400</v>
      </c>
      <c r="H121" s="34" t="n">
        <v>6800</v>
      </c>
      <c r="I121" s="36" t="n">
        <f aca="false">$E121/F121-1</f>
        <v>0.136363636363636</v>
      </c>
      <c r="J121" s="36" t="n">
        <f aca="false">$E121/G121-1</f>
        <v>0.136363636363636</v>
      </c>
      <c r="K121" s="36" t="n">
        <f aca="false">$E121/H121-1</f>
        <v>-0.264705882352941</v>
      </c>
      <c r="L121" s="37" t="n">
        <v>-6.19</v>
      </c>
      <c r="M121" s="37" t="n">
        <v>133.96</v>
      </c>
      <c r="N121" s="34" t="n">
        <v>10100</v>
      </c>
      <c r="O121" s="34" t="n">
        <v>3900</v>
      </c>
      <c r="P121" s="38"/>
      <c r="Q121" s="38"/>
    </row>
    <row r="122" customFormat="false" ht="15" hidden="false" customHeight="false" outlineLevel="0" collapsed="false">
      <c r="A122" s="34" t="n">
        <v>114</v>
      </c>
      <c r="B122" s="35" t="s">
        <v>329</v>
      </c>
      <c r="C122" s="35" t="s">
        <v>330</v>
      </c>
      <c r="D122" s="35" t="s">
        <v>111</v>
      </c>
      <c r="E122" s="34" t="n">
        <v>3000</v>
      </c>
      <c r="F122" s="34" t="n">
        <v>3000</v>
      </c>
      <c r="G122" s="34" t="n">
        <v>3333</v>
      </c>
      <c r="H122" s="34" t="n">
        <v>5700</v>
      </c>
      <c r="I122" s="36" t="n">
        <f aca="false">$E122/F122-1</f>
        <v>0</v>
      </c>
      <c r="J122" s="36" t="n">
        <f aca="false">$E122/G122-1</f>
        <v>-0.0999099909990999</v>
      </c>
      <c r="K122" s="36" t="n">
        <f aca="false">$E122/H122-1</f>
        <v>-0.473684210526316</v>
      </c>
      <c r="L122" s="37" t="n">
        <v>89.04</v>
      </c>
      <c r="M122" s="37" t="n">
        <v>0.42</v>
      </c>
      <c r="N122" s="34" t="n">
        <v>7627</v>
      </c>
      <c r="O122" s="34" t="n">
        <v>2840</v>
      </c>
      <c r="P122" s="38"/>
      <c r="Q122" s="38"/>
    </row>
    <row r="123" customFormat="false" ht="15" hidden="false" customHeight="false" outlineLevel="0" collapsed="false">
      <c r="A123" s="34" t="n">
        <v>115</v>
      </c>
      <c r="B123" s="35" t="s">
        <v>331</v>
      </c>
      <c r="C123" s="35" t="s">
        <v>332</v>
      </c>
      <c r="D123" s="35" t="s">
        <v>111</v>
      </c>
      <c r="E123" s="34" t="n">
        <v>8800</v>
      </c>
      <c r="F123" s="34" t="n">
        <v>8800</v>
      </c>
      <c r="G123" s="34" t="n">
        <v>8800</v>
      </c>
      <c r="H123" s="34" t="n">
        <v>7700</v>
      </c>
      <c r="I123" s="36" t="n">
        <f aca="false">$E123/F123-1</f>
        <v>0</v>
      </c>
      <c r="J123" s="36" t="n">
        <f aca="false">$E123/G123-1</f>
        <v>0</v>
      </c>
      <c r="K123" s="36" t="n">
        <f aca="false">$E123/H123-1</f>
        <v>0.142857142857143</v>
      </c>
      <c r="L123" s="37" t="n">
        <v>-44.24</v>
      </c>
      <c r="M123" s="37" t="n">
        <v>6.78</v>
      </c>
      <c r="N123" s="34" t="n">
        <v>10000</v>
      </c>
      <c r="O123" s="34" t="n">
        <v>4900</v>
      </c>
      <c r="P123" s="38"/>
      <c r="Q123" s="38"/>
    </row>
    <row r="124" customFormat="false" ht="15" hidden="false" customHeight="false" outlineLevel="0" collapsed="false">
      <c r="A124" s="34" t="n">
        <v>116</v>
      </c>
      <c r="B124" s="35" t="s">
        <v>333</v>
      </c>
      <c r="C124" s="35" t="s">
        <v>334</v>
      </c>
      <c r="D124" s="35" t="s">
        <v>111</v>
      </c>
      <c r="E124" s="34" t="n">
        <v>17000</v>
      </c>
      <c r="F124" s="34" t="n">
        <v>17000</v>
      </c>
      <c r="G124" s="34" t="n">
        <v>17000</v>
      </c>
      <c r="H124" s="34" t="n">
        <v>19800</v>
      </c>
      <c r="I124" s="36" t="n">
        <f aca="false">$E124/F124-1</f>
        <v>0</v>
      </c>
      <c r="J124" s="36" t="n">
        <f aca="false">$E124/G124-1</f>
        <v>0</v>
      </c>
      <c r="K124" s="36" t="n">
        <f aca="false">$E124/H124-1</f>
        <v>-0.141414141414141</v>
      </c>
      <c r="L124" s="37" t="n">
        <v>14.47</v>
      </c>
      <c r="M124" s="37" t="n">
        <v>1.11</v>
      </c>
      <c r="N124" s="34" t="n">
        <v>29300</v>
      </c>
      <c r="O124" s="34" t="n">
        <v>15100</v>
      </c>
      <c r="P124" s="38"/>
      <c r="Q124" s="38"/>
    </row>
    <row r="125" customFormat="false" ht="15" hidden="false" customHeight="false" outlineLevel="0" collapsed="false">
      <c r="A125" s="34" t="n">
        <v>117</v>
      </c>
      <c r="B125" s="35" t="s">
        <v>335</v>
      </c>
      <c r="C125" s="35" t="s">
        <v>336</v>
      </c>
      <c r="D125" s="35" t="s">
        <v>337</v>
      </c>
      <c r="E125" s="34"/>
      <c r="F125" s="34" t="n">
        <v>46700</v>
      </c>
      <c r="G125" s="34" t="n">
        <v>46700</v>
      </c>
      <c r="H125" s="34" t="n">
        <v>43700</v>
      </c>
      <c r="I125" s="36" t="n">
        <f aca="false">$E125/F125-1</f>
        <v>-1</v>
      </c>
      <c r="J125" s="36" t="n">
        <f aca="false">$E125/G125-1</f>
        <v>-1</v>
      </c>
      <c r="K125" s="36" t="n">
        <f aca="false">$E125/H125-1</f>
        <v>-1</v>
      </c>
      <c r="L125" s="37"/>
      <c r="M125" s="37"/>
      <c r="N125" s="34"/>
      <c r="O125" s="34"/>
      <c r="P125" s="38"/>
      <c r="Q125" s="38"/>
    </row>
    <row r="126" customFormat="false" ht="15" hidden="false" customHeight="false" outlineLevel="0" collapsed="false">
      <c r="A126" s="34" t="n">
        <v>118</v>
      </c>
      <c r="B126" s="35" t="s">
        <v>338</v>
      </c>
      <c r="C126" s="35" t="s">
        <v>339</v>
      </c>
      <c r="D126" s="35" t="s">
        <v>111</v>
      </c>
      <c r="E126" s="34" t="n">
        <v>18400</v>
      </c>
      <c r="F126" s="34" t="n">
        <v>18400</v>
      </c>
      <c r="G126" s="34" t="n">
        <v>17387</v>
      </c>
      <c r="H126" s="34" t="n">
        <v>22262</v>
      </c>
      <c r="I126" s="36" t="n">
        <f aca="false">$E126/F126-1</f>
        <v>0</v>
      </c>
      <c r="J126" s="36" t="n">
        <f aca="false">$E126/G126-1</f>
        <v>0.0582619198251568</v>
      </c>
      <c r="K126" s="36" t="n">
        <f aca="false">$E126/H126-1</f>
        <v>-0.173479471745575</v>
      </c>
      <c r="L126" s="37" t="n">
        <v>28.5</v>
      </c>
      <c r="M126" s="37" t="n">
        <v>1.5</v>
      </c>
      <c r="N126" s="34" t="n">
        <v>25800</v>
      </c>
      <c r="O126" s="34" t="n">
        <v>14023</v>
      </c>
      <c r="P126" s="38"/>
      <c r="Q126" s="38"/>
    </row>
    <row r="127" customFormat="false" ht="15" hidden="false" customHeight="false" outlineLevel="0" collapsed="false">
      <c r="A127" s="34" t="n">
        <v>119</v>
      </c>
      <c r="B127" s="35" t="s">
        <v>340</v>
      </c>
      <c r="C127" s="35" t="s">
        <v>341</v>
      </c>
      <c r="D127" s="35" t="s">
        <v>116</v>
      </c>
      <c r="E127" s="34" t="n">
        <v>4750</v>
      </c>
      <c r="F127" s="34" t="n">
        <v>4670</v>
      </c>
      <c r="G127" s="34" t="n">
        <v>5500</v>
      </c>
      <c r="H127" s="34" t="n">
        <v>6270</v>
      </c>
      <c r="I127" s="36" t="n">
        <f aca="false">$E127/F127-1</f>
        <v>0.0171306209850106</v>
      </c>
      <c r="J127" s="36" t="n">
        <f aca="false">$E127/G127-1</f>
        <v>-0.136363636363636</v>
      </c>
      <c r="K127" s="36" t="n">
        <f aca="false">$E127/H127-1</f>
        <v>-0.242424242424242</v>
      </c>
      <c r="L127" s="37" t="n">
        <v>5.82</v>
      </c>
      <c r="M127" s="37" t="n">
        <v>0.37</v>
      </c>
      <c r="N127" s="34" t="n">
        <v>7860</v>
      </c>
      <c r="O127" s="34" t="n">
        <v>4610</v>
      </c>
      <c r="P127" s="38"/>
      <c r="Q127" s="38"/>
    </row>
    <row r="128" customFormat="false" ht="15" hidden="false" customHeight="false" outlineLevel="0" collapsed="false">
      <c r="A128" s="34" t="n">
        <v>120</v>
      </c>
      <c r="B128" s="35" t="s">
        <v>342</v>
      </c>
      <c r="C128" s="35" t="s">
        <v>343</v>
      </c>
      <c r="D128" s="35" t="s">
        <v>111</v>
      </c>
      <c r="E128" s="34" t="n">
        <v>5800</v>
      </c>
      <c r="F128" s="34" t="n">
        <v>6500</v>
      </c>
      <c r="G128" s="34" t="n">
        <v>16200</v>
      </c>
      <c r="H128" s="34" t="n">
        <v>4500</v>
      </c>
      <c r="I128" s="36" t="n">
        <f aca="false">$E128/F128-1</f>
        <v>-0.107692307692308</v>
      </c>
      <c r="J128" s="36" t="n">
        <f aca="false">$E128/G128-1</f>
        <v>-0.641975308641975</v>
      </c>
      <c r="K128" s="36" t="n">
        <f aca="false">$E128/H128-1</f>
        <v>0.288888888888889</v>
      </c>
      <c r="L128" s="37" t="n">
        <v>-139.61</v>
      </c>
      <c r="M128" s="37" t="n">
        <v>0.97</v>
      </c>
      <c r="N128" s="34" t="n">
        <v>16200</v>
      </c>
      <c r="O128" s="34" t="n">
        <v>4500</v>
      </c>
      <c r="P128" s="38"/>
      <c r="Q128" s="38"/>
    </row>
    <row r="129" customFormat="false" ht="15" hidden="false" customHeight="false" outlineLevel="0" collapsed="false">
      <c r="A129" s="34" t="n">
        <v>121</v>
      </c>
      <c r="B129" s="35" t="s">
        <v>344</v>
      </c>
      <c r="C129" s="35" t="s">
        <v>345</v>
      </c>
      <c r="D129" s="35" t="s">
        <v>133</v>
      </c>
      <c r="E129" s="34" t="n">
        <v>5600</v>
      </c>
      <c r="F129" s="34" t="n">
        <v>5600</v>
      </c>
      <c r="G129" s="34" t="n">
        <v>6200</v>
      </c>
      <c r="H129" s="34" t="n">
        <v>6500</v>
      </c>
      <c r="I129" s="36" t="n">
        <f aca="false">$E129/F129-1</f>
        <v>0</v>
      </c>
      <c r="J129" s="36" t="n">
        <f aca="false">$E129/G129-1</f>
        <v>-0.0967741935483871</v>
      </c>
      <c r="K129" s="36" t="n">
        <f aca="false">$E129/H129-1</f>
        <v>-0.138461538461538</v>
      </c>
      <c r="L129" s="37" t="n">
        <v>23.03</v>
      </c>
      <c r="M129" s="37" t="n">
        <v>0.53</v>
      </c>
      <c r="N129" s="34" t="n">
        <v>7800</v>
      </c>
      <c r="O129" s="34" t="n">
        <v>5600</v>
      </c>
      <c r="P129" s="38"/>
      <c r="Q129" s="38"/>
    </row>
    <row r="130" customFormat="false" ht="15" hidden="false" customHeight="false" outlineLevel="0" collapsed="false">
      <c r="A130" s="34" t="n">
        <v>122</v>
      </c>
      <c r="B130" s="35" t="s">
        <v>346</v>
      </c>
      <c r="C130" s="35" t="s">
        <v>347</v>
      </c>
      <c r="D130" s="35" t="s">
        <v>133</v>
      </c>
      <c r="E130" s="34" t="n">
        <v>14000</v>
      </c>
      <c r="F130" s="34" t="n">
        <v>14000</v>
      </c>
      <c r="G130" s="34" t="n">
        <v>13700</v>
      </c>
      <c r="H130" s="34" t="n">
        <v>12000.24</v>
      </c>
      <c r="I130" s="36" t="n">
        <f aca="false">$E130/F130-1</f>
        <v>0</v>
      </c>
      <c r="J130" s="36" t="n">
        <f aca="false">$E130/G130-1</f>
        <v>0.0218978102189782</v>
      </c>
      <c r="K130" s="36" t="n">
        <f aca="false">$E130/H130-1</f>
        <v>0.166643333799991</v>
      </c>
      <c r="L130" s="37" t="n">
        <v>8.16</v>
      </c>
      <c r="M130" s="37" t="n">
        <v>1.19</v>
      </c>
      <c r="N130" s="34" t="n">
        <v>14300</v>
      </c>
      <c r="O130" s="34" t="n">
        <v>11143.08</v>
      </c>
      <c r="P130" s="38"/>
      <c r="Q130" s="38"/>
    </row>
    <row r="131" customFormat="false" ht="15" hidden="false" customHeight="false" outlineLevel="0" collapsed="false">
      <c r="A131" s="34" t="n">
        <v>123</v>
      </c>
      <c r="B131" s="35" t="s">
        <v>348</v>
      </c>
      <c r="C131" s="35" t="s">
        <v>349</v>
      </c>
      <c r="D131" s="35" t="s">
        <v>116</v>
      </c>
      <c r="E131" s="34" t="n">
        <v>26900</v>
      </c>
      <c r="F131" s="34" t="n">
        <v>27500</v>
      </c>
      <c r="G131" s="34" t="n">
        <v>27541.5</v>
      </c>
      <c r="H131" s="34" t="n">
        <v>27907.5</v>
      </c>
      <c r="I131" s="36" t="n">
        <f aca="false">$E131/F131-1</f>
        <v>-0.0218181818181818</v>
      </c>
      <c r="J131" s="36" t="n">
        <f aca="false">$E131/G131-1</f>
        <v>-0.0232921227965071</v>
      </c>
      <c r="K131" s="36" t="n">
        <f aca="false">$E131/H131-1</f>
        <v>-0.0361014064319627</v>
      </c>
      <c r="L131" s="37" t="n">
        <v>9.39</v>
      </c>
      <c r="M131" s="37" t="n">
        <v>1.61</v>
      </c>
      <c r="N131" s="34" t="n">
        <v>30710.95</v>
      </c>
      <c r="O131" s="34" t="n">
        <v>26626.5</v>
      </c>
      <c r="P131" s="38"/>
      <c r="Q131" s="38"/>
    </row>
    <row r="132" customFormat="false" ht="15" hidden="false" customHeight="false" outlineLevel="0" collapsed="false">
      <c r="A132" s="34" t="n">
        <v>124</v>
      </c>
      <c r="B132" s="35" t="s">
        <v>350</v>
      </c>
      <c r="C132" s="35" t="s">
        <v>351</v>
      </c>
      <c r="D132" s="35" t="s">
        <v>111</v>
      </c>
      <c r="E132" s="34" t="n">
        <v>8900</v>
      </c>
      <c r="F132" s="34" t="n">
        <v>8900</v>
      </c>
      <c r="G132" s="34" t="n">
        <v>8900</v>
      </c>
      <c r="H132" s="34" t="n">
        <v>11500</v>
      </c>
      <c r="I132" s="36" t="n">
        <f aca="false">$E132/F132-1</f>
        <v>0</v>
      </c>
      <c r="J132" s="36" t="n">
        <f aca="false">$E132/G132-1</f>
        <v>0</v>
      </c>
      <c r="K132" s="36" t="n">
        <f aca="false">$E132/H132-1</f>
        <v>-0.226086956521739</v>
      </c>
      <c r="L132" s="37" t="n">
        <v>28.66</v>
      </c>
      <c r="M132" s="37" t="n">
        <v>0.91</v>
      </c>
      <c r="N132" s="34" t="n">
        <v>13100</v>
      </c>
      <c r="O132" s="34" t="n">
        <v>7753</v>
      </c>
      <c r="P132" s="38"/>
      <c r="Q132" s="38"/>
    </row>
    <row r="133" customFormat="false" ht="15" hidden="false" customHeight="false" outlineLevel="0" collapsed="false">
      <c r="A133" s="34" t="n">
        <v>125</v>
      </c>
      <c r="B133" s="35" t="s">
        <v>352</v>
      </c>
      <c r="C133" s="35" t="s">
        <v>353</v>
      </c>
      <c r="D133" s="35" t="s">
        <v>111</v>
      </c>
      <c r="E133" s="34" t="n">
        <v>8000</v>
      </c>
      <c r="F133" s="34" t="n">
        <v>8000</v>
      </c>
      <c r="G133" s="34" t="n">
        <v>8000</v>
      </c>
      <c r="H133" s="34" t="n">
        <v>8000</v>
      </c>
      <c r="I133" s="36" t="n">
        <f aca="false">$E133/F133-1</f>
        <v>0</v>
      </c>
      <c r="J133" s="36" t="n">
        <f aca="false">$E133/G133-1</f>
        <v>0</v>
      </c>
      <c r="K133" s="36" t="n">
        <f aca="false">$E133/H133-1</f>
        <v>0</v>
      </c>
      <c r="L133" s="37" t="n">
        <v>9.15</v>
      </c>
      <c r="M133" s="37" t="n">
        <v>0.67</v>
      </c>
      <c r="N133" s="34" t="n">
        <v>8000</v>
      </c>
      <c r="O133" s="34" t="n">
        <v>7950.96</v>
      </c>
      <c r="P133" s="38"/>
      <c r="Q133" s="38"/>
    </row>
    <row r="134" customFormat="false" ht="15" hidden="false" customHeight="false" outlineLevel="0" collapsed="false">
      <c r="A134" s="34" t="n">
        <v>126</v>
      </c>
      <c r="B134" s="35" t="s">
        <v>354</v>
      </c>
      <c r="C134" s="35" t="s">
        <v>355</v>
      </c>
      <c r="D134" s="35" t="s">
        <v>111</v>
      </c>
      <c r="E134" s="34" t="n">
        <v>23500</v>
      </c>
      <c r="F134" s="34" t="n">
        <v>20500</v>
      </c>
      <c r="G134" s="34" t="n">
        <v>20500</v>
      </c>
      <c r="H134" s="34" t="n">
        <v>15065.3</v>
      </c>
      <c r="I134" s="36" t="n">
        <f aca="false">$E134/F134-1</f>
        <v>0.146341463414634</v>
      </c>
      <c r="J134" s="36" t="n">
        <f aca="false">$E134/G134-1</f>
        <v>0.146341463414634</v>
      </c>
      <c r="K134" s="36" t="n">
        <f aca="false">$E134/H134-1</f>
        <v>0.559876006451913</v>
      </c>
      <c r="L134" s="37" t="n">
        <v>13.37</v>
      </c>
      <c r="M134" s="37" t="n">
        <v>1.09</v>
      </c>
      <c r="N134" s="34" t="n">
        <v>24314.25</v>
      </c>
      <c r="O134" s="34" t="n">
        <v>14380.69</v>
      </c>
      <c r="P134" s="38"/>
      <c r="Q134" s="38"/>
    </row>
    <row r="135" customFormat="false" ht="15" hidden="false" customHeight="false" outlineLevel="0" collapsed="false">
      <c r="A135" s="34" t="n">
        <v>127</v>
      </c>
      <c r="B135" s="35" t="s">
        <v>356</v>
      </c>
      <c r="C135" s="35" t="s">
        <v>357</v>
      </c>
      <c r="D135" s="35" t="s">
        <v>133</v>
      </c>
      <c r="E135" s="34" t="n">
        <v>25700</v>
      </c>
      <c r="F135" s="34" t="n">
        <v>25000</v>
      </c>
      <c r="G135" s="34" t="n">
        <v>26500</v>
      </c>
      <c r="H135" s="34" t="n">
        <v>31991.96</v>
      </c>
      <c r="I135" s="36" t="n">
        <f aca="false">$E135/F135-1</f>
        <v>0.028</v>
      </c>
      <c r="J135" s="36" t="n">
        <f aca="false">$E135/G135-1</f>
        <v>-0.030188679245283</v>
      </c>
      <c r="K135" s="36" t="n">
        <f aca="false">$E135/H135-1</f>
        <v>-0.196673164132488</v>
      </c>
      <c r="L135" s="37" t="n">
        <v>5.99</v>
      </c>
      <c r="M135" s="37" t="n">
        <v>1.14</v>
      </c>
      <c r="N135" s="34" t="n">
        <v>35006.4</v>
      </c>
      <c r="O135" s="34" t="n">
        <v>24800</v>
      </c>
      <c r="P135" s="38"/>
      <c r="Q135" s="38"/>
    </row>
    <row r="136" customFormat="false" ht="15" hidden="false" customHeight="false" outlineLevel="0" collapsed="false">
      <c r="A136" s="34" t="n">
        <v>128</v>
      </c>
      <c r="B136" s="35" t="s">
        <v>358</v>
      </c>
      <c r="C136" s="35" t="s">
        <v>359</v>
      </c>
      <c r="D136" s="35" t="s">
        <v>133</v>
      </c>
      <c r="E136" s="34" t="n">
        <v>14700</v>
      </c>
      <c r="F136" s="34" t="n">
        <v>13800</v>
      </c>
      <c r="G136" s="34" t="n">
        <v>13200</v>
      </c>
      <c r="H136" s="34" t="n">
        <v>10900</v>
      </c>
      <c r="I136" s="36" t="n">
        <f aca="false">$E136/F136-1</f>
        <v>0.0652173913043479</v>
      </c>
      <c r="J136" s="36" t="n">
        <f aca="false">$E136/G136-1</f>
        <v>0.113636363636364</v>
      </c>
      <c r="K136" s="36" t="n">
        <f aca="false">$E136/H136-1</f>
        <v>0.348623853211009</v>
      </c>
      <c r="L136" s="37" t="n">
        <v>4.68</v>
      </c>
      <c r="M136" s="37" t="n">
        <v>0.83</v>
      </c>
      <c r="N136" s="34" t="n">
        <v>15700</v>
      </c>
      <c r="O136" s="34" t="n">
        <v>10000</v>
      </c>
      <c r="P136" s="38"/>
      <c r="Q136" s="38"/>
    </row>
    <row r="137" customFormat="false" ht="15" hidden="false" customHeight="false" outlineLevel="0" collapsed="false">
      <c r="A137" s="34" t="n">
        <v>129</v>
      </c>
      <c r="B137" s="35" t="s">
        <v>360</v>
      </c>
      <c r="C137" s="35" t="s">
        <v>361</v>
      </c>
      <c r="D137" s="35" t="s">
        <v>116</v>
      </c>
      <c r="E137" s="34" t="n">
        <v>95500</v>
      </c>
      <c r="F137" s="34" t="n">
        <v>98200</v>
      </c>
      <c r="G137" s="34" t="n">
        <v>100000</v>
      </c>
      <c r="H137" s="34" t="n">
        <v>114795.8</v>
      </c>
      <c r="I137" s="36" t="n">
        <f aca="false">$E137/F137-1</f>
        <v>-0.0274949083503055</v>
      </c>
      <c r="J137" s="36" t="n">
        <f aca="false">$E137/G137-1</f>
        <v>-0.045</v>
      </c>
      <c r="K137" s="36" t="n">
        <f aca="false">$E137/H137-1</f>
        <v>-0.168088031095214</v>
      </c>
      <c r="L137" s="37" t="n">
        <v>11.47</v>
      </c>
      <c r="M137" s="37" t="n">
        <v>3.57</v>
      </c>
      <c r="N137" s="34" t="n">
        <v>115777.8</v>
      </c>
      <c r="O137" s="34" t="n">
        <v>89067.4</v>
      </c>
      <c r="P137" s="38"/>
      <c r="Q137" s="38"/>
    </row>
    <row r="138" customFormat="false" ht="15" hidden="false" customHeight="false" outlineLevel="0" collapsed="false">
      <c r="A138" s="34" t="n">
        <v>130</v>
      </c>
      <c r="B138" s="35" t="s">
        <v>362</v>
      </c>
      <c r="C138" s="35" t="s">
        <v>363</v>
      </c>
      <c r="D138" s="35" t="s">
        <v>111</v>
      </c>
      <c r="E138" s="34" t="n">
        <v>42192</v>
      </c>
      <c r="F138" s="34" t="n">
        <v>37471</v>
      </c>
      <c r="G138" s="34" t="n">
        <v>37781</v>
      </c>
      <c r="H138" s="34" t="n">
        <v>30388.17</v>
      </c>
      <c r="I138" s="36" t="n">
        <f aca="false">$E138/F138-1</f>
        <v>0.125990766192522</v>
      </c>
      <c r="J138" s="36" t="n">
        <f aca="false">$E138/G138-1</f>
        <v>0.116751806463566</v>
      </c>
      <c r="K138" s="36" t="n">
        <f aca="false">$E138/H138-1</f>
        <v>0.388435039029991</v>
      </c>
      <c r="L138" s="37" t="n">
        <v>11.27</v>
      </c>
      <c r="M138" s="37" t="n">
        <v>2.08</v>
      </c>
      <c r="N138" s="34" t="n">
        <v>42192</v>
      </c>
      <c r="O138" s="34" t="n">
        <v>29398.16</v>
      </c>
      <c r="P138" s="38"/>
      <c r="Q138" s="38"/>
    </row>
    <row r="139" customFormat="false" ht="15" hidden="false" customHeight="false" outlineLevel="0" collapsed="false">
      <c r="A139" s="34" t="n">
        <v>131</v>
      </c>
      <c r="B139" s="35" t="s">
        <v>37</v>
      </c>
      <c r="C139" s="35" t="s">
        <v>364</v>
      </c>
      <c r="D139" s="35" t="s">
        <v>111</v>
      </c>
      <c r="E139" s="34" t="n">
        <v>41128</v>
      </c>
      <c r="F139" s="34" t="n">
        <v>39383</v>
      </c>
      <c r="G139" s="34" t="n">
        <v>42899</v>
      </c>
      <c r="H139" s="34" t="n">
        <v>49112</v>
      </c>
      <c r="I139" s="36" t="n">
        <f aca="false">$E139/F139-1</f>
        <v>0.0443084579640962</v>
      </c>
      <c r="J139" s="36" t="n">
        <f aca="false">$E139/G139-1</f>
        <v>-0.0412830135900604</v>
      </c>
      <c r="K139" s="36" t="n">
        <f aca="false">$E139/H139-1</f>
        <v>-0.162567193353966</v>
      </c>
      <c r="L139" s="37" t="n">
        <v>13.19</v>
      </c>
      <c r="M139" s="37" t="n">
        <v>1.99</v>
      </c>
      <c r="N139" s="34" t="n">
        <v>66628</v>
      </c>
      <c r="O139" s="34" t="n">
        <v>38315</v>
      </c>
      <c r="P139" s="38" t="n">
        <v>22.4</v>
      </c>
      <c r="Q139" s="38" t="n">
        <v>3.9</v>
      </c>
    </row>
    <row r="140" customFormat="false" ht="15" hidden="false" customHeight="false" outlineLevel="0" collapsed="false">
      <c r="A140" s="34" t="n">
        <v>132</v>
      </c>
      <c r="B140" s="35" t="s">
        <v>365</v>
      </c>
      <c r="C140" s="35" t="s">
        <v>366</v>
      </c>
      <c r="D140" s="35" t="s">
        <v>133</v>
      </c>
      <c r="E140" s="34" t="n">
        <v>12000</v>
      </c>
      <c r="F140" s="34" t="n">
        <v>10800</v>
      </c>
      <c r="G140" s="34" t="n">
        <v>10300</v>
      </c>
      <c r="H140" s="34" t="n">
        <v>9912</v>
      </c>
      <c r="I140" s="36" t="n">
        <f aca="false">$E140/F140-1</f>
        <v>0.111111111111111</v>
      </c>
      <c r="J140" s="36" t="n">
        <f aca="false">$E140/G140-1</f>
        <v>0.16504854368932</v>
      </c>
      <c r="K140" s="36" t="n">
        <f aca="false">$E140/H140-1</f>
        <v>0.210653753026634</v>
      </c>
      <c r="L140" s="37" t="n">
        <v>11.67</v>
      </c>
      <c r="M140" s="37" t="n">
        <v>1.05</v>
      </c>
      <c r="N140" s="34" t="n">
        <v>15104</v>
      </c>
      <c r="O140" s="34" t="n">
        <v>9251.2</v>
      </c>
      <c r="P140" s="38"/>
      <c r="Q140" s="38"/>
    </row>
    <row r="141" customFormat="false" ht="15" hidden="false" customHeight="false" outlineLevel="0" collapsed="false">
      <c r="A141" s="34" t="n">
        <v>133</v>
      </c>
      <c r="B141" s="35" t="s">
        <v>367</v>
      </c>
      <c r="C141" s="35" t="s">
        <v>368</v>
      </c>
      <c r="D141" s="35" t="s">
        <v>111</v>
      </c>
      <c r="E141" s="34" t="n">
        <v>28000</v>
      </c>
      <c r="F141" s="34" t="n">
        <v>26700</v>
      </c>
      <c r="G141" s="34" t="n">
        <v>26900</v>
      </c>
      <c r="H141" s="34" t="n">
        <v>26000</v>
      </c>
      <c r="I141" s="36" t="n">
        <f aca="false">$E141/F141-1</f>
        <v>0.0486891385767789</v>
      </c>
      <c r="J141" s="36" t="n">
        <f aca="false">$E141/G141-1</f>
        <v>0.0408921933085502</v>
      </c>
      <c r="K141" s="36" t="n">
        <f aca="false">$E141/H141-1</f>
        <v>0.0769230769230769</v>
      </c>
      <c r="L141" s="37" t="n">
        <v>-15.41</v>
      </c>
      <c r="M141" s="37" t="n">
        <v>2.92</v>
      </c>
      <c r="N141" s="34" t="n">
        <v>28649</v>
      </c>
      <c r="O141" s="34" t="n">
        <v>22983</v>
      </c>
      <c r="P141" s="38"/>
      <c r="Q141" s="38"/>
    </row>
    <row r="142" customFormat="false" ht="15" hidden="false" customHeight="false" outlineLevel="0" collapsed="false">
      <c r="A142" s="34" t="n">
        <v>134</v>
      </c>
      <c r="B142" s="35" t="s">
        <v>369</v>
      </c>
      <c r="C142" s="35" t="s">
        <v>370</v>
      </c>
      <c r="D142" s="35" t="s">
        <v>111</v>
      </c>
      <c r="E142" s="34" t="n">
        <v>29767</v>
      </c>
      <c r="F142" s="34" t="n">
        <v>29608</v>
      </c>
      <c r="G142" s="34" t="n">
        <v>30589</v>
      </c>
      <c r="H142" s="34" t="n">
        <v>30219.78</v>
      </c>
      <c r="I142" s="36" t="n">
        <f aca="false">$E142/F142-1</f>
        <v>0.00537017022426367</v>
      </c>
      <c r="J142" s="36" t="n">
        <f aca="false">$E142/G142-1</f>
        <v>-0.0268724051129491</v>
      </c>
      <c r="K142" s="36" t="n">
        <f aca="false">$E142/H142-1</f>
        <v>-0.0149829019271484</v>
      </c>
      <c r="L142" s="37" t="n">
        <v>14.93</v>
      </c>
      <c r="M142" s="37" t="n">
        <v>2.15</v>
      </c>
      <c r="N142" s="34" t="n">
        <v>31891.93</v>
      </c>
      <c r="O142" s="34" t="n">
        <v>29073.69</v>
      </c>
      <c r="P142" s="38"/>
      <c r="Q142" s="38"/>
    </row>
    <row r="143" customFormat="false" ht="15" hidden="false" customHeight="false" outlineLevel="0" collapsed="false">
      <c r="A143" s="34" t="n">
        <v>135</v>
      </c>
      <c r="B143" s="35" t="s">
        <v>371</v>
      </c>
      <c r="C143" s="35" t="s">
        <v>372</v>
      </c>
      <c r="D143" s="35" t="s">
        <v>116</v>
      </c>
      <c r="E143" s="34" t="n">
        <v>31900</v>
      </c>
      <c r="F143" s="34" t="n">
        <v>31750</v>
      </c>
      <c r="G143" s="34" t="n">
        <v>32000</v>
      </c>
      <c r="H143" s="34" t="n">
        <v>27909.36</v>
      </c>
      <c r="I143" s="36" t="n">
        <f aca="false">$E143/F143-1</f>
        <v>0.0047244094488188</v>
      </c>
      <c r="J143" s="36" t="n">
        <f aca="false">$E143/G143-1</f>
        <v>-0.00312500000000004</v>
      </c>
      <c r="K143" s="36" t="n">
        <f aca="false">$E143/H143-1</f>
        <v>0.142985722352644</v>
      </c>
      <c r="L143" s="37" t="n">
        <v>7.93</v>
      </c>
      <c r="M143" s="37" t="n">
        <v>1.39</v>
      </c>
      <c r="N143" s="34" t="n">
        <v>33000</v>
      </c>
      <c r="O143" s="34" t="n">
        <v>27144.72</v>
      </c>
      <c r="P143" s="38"/>
      <c r="Q143" s="38"/>
    </row>
    <row r="144" customFormat="false" ht="15" hidden="false" customHeight="false" outlineLevel="0" collapsed="false">
      <c r="A144" s="34" t="n">
        <v>136</v>
      </c>
      <c r="B144" s="35" t="s">
        <v>373</v>
      </c>
      <c r="C144" s="35" t="s">
        <v>374</v>
      </c>
      <c r="D144" s="35" t="s">
        <v>133</v>
      </c>
      <c r="E144" s="34" t="n">
        <v>27400</v>
      </c>
      <c r="F144" s="34" t="n">
        <v>26600</v>
      </c>
      <c r="G144" s="34" t="n">
        <v>26900</v>
      </c>
      <c r="H144" s="34" t="n">
        <v>27500</v>
      </c>
      <c r="I144" s="36" t="n">
        <f aca="false">$E144/F144-1</f>
        <v>0.0300751879699248</v>
      </c>
      <c r="J144" s="36" t="n">
        <f aca="false">$E144/G144-1</f>
        <v>0.0185873605947955</v>
      </c>
      <c r="K144" s="36" t="n">
        <f aca="false">$E144/H144-1</f>
        <v>-0.00363636363636366</v>
      </c>
      <c r="L144" s="37" t="n">
        <v>12.38</v>
      </c>
      <c r="M144" s="37" t="n">
        <v>0.84</v>
      </c>
      <c r="N144" s="34" t="n">
        <v>28800</v>
      </c>
      <c r="O144" s="34" t="n">
        <v>24300</v>
      </c>
      <c r="P144" s="38"/>
      <c r="Q144" s="38"/>
    </row>
    <row r="145" customFormat="false" ht="15" hidden="false" customHeight="false" outlineLevel="0" collapsed="false">
      <c r="A145" s="34" t="n">
        <v>137</v>
      </c>
      <c r="B145" s="35" t="s">
        <v>375</v>
      </c>
      <c r="C145" s="35" t="s">
        <v>376</v>
      </c>
      <c r="D145" s="35" t="s">
        <v>111</v>
      </c>
      <c r="E145" s="34" t="n">
        <v>20998</v>
      </c>
      <c r="F145" s="34" t="n">
        <v>20694</v>
      </c>
      <c r="G145" s="34" t="n">
        <v>22352</v>
      </c>
      <c r="H145" s="34" t="n">
        <v>25938</v>
      </c>
      <c r="I145" s="36" t="n">
        <f aca="false">$E145/F145-1</f>
        <v>0.0146902483811733</v>
      </c>
      <c r="J145" s="36" t="n">
        <f aca="false">$E145/G145-1</f>
        <v>-0.0605762347888332</v>
      </c>
      <c r="K145" s="36" t="n">
        <f aca="false">$E145/H145-1</f>
        <v>-0.190454159919809</v>
      </c>
      <c r="L145" s="37" t="n">
        <v>11.44</v>
      </c>
      <c r="M145" s="37" t="n">
        <v>1.4</v>
      </c>
      <c r="N145" s="34" t="n">
        <v>31308</v>
      </c>
      <c r="O145" s="34" t="n">
        <v>19165</v>
      </c>
      <c r="P145" s="38"/>
      <c r="Q145" s="38"/>
    </row>
    <row r="146" customFormat="false" ht="15" hidden="false" customHeight="false" outlineLevel="0" collapsed="false">
      <c r="A146" s="34" t="n">
        <v>138</v>
      </c>
      <c r="B146" s="35" t="s">
        <v>377</v>
      </c>
      <c r="C146" s="35" t="s">
        <v>378</v>
      </c>
      <c r="D146" s="35" t="s">
        <v>111</v>
      </c>
      <c r="E146" s="34" t="n">
        <v>22100</v>
      </c>
      <c r="F146" s="34" t="n">
        <v>22100</v>
      </c>
      <c r="G146" s="34" t="n">
        <v>22100</v>
      </c>
      <c r="H146" s="34" t="n">
        <v>23800</v>
      </c>
      <c r="I146" s="36" t="n">
        <f aca="false">$E146/F146-1</f>
        <v>0</v>
      </c>
      <c r="J146" s="36" t="n">
        <f aca="false">$E146/G146-1</f>
        <v>0</v>
      </c>
      <c r="K146" s="36" t="n">
        <f aca="false">$E146/H146-1</f>
        <v>-0.0714285714285714</v>
      </c>
      <c r="L146" s="37" t="n">
        <v>6.74</v>
      </c>
      <c r="M146" s="37" t="n">
        <v>1.55</v>
      </c>
      <c r="N146" s="34" t="n">
        <v>26000</v>
      </c>
      <c r="O146" s="34" t="n">
        <v>17600</v>
      </c>
      <c r="P146" s="38"/>
      <c r="Q146" s="38"/>
    </row>
    <row r="147" customFormat="false" ht="15" hidden="false" customHeight="false" outlineLevel="0" collapsed="false">
      <c r="A147" s="34" t="n">
        <v>139</v>
      </c>
      <c r="B147" s="35" t="s">
        <v>379</v>
      </c>
      <c r="C147" s="35" t="s">
        <v>380</v>
      </c>
      <c r="D147" s="35" t="s">
        <v>111</v>
      </c>
      <c r="E147" s="34" t="n">
        <v>92482</v>
      </c>
      <c r="F147" s="34" t="n">
        <v>94300</v>
      </c>
      <c r="G147" s="34" t="n">
        <v>93296</v>
      </c>
      <c r="H147" s="34" t="n">
        <v>75748.93</v>
      </c>
      <c r="I147" s="36" t="n">
        <f aca="false">$E147/F147-1</f>
        <v>-0.0192788971367974</v>
      </c>
      <c r="J147" s="36" t="n">
        <f aca="false">$E147/G147-1</f>
        <v>-0.00872491853884416</v>
      </c>
      <c r="K147" s="36" t="n">
        <f aca="false">$E147/H147-1</f>
        <v>0.220901734189513</v>
      </c>
      <c r="L147" s="37" t="n">
        <v>14.85</v>
      </c>
      <c r="M147" s="37" t="n">
        <v>6.66</v>
      </c>
      <c r="N147" s="34" t="n">
        <v>154016</v>
      </c>
      <c r="O147" s="34" t="n">
        <v>49551.64</v>
      </c>
      <c r="P147" s="38"/>
      <c r="Q147" s="38"/>
    </row>
    <row r="148" customFormat="false" ht="15" hidden="false" customHeight="false" outlineLevel="0" collapsed="false">
      <c r="A148" s="34" t="n">
        <v>140</v>
      </c>
      <c r="B148" s="35" t="s">
        <v>381</v>
      </c>
      <c r="C148" s="35" t="s">
        <v>382</v>
      </c>
      <c r="D148" s="35" t="s">
        <v>111</v>
      </c>
      <c r="E148" s="34" t="n">
        <v>18100</v>
      </c>
      <c r="F148" s="34" t="n">
        <v>18714</v>
      </c>
      <c r="G148" s="34" t="n">
        <v>17760</v>
      </c>
      <c r="H148" s="34" t="n">
        <v>17943</v>
      </c>
      <c r="I148" s="36" t="n">
        <f aca="false">$E148/F148-1</f>
        <v>-0.0328096612162018</v>
      </c>
      <c r="J148" s="36" t="n">
        <f aca="false">$E148/G148-1</f>
        <v>0.0191441441441442</v>
      </c>
      <c r="K148" s="36" t="n">
        <f aca="false">$E148/H148-1</f>
        <v>0.00874993033494964</v>
      </c>
      <c r="L148" s="37" t="n">
        <v>10.07</v>
      </c>
      <c r="M148" s="37" t="n">
        <v>1.37</v>
      </c>
      <c r="N148" s="34" t="n">
        <v>20400</v>
      </c>
      <c r="O148" s="34" t="n">
        <v>16218</v>
      </c>
      <c r="P148" s="38"/>
      <c r="Q148" s="38"/>
    </row>
    <row r="149" customFormat="false" ht="15" hidden="false" customHeight="false" outlineLevel="0" collapsed="false">
      <c r="A149" s="34" t="n">
        <v>141</v>
      </c>
      <c r="B149" s="35" t="s">
        <v>383</v>
      </c>
      <c r="C149" s="35" t="s">
        <v>384</v>
      </c>
      <c r="D149" s="35" t="s">
        <v>116</v>
      </c>
      <c r="E149" s="34" t="n">
        <v>12000</v>
      </c>
      <c r="F149" s="34" t="n">
        <v>12200</v>
      </c>
      <c r="G149" s="34" t="n">
        <v>12100</v>
      </c>
      <c r="H149" s="34" t="n">
        <v>12500</v>
      </c>
      <c r="I149" s="36" t="n">
        <f aca="false">$E149/F149-1</f>
        <v>-0.0163934426229508</v>
      </c>
      <c r="J149" s="36" t="n">
        <f aca="false">$E149/G149-1</f>
        <v>-0.00826446280991733</v>
      </c>
      <c r="K149" s="36" t="n">
        <f aca="false">$E149/H149-1</f>
        <v>-0.04</v>
      </c>
      <c r="L149" s="37" t="n">
        <v>6.72</v>
      </c>
      <c r="M149" s="37" t="n">
        <v>0.69</v>
      </c>
      <c r="N149" s="34" t="n">
        <v>13300</v>
      </c>
      <c r="O149" s="34" t="n">
        <v>11700</v>
      </c>
      <c r="P149" s="38"/>
      <c r="Q149" s="38"/>
    </row>
    <row r="150" customFormat="false" ht="15" hidden="false" customHeight="false" outlineLevel="0" collapsed="false">
      <c r="A150" s="34" t="n">
        <v>142</v>
      </c>
      <c r="B150" s="35" t="s">
        <v>385</v>
      </c>
      <c r="C150" s="35" t="s">
        <v>386</v>
      </c>
      <c r="D150" s="35" t="s">
        <v>111</v>
      </c>
      <c r="E150" s="34" t="n">
        <v>4700</v>
      </c>
      <c r="F150" s="34" t="n">
        <v>4700</v>
      </c>
      <c r="G150" s="34" t="n">
        <v>4700</v>
      </c>
      <c r="H150" s="34" t="n">
        <v>4700</v>
      </c>
      <c r="I150" s="36" t="n">
        <f aca="false">$E150/F150-1</f>
        <v>0</v>
      </c>
      <c r="J150" s="36" t="n">
        <f aca="false">$E150/G150-1</f>
        <v>0</v>
      </c>
      <c r="K150" s="36" t="n">
        <f aca="false">$E150/H150-1</f>
        <v>0</v>
      </c>
      <c r="L150" s="37" t="n">
        <v>3.35</v>
      </c>
      <c r="M150" s="37" t="n">
        <v>0.43</v>
      </c>
      <c r="N150" s="34" t="n">
        <v>7832.8</v>
      </c>
      <c r="O150" s="34" t="n">
        <v>4700</v>
      </c>
      <c r="P150" s="38"/>
      <c r="Q150" s="38"/>
    </row>
    <row r="151" customFormat="false" ht="15" hidden="false" customHeight="false" outlineLevel="0" collapsed="false">
      <c r="A151" s="34" t="n">
        <v>143</v>
      </c>
      <c r="B151" s="35" t="s">
        <v>387</v>
      </c>
      <c r="C151" s="35" t="s">
        <v>388</v>
      </c>
      <c r="D151" s="35" t="s">
        <v>116</v>
      </c>
      <c r="E151" s="34" t="n">
        <v>10550</v>
      </c>
      <c r="F151" s="34" t="n">
        <v>10350</v>
      </c>
      <c r="G151" s="34" t="n">
        <v>11600</v>
      </c>
      <c r="H151" s="34" t="n">
        <v>14216.88</v>
      </c>
      <c r="I151" s="36" t="n">
        <f aca="false">$E151/F151-1</f>
        <v>0.0193236714975846</v>
      </c>
      <c r="J151" s="36" t="n">
        <f aca="false">$E151/G151-1</f>
        <v>-0.0905172413793104</v>
      </c>
      <c r="K151" s="36" t="n">
        <f aca="false">$E151/H151-1</f>
        <v>-0.257924382846307</v>
      </c>
      <c r="L151" s="37" t="n">
        <v>13.05</v>
      </c>
      <c r="M151" s="37" t="n">
        <v>0.85</v>
      </c>
      <c r="N151" s="34" t="n">
        <v>17482.92</v>
      </c>
      <c r="O151" s="34" t="n">
        <v>9980</v>
      </c>
      <c r="P151" s="38"/>
      <c r="Q151" s="38"/>
    </row>
    <row r="152" customFormat="false" ht="15" hidden="false" customHeight="false" outlineLevel="0" collapsed="false">
      <c r="A152" s="34" t="n">
        <v>144</v>
      </c>
      <c r="B152" s="35" t="s">
        <v>389</v>
      </c>
      <c r="C152" s="35" t="s">
        <v>390</v>
      </c>
      <c r="D152" s="35" t="s">
        <v>111</v>
      </c>
      <c r="E152" s="34" t="n">
        <v>8500</v>
      </c>
      <c r="F152" s="34" t="n">
        <v>7600</v>
      </c>
      <c r="G152" s="34" t="n">
        <v>8200</v>
      </c>
      <c r="H152" s="34" t="n">
        <v>8566</v>
      </c>
      <c r="I152" s="36" t="n">
        <f aca="false">$E152/F152-1</f>
        <v>0.118421052631579</v>
      </c>
      <c r="J152" s="36" t="n">
        <f aca="false">$E152/G152-1</f>
        <v>0.0365853658536586</v>
      </c>
      <c r="K152" s="36" t="n">
        <f aca="false">$E152/H152-1</f>
        <v>-0.0077048797571796</v>
      </c>
      <c r="L152" s="37" t="n">
        <v>11.06</v>
      </c>
      <c r="M152" s="37" t="n">
        <v>0.8</v>
      </c>
      <c r="N152" s="34" t="n">
        <v>10114</v>
      </c>
      <c r="O152" s="34" t="n">
        <v>7566</v>
      </c>
      <c r="P152" s="38"/>
      <c r="Q152" s="38"/>
    </row>
    <row r="153" customFormat="false" ht="15" hidden="false" customHeight="false" outlineLevel="0" collapsed="false">
      <c r="A153" s="34" t="n">
        <v>145</v>
      </c>
      <c r="B153" s="35" t="s">
        <v>391</v>
      </c>
      <c r="C153" s="35" t="s">
        <v>392</v>
      </c>
      <c r="D153" s="35" t="s">
        <v>116</v>
      </c>
      <c r="E153" s="34" t="n">
        <v>36050</v>
      </c>
      <c r="F153" s="34" t="n">
        <v>36000</v>
      </c>
      <c r="G153" s="34" t="n">
        <v>38450</v>
      </c>
      <c r="H153" s="34" t="n">
        <v>38000</v>
      </c>
      <c r="I153" s="36" t="n">
        <f aca="false">$E153/F153-1</f>
        <v>0.00138888888888888</v>
      </c>
      <c r="J153" s="36" t="n">
        <f aca="false">$E153/G153-1</f>
        <v>-0.0624187256176854</v>
      </c>
      <c r="K153" s="36" t="n">
        <f aca="false">$E153/H153-1</f>
        <v>-0.0513157894736842</v>
      </c>
      <c r="L153" s="37" t="n">
        <v>8.76</v>
      </c>
      <c r="M153" s="37" t="n">
        <v>1.15</v>
      </c>
      <c r="N153" s="34" t="n">
        <v>47500</v>
      </c>
      <c r="O153" s="34" t="n">
        <v>33600</v>
      </c>
      <c r="P153" s="38"/>
      <c r="Q153" s="38"/>
    </row>
    <row r="154" customFormat="false" ht="15" hidden="false" customHeight="false" outlineLevel="0" collapsed="false">
      <c r="A154" s="34" t="n">
        <v>146</v>
      </c>
      <c r="B154" s="35" t="s">
        <v>393</v>
      </c>
      <c r="C154" s="35" t="s">
        <v>394</v>
      </c>
      <c r="D154" s="35" t="s">
        <v>116</v>
      </c>
      <c r="E154" s="34" t="n">
        <v>35000</v>
      </c>
      <c r="F154" s="34" t="n">
        <v>34200</v>
      </c>
      <c r="G154" s="34" t="n">
        <v>38900</v>
      </c>
      <c r="H154" s="34" t="n">
        <v>29600</v>
      </c>
      <c r="I154" s="36" t="n">
        <f aca="false">$E154/F154-1</f>
        <v>0.0233918128654971</v>
      </c>
      <c r="J154" s="36" t="n">
        <f aca="false">$E154/G154-1</f>
        <v>-0.10025706940874</v>
      </c>
      <c r="K154" s="36" t="n">
        <f aca="false">$E154/H154-1</f>
        <v>0.182432432432432</v>
      </c>
      <c r="L154" s="37" t="n">
        <v>14.47</v>
      </c>
      <c r="M154" s="37" t="n">
        <v>1.6</v>
      </c>
      <c r="N154" s="34" t="n">
        <v>95000</v>
      </c>
      <c r="O154" s="34" t="n">
        <v>24150</v>
      </c>
      <c r="P154" s="38"/>
      <c r="Q154" s="38"/>
    </row>
    <row r="155" customFormat="false" ht="15" hidden="false" customHeight="false" outlineLevel="0" collapsed="false">
      <c r="A155" s="34" t="n">
        <v>147</v>
      </c>
      <c r="B155" s="35" t="s">
        <v>395</v>
      </c>
      <c r="C155" s="35" t="s">
        <v>396</v>
      </c>
      <c r="D155" s="35" t="s">
        <v>116</v>
      </c>
      <c r="E155" s="34" t="n">
        <v>14550</v>
      </c>
      <c r="F155" s="34" t="n">
        <v>14600</v>
      </c>
      <c r="G155" s="34" t="n">
        <v>13800</v>
      </c>
      <c r="H155" s="34" t="n">
        <v>13350</v>
      </c>
      <c r="I155" s="36" t="n">
        <f aca="false">$E155/F155-1</f>
        <v>-0.00342465753424659</v>
      </c>
      <c r="J155" s="36" t="n">
        <f aca="false">$E155/G155-1</f>
        <v>0.0543478260869565</v>
      </c>
      <c r="K155" s="36" t="n">
        <f aca="false">$E155/H155-1</f>
        <v>0.0898876404494382</v>
      </c>
      <c r="L155" s="37" t="n">
        <v>26.67</v>
      </c>
      <c r="M155" s="37" t="n">
        <v>1.07</v>
      </c>
      <c r="N155" s="34" t="n">
        <v>17150</v>
      </c>
      <c r="O155" s="34" t="n">
        <v>11400</v>
      </c>
      <c r="P155" s="38"/>
      <c r="Q155" s="38"/>
    </row>
    <row r="156" customFormat="false" ht="15" hidden="false" customHeight="false" outlineLevel="0" collapsed="false">
      <c r="A156" s="34" t="n">
        <v>148</v>
      </c>
      <c r="B156" s="35" t="s">
        <v>397</v>
      </c>
      <c r="C156" s="35" t="s">
        <v>398</v>
      </c>
      <c r="D156" s="35" t="s">
        <v>116</v>
      </c>
      <c r="E156" s="34" t="n">
        <v>58600</v>
      </c>
      <c r="F156" s="34" t="n">
        <v>56800</v>
      </c>
      <c r="G156" s="34" t="n">
        <v>63900</v>
      </c>
      <c r="H156" s="34" t="n">
        <v>58500</v>
      </c>
      <c r="I156" s="36" t="n">
        <f aca="false">$E156/F156-1</f>
        <v>0.0316901408450705</v>
      </c>
      <c r="J156" s="36" t="n">
        <f aca="false">$E156/G156-1</f>
        <v>-0.082942097026604</v>
      </c>
      <c r="K156" s="36" t="n">
        <f aca="false">$E156/H156-1</f>
        <v>0.0017094017094017</v>
      </c>
      <c r="L156" s="37" t="n">
        <v>8.49</v>
      </c>
      <c r="M156" s="37" t="n">
        <v>1.7</v>
      </c>
      <c r="N156" s="34" t="n">
        <v>71300</v>
      </c>
      <c r="O156" s="34" t="n">
        <v>48650</v>
      </c>
      <c r="P156" s="38" t="n">
        <v>12.9</v>
      </c>
      <c r="Q156" s="38" t="n">
        <v>2.04</v>
      </c>
    </row>
    <row r="157" customFormat="false" ht="15" hidden="false" customHeight="false" outlineLevel="0" collapsed="false">
      <c r="A157" s="34" t="n">
        <v>149</v>
      </c>
      <c r="B157" s="35" t="s">
        <v>399</v>
      </c>
      <c r="C157" s="35" t="s">
        <v>400</v>
      </c>
      <c r="D157" s="35" t="s">
        <v>116</v>
      </c>
      <c r="E157" s="34" t="n">
        <v>37550</v>
      </c>
      <c r="F157" s="34" t="n">
        <v>39850</v>
      </c>
      <c r="G157" s="34" t="n">
        <v>40800</v>
      </c>
      <c r="H157" s="34" t="n">
        <v>39483.29</v>
      </c>
      <c r="I157" s="36" t="n">
        <f aca="false">$E157/F157-1</f>
        <v>-0.0577164366373902</v>
      </c>
      <c r="J157" s="36" t="n">
        <f aca="false">$E157/G157-1</f>
        <v>-0.0796568627450981</v>
      </c>
      <c r="K157" s="36" t="n">
        <f aca="false">$E157/H157-1</f>
        <v>-0.0489647645877535</v>
      </c>
      <c r="L157" s="37" t="n">
        <v>54.36</v>
      </c>
      <c r="M157" s="37" t="n">
        <v>2.42</v>
      </c>
      <c r="N157" s="34" t="n">
        <v>43301.79</v>
      </c>
      <c r="O157" s="34" t="n">
        <v>21383.6</v>
      </c>
      <c r="P157" s="38"/>
      <c r="Q157" s="38"/>
    </row>
    <row r="158" customFormat="false" ht="15" hidden="false" customHeight="false" outlineLevel="0" collapsed="false">
      <c r="A158" s="34" t="n">
        <v>150</v>
      </c>
      <c r="B158" s="35" t="s">
        <v>401</v>
      </c>
      <c r="C158" s="35" t="s">
        <v>402</v>
      </c>
      <c r="D158" s="35" t="s">
        <v>111</v>
      </c>
      <c r="E158" s="34" t="n">
        <v>8200</v>
      </c>
      <c r="F158" s="34" t="n">
        <v>8200</v>
      </c>
      <c r="G158" s="34" t="n">
        <v>9100</v>
      </c>
      <c r="H158" s="34" t="n">
        <v>8500</v>
      </c>
      <c r="I158" s="36" t="n">
        <f aca="false">$E158/F158-1</f>
        <v>0</v>
      </c>
      <c r="J158" s="36" t="n">
        <f aca="false">$E158/G158-1</f>
        <v>-0.0989010989010989</v>
      </c>
      <c r="K158" s="36" t="n">
        <f aca="false">$E158/H158-1</f>
        <v>-0.0352941176470588</v>
      </c>
      <c r="L158" s="37" t="n">
        <v>13.66</v>
      </c>
      <c r="M158" s="37" t="n">
        <v>0.78</v>
      </c>
      <c r="N158" s="34" t="n">
        <v>9800</v>
      </c>
      <c r="O158" s="34" t="n">
        <v>8000</v>
      </c>
      <c r="P158" s="38"/>
      <c r="Q158" s="38"/>
    </row>
    <row r="159" customFormat="false" ht="15" hidden="false" customHeight="false" outlineLevel="0" collapsed="false">
      <c r="A159" s="34" t="n">
        <v>151</v>
      </c>
      <c r="B159" s="35" t="s">
        <v>403</v>
      </c>
      <c r="C159" s="35" t="s">
        <v>404</v>
      </c>
      <c r="D159" s="35" t="s">
        <v>111</v>
      </c>
      <c r="E159" s="34" t="n">
        <v>22620</v>
      </c>
      <c r="F159" s="34" t="n">
        <v>24107.52</v>
      </c>
      <c r="G159" s="34" t="n">
        <v>25228.8</v>
      </c>
      <c r="H159" s="34" t="n">
        <v>27097.6</v>
      </c>
      <c r="I159" s="36" t="n">
        <f aca="false">$E159/F159-1</f>
        <v>-0.0617035680152915</v>
      </c>
      <c r="J159" s="36" t="n">
        <f aca="false">$E159/G159-1</f>
        <v>-0.103405631659056</v>
      </c>
      <c r="K159" s="36" t="n">
        <f aca="false">$E159/H159-1</f>
        <v>-0.165239726027397</v>
      </c>
      <c r="L159" s="37" t="n">
        <v>4.43</v>
      </c>
      <c r="M159" s="37" t="n">
        <v>0.92</v>
      </c>
      <c r="N159" s="34" t="n">
        <v>28428.19</v>
      </c>
      <c r="O159" s="34" t="n">
        <v>22090</v>
      </c>
      <c r="P159" s="38"/>
      <c r="Q159" s="38"/>
    </row>
    <row r="160" customFormat="false" ht="15" hidden="false" customHeight="false" outlineLevel="0" collapsed="false">
      <c r="A160" s="34" t="n">
        <v>152</v>
      </c>
      <c r="B160" s="35" t="s">
        <v>405</v>
      </c>
      <c r="C160" s="35" t="s">
        <v>406</v>
      </c>
      <c r="D160" s="35" t="s">
        <v>116</v>
      </c>
      <c r="E160" s="34" t="n">
        <v>74900</v>
      </c>
      <c r="F160" s="34" t="n">
        <v>73300</v>
      </c>
      <c r="G160" s="34" t="n">
        <v>79002.42</v>
      </c>
      <c r="H160" s="34" t="n">
        <v>74004.7</v>
      </c>
      <c r="I160" s="36" t="n">
        <f aca="false">$E160/F160-1</f>
        <v>0.0218281036834924</v>
      </c>
      <c r="J160" s="36" t="n">
        <f aca="false">$E160/G160-1</f>
        <v>-0.0519277763896346</v>
      </c>
      <c r="K160" s="36" t="n">
        <f aca="false">$E160/H160-1</f>
        <v>0.0120978802697667</v>
      </c>
      <c r="L160" s="37" t="n">
        <v>7.78</v>
      </c>
      <c r="M160" s="37" t="n">
        <v>1</v>
      </c>
      <c r="N160" s="34" t="n">
        <v>81501.28</v>
      </c>
      <c r="O160" s="34" t="n">
        <v>63240.38</v>
      </c>
      <c r="P160" s="38"/>
      <c r="Q160" s="38"/>
    </row>
    <row r="161" customFormat="false" ht="15" hidden="false" customHeight="false" outlineLevel="0" collapsed="false">
      <c r="A161" s="34" t="n">
        <v>153</v>
      </c>
      <c r="B161" s="35" t="s">
        <v>407</v>
      </c>
      <c r="C161" s="35" t="s">
        <v>408</v>
      </c>
      <c r="D161" s="35" t="s">
        <v>116</v>
      </c>
      <c r="E161" s="34" t="n">
        <v>29650</v>
      </c>
      <c r="F161" s="34" t="n">
        <v>29650</v>
      </c>
      <c r="G161" s="34" t="n">
        <v>30000</v>
      </c>
      <c r="H161" s="34" t="n">
        <v>32600</v>
      </c>
      <c r="I161" s="36" t="n">
        <f aca="false">$E161/F161-1</f>
        <v>0</v>
      </c>
      <c r="J161" s="36" t="n">
        <f aca="false">$E161/G161-1</f>
        <v>-0.0116666666666667</v>
      </c>
      <c r="K161" s="36" t="n">
        <f aca="false">$E161/H161-1</f>
        <v>-0.0904907975460123</v>
      </c>
      <c r="L161" s="37" t="n">
        <v>11.08</v>
      </c>
      <c r="M161" s="37" t="n">
        <v>1.46</v>
      </c>
      <c r="N161" s="34" t="n">
        <v>32900</v>
      </c>
      <c r="O161" s="34" t="n">
        <v>27000</v>
      </c>
      <c r="P161" s="38"/>
      <c r="Q161" s="38"/>
    </row>
    <row r="162" customFormat="false" ht="15" hidden="false" customHeight="false" outlineLevel="0" collapsed="false">
      <c r="A162" s="34" t="n">
        <v>154</v>
      </c>
      <c r="B162" s="35" t="s">
        <v>409</v>
      </c>
      <c r="C162" s="35" t="s">
        <v>410</v>
      </c>
      <c r="D162" s="35" t="s">
        <v>111</v>
      </c>
      <c r="E162" s="34" t="n">
        <v>26000</v>
      </c>
      <c r="F162" s="34" t="n">
        <v>26000</v>
      </c>
      <c r="G162" s="34" t="n">
        <v>25000</v>
      </c>
      <c r="H162" s="34" t="n">
        <v>25000</v>
      </c>
      <c r="I162" s="36" t="n">
        <f aca="false">$E162/F162-1</f>
        <v>0</v>
      </c>
      <c r="J162" s="36" t="n">
        <f aca="false">$E162/G162-1</f>
        <v>0.04</v>
      </c>
      <c r="K162" s="36" t="n">
        <f aca="false">$E162/H162-1</f>
        <v>0.04</v>
      </c>
      <c r="L162" s="37" t="n">
        <v>133.54</v>
      </c>
      <c r="M162" s="37" t="n">
        <v>2.35</v>
      </c>
      <c r="N162" s="34" t="n">
        <v>27000</v>
      </c>
      <c r="O162" s="34" t="n">
        <v>15000</v>
      </c>
      <c r="P162" s="38"/>
      <c r="Q162" s="38"/>
    </row>
    <row r="163" customFormat="false" ht="15" hidden="false" customHeight="false" outlineLevel="0" collapsed="false">
      <c r="A163" s="34" t="n">
        <v>155</v>
      </c>
      <c r="B163" s="35" t="s">
        <v>411</v>
      </c>
      <c r="C163" s="35" t="s">
        <v>412</v>
      </c>
      <c r="D163" s="35" t="s">
        <v>116</v>
      </c>
      <c r="E163" s="34" t="n">
        <v>17800</v>
      </c>
      <c r="F163" s="34" t="n">
        <v>17900</v>
      </c>
      <c r="G163" s="34" t="n">
        <v>18300</v>
      </c>
      <c r="H163" s="34" t="n">
        <v>19400</v>
      </c>
      <c r="I163" s="36" t="n">
        <f aca="false">$E163/F163-1</f>
        <v>-0.005586592178771</v>
      </c>
      <c r="J163" s="36" t="n">
        <f aca="false">$E163/G163-1</f>
        <v>-0.0273224043715847</v>
      </c>
      <c r="K163" s="36" t="n">
        <f aca="false">$E163/H163-1</f>
        <v>-0.0824742268041238</v>
      </c>
      <c r="L163" s="37" t="n">
        <v>9.83</v>
      </c>
      <c r="M163" s="37" t="n">
        <v>0.61</v>
      </c>
      <c r="N163" s="34" t="n">
        <v>23409.6</v>
      </c>
      <c r="O163" s="34" t="n">
        <v>17750</v>
      </c>
      <c r="P163" s="38"/>
      <c r="Q163" s="38"/>
    </row>
    <row r="164" customFormat="false" ht="15" hidden="false" customHeight="false" outlineLevel="0" collapsed="false">
      <c r="A164" s="34" t="n">
        <v>156</v>
      </c>
      <c r="B164" s="35" t="s">
        <v>413</v>
      </c>
      <c r="C164" s="35" t="s">
        <v>414</v>
      </c>
      <c r="D164" s="35" t="s">
        <v>111</v>
      </c>
      <c r="E164" s="34" t="n">
        <v>6340</v>
      </c>
      <c r="F164" s="34" t="n">
        <v>5700</v>
      </c>
      <c r="G164" s="34" t="n">
        <v>6700</v>
      </c>
      <c r="H164" s="34" t="n">
        <v>7700</v>
      </c>
      <c r="I164" s="36" t="n">
        <f aca="false">$E164/F164-1</f>
        <v>0.112280701754386</v>
      </c>
      <c r="J164" s="36" t="n">
        <f aca="false">$E164/G164-1</f>
        <v>-0.0537313432835821</v>
      </c>
      <c r="K164" s="36" t="n">
        <f aca="false">$E164/H164-1</f>
        <v>-0.176623376623377</v>
      </c>
      <c r="L164" s="37" t="n">
        <v>29.15</v>
      </c>
      <c r="M164" s="37" t="n">
        <v>0.53</v>
      </c>
      <c r="N164" s="34" t="n">
        <v>8300</v>
      </c>
      <c r="O164" s="34" t="n">
        <v>4633</v>
      </c>
      <c r="P164" s="38"/>
      <c r="Q164" s="38"/>
    </row>
    <row r="165" customFormat="false" ht="15" hidden="false" customHeight="false" outlineLevel="0" collapsed="false">
      <c r="A165" s="34" t="n">
        <v>157</v>
      </c>
      <c r="B165" s="35" t="s">
        <v>415</v>
      </c>
      <c r="C165" s="35" t="s">
        <v>416</v>
      </c>
      <c r="D165" s="35" t="s">
        <v>111</v>
      </c>
      <c r="E165" s="34" t="n">
        <v>32927</v>
      </c>
      <c r="F165" s="34" t="n">
        <v>32900</v>
      </c>
      <c r="G165" s="34" t="n">
        <v>33097.46</v>
      </c>
      <c r="H165" s="34" t="n">
        <v>32709.22</v>
      </c>
      <c r="I165" s="36" t="n">
        <f aca="false">$E165/F165-1</f>
        <v>0.000820668693009008</v>
      </c>
      <c r="J165" s="36" t="n">
        <f aca="false">$E165/G165-1</f>
        <v>-0.00515024415770871</v>
      </c>
      <c r="K165" s="36" t="n">
        <f aca="false">$E165/H165-1</f>
        <v>0.00665806154961812</v>
      </c>
      <c r="L165" s="37" t="n">
        <v>12.86</v>
      </c>
      <c r="M165" s="37" t="n">
        <v>2.72</v>
      </c>
      <c r="N165" s="34" t="n">
        <v>35426.9</v>
      </c>
      <c r="O165" s="34" t="n">
        <v>29284.64</v>
      </c>
      <c r="P165" s="38"/>
      <c r="Q165" s="38"/>
    </row>
    <row r="166" customFormat="false" ht="15" hidden="false" customHeight="false" outlineLevel="0" collapsed="false">
      <c r="A166" s="34" t="n">
        <v>158</v>
      </c>
      <c r="B166" s="35" t="s">
        <v>417</v>
      </c>
      <c r="C166" s="35" t="s">
        <v>418</v>
      </c>
      <c r="D166" s="35" t="s">
        <v>133</v>
      </c>
      <c r="E166" s="34" t="n">
        <v>56000</v>
      </c>
      <c r="F166" s="34" t="n">
        <v>54300</v>
      </c>
      <c r="G166" s="34" t="n">
        <v>67900</v>
      </c>
      <c r="H166" s="34" t="n">
        <v>57843.72</v>
      </c>
      <c r="I166" s="36" t="n">
        <f aca="false">$E166/F166-1</f>
        <v>0.0313075506445673</v>
      </c>
      <c r="J166" s="36" t="n">
        <f aca="false">$E166/G166-1</f>
        <v>-0.175257731958763</v>
      </c>
      <c r="K166" s="36" t="n">
        <f aca="false">$E166/H166-1</f>
        <v>-0.0318741602372739</v>
      </c>
      <c r="L166" s="37" t="n">
        <v>11.46</v>
      </c>
      <c r="M166" s="37" t="n">
        <v>2.08</v>
      </c>
      <c r="N166" s="34" t="n">
        <v>77000</v>
      </c>
      <c r="O166" s="34" t="n">
        <v>51708.78</v>
      </c>
      <c r="P166" s="38"/>
      <c r="Q166" s="38"/>
    </row>
    <row r="167" customFormat="false" ht="15" hidden="false" customHeight="false" outlineLevel="0" collapsed="false">
      <c r="A167" s="34" t="n">
        <v>159</v>
      </c>
      <c r="B167" s="35" t="s">
        <v>419</v>
      </c>
      <c r="C167" s="35" t="s">
        <v>420</v>
      </c>
      <c r="D167" s="35" t="s">
        <v>111</v>
      </c>
      <c r="E167" s="34" t="n">
        <v>12000</v>
      </c>
      <c r="F167" s="34" t="n">
        <v>12000</v>
      </c>
      <c r="G167" s="34" t="n">
        <v>13000</v>
      </c>
      <c r="H167" s="34" t="n">
        <v>15100</v>
      </c>
      <c r="I167" s="36" t="n">
        <f aca="false">$E167/F167-1</f>
        <v>0</v>
      </c>
      <c r="J167" s="36" t="n">
        <f aca="false">$E167/G167-1</f>
        <v>-0.0769230769230769</v>
      </c>
      <c r="K167" s="36" t="n">
        <f aca="false">$E167/H167-1</f>
        <v>-0.205298013245033</v>
      </c>
      <c r="L167" s="37" t="n">
        <v>10.34</v>
      </c>
      <c r="M167" s="37" t="n">
        <v>1.08</v>
      </c>
      <c r="N167" s="34" t="n">
        <v>16200</v>
      </c>
      <c r="O167" s="34" t="n">
        <v>11700</v>
      </c>
      <c r="P167" s="38"/>
      <c r="Q167" s="38"/>
    </row>
    <row r="168" customFormat="false" ht="15" hidden="false" customHeight="false" outlineLevel="0" collapsed="false">
      <c r="A168" s="34" t="n">
        <v>160</v>
      </c>
      <c r="B168" s="35" t="s">
        <v>421</v>
      </c>
      <c r="C168" s="35" t="s">
        <v>422</v>
      </c>
      <c r="D168" s="35" t="s">
        <v>116</v>
      </c>
      <c r="E168" s="34" t="n">
        <v>40650</v>
      </c>
      <c r="F168" s="34" t="n">
        <v>38000</v>
      </c>
      <c r="G168" s="34" t="n">
        <v>54900</v>
      </c>
      <c r="H168" s="34" t="n">
        <v>41263.48</v>
      </c>
      <c r="I168" s="36" t="n">
        <f aca="false">$E168/F168-1</f>
        <v>0.0697368421052631</v>
      </c>
      <c r="J168" s="36" t="n">
        <f aca="false">$E168/G168-1</f>
        <v>-0.259562841530055</v>
      </c>
      <c r="K168" s="36" t="n">
        <f aca="false">$E168/H168-1</f>
        <v>-0.0148673839433805</v>
      </c>
      <c r="L168" s="37" t="n">
        <v>8.53</v>
      </c>
      <c r="M168" s="37" t="n">
        <v>2.11</v>
      </c>
      <c r="N168" s="34" t="n">
        <v>59100</v>
      </c>
      <c r="O168" s="34" t="n">
        <v>38000</v>
      </c>
      <c r="P168" s="38"/>
      <c r="Q168" s="38"/>
    </row>
    <row r="169" customFormat="false" ht="15" hidden="false" customHeight="false" outlineLevel="0" collapsed="false">
      <c r="A169" s="34" t="n">
        <v>161</v>
      </c>
      <c r="B169" s="35" t="s">
        <v>423</v>
      </c>
      <c r="C169" s="35" t="s">
        <v>424</v>
      </c>
      <c r="D169" s="35" t="s">
        <v>111</v>
      </c>
      <c r="E169" s="34" t="n">
        <v>11200</v>
      </c>
      <c r="F169" s="34" t="n">
        <v>11200</v>
      </c>
      <c r="G169" s="34" t="n">
        <v>11200</v>
      </c>
      <c r="H169" s="34" t="n">
        <v>3164.79</v>
      </c>
      <c r="I169" s="36" t="n">
        <f aca="false">$E169/F169-1</f>
        <v>0</v>
      </c>
      <c r="J169" s="36" t="n">
        <f aca="false">$E169/G169-1</f>
        <v>0</v>
      </c>
      <c r="K169" s="36" t="n">
        <f aca="false">$E169/H169-1</f>
        <v>2.53893939250314</v>
      </c>
      <c r="L169" s="37" t="n">
        <v>2.52</v>
      </c>
      <c r="M169" s="37" t="n">
        <v>0.68</v>
      </c>
      <c r="N169" s="34" t="n">
        <v>11200</v>
      </c>
      <c r="O169" s="34" t="n">
        <v>1694.1</v>
      </c>
      <c r="P169" s="38"/>
      <c r="Q169" s="38"/>
    </row>
    <row r="170" customFormat="false" ht="15" hidden="false" customHeight="false" outlineLevel="0" collapsed="false">
      <c r="A170" s="34" t="n">
        <v>162</v>
      </c>
      <c r="B170" s="35" t="s">
        <v>425</v>
      </c>
      <c r="C170" s="35" t="s">
        <v>426</v>
      </c>
      <c r="D170" s="35" t="s">
        <v>111</v>
      </c>
      <c r="E170" s="34" t="n">
        <v>18900</v>
      </c>
      <c r="F170" s="34" t="n">
        <v>18900</v>
      </c>
      <c r="G170" s="34" t="n">
        <v>18900</v>
      </c>
      <c r="H170" s="34" t="n">
        <v>15000</v>
      </c>
      <c r="I170" s="36" t="n">
        <f aca="false">$E170/F170-1</f>
        <v>0</v>
      </c>
      <c r="J170" s="36" t="n">
        <f aca="false">$E170/G170-1</f>
        <v>0</v>
      </c>
      <c r="K170" s="36" t="n">
        <f aca="false">$E170/H170-1</f>
        <v>0.26</v>
      </c>
      <c r="L170" s="37" t="n">
        <v>5.73</v>
      </c>
      <c r="M170" s="37" t="n">
        <v>1.27</v>
      </c>
      <c r="N170" s="34" t="n">
        <v>20629</v>
      </c>
      <c r="O170" s="34" t="n">
        <v>11827.5</v>
      </c>
      <c r="P170" s="38"/>
      <c r="Q170" s="38"/>
    </row>
    <row r="171" customFormat="false" ht="15" hidden="false" customHeight="false" outlineLevel="0" collapsed="false">
      <c r="A171" s="34" t="n">
        <v>163</v>
      </c>
      <c r="B171" s="35" t="s">
        <v>427</v>
      </c>
      <c r="C171" s="35" t="s">
        <v>428</v>
      </c>
      <c r="D171" s="35" t="s">
        <v>111</v>
      </c>
      <c r="E171" s="34" t="n">
        <v>29500</v>
      </c>
      <c r="F171" s="34" t="n">
        <v>29594.76</v>
      </c>
      <c r="G171" s="34" t="n">
        <v>31269.58</v>
      </c>
      <c r="H171" s="34" t="n">
        <v>32354.4</v>
      </c>
      <c r="I171" s="36" t="n">
        <f aca="false">$E171/F171-1</f>
        <v>-0.003201918177407</v>
      </c>
      <c r="J171" s="36" t="n">
        <f aca="false">$E171/G171-1</f>
        <v>-0.0565911022789561</v>
      </c>
      <c r="K171" s="36" t="n">
        <f aca="false">$E171/H171-1</f>
        <v>-0.0882229310387459</v>
      </c>
      <c r="L171" s="37" t="n">
        <v>10.63</v>
      </c>
      <c r="M171" s="37" t="n">
        <v>1.41</v>
      </c>
      <c r="N171" s="34" t="n">
        <v>33686.64</v>
      </c>
      <c r="O171" s="34" t="n">
        <v>29232.2</v>
      </c>
      <c r="P171" s="38"/>
      <c r="Q171" s="38"/>
    </row>
    <row r="172" customFormat="false" ht="15" hidden="false" customHeight="false" outlineLevel="0" collapsed="false">
      <c r="A172" s="34" t="n">
        <v>164</v>
      </c>
      <c r="B172" s="35" t="s">
        <v>429</v>
      </c>
      <c r="C172" s="35" t="s">
        <v>430</v>
      </c>
      <c r="D172" s="35" t="s">
        <v>111</v>
      </c>
      <c r="E172" s="34" t="n">
        <v>14100</v>
      </c>
      <c r="F172" s="34" t="n">
        <v>13100</v>
      </c>
      <c r="G172" s="34" t="n">
        <v>14200</v>
      </c>
      <c r="H172" s="34" t="n">
        <v>15000</v>
      </c>
      <c r="I172" s="36" t="n">
        <f aca="false">$E172/F172-1</f>
        <v>0.0763358778625953</v>
      </c>
      <c r="J172" s="36" t="n">
        <f aca="false">$E172/G172-1</f>
        <v>-0.00704225352112675</v>
      </c>
      <c r="K172" s="36" t="n">
        <f aca="false">$E172/H172-1</f>
        <v>-0.0600000000000001</v>
      </c>
      <c r="L172" s="37" t="n">
        <v>5.78</v>
      </c>
      <c r="M172" s="37" t="n">
        <v>0.94</v>
      </c>
      <c r="N172" s="34" t="n">
        <v>19500</v>
      </c>
      <c r="O172" s="34" t="n">
        <v>12800</v>
      </c>
      <c r="P172" s="38"/>
      <c r="Q172" s="38"/>
    </row>
    <row r="173" customFormat="false" ht="15" hidden="false" customHeight="false" outlineLevel="0" collapsed="false">
      <c r="A173" s="34" t="n">
        <v>165</v>
      </c>
      <c r="B173" s="35" t="s">
        <v>431</v>
      </c>
      <c r="C173" s="35" t="s">
        <v>432</v>
      </c>
      <c r="D173" s="35" t="s">
        <v>133</v>
      </c>
      <c r="E173" s="34" t="n">
        <v>27500</v>
      </c>
      <c r="F173" s="34" t="n">
        <v>27600</v>
      </c>
      <c r="G173" s="34" t="n">
        <v>30600</v>
      </c>
      <c r="H173" s="34" t="n">
        <v>34929.65</v>
      </c>
      <c r="I173" s="36" t="n">
        <f aca="false">$E173/F173-1</f>
        <v>-0.00362318840579712</v>
      </c>
      <c r="J173" s="36" t="n">
        <f aca="false">$E173/G173-1</f>
        <v>-0.101307189542484</v>
      </c>
      <c r="K173" s="36" t="n">
        <f aca="false">$E173/H173-1</f>
        <v>-0.21270324781382</v>
      </c>
      <c r="L173" s="37" t="n">
        <v>7.94</v>
      </c>
      <c r="M173" s="37" t="n">
        <v>1.58</v>
      </c>
      <c r="N173" s="34" t="n">
        <v>46604.25</v>
      </c>
      <c r="O173" s="34" t="n">
        <v>27500</v>
      </c>
      <c r="P173" s="38"/>
      <c r="Q173" s="38"/>
    </row>
    <row r="174" customFormat="false" ht="15" hidden="false" customHeight="false" outlineLevel="0" collapsed="false">
      <c r="A174" s="34" t="n">
        <v>166</v>
      </c>
      <c r="B174" s="35" t="s">
        <v>433</v>
      </c>
      <c r="C174" s="35" t="s">
        <v>434</v>
      </c>
      <c r="D174" s="35" t="s">
        <v>111</v>
      </c>
      <c r="E174" s="34" t="n">
        <v>24000</v>
      </c>
      <c r="F174" s="34" t="n">
        <v>23900</v>
      </c>
      <c r="G174" s="34" t="n">
        <v>22400</v>
      </c>
      <c r="H174" s="34" t="n">
        <v>19841.01</v>
      </c>
      <c r="I174" s="36" t="n">
        <f aca="false">$E174/F174-1</f>
        <v>0.00418410041841</v>
      </c>
      <c r="J174" s="36" t="n">
        <f aca="false">$E174/G174-1</f>
        <v>0.0714285714285714</v>
      </c>
      <c r="K174" s="36" t="n">
        <f aca="false">$E174/H174-1</f>
        <v>0.209615841129056</v>
      </c>
      <c r="L174" s="37" t="n">
        <v>10.67</v>
      </c>
      <c r="M174" s="37" t="n">
        <v>1.75</v>
      </c>
      <c r="N174" s="34" t="n">
        <v>25600</v>
      </c>
      <c r="O174" s="34" t="n">
        <v>16873.2</v>
      </c>
      <c r="P174" s="38"/>
      <c r="Q174" s="38"/>
    </row>
    <row r="175" customFormat="false" ht="15" hidden="false" customHeight="false" outlineLevel="0" collapsed="false">
      <c r="A175" s="34" t="n">
        <v>167</v>
      </c>
      <c r="B175" s="35" t="s">
        <v>435</v>
      </c>
      <c r="C175" s="35" t="s">
        <v>436</v>
      </c>
      <c r="D175" s="35" t="s">
        <v>111</v>
      </c>
      <c r="E175" s="34" t="n">
        <v>14800</v>
      </c>
      <c r="F175" s="34" t="n">
        <v>14413</v>
      </c>
      <c r="G175" s="34" t="n">
        <v>14167.86</v>
      </c>
      <c r="H175" s="34" t="n">
        <v>13873.52</v>
      </c>
      <c r="I175" s="36" t="n">
        <f aca="false">$E175/F175-1</f>
        <v>0.0268507597307985</v>
      </c>
      <c r="J175" s="36" t="n">
        <f aca="false">$E175/G175-1</f>
        <v>0.0446178886578494</v>
      </c>
      <c r="K175" s="36" t="n">
        <f aca="false">$E175/H175-1</f>
        <v>0.0667804565820354</v>
      </c>
      <c r="L175" s="37" t="n">
        <v>8.91</v>
      </c>
      <c r="M175" s="37" t="n">
        <v>1.2</v>
      </c>
      <c r="N175" s="34" t="n">
        <v>14800</v>
      </c>
      <c r="O175" s="34" t="n">
        <v>12940.81</v>
      </c>
      <c r="P175" s="38"/>
      <c r="Q175" s="38"/>
    </row>
    <row r="176" customFormat="false" ht="15" hidden="false" customHeight="false" outlineLevel="0" collapsed="false">
      <c r="A176" s="34" t="n">
        <v>168</v>
      </c>
      <c r="B176" s="35" t="s">
        <v>437</v>
      </c>
      <c r="C176" s="35" t="s">
        <v>438</v>
      </c>
      <c r="D176" s="35" t="s">
        <v>111</v>
      </c>
      <c r="E176" s="34" t="n">
        <v>31000</v>
      </c>
      <c r="F176" s="34" t="n">
        <v>30395</v>
      </c>
      <c r="G176" s="34" t="n">
        <v>32014.5</v>
      </c>
      <c r="H176" s="34" t="n">
        <v>31054.06</v>
      </c>
      <c r="I176" s="36" t="n">
        <f aca="false">$E176/F176-1</f>
        <v>0.0199045895706531</v>
      </c>
      <c r="J176" s="36" t="n">
        <f aca="false">$E176/G176-1</f>
        <v>-0.0316887660278936</v>
      </c>
      <c r="K176" s="36" t="n">
        <f aca="false">$E176/H176-1</f>
        <v>-0.00174083517581924</v>
      </c>
      <c r="L176" s="37" t="n">
        <v>6.25</v>
      </c>
      <c r="M176" s="37" t="n">
        <v>0.91</v>
      </c>
      <c r="N176" s="34" t="n">
        <v>33752.43</v>
      </c>
      <c r="O176" s="34" t="n">
        <v>30395</v>
      </c>
      <c r="P176" s="38"/>
      <c r="Q176" s="38"/>
    </row>
    <row r="177" customFormat="false" ht="15" hidden="false" customHeight="false" outlineLevel="0" collapsed="false">
      <c r="A177" s="34" t="n">
        <v>169</v>
      </c>
      <c r="B177" s="35" t="s">
        <v>439</v>
      </c>
      <c r="C177" s="35" t="s">
        <v>440</v>
      </c>
      <c r="D177" s="35" t="s">
        <v>111</v>
      </c>
      <c r="E177" s="34" t="n">
        <v>19400</v>
      </c>
      <c r="F177" s="34" t="n">
        <v>15800</v>
      </c>
      <c r="G177" s="34" t="n">
        <v>15800</v>
      </c>
      <c r="H177" s="34" t="n">
        <v>13746.59</v>
      </c>
      <c r="I177" s="36" t="n">
        <f aca="false">$E177/F177-1</f>
        <v>0.227848101265823</v>
      </c>
      <c r="J177" s="36" t="n">
        <f aca="false">$E177/G177-1</f>
        <v>0.227848101265823</v>
      </c>
      <c r="K177" s="36" t="n">
        <f aca="false">$E177/H177-1</f>
        <v>0.411259083161715</v>
      </c>
      <c r="L177" s="37" t="n">
        <v>21.23</v>
      </c>
      <c r="M177" s="37" t="n">
        <v>1.65</v>
      </c>
      <c r="N177" s="34" t="n">
        <v>19400</v>
      </c>
      <c r="O177" s="34" t="n">
        <v>11631.73</v>
      </c>
      <c r="P177" s="38"/>
      <c r="Q177" s="38"/>
    </row>
    <row r="178" customFormat="false" ht="15" hidden="false" customHeight="false" outlineLevel="0" collapsed="false">
      <c r="A178" s="34" t="n">
        <v>170</v>
      </c>
      <c r="B178" s="35" t="s">
        <v>441</v>
      </c>
      <c r="C178" s="35" t="s">
        <v>442</v>
      </c>
      <c r="D178" s="35" t="s">
        <v>111</v>
      </c>
      <c r="E178" s="34" t="n">
        <v>7200</v>
      </c>
      <c r="F178" s="34" t="n">
        <v>7166</v>
      </c>
      <c r="G178" s="34" t="n">
        <v>8600</v>
      </c>
      <c r="H178" s="34" t="n">
        <v>9500</v>
      </c>
      <c r="I178" s="36" t="n">
        <f aca="false">$E178/F178-1</f>
        <v>0.00474462740720072</v>
      </c>
      <c r="J178" s="36" t="n">
        <f aca="false">$E178/G178-1</f>
        <v>-0.162790697674419</v>
      </c>
      <c r="K178" s="36" t="n">
        <f aca="false">$E178/H178-1</f>
        <v>-0.242105263157895</v>
      </c>
      <c r="L178" s="37" t="n">
        <v>12.15</v>
      </c>
      <c r="M178" s="37" t="n">
        <v>0.67</v>
      </c>
      <c r="N178" s="34" t="n">
        <v>12600</v>
      </c>
      <c r="O178" s="34" t="n">
        <v>6580</v>
      </c>
      <c r="P178" s="38"/>
      <c r="Q178" s="38"/>
    </row>
    <row r="179" customFormat="false" ht="15" hidden="false" customHeight="false" outlineLevel="0" collapsed="false">
      <c r="A179" s="34" t="n">
        <v>171</v>
      </c>
      <c r="B179" s="35" t="s">
        <v>443</v>
      </c>
      <c r="C179" s="35" t="s">
        <v>444</v>
      </c>
      <c r="D179" s="35" t="s">
        <v>133</v>
      </c>
      <c r="E179" s="34" t="n">
        <v>33400</v>
      </c>
      <c r="F179" s="34" t="n">
        <v>33400</v>
      </c>
      <c r="G179" s="34" t="n">
        <v>33400</v>
      </c>
      <c r="H179" s="34" t="n">
        <v>31900</v>
      </c>
      <c r="I179" s="36" t="n">
        <f aca="false">$E179/F179-1</f>
        <v>0</v>
      </c>
      <c r="J179" s="36" t="n">
        <f aca="false">$E179/G179-1</f>
        <v>0</v>
      </c>
      <c r="K179" s="36" t="n">
        <f aca="false">$E179/H179-1</f>
        <v>0.0470219435736676</v>
      </c>
      <c r="L179" s="37" t="n">
        <v>13.09</v>
      </c>
      <c r="M179" s="37" t="n">
        <v>2.17</v>
      </c>
      <c r="N179" s="34" t="n">
        <v>41813.72</v>
      </c>
      <c r="O179" s="34" t="n">
        <v>30200</v>
      </c>
      <c r="P179" s="38"/>
      <c r="Q179" s="38"/>
    </row>
    <row r="180" customFormat="false" ht="15" hidden="false" customHeight="false" outlineLevel="0" collapsed="false">
      <c r="A180" s="34" t="n">
        <v>172</v>
      </c>
      <c r="B180" s="35" t="s">
        <v>445</v>
      </c>
      <c r="C180" s="35" t="s">
        <v>446</v>
      </c>
      <c r="D180" s="35" t="s">
        <v>111</v>
      </c>
      <c r="E180" s="34" t="n">
        <v>16200</v>
      </c>
      <c r="F180" s="34" t="n">
        <v>16384</v>
      </c>
      <c r="G180" s="34" t="n">
        <v>21712</v>
      </c>
      <c r="H180" s="34" t="n">
        <v>18455.2</v>
      </c>
      <c r="I180" s="36" t="n">
        <f aca="false">$E180/F180-1</f>
        <v>-0.01123046875</v>
      </c>
      <c r="J180" s="36" t="n">
        <f aca="false">$E180/G180-1</f>
        <v>-0.253868828297716</v>
      </c>
      <c r="K180" s="36" t="n">
        <f aca="false">$E180/H180-1</f>
        <v>-0.122198621526724</v>
      </c>
      <c r="L180" s="37" t="n">
        <v>8.78</v>
      </c>
      <c r="M180" s="37" t="n">
        <v>0.96</v>
      </c>
      <c r="N180" s="34" t="n">
        <v>23600</v>
      </c>
      <c r="O180" s="34" t="n">
        <v>15576</v>
      </c>
      <c r="P180" s="38"/>
      <c r="Q180" s="38"/>
    </row>
    <row r="181" customFormat="false" ht="15" hidden="false" customHeight="false" outlineLevel="0" collapsed="false">
      <c r="A181" s="34" t="n">
        <v>173</v>
      </c>
      <c r="B181" s="35" t="s">
        <v>447</v>
      </c>
      <c r="C181" s="35" t="s">
        <v>448</v>
      </c>
      <c r="D181" s="35" t="s">
        <v>111</v>
      </c>
      <c r="E181" s="34" t="n">
        <v>56600</v>
      </c>
      <c r="F181" s="34" t="n">
        <v>59500</v>
      </c>
      <c r="G181" s="34" t="n">
        <v>55485.5</v>
      </c>
      <c r="H181" s="34" t="n">
        <v>57586.5</v>
      </c>
      <c r="I181" s="36" t="n">
        <f aca="false">$E181/F181-1</f>
        <v>-0.0487394957983194</v>
      </c>
      <c r="J181" s="36" t="n">
        <f aca="false">$E181/G181-1</f>
        <v>0.0200863288606934</v>
      </c>
      <c r="K181" s="36" t="n">
        <f aca="false">$E181/H181-1</f>
        <v>-0.0171307511309075</v>
      </c>
      <c r="L181" s="37" t="n">
        <v>8.23</v>
      </c>
      <c r="M181" s="37" t="n">
        <v>1.89</v>
      </c>
      <c r="N181" s="34" t="n">
        <v>63603</v>
      </c>
      <c r="O181" s="34" t="n">
        <v>51617.75</v>
      </c>
      <c r="P181" s="38"/>
      <c r="Q181" s="38"/>
    </row>
    <row r="182" customFormat="false" ht="15" hidden="false" customHeight="false" outlineLevel="0" collapsed="false">
      <c r="A182" s="34" t="n">
        <v>174</v>
      </c>
      <c r="B182" s="35" t="s">
        <v>449</v>
      </c>
      <c r="C182" s="35" t="s">
        <v>450</v>
      </c>
      <c r="D182" s="35" t="s">
        <v>111</v>
      </c>
      <c r="E182" s="34" t="n">
        <v>31300</v>
      </c>
      <c r="F182" s="34" t="n">
        <v>27300</v>
      </c>
      <c r="G182" s="34" t="n">
        <v>24000</v>
      </c>
      <c r="H182" s="34" t="n">
        <v>22000</v>
      </c>
      <c r="I182" s="36" t="n">
        <f aca="false">$E182/F182-1</f>
        <v>0.146520146520146</v>
      </c>
      <c r="J182" s="36" t="n">
        <f aca="false">$E182/G182-1</f>
        <v>0.304166666666667</v>
      </c>
      <c r="K182" s="36" t="n">
        <f aca="false">$E182/H182-1</f>
        <v>0.422727272727273</v>
      </c>
      <c r="L182" s="37" t="n">
        <v>13.04</v>
      </c>
      <c r="M182" s="37" t="n">
        <v>1.97</v>
      </c>
      <c r="N182" s="34" t="n">
        <v>42900</v>
      </c>
      <c r="O182" s="34" t="n">
        <v>18500</v>
      </c>
      <c r="P182" s="38"/>
      <c r="Q182" s="38"/>
    </row>
    <row r="183" customFormat="false" ht="15" hidden="false" customHeight="false" outlineLevel="0" collapsed="false">
      <c r="A183" s="34" t="n">
        <v>175</v>
      </c>
      <c r="B183" s="35" t="s">
        <v>451</v>
      </c>
      <c r="C183" s="35" t="s">
        <v>452</v>
      </c>
      <c r="D183" s="35" t="s">
        <v>111</v>
      </c>
      <c r="E183" s="34" t="n">
        <v>36000</v>
      </c>
      <c r="F183" s="34" t="n">
        <v>35800</v>
      </c>
      <c r="G183" s="34" t="n">
        <v>37000</v>
      </c>
      <c r="H183" s="34" t="n">
        <v>35000</v>
      </c>
      <c r="I183" s="36" t="n">
        <f aca="false">$E183/F183-1</f>
        <v>0.005586592178771</v>
      </c>
      <c r="J183" s="36" t="n">
        <f aca="false">$E183/G183-1</f>
        <v>-0.027027027027027</v>
      </c>
      <c r="K183" s="36" t="n">
        <f aca="false">$E183/H183-1</f>
        <v>0.0285714285714285</v>
      </c>
      <c r="L183" s="37" t="n">
        <v>15.54</v>
      </c>
      <c r="M183" s="37" t="n">
        <v>2.87</v>
      </c>
      <c r="N183" s="34" t="n">
        <v>39300.56</v>
      </c>
      <c r="O183" s="34" t="n">
        <v>33023</v>
      </c>
      <c r="P183" s="38"/>
      <c r="Q183" s="38"/>
    </row>
    <row r="184" customFormat="false" ht="15" hidden="false" customHeight="false" outlineLevel="0" collapsed="false">
      <c r="A184" s="34" t="n">
        <v>176</v>
      </c>
      <c r="B184" s="35" t="s">
        <v>453</v>
      </c>
      <c r="C184" s="35" t="s">
        <v>454</v>
      </c>
      <c r="D184" s="35" t="s">
        <v>111</v>
      </c>
      <c r="E184" s="34" t="n">
        <v>8000</v>
      </c>
      <c r="F184" s="34" t="n">
        <v>8000</v>
      </c>
      <c r="G184" s="34" t="n">
        <v>10100</v>
      </c>
      <c r="H184" s="34" t="n">
        <v>10100</v>
      </c>
      <c r="I184" s="36" t="n">
        <f aca="false">$E184/F184-1</f>
        <v>0</v>
      </c>
      <c r="J184" s="36" t="n">
        <f aca="false">$E184/G184-1</f>
        <v>-0.207920792079208</v>
      </c>
      <c r="K184" s="36" t="n">
        <f aca="false">$E184/H184-1</f>
        <v>-0.207920792079208</v>
      </c>
      <c r="L184" s="37" t="n">
        <v>7.92</v>
      </c>
      <c r="M184" s="37" t="n">
        <v>0.71</v>
      </c>
      <c r="N184" s="34" t="n">
        <v>10100</v>
      </c>
      <c r="O184" s="34" t="n">
        <v>7600</v>
      </c>
      <c r="P184" s="38"/>
      <c r="Q184" s="38"/>
    </row>
    <row r="185" customFormat="false" ht="15" hidden="false" customHeight="false" outlineLevel="0" collapsed="false">
      <c r="A185" s="34" t="n">
        <v>177</v>
      </c>
      <c r="B185" s="35" t="s">
        <v>455</v>
      </c>
      <c r="C185" s="35" t="s">
        <v>456</v>
      </c>
      <c r="D185" s="35" t="s">
        <v>111</v>
      </c>
      <c r="E185" s="34" t="n">
        <v>30000</v>
      </c>
      <c r="F185" s="34" t="n">
        <v>30000</v>
      </c>
      <c r="G185" s="34" t="n">
        <v>30000</v>
      </c>
      <c r="H185" s="34" t="n">
        <v>26000</v>
      </c>
      <c r="I185" s="36" t="n">
        <f aca="false">$E185/F185-1</f>
        <v>0</v>
      </c>
      <c r="J185" s="36" t="n">
        <f aca="false">$E185/G185-1</f>
        <v>0</v>
      </c>
      <c r="K185" s="36" t="n">
        <f aca="false">$E185/H185-1</f>
        <v>0.153846153846154</v>
      </c>
      <c r="L185" s="37" t="n">
        <v>20.05</v>
      </c>
      <c r="M185" s="37" t="n">
        <v>2.06</v>
      </c>
      <c r="N185" s="34" t="n">
        <v>48500</v>
      </c>
      <c r="O185" s="34" t="n">
        <v>25800</v>
      </c>
      <c r="P185" s="38"/>
      <c r="Q185" s="38"/>
    </row>
    <row r="186" customFormat="false" ht="15" hidden="false" customHeight="false" outlineLevel="0" collapsed="false">
      <c r="A186" s="34" t="n">
        <v>178</v>
      </c>
      <c r="B186" s="35" t="s">
        <v>457</v>
      </c>
      <c r="C186" s="35" t="s">
        <v>458</v>
      </c>
      <c r="D186" s="35" t="s">
        <v>111</v>
      </c>
      <c r="E186" s="34" t="n">
        <v>16400</v>
      </c>
      <c r="F186" s="34" t="n">
        <v>17381</v>
      </c>
      <c r="G186" s="34" t="n">
        <v>10418.76</v>
      </c>
      <c r="H186" s="34" t="n">
        <v>19776.35</v>
      </c>
      <c r="I186" s="36" t="n">
        <f aca="false">$E186/F186-1</f>
        <v>-0.0564409412576952</v>
      </c>
      <c r="J186" s="36" t="n">
        <f aca="false">$E186/G186-1</f>
        <v>0.574083672145246</v>
      </c>
      <c r="K186" s="36" t="n">
        <f aca="false">$E186/H186-1</f>
        <v>-0.170726650772261</v>
      </c>
      <c r="L186" s="37" t="n">
        <v>19.82</v>
      </c>
      <c r="M186" s="37" t="n">
        <v>1.49</v>
      </c>
      <c r="N186" s="34" t="n">
        <v>21865.89</v>
      </c>
      <c r="O186" s="34" t="n">
        <v>10418.76</v>
      </c>
      <c r="P186" s="38"/>
      <c r="Q186" s="38"/>
    </row>
    <row r="187" customFormat="false" ht="15" hidden="false" customHeight="false" outlineLevel="0" collapsed="false">
      <c r="A187" s="34" t="n">
        <v>179</v>
      </c>
      <c r="B187" s="35" t="s">
        <v>459</v>
      </c>
      <c r="C187" s="35" t="s">
        <v>460</v>
      </c>
      <c r="D187" s="35" t="s">
        <v>111</v>
      </c>
      <c r="E187" s="34" t="n">
        <v>17600</v>
      </c>
      <c r="F187" s="34" t="n">
        <v>18200</v>
      </c>
      <c r="G187" s="34" t="n">
        <v>15586.41</v>
      </c>
      <c r="H187" s="34" t="n">
        <v>16941.75</v>
      </c>
      <c r="I187" s="36" t="n">
        <f aca="false">$E187/F187-1</f>
        <v>-0.032967032967033</v>
      </c>
      <c r="J187" s="36" t="n">
        <f aca="false">$E187/G187-1</f>
        <v>0.129188825393404</v>
      </c>
      <c r="K187" s="36" t="n">
        <f aca="false">$E187/H187-1</f>
        <v>0.0388537193619314</v>
      </c>
      <c r="L187" s="37" t="n">
        <v>8.43</v>
      </c>
      <c r="M187" s="37" t="n">
        <v>1.4</v>
      </c>
      <c r="N187" s="34" t="n">
        <v>20281.7</v>
      </c>
      <c r="O187" s="34" t="n">
        <v>13069.35</v>
      </c>
      <c r="P187" s="38"/>
      <c r="Q187" s="38"/>
    </row>
    <row r="188" customFormat="false" ht="15" hidden="false" customHeight="false" outlineLevel="0" collapsed="false">
      <c r="A188" s="34" t="n">
        <v>180</v>
      </c>
      <c r="B188" s="35" t="s">
        <v>461</v>
      </c>
      <c r="C188" s="35" t="s">
        <v>462</v>
      </c>
      <c r="D188" s="35" t="s">
        <v>111</v>
      </c>
      <c r="E188" s="34" t="n">
        <v>5300</v>
      </c>
      <c r="F188" s="34" t="n">
        <v>5300</v>
      </c>
      <c r="G188" s="34" t="n">
        <v>3800</v>
      </c>
      <c r="H188" s="34" t="n">
        <v>3800</v>
      </c>
      <c r="I188" s="36" t="n">
        <f aca="false">$E188/F188-1</f>
        <v>0</v>
      </c>
      <c r="J188" s="36" t="n">
        <f aca="false">$E188/G188-1</f>
        <v>0.394736842105263</v>
      </c>
      <c r="K188" s="36" t="n">
        <f aca="false">$E188/H188-1</f>
        <v>0.394736842105263</v>
      </c>
      <c r="L188" s="37" t="n">
        <v>2.74</v>
      </c>
      <c r="M188" s="37" t="n">
        <v>0.42</v>
      </c>
      <c r="N188" s="34" t="n">
        <v>5300</v>
      </c>
      <c r="O188" s="34" t="n">
        <v>3800</v>
      </c>
      <c r="P188" s="38"/>
      <c r="Q188" s="38"/>
    </row>
    <row r="189" customFormat="false" ht="15" hidden="false" customHeight="false" outlineLevel="0" collapsed="false">
      <c r="A189" s="34" t="n">
        <v>181</v>
      </c>
      <c r="B189" s="35" t="s">
        <v>463</v>
      </c>
      <c r="C189" s="35" t="s">
        <v>464</v>
      </c>
      <c r="D189" s="35" t="s">
        <v>116</v>
      </c>
      <c r="E189" s="34" t="n">
        <v>45100</v>
      </c>
      <c r="F189" s="34" t="n">
        <v>46836.62</v>
      </c>
      <c r="G189" s="34" t="n">
        <v>46934.4</v>
      </c>
      <c r="H189" s="34" t="n">
        <v>46345.47</v>
      </c>
      <c r="I189" s="36" t="n">
        <f aca="false">$E189/F189-1</f>
        <v>-0.0370782520173318</v>
      </c>
      <c r="J189" s="36" t="n">
        <f aca="false">$E189/G189-1</f>
        <v>-0.0390843389922957</v>
      </c>
      <c r="K189" s="36" t="n">
        <f aca="false">$E189/H189-1</f>
        <v>-0.0268736081433634</v>
      </c>
      <c r="L189" s="37" t="n">
        <v>5.95</v>
      </c>
      <c r="M189" s="37" t="n">
        <v>1.54</v>
      </c>
      <c r="N189" s="34" t="n">
        <v>53803.01</v>
      </c>
      <c r="O189" s="34" t="n">
        <v>40481.35</v>
      </c>
      <c r="P189" s="38"/>
      <c r="Q189" s="38"/>
    </row>
    <row r="190" customFormat="false" ht="15" hidden="false" customHeight="false" outlineLevel="0" collapsed="false">
      <c r="A190" s="34" t="n">
        <v>182</v>
      </c>
      <c r="B190" s="35" t="s">
        <v>465</v>
      </c>
      <c r="C190" s="35" t="s">
        <v>466</v>
      </c>
      <c r="D190" s="35" t="s">
        <v>111</v>
      </c>
      <c r="E190" s="34" t="n">
        <v>33800</v>
      </c>
      <c r="F190" s="34" t="n">
        <v>32500</v>
      </c>
      <c r="G190" s="34" t="n">
        <v>31000</v>
      </c>
      <c r="H190" s="34" t="n">
        <v>32130</v>
      </c>
      <c r="I190" s="36" t="n">
        <f aca="false">$E190/F190-1</f>
        <v>0.04</v>
      </c>
      <c r="J190" s="36" t="n">
        <f aca="false">$E190/G190-1</f>
        <v>0.0903225806451613</v>
      </c>
      <c r="K190" s="36" t="n">
        <f aca="false">$E190/H190-1</f>
        <v>0.051976346093993</v>
      </c>
      <c r="L190" s="37" t="n">
        <v>7.21</v>
      </c>
      <c r="M190" s="37" t="n">
        <v>1.37</v>
      </c>
      <c r="N190" s="34" t="n">
        <v>37804.16</v>
      </c>
      <c r="O190" s="34" t="n">
        <v>29522.88</v>
      </c>
      <c r="P190" s="38"/>
      <c r="Q190" s="38"/>
    </row>
    <row r="191" customFormat="false" ht="15" hidden="false" customHeight="false" outlineLevel="0" collapsed="false">
      <c r="A191" s="34" t="n">
        <v>183</v>
      </c>
      <c r="B191" s="35" t="s">
        <v>467</v>
      </c>
      <c r="C191" s="35" t="s">
        <v>468</v>
      </c>
      <c r="D191" s="35" t="s">
        <v>111</v>
      </c>
      <c r="E191" s="34" t="n">
        <v>21300</v>
      </c>
      <c r="F191" s="34" t="n">
        <v>21300</v>
      </c>
      <c r="G191" s="34" t="n">
        <v>16200</v>
      </c>
      <c r="H191" s="34" t="n">
        <v>15919.2</v>
      </c>
      <c r="I191" s="36" t="n">
        <f aca="false">$E191/F191-1</f>
        <v>0</v>
      </c>
      <c r="J191" s="36" t="n">
        <f aca="false">$E191/G191-1</f>
        <v>0.314814814814815</v>
      </c>
      <c r="K191" s="36" t="n">
        <f aca="false">$E191/H191-1</f>
        <v>0.33800693502186</v>
      </c>
      <c r="L191" s="37" t="n">
        <v>12.69</v>
      </c>
      <c r="M191" s="37" t="n">
        <v>1.59</v>
      </c>
      <c r="N191" s="34" t="n">
        <v>30954</v>
      </c>
      <c r="O191" s="34" t="n">
        <v>11585.64</v>
      </c>
      <c r="P191" s="38"/>
      <c r="Q191" s="38"/>
    </row>
    <row r="192" customFormat="false" ht="15" hidden="false" customHeight="false" outlineLevel="0" collapsed="false">
      <c r="A192" s="34" t="n">
        <v>184</v>
      </c>
      <c r="B192" s="35" t="s">
        <v>469</v>
      </c>
      <c r="C192" s="35" t="s">
        <v>470</v>
      </c>
      <c r="D192" s="35" t="s">
        <v>111</v>
      </c>
      <c r="E192" s="34" t="n">
        <v>31200</v>
      </c>
      <c r="F192" s="34" t="n">
        <v>30088</v>
      </c>
      <c r="G192" s="34" t="n">
        <v>39300</v>
      </c>
      <c r="H192" s="34" t="n">
        <v>31000</v>
      </c>
      <c r="I192" s="36" t="n">
        <f aca="false">$E192/F192-1</f>
        <v>0.0369582557830364</v>
      </c>
      <c r="J192" s="36" t="n">
        <f aca="false">$E192/G192-1</f>
        <v>-0.206106870229008</v>
      </c>
      <c r="K192" s="36" t="n">
        <f aca="false">$E192/H192-1</f>
        <v>0.00645161290322571</v>
      </c>
      <c r="L192" s="37" t="n">
        <v>10.32</v>
      </c>
      <c r="M192" s="37" t="n">
        <v>1.67</v>
      </c>
      <c r="N192" s="34" t="n">
        <v>49900</v>
      </c>
      <c r="O192" s="34" t="n">
        <v>27000</v>
      </c>
      <c r="P192" s="38"/>
      <c r="Q192" s="38"/>
    </row>
    <row r="193" customFormat="false" ht="15" hidden="false" customHeight="false" outlineLevel="0" collapsed="false">
      <c r="A193" s="34" t="n">
        <v>185</v>
      </c>
      <c r="B193" s="35" t="s">
        <v>471</v>
      </c>
      <c r="C193" s="35" t="s">
        <v>472</v>
      </c>
      <c r="D193" s="35" t="s">
        <v>111</v>
      </c>
      <c r="E193" s="34" t="n">
        <v>13000</v>
      </c>
      <c r="F193" s="34" t="n">
        <v>14300</v>
      </c>
      <c r="G193" s="34" t="n">
        <v>14053.74</v>
      </c>
      <c r="H193" s="34" t="n">
        <v>17251.91</v>
      </c>
      <c r="I193" s="36" t="n">
        <f aca="false">$E193/F193-1</f>
        <v>-0.0909090909090909</v>
      </c>
      <c r="J193" s="36" t="n">
        <f aca="false">$E193/G193-1</f>
        <v>-0.0749793293457827</v>
      </c>
      <c r="K193" s="36" t="n">
        <f aca="false">$E193/H193-1</f>
        <v>-0.246460247010331</v>
      </c>
      <c r="L193" s="37" t="n">
        <v>7.19</v>
      </c>
      <c r="M193" s="37" t="n">
        <v>0.82</v>
      </c>
      <c r="N193" s="34" t="n">
        <v>18596.62</v>
      </c>
      <c r="O193" s="34" t="n">
        <v>13000</v>
      </c>
      <c r="P193" s="38"/>
      <c r="Q193" s="38"/>
    </row>
    <row r="194" customFormat="false" ht="15" hidden="false" customHeight="false" outlineLevel="0" collapsed="false">
      <c r="A194" s="34" t="n">
        <v>186</v>
      </c>
      <c r="B194" s="35" t="s">
        <v>473</v>
      </c>
      <c r="C194" s="35" t="s">
        <v>474</v>
      </c>
      <c r="D194" s="35" t="s">
        <v>111</v>
      </c>
      <c r="E194" s="34" t="n">
        <v>25500</v>
      </c>
      <c r="F194" s="34" t="n">
        <v>25500</v>
      </c>
      <c r="G194" s="34" t="n">
        <v>25736.4</v>
      </c>
      <c r="H194" s="34" t="n">
        <v>26594.28</v>
      </c>
      <c r="I194" s="36" t="n">
        <f aca="false">$E194/F194-1</f>
        <v>0</v>
      </c>
      <c r="J194" s="36" t="n">
        <f aca="false">$E194/G194-1</f>
        <v>-0.00918543386021364</v>
      </c>
      <c r="K194" s="36" t="n">
        <f aca="false">$E194/H194-1</f>
        <v>-0.0411471940582712</v>
      </c>
      <c r="L194" s="37" t="n">
        <v>7.32</v>
      </c>
      <c r="M194" s="37" t="n">
        <v>1.03</v>
      </c>
      <c r="N194" s="34" t="n">
        <v>30883.68</v>
      </c>
      <c r="O194" s="34" t="n">
        <v>22209.56</v>
      </c>
      <c r="P194" s="38"/>
      <c r="Q194" s="38"/>
    </row>
    <row r="195" customFormat="false" ht="15" hidden="false" customHeight="false" outlineLevel="0" collapsed="false">
      <c r="A195" s="34" t="n">
        <v>187</v>
      </c>
      <c r="B195" s="35" t="s">
        <v>475</v>
      </c>
      <c r="C195" s="35" t="s">
        <v>476</v>
      </c>
      <c r="D195" s="35" t="s">
        <v>111</v>
      </c>
      <c r="E195" s="34" t="n">
        <v>23800</v>
      </c>
      <c r="F195" s="34" t="n">
        <v>23800</v>
      </c>
      <c r="G195" s="34" t="n">
        <v>25704</v>
      </c>
      <c r="H195" s="34" t="n">
        <v>22848</v>
      </c>
      <c r="I195" s="36" t="n">
        <f aca="false">$E195/F195-1</f>
        <v>0</v>
      </c>
      <c r="J195" s="36" t="n">
        <f aca="false">$E195/G195-1</f>
        <v>-0.0740740740740741</v>
      </c>
      <c r="K195" s="36" t="n">
        <f aca="false">$E195/H195-1</f>
        <v>0.0416666666666667</v>
      </c>
      <c r="L195" s="37" t="n">
        <v>9.55</v>
      </c>
      <c r="M195" s="37" t="n">
        <v>1.19</v>
      </c>
      <c r="N195" s="34" t="n">
        <v>27132</v>
      </c>
      <c r="O195" s="34" t="n">
        <v>21896</v>
      </c>
      <c r="P195" s="38"/>
      <c r="Q195" s="38"/>
    </row>
    <row r="196" customFormat="false" ht="15" hidden="false" customHeight="false" outlineLevel="0" collapsed="false">
      <c r="A196" s="34" t="n">
        <v>188</v>
      </c>
      <c r="B196" s="35" t="s">
        <v>477</v>
      </c>
      <c r="C196" s="35" t="s">
        <v>478</v>
      </c>
      <c r="D196" s="35" t="s">
        <v>111</v>
      </c>
      <c r="E196" s="34" t="n">
        <v>13300</v>
      </c>
      <c r="F196" s="34" t="n">
        <v>13300</v>
      </c>
      <c r="G196" s="34" t="n">
        <v>13300</v>
      </c>
      <c r="H196" s="34" t="n">
        <v>13204.06</v>
      </c>
      <c r="I196" s="36" t="n">
        <f aca="false">$E196/F196-1</f>
        <v>0</v>
      </c>
      <c r="J196" s="36" t="n">
        <f aca="false">$E196/G196-1</f>
        <v>0</v>
      </c>
      <c r="K196" s="36" t="n">
        <f aca="false">$E196/H196-1</f>
        <v>0.00726594698903216</v>
      </c>
      <c r="L196" s="37" t="n">
        <v>18.56</v>
      </c>
      <c r="M196" s="37" t="n">
        <v>1.22</v>
      </c>
      <c r="N196" s="34" t="n">
        <v>13300.44</v>
      </c>
      <c r="O196" s="34" t="n">
        <v>11565.6</v>
      </c>
      <c r="P196" s="38"/>
      <c r="Q196" s="38"/>
    </row>
    <row r="197" customFormat="false" ht="15" hidden="false" customHeight="false" outlineLevel="0" collapsed="false">
      <c r="A197" s="34" t="n">
        <v>189</v>
      </c>
      <c r="B197" s="35" t="s">
        <v>479</v>
      </c>
      <c r="C197" s="35" t="s">
        <v>480</v>
      </c>
      <c r="D197" s="35" t="s">
        <v>111</v>
      </c>
      <c r="E197" s="34" t="n">
        <v>26000</v>
      </c>
      <c r="F197" s="34" t="n">
        <v>26000</v>
      </c>
      <c r="G197" s="34" t="n">
        <v>23533.48</v>
      </c>
      <c r="H197" s="34" t="n">
        <v>21976.2</v>
      </c>
      <c r="I197" s="36" t="n">
        <f aca="false">$E197/F197-1</f>
        <v>0</v>
      </c>
      <c r="J197" s="36" t="n">
        <f aca="false">$E197/G197-1</f>
        <v>0.104808978527613</v>
      </c>
      <c r="K197" s="36" t="n">
        <f aca="false">$E197/H197-1</f>
        <v>0.183098078830735</v>
      </c>
      <c r="L197" s="37" t="n">
        <v>10.31</v>
      </c>
      <c r="M197" s="37" t="n">
        <v>2.33</v>
      </c>
      <c r="N197" s="34" t="n">
        <v>26901.9</v>
      </c>
      <c r="O197" s="34" t="n">
        <v>21973.93</v>
      </c>
      <c r="P197" s="38"/>
      <c r="Q197" s="38"/>
    </row>
    <row r="198" customFormat="false" ht="15" hidden="false" customHeight="false" outlineLevel="0" collapsed="false">
      <c r="A198" s="34" t="n">
        <v>190</v>
      </c>
      <c r="B198" s="35" t="s">
        <v>481</v>
      </c>
      <c r="C198" s="35" t="s">
        <v>482</v>
      </c>
      <c r="D198" s="35" t="s">
        <v>111</v>
      </c>
      <c r="E198" s="34" t="n">
        <v>5500</v>
      </c>
      <c r="F198" s="34" t="n">
        <v>5500</v>
      </c>
      <c r="G198" s="34" t="n">
        <v>5500</v>
      </c>
      <c r="H198" s="34" t="n">
        <v>3927.35</v>
      </c>
      <c r="I198" s="36" t="n">
        <f aca="false">$E198/F198-1</f>
        <v>0</v>
      </c>
      <c r="J198" s="36" t="n">
        <f aca="false">$E198/G198-1</f>
        <v>0</v>
      </c>
      <c r="K198" s="36" t="n">
        <f aca="false">$E198/H198-1</f>
        <v>0.400435408099609</v>
      </c>
      <c r="L198" s="37" t="n">
        <v>1.71</v>
      </c>
      <c r="M198" s="37" t="n">
        <v>0.33</v>
      </c>
      <c r="N198" s="34" t="n">
        <v>5500</v>
      </c>
      <c r="O198" s="34" t="n">
        <v>2805.25</v>
      </c>
      <c r="P198" s="38"/>
      <c r="Q198" s="38"/>
    </row>
    <row r="199" customFormat="false" ht="15" hidden="false" customHeight="false" outlineLevel="0" collapsed="false">
      <c r="A199" s="34" t="n">
        <v>191</v>
      </c>
      <c r="B199" s="35" t="s">
        <v>483</v>
      </c>
      <c r="C199" s="35" t="s">
        <v>484</v>
      </c>
      <c r="D199" s="35" t="s">
        <v>111</v>
      </c>
      <c r="E199" s="34" t="n">
        <v>25000</v>
      </c>
      <c r="F199" s="34" t="n">
        <v>23300</v>
      </c>
      <c r="G199" s="34" t="n">
        <v>27386.8</v>
      </c>
      <c r="H199" s="34" t="n">
        <v>23474.4</v>
      </c>
      <c r="I199" s="36" t="n">
        <f aca="false">$E199/F199-1</f>
        <v>0.0729613733905579</v>
      </c>
      <c r="J199" s="36" t="n">
        <f aca="false">$E199/G199-1</f>
        <v>-0.0871514744329385</v>
      </c>
      <c r="K199" s="36" t="n">
        <f aca="false">$E199/H199-1</f>
        <v>0.0649899464949051</v>
      </c>
      <c r="L199" s="37" t="n">
        <v>25.08</v>
      </c>
      <c r="M199" s="37" t="n">
        <v>2.1</v>
      </c>
      <c r="N199" s="34" t="n">
        <v>27400</v>
      </c>
      <c r="O199" s="34" t="n">
        <v>20540.1</v>
      </c>
      <c r="P199" s="38"/>
      <c r="Q199" s="38"/>
    </row>
    <row r="200" customFormat="false" ht="15" hidden="false" customHeight="false" outlineLevel="0" collapsed="false">
      <c r="A200" s="34" t="n">
        <v>192</v>
      </c>
      <c r="B200" s="35" t="s">
        <v>485</v>
      </c>
      <c r="C200" s="35" t="s">
        <v>486</v>
      </c>
      <c r="D200" s="35" t="s">
        <v>111</v>
      </c>
      <c r="E200" s="34" t="n">
        <v>25400</v>
      </c>
      <c r="F200" s="34" t="n">
        <v>25400</v>
      </c>
      <c r="G200" s="34" t="n">
        <v>25000</v>
      </c>
      <c r="H200" s="34" t="n">
        <v>33000</v>
      </c>
      <c r="I200" s="36" t="n">
        <f aca="false">$E200/F200-1</f>
        <v>0</v>
      </c>
      <c r="J200" s="36" t="n">
        <f aca="false">$E200/G200-1</f>
        <v>0.016</v>
      </c>
      <c r="K200" s="36" t="n">
        <f aca="false">$E200/H200-1</f>
        <v>-0.23030303030303</v>
      </c>
      <c r="L200" s="37" t="n">
        <v>10.51</v>
      </c>
      <c r="M200" s="37" t="n">
        <v>1.35</v>
      </c>
      <c r="N200" s="34" t="n">
        <v>35000</v>
      </c>
      <c r="O200" s="34" t="n">
        <v>23800</v>
      </c>
      <c r="P200" s="38"/>
      <c r="Q200" s="38"/>
    </row>
    <row r="201" customFormat="false" ht="15" hidden="false" customHeight="false" outlineLevel="0" collapsed="false">
      <c r="A201" s="34" t="n">
        <v>193</v>
      </c>
      <c r="B201" s="35" t="s">
        <v>487</v>
      </c>
      <c r="C201" s="35" t="s">
        <v>488</v>
      </c>
      <c r="D201" s="35" t="s">
        <v>111</v>
      </c>
      <c r="E201" s="34" t="n">
        <v>14100</v>
      </c>
      <c r="F201" s="34" t="n">
        <v>14100</v>
      </c>
      <c r="G201" s="34" t="n">
        <v>14300</v>
      </c>
      <c r="H201" s="34" t="n">
        <v>11378.4</v>
      </c>
      <c r="I201" s="36" t="n">
        <f aca="false">$E201/F201-1</f>
        <v>0</v>
      </c>
      <c r="J201" s="36" t="n">
        <f aca="false">$E201/G201-1</f>
        <v>-0.013986013986014</v>
      </c>
      <c r="K201" s="36" t="n">
        <f aca="false">$E201/H201-1</f>
        <v>0.239190044294453</v>
      </c>
      <c r="L201" s="37" t="n">
        <v>22.67</v>
      </c>
      <c r="M201" s="37" t="n">
        <v>1.29</v>
      </c>
      <c r="N201" s="34" t="n">
        <v>15171.2</v>
      </c>
      <c r="O201" s="34" t="n">
        <v>10430.2</v>
      </c>
      <c r="P201" s="38"/>
      <c r="Q201" s="38"/>
    </row>
    <row r="202" customFormat="false" ht="15" hidden="false" customHeight="false" outlineLevel="0" collapsed="false">
      <c r="A202" s="34" t="n">
        <v>194</v>
      </c>
      <c r="B202" s="35" t="s">
        <v>489</v>
      </c>
      <c r="C202" s="35" t="s">
        <v>490</v>
      </c>
      <c r="D202" s="35" t="s">
        <v>111</v>
      </c>
      <c r="E202" s="34" t="n">
        <v>9300</v>
      </c>
      <c r="F202" s="34" t="n">
        <v>9300</v>
      </c>
      <c r="G202" s="34" t="n">
        <v>9300</v>
      </c>
      <c r="H202" s="34" t="n">
        <v>9297.65</v>
      </c>
      <c r="I202" s="36" t="n">
        <f aca="false">$E202/F202-1</f>
        <v>0</v>
      </c>
      <c r="J202" s="36" t="n">
        <f aca="false">$E202/G202-1</f>
        <v>0</v>
      </c>
      <c r="K202" s="36" t="n">
        <f aca="false">$E202/H202-1</f>
        <v>0.000252752039493931</v>
      </c>
      <c r="L202" s="37" t="n">
        <v>13.81</v>
      </c>
      <c r="M202" s="37" t="n">
        <v>0.69</v>
      </c>
      <c r="N202" s="34" t="n">
        <v>9300</v>
      </c>
      <c r="O202" s="34" t="n">
        <v>9297.65</v>
      </c>
      <c r="P202" s="38"/>
      <c r="Q202" s="38"/>
    </row>
    <row r="203" customFormat="false" ht="15" hidden="false" customHeight="false" outlineLevel="0" collapsed="false">
      <c r="A203" s="34" t="n">
        <v>195</v>
      </c>
      <c r="B203" s="35" t="s">
        <v>491</v>
      </c>
      <c r="C203" s="35" t="s">
        <v>492</v>
      </c>
      <c r="D203" s="35" t="s">
        <v>111</v>
      </c>
      <c r="E203" s="34" t="n">
        <v>7000</v>
      </c>
      <c r="F203" s="34" t="n">
        <v>6979.84</v>
      </c>
      <c r="G203" s="34" t="n">
        <v>6979.84</v>
      </c>
      <c r="H203" s="34" t="n">
        <v>6979.84</v>
      </c>
      <c r="I203" s="36" t="n">
        <f aca="false">$E203/F203-1</f>
        <v>0.00288831835686776</v>
      </c>
      <c r="J203" s="36" t="n">
        <f aca="false">$E203/G203-1</f>
        <v>0.00288831835686776</v>
      </c>
      <c r="K203" s="36" t="n">
        <f aca="false">$E203/H203-1</f>
        <v>0.00288831835686776</v>
      </c>
      <c r="L203" s="37" t="n">
        <v>10.16</v>
      </c>
      <c r="M203" s="37" t="n">
        <v>0.65</v>
      </c>
      <c r="N203" s="34" t="n">
        <v>7000</v>
      </c>
      <c r="O203" s="34" t="n">
        <v>6979.84</v>
      </c>
      <c r="P203" s="38"/>
      <c r="Q203" s="38"/>
    </row>
    <row r="204" customFormat="false" ht="15" hidden="false" customHeight="false" outlineLevel="0" collapsed="false">
      <c r="A204" s="34" t="n">
        <v>196</v>
      </c>
      <c r="B204" s="35" t="s">
        <v>493</v>
      </c>
      <c r="C204" s="35" t="s">
        <v>494</v>
      </c>
      <c r="D204" s="35" t="s">
        <v>111</v>
      </c>
      <c r="E204" s="34" t="n">
        <v>8500</v>
      </c>
      <c r="F204" s="34" t="n">
        <v>8940</v>
      </c>
      <c r="G204" s="34" t="n">
        <v>11000</v>
      </c>
      <c r="H204" s="34" t="n">
        <v>15547.2</v>
      </c>
      <c r="I204" s="36" t="n">
        <f aca="false">$E204/F204-1</f>
        <v>-0.0492170022371364</v>
      </c>
      <c r="J204" s="36" t="n">
        <f aca="false">$E204/G204-1</f>
        <v>-0.227272727272727</v>
      </c>
      <c r="K204" s="36" t="n">
        <f aca="false">$E204/H204-1</f>
        <v>-0.453277760625708</v>
      </c>
      <c r="L204" s="37" t="n">
        <v>-95.91</v>
      </c>
      <c r="M204" s="37" t="n">
        <v>0.7</v>
      </c>
      <c r="N204" s="34" t="n">
        <v>16518.9</v>
      </c>
      <c r="O204" s="34" t="n">
        <v>8500</v>
      </c>
      <c r="P204" s="38"/>
      <c r="Q204" s="38"/>
    </row>
    <row r="205" customFormat="false" ht="15" hidden="false" customHeight="false" outlineLevel="0" collapsed="false">
      <c r="A205" s="34" t="n">
        <v>197</v>
      </c>
      <c r="B205" s="35" t="s">
        <v>495</v>
      </c>
      <c r="C205" s="35" t="s">
        <v>496</v>
      </c>
      <c r="D205" s="35" t="s">
        <v>111</v>
      </c>
      <c r="E205" s="34" t="n">
        <v>18300</v>
      </c>
      <c r="F205" s="34" t="n">
        <v>16100</v>
      </c>
      <c r="G205" s="34" t="n">
        <v>17105.1</v>
      </c>
      <c r="H205" s="34" t="n">
        <v>13869</v>
      </c>
      <c r="I205" s="36" t="n">
        <f aca="false">$E205/F205-1</f>
        <v>0.136645962732919</v>
      </c>
      <c r="J205" s="36" t="n">
        <f aca="false">$E205/G205-1</f>
        <v>0.0698563586298824</v>
      </c>
      <c r="K205" s="36" t="n">
        <f aca="false">$E205/H205-1</f>
        <v>0.319489508976855</v>
      </c>
      <c r="L205" s="37" t="n">
        <v>9.15</v>
      </c>
      <c r="M205" s="37" t="n">
        <v>1.41</v>
      </c>
      <c r="N205" s="34" t="n">
        <v>18492</v>
      </c>
      <c r="O205" s="34" t="n">
        <v>12019.8</v>
      </c>
      <c r="P205" s="38"/>
      <c r="Q205" s="38"/>
    </row>
    <row r="206" customFormat="false" ht="15" hidden="false" customHeight="false" outlineLevel="0" collapsed="false">
      <c r="A206" s="34" t="n">
        <v>198</v>
      </c>
      <c r="B206" s="35" t="s">
        <v>497</v>
      </c>
      <c r="C206" s="35" t="s">
        <v>498</v>
      </c>
      <c r="D206" s="35" t="s">
        <v>111</v>
      </c>
      <c r="E206" s="34" t="n">
        <v>29800</v>
      </c>
      <c r="F206" s="34" t="n">
        <v>31700</v>
      </c>
      <c r="G206" s="34" t="n">
        <v>32600</v>
      </c>
      <c r="H206" s="34" t="n">
        <v>22400</v>
      </c>
      <c r="I206" s="36" t="n">
        <f aca="false">$E206/F206-1</f>
        <v>-0.0599369085173501</v>
      </c>
      <c r="J206" s="36" t="n">
        <f aca="false">$E206/G206-1</f>
        <v>-0.0858895705521472</v>
      </c>
      <c r="K206" s="36" t="n">
        <f aca="false">$E206/H206-1</f>
        <v>0.330357142857143</v>
      </c>
      <c r="L206" s="37" t="n">
        <v>7.9</v>
      </c>
      <c r="M206" s="37" t="n">
        <v>1.46</v>
      </c>
      <c r="N206" s="34" t="n">
        <v>34900</v>
      </c>
      <c r="O206" s="34" t="n">
        <v>19676</v>
      </c>
      <c r="P206" s="38"/>
      <c r="Q206" s="38"/>
    </row>
    <row r="207" customFormat="false" ht="15" hidden="false" customHeight="false" outlineLevel="0" collapsed="false">
      <c r="A207" s="34" t="n">
        <v>199</v>
      </c>
      <c r="B207" s="35" t="s">
        <v>499</v>
      </c>
      <c r="C207" s="35" t="s">
        <v>500</v>
      </c>
      <c r="D207" s="35" t="s">
        <v>111</v>
      </c>
      <c r="E207" s="34" t="n">
        <v>1514</v>
      </c>
      <c r="F207" s="34" t="n">
        <v>1505</v>
      </c>
      <c r="G207" s="34" t="n">
        <v>1700</v>
      </c>
      <c r="H207" s="34" t="n">
        <v>2200</v>
      </c>
      <c r="I207" s="36" t="n">
        <f aca="false">$E207/F207-1</f>
        <v>0.00598006644518279</v>
      </c>
      <c r="J207" s="36" t="n">
        <f aca="false">$E207/G207-1</f>
        <v>-0.109411764705882</v>
      </c>
      <c r="K207" s="36" t="n">
        <f aca="false">$E207/H207-1</f>
        <v>-0.311818181818182</v>
      </c>
      <c r="L207" s="37" t="n">
        <v>79.76</v>
      </c>
      <c r="M207" s="37" t="n">
        <v>0.15</v>
      </c>
      <c r="N207" s="34" t="n">
        <v>2529</v>
      </c>
      <c r="O207" s="34" t="n">
        <v>1500</v>
      </c>
      <c r="P207" s="38"/>
      <c r="Q207" s="38"/>
    </row>
    <row r="208" customFormat="false" ht="15" hidden="false" customHeight="false" outlineLevel="0" collapsed="false">
      <c r="A208" s="34" t="n">
        <v>200</v>
      </c>
      <c r="B208" s="35" t="s">
        <v>501</v>
      </c>
      <c r="C208" s="35" t="s">
        <v>502</v>
      </c>
      <c r="D208" s="35" t="s">
        <v>111</v>
      </c>
      <c r="E208" s="34" t="n">
        <v>15200</v>
      </c>
      <c r="F208" s="34" t="n">
        <v>15754</v>
      </c>
      <c r="G208" s="34" t="n">
        <v>17100</v>
      </c>
      <c r="H208" s="34" t="n">
        <v>20251</v>
      </c>
      <c r="I208" s="36" t="n">
        <f aca="false">$E208/F208-1</f>
        <v>-0.0351656722102324</v>
      </c>
      <c r="J208" s="36" t="n">
        <f aca="false">$E208/G208-1</f>
        <v>-0.111111111111111</v>
      </c>
      <c r="K208" s="36" t="n">
        <f aca="false">$E208/H208-1</f>
        <v>-0.249419781739173</v>
      </c>
      <c r="L208" s="37" t="n">
        <v>1.73</v>
      </c>
      <c r="M208" s="37" t="n">
        <v>0.79</v>
      </c>
      <c r="N208" s="34" t="n">
        <v>26577</v>
      </c>
      <c r="O208" s="34" t="n">
        <v>14300</v>
      </c>
      <c r="P208" s="38"/>
      <c r="Q208" s="38"/>
    </row>
    <row r="209" customFormat="false" ht="15" hidden="false" customHeight="false" outlineLevel="0" collapsed="false">
      <c r="A209" s="34" t="n">
        <v>201</v>
      </c>
      <c r="B209" s="35" t="s">
        <v>503</v>
      </c>
      <c r="C209" s="35" t="s">
        <v>504</v>
      </c>
      <c r="D209" s="35" t="s">
        <v>111</v>
      </c>
      <c r="E209" s="34" t="n">
        <v>6000</v>
      </c>
      <c r="F209" s="34" t="n">
        <v>6600</v>
      </c>
      <c r="G209" s="34" t="n">
        <v>8409</v>
      </c>
      <c r="H209" s="34" t="n">
        <v>11600</v>
      </c>
      <c r="I209" s="36" t="n">
        <f aca="false">$E209/F209-1</f>
        <v>-0.0909090909090909</v>
      </c>
      <c r="J209" s="36" t="n">
        <f aca="false">$E209/G209-1</f>
        <v>-0.286478772743489</v>
      </c>
      <c r="K209" s="36" t="n">
        <f aca="false">$E209/H209-1</f>
        <v>-0.482758620689655</v>
      </c>
      <c r="L209" s="37" t="n">
        <v>5.32</v>
      </c>
      <c r="M209" s="37" t="n">
        <v>0.45</v>
      </c>
      <c r="N209" s="34" t="n">
        <v>13000</v>
      </c>
      <c r="O209" s="34" t="n">
        <v>5760</v>
      </c>
      <c r="P209" s="38"/>
      <c r="Q209" s="38"/>
    </row>
    <row r="210" customFormat="false" ht="15" hidden="false" customHeight="false" outlineLevel="0" collapsed="false">
      <c r="A210" s="34" t="n">
        <v>202</v>
      </c>
      <c r="B210" s="35" t="s">
        <v>505</v>
      </c>
      <c r="C210" s="35" t="s">
        <v>506</v>
      </c>
      <c r="D210" s="35" t="s">
        <v>111</v>
      </c>
      <c r="E210" s="34" t="n">
        <v>12618</v>
      </c>
      <c r="F210" s="34" t="n">
        <v>11805</v>
      </c>
      <c r="G210" s="34" t="n">
        <v>12255</v>
      </c>
      <c r="H210" s="34" t="n">
        <v>13810</v>
      </c>
      <c r="I210" s="36" t="n">
        <f aca="false">$E210/F210-1</f>
        <v>0.0688691232528589</v>
      </c>
      <c r="J210" s="36" t="n">
        <f aca="false">$E210/G210-1</f>
        <v>0.0296205630354958</v>
      </c>
      <c r="K210" s="36" t="n">
        <f aca="false">$E210/H210-1</f>
        <v>-0.086314265025344</v>
      </c>
      <c r="L210" s="37" t="n">
        <v>134.38</v>
      </c>
      <c r="M210" s="37" t="n">
        <v>0.76</v>
      </c>
      <c r="N210" s="34" t="n">
        <v>16139</v>
      </c>
      <c r="O210" s="34" t="n">
        <v>11618</v>
      </c>
      <c r="P210" s="38"/>
      <c r="Q210" s="38"/>
    </row>
    <row r="211" customFormat="false" ht="15" hidden="false" customHeight="false" outlineLevel="0" collapsed="false">
      <c r="A211" s="34" t="n">
        <v>203</v>
      </c>
      <c r="B211" s="35" t="s">
        <v>507</v>
      </c>
      <c r="C211" s="35" t="s">
        <v>508</v>
      </c>
      <c r="D211" s="35" t="s">
        <v>111</v>
      </c>
      <c r="E211" s="34" t="n">
        <v>11000</v>
      </c>
      <c r="F211" s="34" t="n">
        <v>11000</v>
      </c>
      <c r="G211" s="34" t="n">
        <v>11000</v>
      </c>
      <c r="H211" s="34" t="n">
        <v>11000</v>
      </c>
      <c r="I211" s="36" t="n">
        <f aca="false">$E211/F211-1</f>
        <v>0</v>
      </c>
      <c r="J211" s="36" t="n">
        <f aca="false">$E211/G211-1</f>
        <v>0</v>
      </c>
      <c r="K211" s="36" t="n">
        <f aca="false">$E211/H211-1</f>
        <v>0</v>
      </c>
      <c r="L211" s="37" t="n">
        <v>79.67</v>
      </c>
      <c r="M211" s="37" t="n">
        <v>1.02</v>
      </c>
      <c r="N211" s="34" t="n">
        <v>11000</v>
      </c>
      <c r="O211" s="34" t="n">
        <v>11000</v>
      </c>
      <c r="P211" s="38"/>
      <c r="Q211" s="38"/>
    </row>
    <row r="212" customFormat="false" ht="15" hidden="false" customHeight="false" outlineLevel="0" collapsed="false">
      <c r="A212" s="34" t="n">
        <v>204</v>
      </c>
      <c r="B212" s="35" t="s">
        <v>509</v>
      </c>
      <c r="C212" s="35" t="s">
        <v>510</v>
      </c>
      <c r="D212" s="35" t="s">
        <v>116</v>
      </c>
      <c r="E212" s="34" t="n">
        <v>19450</v>
      </c>
      <c r="F212" s="34" t="n">
        <v>19900</v>
      </c>
      <c r="G212" s="34" t="n">
        <v>20650</v>
      </c>
      <c r="H212" s="34" t="n">
        <v>17554.1</v>
      </c>
      <c r="I212" s="36" t="n">
        <f aca="false">$E212/F212-1</f>
        <v>-0.0226130653266332</v>
      </c>
      <c r="J212" s="36" t="n">
        <f aca="false">$E212/G212-1</f>
        <v>-0.0581113801452785</v>
      </c>
      <c r="K212" s="36" t="n">
        <f aca="false">$E212/H212-1</f>
        <v>0.108003258498015</v>
      </c>
      <c r="L212" s="37" t="n">
        <v>8.23</v>
      </c>
      <c r="M212" s="37" t="n">
        <v>1.21</v>
      </c>
      <c r="N212" s="34" t="n">
        <v>25400</v>
      </c>
      <c r="O212" s="34" t="n">
        <v>16500</v>
      </c>
      <c r="P212" s="38"/>
      <c r="Q212" s="38"/>
    </row>
    <row r="213" customFormat="false" ht="15" hidden="false" customHeight="false" outlineLevel="0" collapsed="false">
      <c r="A213" s="34" t="n">
        <v>205</v>
      </c>
      <c r="B213" s="35" t="s">
        <v>511</v>
      </c>
      <c r="C213" s="35" t="s">
        <v>512</v>
      </c>
      <c r="D213" s="35" t="s">
        <v>111</v>
      </c>
      <c r="E213" s="34" t="n">
        <v>1500</v>
      </c>
      <c r="F213" s="34" t="n">
        <v>1500</v>
      </c>
      <c r="G213" s="34" t="n">
        <v>1500</v>
      </c>
      <c r="H213" s="34" t="n">
        <v>19300</v>
      </c>
      <c r="I213" s="36" t="n">
        <f aca="false">$E213/F213-1</f>
        <v>0</v>
      </c>
      <c r="J213" s="36" t="n">
        <f aca="false">$E213/G213-1</f>
        <v>0</v>
      </c>
      <c r="K213" s="36" t="n">
        <f aca="false">$E213/H213-1</f>
        <v>-0.922279792746114</v>
      </c>
      <c r="L213" s="37" t="n">
        <v>3.68</v>
      </c>
      <c r="M213" s="37" t="n">
        <v>0.14</v>
      </c>
      <c r="N213" s="34" t="n">
        <v>19300</v>
      </c>
      <c r="O213" s="34" t="n">
        <v>1500</v>
      </c>
      <c r="P213" s="38"/>
      <c r="Q213" s="38"/>
    </row>
    <row r="214" customFormat="false" ht="15" hidden="false" customHeight="false" outlineLevel="0" collapsed="false">
      <c r="A214" s="34" t="n">
        <v>206</v>
      </c>
      <c r="B214" s="35" t="s">
        <v>513</v>
      </c>
      <c r="C214" s="35" t="s">
        <v>514</v>
      </c>
      <c r="D214" s="35" t="s">
        <v>111</v>
      </c>
      <c r="E214" s="34" t="n">
        <v>1100</v>
      </c>
      <c r="F214" s="34" t="n">
        <v>1100</v>
      </c>
      <c r="G214" s="34" t="n">
        <v>1100</v>
      </c>
      <c r="H214" s="34" t="n">
        <v>2000</v>
      </c>
      <c r="I214" s="36" t="n">
        <f aca="false">$E214/F214-1</f>
        <v>0</v>
      </c>
      <c r="J214" s="36" t="n">
        <f aca="false">$E214/G214-1</f>
        <v>0</v>
      </c>
      <c r="K214" s="36" t="n">
        <f aca="false">$E214/H214-1</f>
        <v>-0.45</v>
      </c>
      <c r="L214" s="37" t="n">
        <v>10.04</v>
      </c>
      <c r="M214" s="37" t="n">
        <v>-0.42</v>
      </c>
      <c r="N214" s="34" t="n">
        <v>4000</v>
      </c>
      <c r="O214" s="34" t="n">
        <v>1000</v>
      </c>
      <c r="P214" s="38"/>
      <c r="Q214" s="38"/>
    </row>
    <row r="215" customFormat="false" ht="15" hidden="false" customHeight="false" outlineLevel="0" collapsed="false">
      <c r="A215" s="34" t="n">
        <v>207</v>
      </c>
      <c r="B215" s="35" t="s">
        <v>515</v>
      </c>
      <c r="C215" s="35" t="s">
        <v>516</v>
      </c>
      <c r="D215" s="35" t="s">
        <v>111</v>
      </c>
      <c r="E215" s="34" t="n">
        <v>1800</v>
      </c>
      <c r="F215" s="34" t="n">
        <v>1818</v>
      </c>
      <c r="G215" s="34" t="n">
        <v>1800</v>
      </c>
      <c r="H215" s="34" t="n">
        <v>1900</v>
      </c>
      <c r="I215" s="36" t="n">
        <f aca="false">$E215/F215-1</f>
        <v>-0.00990099009900991</v>
      </c>
      <c r="J215" s="36" t="n">
        <f aca="false">$E215/G215-1</f>
        <v>0</v>
      </c>
      <c r="K215" s="36" t="n">
        <f aca="false">$E215/H215-1</f>
        <v>-0.0526315789473685</v>
      </c>
      <c r="L215" s="37" t="n">
        <v>-195.17</v>
      </c>
      <c r="M215" s="37" t="n">
        <v>-0.22</v>
      </c>
      <c r="N215" s="34" t="n">
        <v>3112</v>
      </c>
      <c r="O215" s="34" t="n">
        <v>1800</v>
      </c>
      <c r="P215" s="38"/>
      <c r="Q215" s="38"/>
    </row>
    <row r="216" customFormat="false" ht="15" hidden="false" customHeight="false" outlineLevel="0" collapsed="false">
      <c r="A216" s="34" t="n">
        <v>208</v>
      </c>
      <c r="B216" s="35" t="s">
        <v>517</v>
      </c>
      <c r="C216" s="35" t="s">
        <v>518</v>
      </c>
      <c r="D216" s="35" t="s">
        <v>133</v>
      </c>
      <c r="E216" s="34" t="n">
        <v>15500</v>
      </c>
      <c r="F216" s="34" t="n">
        <v>15600</v>
      </c>
      <c r="G216" s="34" t="n">
        <v>15600</v>
      </c>
      <c r="H216" s="34" t="n">
        <v>27812.34</v>
      </c>
      <c r="I216" s="36" t="n">
        <f aca="false">$E216/F216-1</f>
        <v>-0.00641025641025639</v>
      </c>
      <c r="J216" s="36" t="n">
        <f aca="false">$E216/G216-1</f>
        <v>-0.00641025641025639</v>
      </c>
      <c r="K216" s="36" t="n">
        <f aca="false">$E216/H216-1</f>
        <v>-0.442693423135198</v>
      </c>
      <c r="L216" s="37" t="n">
        <v>3.78</v>
      </c>
      <c r="M216" s="37" t="n">
        <v>1.04</v>
      </c>
      <c r="N216" s="34" t="n">
        <v>27812.34</v>
      </c>
      <c r="O216" s="34" t="n">
        <v>12319.56</v>
      </c>
      <c r="P216" s="38"/>
      <c r="Q216" s="38"/>
    </row>
    <row r="217" customFormat="false" ht="15" hidden="false" customHeight="false" outlineLevel="0" collapsed="false">
      <c r="A217" s="34" t="n">
        <v>209</v>
      </c>
      <c r="B217" s="35" t="s">
        <v>519</v>
      </c>
      <c r="C217" s="35" t="s">
        <v>520</v>
      </c>
      <c r="D217" s="35" t="s">
        <v>111</v>
      </c>
      <c r="E217" s="34" t="n">
        <v>10140</v>
      </c>
      <c r="F217" s="34" t="n">
        <v>9800</v>
      </c>
      <c r="G217" s="34" t="n">
        <v>11200</v>
      </c>
      <c r="H217" s="34" t="n">
        <v>11500</v>
      </c>
      <c r="I217" s="36" t="n">
        <f aca="false">$E217/F217-1</f>
        <v>0.0346938775510204</v>
      </c>
      <c r="J217" s="36" t="n">
        <f aca="false">$E217/G217-1</f>
        <v>-0.0946428571428571</v>
      </c>
      <c r="K217" s="36" t="n">
        <f aca="false">$E217/H217-1</f>
        <v>-0.118260869565217</v>
      </c>
      <c r="L217" s="37" t="n">
        <v>9.44</v>
      </c>
      <c r="M217" s="37" t="n">
        <v>0.88</v>
      </c>
      <c r="N217" s="34" t="n">
        <v>11733</v>
      </c>
      <c r="O217" s="34" t="n">
        <v>9600</v>
      </c>
      <c r="P217" s="38"/>
      <c r="Q217" s="38"/>
    </row>
    <row r="218" customFormat="false" ht="15" hidden="false" customHeight="false" outlineLevel="0" collapsed="false">
      <c r="A218" s="34" t="n">
        <v>210</v>
      </c>
      <c r="B218" s="35" t="s">
        <v>521</v>
      </c>
      <c r="C218" s="35" t="s">
        <v>522</v>
      </c>
      <c r="D218" s="35" t="s">
        <v>111</v>
      </c>
      <c r="E218" s="34" t="n">
        <v>5531</v>
      </c>
      <c r="F218" s="34" t="n">
        <v>5800</v>
      </c>
      <c r="G218" s="34" t="n">
        <v>6133</v>
      </c>
      <c r="H218" s="34" t="n">
        <v>6538</v>
      </c>
      <c r="I218" s="36" t="n">
        <f aca="false">$E218/F218-1</f>
        <v>-0.0463793103448276</v>
      </c>
      <c r="J218" s="36" t="n">
        <f aca="false">$E218/G218-1</f>
        <v>-0.0981575085602479</v>
      </c>
      <c r="K218" s="36" t="n">
        <f aca="false">$E218/H218-1</f>
        <v>-0.154022636892016</v>
      </c>
      <c r="L218" s="37" t="n">
        <v>-5.24</v>
      </c>
      <c r="M218" s="37" t="n">
        <v>0.21</v>
      </c>
      <c r="N218" s="34" t="n">
        <v>8662</v>
      </c>
      <c r="O218" s="34" t="n">
        <v>5300</v>
      </c>
      <c r="P218" s="38"/>
      <c r="Q218" s="38"/>
    </row>
    <row r="219" customFormat="false" ht="15" hidden="false" customHeight="false" outlineLevel="0" collapsed="false">
      <c r="A219" s="34" t="n">
        <v>211</v>
      </c>
      <c r="B219" s="35" t="s">
        <v>523</v>
      </c>
      <c r="C219" s="35" t="s">
        <v>524</v>
      </c>
      <c r="D219" s="35" t="s">
        <v>111</v>
      </c>
      <c r="E219" s="34" t="n">
        <v>7000</v>
      </c>
      <c r="F219" s="34" t="n">
        <v>7100</v>
      </c>
      <c r="G219" s="34" t="n">
        <v>7525</v>
      </c>
      <c r="H219" s="34"/>
      <c r="I219" s="36" t="n">
        <f aca="false">$E219/F219-1</f>
        <v>-0.0140845070422535</v>
      </c>
      <c r="J219" s="36" t="n">
        <f aca="false">$E219/G219-1</f>
        <v>-0.0697674418604651</v>
      </c>
      <c r="K219" s="36" t="e">
        <f aca="false">$E219/H219-1</f>
        <v>#DIV/0!</v>
      </c>
      <c r="L219" s="37" t="n">
        <v>4.48</v>
      </c>
      <c r="M219" s="37" t="n">
        <v>0.57</v>
      </c>
      <c r="N219" s="34"/>
      <c r="O219" s="34"/>
      <c r="P219" s="38"/>
      <c r="Q219" s="38"/>
    </row>
    <row r="220" customFormat="false" ht="15" hidden="false" customHeight="false" outlineLevel="0" collapsed="false">
      <c r="A220" s="34" t="n">
        <v>212</v>
      </c>
      <c r="B220" s="35" t="s">
        <v>525</v>
      </c>
      <c r="C220" s="35" t="s">
        <v>526</v>
      </c>
      <c r="D220" s="35" t="s">
        <v>111</v>
      </c>
      <c r="E220" s="34" t="n">
        <v>100</v>
      </c>
      <c r="F220" s="34" t="n">
        <v>100</v>
      </c>
      <c r="G220" s="34" t="n">
        <v>100</v>
      </c>
      <c r="H220" s="34" t="n">
        <v>100</v>
      </c>
      <c r="I220" s="36" t="n">
        <f aca="false">$E220/F220-1</f>
        <v>0</v>
      </c>
      <c r="J220" s="36" t="n">
        <f aca="false">$E220/G220-1</f>
        <v>0</v>
      </c>
      <c r="K220" s="36" t="n">
        <f aca="false">$E220/H220-1</f>
        <v>0</v>
      </c>
      <c r="L220" s="37" t="n">
        <v>0.05</v>
      </c>
      <c r="M220" s="37" t="n">
        <v>0.01</v>
      </c>
      <c r="N220" s="34" t="n">
        <v>100</v>
      </c>
      <c r="O220" s="34" t="n">
        <v>100</v>
      </c>
      <c r="P220" s="38"/>
      <c r="Q220" s="38"/>
    </row>
    <row r="221" customFormat="false" ht="15" hidden="false" customHeight="false" outlineLevel="0" collapsed="false">
      <c r="A221" s="34" t="n">
        <v>213</v>
      </c>
      <c r="B221" s="35" t="s">
        <v>527</v>
      </c>
      <c r="C221" s="35" t="s">
        <v>528</v>
      </c>
      <c r="D221" s="35" t="s">
        <v>111</v>
      </c>
      <c r="E221" s="34" t="n">
        <v>18800</v>
      </c>
      <c r="F221" s="34" t="n">
        <v>18400</v>
      </c>
      <c r="G221" s="34" t="n">
        <v>18300</v>
      </c>
      <c r="H221" s="34" t="n">
        <v>20100</v>
      </c>
      <c r="I221" s="36" t="n">
        <f aca="false">$E221/F221-1</f>
        <v>0.0217391304347827</v>
      </c>
      <c r="J221" s="36" t="n">
        <f aca="false">$E221/G221-1</f>
        <v>0.0273224043715847</v>
      </c>
      <c r="K221" s="36" t="n">
        <f aca="false">$E221/H221-1</f>
        <v>-0.0646766169154229</v>
      </c>
      <c r="L221" s="37" t="n">
        <v>5.31</v>
      </c>
      <c r="M221" s="37" t="n">
        <v>1.13</v>
      </c>
      <c r="N221" s="34" t="n">
        <v>25000</v>
      </c>
      <c r="O221" s="34" t="n">
        <v>16600</v>
      </c>
      <c r="P221" s="38"/>
      <c r="Q221" s="38"/>
    </row>
    <row r="222" customFormat="false" ht="15" hidden="false" customHeight="false" outlineLevel="0" collapsed="false">
      <c r="A222" s="34" t="n">
        <v>214</v>
      </c>
      <c r="B222" s="35" t="s">
        <v>529</v>
      </c>
      <c r="C222" s="35" t="s">
        <v>530</v>
      </c>
      <c r="D222" s="35" t="s">
        <v>111</v>
      </c>
      <c r="E222" s="34" t="n">
        <v>13874</v>
      </c>
      <c r="F222" s="34" t="n">
        <v>14116</v>
      </c>
      <c r="G222" s="34" t="n">
        <v>13013</v>
      </c>
      <c r="H222" s="34" t="n">
        <v>11780</v>
      </c>
      <c r="I222" s="36" t="n">
        <f aca="false">$E222/F222-1</f>
        <v>-0.0171436667611221</v>
      </c>
      <c r="J222" s="36" t="n">
        <f aca="false">$E222/G222-1</f>
        <v>0.066164604626143</v>
      </c>
      <c r="K222" s="36" t="n">
        <f aca="false">$E222/H222-1</f>
        <v>0.177758913412564</v>
      </c>
      <c r="L222" s="37" t="n">
        <v>5.13</v>
      </c>
      <c r="M222" s="37" t="n">
        <v>1.11</v>
      </c>
      <c r="N222" s="34" t="n">
        <v>14427</v>
      </c>
      <c r="O222" s="34" t="n">
        <v>9803</v>
      </c>
      <c r="P222" s="38"/>
      <c r="Q222" s="38"/>
    </row>
    <row r="223" customFormat="false" ht="15" hidden="false" customHeight="false" outlineLevel="0" collapsed="false">
      <c r="A223" s="34" t="n">
        <v>215</v>
      </c>
      <c r="B223" s="35" t="s">
        <v>531</v>
      </c>
      <c r="C223" s="35" t="s">
        <v>532</v>
      </c>
      <c r="D223" s="35" t="s">
        <v>116</v>
      </c>
      <c r="E223" s="34" t="n">
        <v>4950</v>
      </c>
      <c r="F223" s="34" t="n">
        <v>4570</v>
      </c>
      <c r="G223" s="34" t="n">
        <v>5290</v>
      </c>
      <c r="H223" s="34" t="n">
        <v>10450</v>
      </c>
      <c r="I223" s="36" t="n">
        <f aca="false">$E223/F223-1</f>
        <v>0.0831509846827134</v>
      </c>
      <c r="J223" s="36" t="n">
        <f aca="false">$E223/G223-1</f>
        <v>-0.0642722117202268</v>
      </c>
      <c r="K223" s="36" t="n">
        <f aca="false">$E223/H223-1</f>
        <v>-0.526315789473684</v>
      </c>
      <c r="L223" s="37" t="n">
        <v>162.9</v>
      </c>
      <c r="M223" s="37" t="n">
        <v>0.46</v>
      </c>
      <c r="N223" s="34" t="n">
        <v>12950</v>
      </c>
      <c r="O223" s="34" t="n">
        <v>4240</v>
      </c>
      <c r="P223" s="38"/>
      <c r="Q223" s="38"/>
    </row>
    <row r="224" customFormat="false" ht="15" hidden="false" customHeight="false" outlineLevel="0" collapsed="false">
      <c r="A224" s="34" t="n">
        <v>216</v>
      </c>
      <c r="B224" s="35" t="s">
        <v>533</v>
      </c>
      <c r="C224" s="35" t="s">
        <v>534</v>
      </c>
      <c r="D224" s="35" t="s">
        <v>111</v>
      </c>
      <c r="E224" s="34" t="n">
        <v>1300</v>
      </c>
      <c r="F224" s="34" t="n">
        <v>1300</v>
      </c>
      <c r="G224" s="34" t="n">
        <v>1300</v>
      </c>
      <c r="H224" s="34" t="n">
        <v>1300</v>
      </c>
      <c r="I224" s="36" t="n">
        <f aca="false">$E224/F224-1</f>
        <v>0</v>
      </c>
      <c r="J224" s="36" t="n">
        <f aca="false">$E224/G224-1</f>
        <v>0</v>
      </c>
      <c r="K224" s="36" t="n">
        <f aca="false">$E224/H224-1</f>
        <v>0</v>
      </c>
      <c r="L224" s="37" t="n">
        <v>-9.52</v>
      </c>
      <c r="M224" s="37" t="n">
        <v>1.67</v>
      </c>
      <c r="N224" s="34" t="n">
        <v>1300</v>
      </c>
      <c r="O224" s="34" t="n">
        <v>1300</v>
      </c>
      <c r="P224" s="38"/>
      <c r="Q224" s="38"/>
    </row>
    <row r="225" customFormat="false" ht="15" hidden="false" customHeight="false" outlineLevel="0" collapsed="false">
      <c r="A225" s="34" t="n">
        <v>217</v>
      </c>
      <c r="B225" s="35" t="s">
        <v>535</v>
      </c>
      <c r="C225" s="35" t="s">
        <v>536</v>
      </c>
      <c r="D225" s="35" t="s">
        <v>111</v>
      </c>
      <c r="E225" s="34" t="n">
        <v>13219</v>
      </c>
      <c r="F225" s="34" t="n">
        <v>13210</v>
      </c>
      <c r="G225" s="34" t="n">
        <v>14207</v>
      </c>
      <c r="H225" s="34" t="n">
        <v>12023.16</v>
      </c>
      <c r="I225" s="36" t="n">
        <f aca="false">$E225/F225-1</f>
        <v>0.00068130204390604</v>
      </c>
      <c r="J225" s="36" t="n">
        <f aca="false">$E225/G225-1</f>
        <v>-0.0695431829379883</v>
      </c>
      <c r="K225" s="36" t="n">
        <f aca="false">$E225/H225-1</f>
        <v>0.099461372883668</v>
      </c>
      <c r="L225" s="37" t="n">
        <v>12.79</v>
      </c>
      <c r="M225" s="37" t="n">
        <v>1.23</v>
      </c>
      <c r="N225" s="34" t="n">
        <v>15280</v>
      </c>
      <c r="O225" s="34" t="n">
        <v>11939.75</v>
      </c>
      <c r="P225" s="38"/>
      <c r="Q225" s="38"/>
    </row>
    <row r="226" customFormat="false" ht="15" hidden="false" customHeight="false" outlineLevel="0" collapsed="false">
      <c r="A226" s="34" t="n">
        <v>218</v>
      </c>
      <c r="B226" s="35" t="s">
        <v>537</v>
      </c>
      <c r="C226" s="35" t="s">
        <v>538</v>
      </c>
      <c r="D226" s="35" t="s">
        <v>133</v>
      </c>
      <c r="E226" s="34" t="n">
        <v>26900</v>
      </c>
      <c r="F226" s="34" t="n">
        <v>25100</v>
      </c>
      <c r="G226" s="34" t="n">
        <v>35700</v>
      </c>
      <c r="H226" s="34" t="n">
        <v>29100</v>
      </c>
      <c r="I226" s="36" t="n">
        <f aca="false">$E226/F226-1</f>
        <v>0.0717131474103585</v>
      </c>
      <c r="J226" s="36" t="n">
        <f aca="false">$E226/G226-1</f>
        <v>-0.246498599439776</v>
      </c>
      <c r="K226" s="36" t="n">
        <f aca="false">$E226/H226-1</f>
        <v>-0.0756013745704467</v>
      </c>
      <c r="L226" s="37" t="n">
        <v>11.06</v>
      </c>
      <c r="M226" s="37" t="n">
        <v>0.72</v>
      </c>
      <c r="N226" s="34" t="n">
        <v>42184.8</v>
      </c>
      <c r="O226" s="34" t="n">
        <v>24300</v>
      </c>
      <c r="P226" s="38"/>
      <c r="Q226" s="38"/>
    </row>
    <row r="227" customFormat="false" ht="15" hidden="false" customHeight="false" outlineLevel="0" collapsed="false">
      <c r="A227" s="34" t="n">
        <v>219</v>
      </c>
      <c r="B227" s="35" t="s">
        <v>539</v>
      </c>
      <c r="C227" s="35" t="s">
        <v>540</v>
      </c>
      <c r="D227" s="35" t="s">
        <v>116</v>
      </c>
      <c r="E227" s="34" t="n">
        <v>28150</v>
      </c>
      <c r="F227" s="34" t="n">
        <v>27600</v>
      </c>
      <c r="G227" s="34" t="n">
        <v>36850</v>
      </c>
      <c r="H227" s="34" t="n">
        <v>34182.16</v>
      </c>
      <c r="I227" s="36" t="n">
        <f aca="false">$E227/F227-1</f>
        <v>0.019927536231884</v>
      </c>
      <c r="J227" s="36" t="n">
        <f aca="false">$E227/G227-1</f>
        <v>-0.236092265943012</v>
      </c>
      <c r="K227" s="36" t="n">
        <f aca="false">$E227/H227-1</f>
        <v>-0.176471001247434</v>
      </c>
      <c r="L227" s="37" t="n">
        <v>14.54</v>
      </c>
      <c r="M227" s="37" t="n">
        <v>1.33</v>
      </c>
      <c r="N227" s="34" t="n">
        <v>51818.7</v>
      </c>
      <c r="O227" s="34" t="n">
        <v>26250</v>
      </c>
      <c r="P227" s="38" t="n">
        <v>22.56</v>
      </c>
      <c r="Q227" s="38" t="n">
        <v>1.98</v>
      </c>
    </row>
    <row r="228" customFormat="false" ht="15" hidden="false" customHeight="false" outlineLevel="0" collapsed="false">
      <c r="A228" s="34" t="n">
        <v>220</v>
      </c>
      <c r="B228" s="35" t="s">
        <v>541</v>
      </c>
      <c r="C228" s="35" t="s">
        <v>542</v>
      </c>
      <c r="D228" s="35" t="s">
        <v>133</v>
      </c>
      <c r="E228" s="34" t="n">
        <v>9500</v>
      </c>
      <c r="F228" s="34" t="n">
        <v>9900</v>
      </c>
      <c r="G228" s="34" t="n">
        <v>10900</v>
      </c>
      <c r="H228" s="34" t="n">
        <v>7700</v>
      </c>
      <c r="I228" s="36" t="n">
        <f aca="false">$E228/F228-1</f>
        <v>-0.0404040404040404</v>
      </c>
      <c r="J228" s="36" t="n">
        <f aca="false">$E228/G228-1</f>
        <v>-0.128440366972477</v>
      </c>
      <c r="K228" s="36" t="n">
        <f aca="false">$E228/H228-1</f>
        <v>0.233766233766234</v>
      </c>
      <c r="L228" s="37" t="n">
        <v>8.39</v>
      </c>
      <c r="M228" s="37" t="n">
        <v>0.72</v>
      </c>
      <c r="N228" s="34" t="n">
        <v>11500</v>
      </c>
      <c r="O228" s="34" t="n">
        <v>7300</v>
      </c>
      <c r="P228" s="38"/>
      <c r="Q228" s="38"/>
    </row>
    <row r="229" customFormat="false" ht="15" hidden="false" customHeight="false" outlineLevel="0" collapsed="false">
      <c r="A229" s="34" t="n">
        <v>221</v>
      </c>
      <c r="B229" s="35" t="s">
        <v>543</v>
      </c>
      <c r="C229" s="35" t="s">
        <v>544</v>
      </c>
      <c r="D229" s="35" t="s">
        <v>116</v>
      </c>
      <c r="E229" s="34" t="n">
        <v>22150</v>
      </c>
      <c r="F229" s="34" t="n">
        <v>22200</v>
      </c>
      <c r="G229" s="34" t="n">
        <v>23200</v>
      </c>
      <c r="H229" s="34" t="n">
        <v>23400.55</v>
      </c>
      <c r="I229" s="36" t="n">
        <f aca="false">$E229/F229-1</f>
        <v>-0.00225225225225223</v>
      </c>
      <c r="J229" s="36" t="n">
        <f aca="false">$E229/G229-1</f>
        <v>-0.0452586206896551</v>
      </c>
      <c r="K229" s="36" t="n">
        <f aca="false">$E229/H229-1</f>
        <v>-0.0534410515992145</v>
      </c>
      <c r="L229" s="37" t="n">
        <v>34.94</v>
      </c>
      <c r="M229" s="37" t="n">
        <v>1.74</v>
      </c>
      <c r="N229" s="34" t="n">
        <v>30348.99</v>
      </c>
      <c r="O229" s="34" t="n">
        <v>20800</v>
      </c>
      <c r="P229" s="38"/>
      <c r="Q229" s="38"/>
    </row>
    <row r="230" customFormat="false" ht="15" hidden="false" customHeight="false" outlineLevel="0" collapsed="false">
      <c r="A230" s="34" t="n">
        <v>222</v>
      </c>
      <c r="B230" s="35" t="s">
        <v>545</v>
      </c>
      <c r="C230" s="35" t="s">
        <v>546</v>
      </c>
      <c r="D230" s="35" t="s">
        <v>116</v>
      </c>
      <c r="E230" s="34" t="n">
        <v>10800</v>
      </c>
      <c r="F230" s="34" t="n">
        <v>10800</v>
      </c>
      <c r="G230" s="34" t="n">
        <v>13450</v>
      </c>
      <c r="H230" s="34" t="n">
        <v>14500</v>
      </c>
      <c r="I230" s="36" t="n">
        <f aca="false">$E230/F230-1</f>
        <v>0</v>
      </c>
      <c r="J230" s="36" t="n">
        <f aca="false">$E230/G230-1</f>
        <v>-0.197026022304833</v>
      </c>
      <c r="K230" s="36" t="n">
        <f aca="false">$E230/H230-1</f>
        <v>-0.255172413793103</v>
      </c>
      <c r="L230" s="37" t="n">
        <v>11.3</v>
      </c>
      <c r="M230" s="37" t="n">
        <v>0.97</v>
      </c>
      <c r="N230" s="34" t="n">
        <v>19135.22</v>
      </c>
      <c r="O230" s="34" t="n">
        <v>10350</v>
      </c>
      <c r="P230" s="38"/>
      <c r="Q230" s="38"/>
    </row>
    <row r="231" customFormat="false" ht="15" hidden="false" customHeight="false" outlineLevel="0" collapsed="false">
      <c r="A231" s="34" t="n">
        <v>223</v>
      </c>
      <c r="B231" s="35" t="s">
        <v>547</v>
      </c>
      <c r="C231" s="35" t="s">
        <v>548</v>
      </c>
      <c r="D231" s="35" t="s">
        <v>133</v>
      </c>
      <c r="E231" s="34" t="n">
        <v>4200</v>
      </c>
      <c r="F231" s="34" t="n">
        <v>4200</v>
      </c>
      <c r="G231" s="34" t="n">
        <v>4900</v>
      </c>
      <c r="H231" s="34" t="n">
        <v>5700</v>
      </c>
      <c r="I231" s="36" t="n">
        <f aca="false">$E231/F231-1</f>
        <v>0</v>
      </c>
      <c r="J231" s="36" t="n">
        <f aca="false">$E231/G231-1</f>
        <v>-0.142857142857143</v>
      </c>
      <c r="K231" s="36" t="n">
        <f aca="false">$E231/H231-1</f>
        <v>-0.263157894736842</v>
      </c>
      <c r="L231" s="37" t="n">
        <v>11.16</v>
      </c>
      <c r="M231" s="37" t="n">
        <v>0.54</v>
      </c>
      <c r="N231" s="34" t="n">
        <v>8100</v>
      </c>
      <c r="O231" s="34" t="n">
        <v>4000</v>
      </c>
      <c r="P231" s="38"/>
      <c r="Q231" s="38"/>
    </row>
    <row r="232" customFormat="false" ht="15" hidden="false" customHeight="false" outlineLevel="0" collapsed="false">
      <c r="A232" s="34" t="n">
        <v>224</v>
      </c>
      <c r="B232" s="35" t="s">
        <v>549</v>
      </c>
      <c r="C232" s="35" t="s">
        <v>550</v>
      </c>
      <c r="D232" s="35" t="s">
        <v>133</v>
      </c>
      <c r="E232" s="34" t="n">
        <v>5600</v>
      </c>
      <c r="F232" s="34" t="n">
        <v>5800</v>
      </c>
      <c r="G232" s="34" t="n">
        <v>5800</v>
      </c>
      <c r="H232" s="34" t="n">
        <v>5900</v>
      </c>
      <c r="I232" s="36" t="n">
        <f aca="false">$E232/F232-1</f>
        <v>-0.0344827586206896</v>
      </c>
      <c r="J232" s="36" t="n">
        <f aca="false">$E232/G232-1</f>
        <v>-0.0344827586206896</v>
      </c>
      <c r="K232" s="36" t="n">
        <f aca="false">$E232/H232-1</f>
        <v>-0.0508474576271186</v>
      </c>
      <c r="L232" s="37" t="n">
        <v>19.65</v>
      </c>
      <c r="M232" s="37" t="n">
        <v>0.46</v>
      </c>
      <c r="N232" s="34" t="n">
        <v>9000</v>
      </c>
      <c r="O232" s="34" t="n">
        <v>4500</v>
      </c>
      <c r="P232" s="38"/>
      <c r="Q232" s="38"/>
    </row>
    <row r="233" customFormat="false" ht="15" hidden="false" customHeight="false" outlineLevel="0" collapsed="false">
      <c r="A233" s="34" t="n">
        <v>225</v>
      </c>
      <c r="B233" s="35" t="s">
        <v>551</v>
      </c>
      <c r="C233" s="35" t="s">
        <v>552</v>
      </c>
      <c r="D233" s="35" t="s">
        <v>116</v>
      </c>
      <c r="E233" s="34" t="n">
        <v>21850</v>
      </c>
      <c r="F233" s="34" t="n">
        <v>21400</v>
      </c>
      <c r="G233" s="34" t="n">
        <v>28350</v>
      </c>
      <c r="H233" s="34" t="n">
        <v>29388.1</v>
      </c>
      <c r="I233" s="36" t="n">
        <f aca="false">$E233/F233-1</f>
        <v>0.0210280373831775</v>
      </c>
      <c r="J233" s="36" t="n">
        <f aca="false">$E233/G233-1</f>
        <v>-0.229276895943563</v>
      </c>
      <c r="K233" s="36" t="n">
        <f aca="false">$E233/H233-1</f>
        <v>-0.256501781333261</v>
      </c>
      <c r="L233" s="37" t="n">
        <v>19.78</v>
      </c>
      <c r="M233" s="37" t="n">
        <v>1.88</v>
      </c>
      <c r="N233" s="34" t="n">
        <v>37950.34</v>
      </c>
      <c r="O233" s="34" t="n">
        <v>20100</v>
      </c>
      <c r="P233" s="38" t="n">
        <v>22.42</v>
      </c>
      <c r="Q233" s="38" t="n">
        <v>2.67</v>
      </c>
    </row>
    <row r="234" customFormat="false" ht="15" hidden="false" customHeight="false" outlineLevel="0" collapsed="false">
      <c r="A234" s="34" t="n">
        <v>226</v>
      </c>
      <c r="B234" s="35" t="s">
        <v>553</v>
      </c>
      <c r="C234" s="35" t="s">
        <v>554</v>
      </c>
      <c r="D234" s="35" t="s">
        <v>133</v>
      </c>
      <c r="E234" s="34" t="n">
        <v>6300</v>
      </c>
      <c r="F234" s="34" t="n">
        <v>6164.04</v>
      </c>
      <c r="G234" s="34" t="n">
        <v>7158.24</v>
      </c>
      <c r="H234" s="34" t="n">
        <v>9643.74</v>
      </c>
      <c r="I234" s="36" t="n">
        <f aca="false">$E234/F234-1</f>
        <v>0.0220569626413845</v>
      </c>
      <c r="J234" s="36" t="n">
        <f aca="false">$E234/G234-1</f>
        <v>-0.11989539328103</v>
      </c>
      <c r="K234" s="36" t="n">
        <f aca="false">$E234/H234-1</f>
        <v>-0.34672647748695</v>
      </c>
      <c r="L234" s="37" t="n">
        <v>29.32</v>
      </c>
      <c r="M234" s="37" t="n">
        <v>0.55</v>
      </c>
      <c r="N234" s="34" t="n">
        <v>11532.72</v>
      </c>
      <c r="O234" s="34" t="n">
        <v>6164.04</v>
      </c>
      <c r="P234" s="38"/>
      <c r="Q234" s="38"/>
    </row>
    <row r="235" customFormat="false" ht="15" hidden="false" customHeight="false" outlineLevel="0" collapsed="false">
      <c r="A235" s="34" t="n">
        <v>227</v>
      </c>
      <c r="B235" s="35" t="s">
        <v>555</v>
      </c>
      <c r="C235" s="35" t="s">
        <v>556</v>
      </c>
      <c r="D235" s="35" t="s">
        <v>111</v>
      </c>
      <c r="E235" s="34" t="n">
        <v>9400</v>
      </c>
      <c r="F235" s="34" t="n">
        <v>8806</v>
      </c>
      <c r="G235" s="34" t="n">
        <v>9200</v>
      </c>
      <c r="H235" s="34" t="n">
        <v>8640</v>
      </c>
      <c r="I235" s="36" t="n">
        <f aca="false">$E235/F235-1</f>
        <v>0.0674540086304791</v>
      </c>
      <c r="J235" s="36" t="n">
        <f aca="false">$E235/G235-1</f>
        <v>0.0217391304347827</v>
      </c>
      <c r="K235" s="36" t="n">
        <f aca="false">$E235/H235-1</f>
        <v>0.087962962962963</v>
      </c>
      <c r="L235" s="37" t="n">
        <v>26.73</v>
      </c>
      <c r="M235" s="37" t="n">
        <v>0.91</v>
      </c>
      <c r="N235" s="34" t="n">
        <v>14209</v>
      </c>
      <c r="O235" s="34" t="n">
        <v>8300</v>
      </c>
      <c r="P235" s="38"/>
      <c r="Q235" s="38"/>
    </row>
    <row r="236" customFormat="false" ht="15" hidden="false" customHeight="false" outlineLevel="0" collapsed="false">
      <c r="A236" s="34" t="n">
        <v>228</v>
      </c>
      <c r="B236" s="35" t="s">
        <v>557</v>
      </c>
      <c r="C236" s="35" t="s">
        <v>558</v>
      </c>
      <c r="D236" s="35" t="s">
        <v>133</v>
      </c>
      <c r="E236" s="34" t="n">
        <v>4000</v>
      </c>
      <c r="F236" s="34" t="n">
        <v>4100</v>
      </c>
      <c r="G236" s="34" t="n">
        <v>4400</v>
      </c>
      <c r="H236" s="34" t="n">
        <v>4400</v>
      </c>
      <c r="I236" s="36" t="n">
        <f aca="false">$E236/F236-1</f>
        <v>-0.024390243902439</v>
      </c>
      <c r="J236" s="36" t="n">
        <f aca="false">$E236/G236-1</f>
        <v>-0.0909090909090909</v>
      </c>
      <c r="K236" s="36" t="n">
        <f aca="false">$E236/H236-1</f>
        <v>-0.0909090909090909</v>
      </c>
      <c r="L236" s="37" t="n">
        <v>27.89</v>
      </c>
      <c r="M236" s="37" t="n">
        <v>0.38</v>
      </c>
      <c r="N236" s="34" t="n">
        <v>9000</v>
      </c>
      <c r="O236" s="34" t="n">
        <v>4000</v>
      </c>
      <c r="P236" s="38"/>
      <c r="Q236" s="38"/>
    </row>
    <row r="237" customFormat="false" ht="15" hidden="false" customHeight="false" outlineLevel="0" collapsed="false">
      <c r="A237" s="34" t="n">
        <v>229</v>
      </c>
      <c r="B237" s="35" t="s">
        <v>63</v>
      </c>
      <c r="C237" s="35" t="s">
        <v>559</v>
      </c>
      <c r="D237" s="35" t="s">
        <v>116</v>
      </c>
      <c r="E237" s="34" t="n">
        <v>25350</v>
      </c>
      <c r="F237" s="34" t="n">
        <v>25000</v>
      </c>
      <c r="G237" s="34" t="n">
        <v>24658.92</v>
      </c>
      <c r="H237" s="34" t="n">
        <v>18992.68</v>
      </c>
      <c r="I237" s="36" t="n">
        <f aca="false">$E237/F237-1</f>
        <v>0.014</v>
      </c>
      <c r="J237" s="36" t="n">
        <f aca="false">$E237/G237-1</f>
        <v>0.0280255582969571</v>
      </c>
      <c r="K237" s="36" t="n">
        <f aca="false">$E237/H237-1</f>
        <v>0.33472474658658</v>
      </c>
      <c r="L237" s="37" t="n">
        <v>19.27</v>
      </c>
      <c r="M237" s="37" t="n">
        <v>2.34</v>
      </c>
      <c r="N237" s="34" t="n">
        <v>25950</v>
      </c>
      <c r="O237" s="34" t="n">
        <v>16468.02</v>
      </c>
      <c r="P237" s="38" t="n">
        <v>17.55</v>
      </c>
      <c r="Q237" s="38" t="n">
        <v>2.02</v>
      </c>
    </row>
    <row r="238" customFormat="false" ht="15" hidden="false" customHeight="false" outlineLevel="0" collapsed="false">
      <c r="A238" s="34" t="n">
        <v>230</v>
      </c>
      <c r="B238" s="35" t="s">
        <v>560</v>
      </c>
      <c r="C238" s="35" t="s">
        <v>561</v>
      </c>
      <c r="D238" s="35" t="s">
        <v>111</v>
      </c>
      <c r="E238" s="34" t="n">
        <v>16200</v>
      </c>
      <c r="F238" s="34" t="n">
        <v>15088</v>
      </c>
      <c r="G238" s="34" t="n">
        <v>17090</v>
      </c>
      <c r="H238" s="34" t="n">
        <v>27995</v>
      </c>
      <c r="I238" s="36" t="n">
        <f aca="false">$E238/F238-1</f>
        <v>0.0737009544008485</v>
      </c>
      <c r="J238" s="36" t="n">
        <f aca="false">$E238/G238-1</f>
        <v>-0.0520772381509654</v>
      </c>
      <c r="K238" s="36" t="n">
        <f aca="false">$E238/H238-1</f>
        <v>-0.421325236649402</v>
      </c>
      <c r="L238" s="37" t="n">
        <v>-33.76</v>
      </c>
      <c r="M238" s="37" t="n">
        <v>1.68</v>
      </c>
      <c r="N238" s="34" t="n">
        <v>30346</v>
      </c>
      <c r="O238" s="34" t="n">
        <v>12969</v>
      </c>
      <c r="P238" s="38"/>
      <c r="Q238" s="38"/>
    </row>
    <row r="239" customFormat="false" ht="15" hidden="false" customHeight="false" outlineLevel="0" collapsed="false">
      <c r="A239" s="34" t="n">
        <v>231</v>
      </c>
      <c r="B239" s="35" t="s">
        <v>562</v>
      </c>
      <c r="C239" s="35" t="s">
        <v>563</v>
      </c>
      <c r="D239" s="35" t="s">
        <v>133</v>
      </c>
      <c r="E239" s="34" t="n">
        <v>18500</v>
      </c>
      <c r="F239" s="34" t="n">
        <v>18000</v>
      </c>
      <c r="G239" s="34" t="n">
        <v>22300</v>
      </c>
      <c r="H239" s="34" t="n">
        <v>20870.2</v>
      </c>
      <c r="I239" s="36" t="n">
        <f aca="false">$E239/F239-1</f>
        <v>0.0277777777777777</v>
      </c>
      <c r="J239" s="36" t="n">
        <f aca="false">$E239/G239-1</f>
        <v>-0.170403587443946</v>
      </c>
      <c r="K239" s="36" t="n">
        <f aca="false">$E239/H239-1</f>
        <v>-0.113568628954203</v>
      </c>
      <c r="L239" s="37" t="n">
        <v>10.12</v>
      </c>
      <c r="M239" s="37" t="n">
        <v>1.55</v>
      </c>
      <c r="N239" s="34" t="n">
        <v>30989.15</v>
      </c>
      <c r="O239" s="34" t="n">
        <v>17400</v>
      </c>
      <c r="P239" s="38"/>
      <c r="Q239" s="38"/>
    </row>
    <row r="240" customFormat="false" ht="15" hidden="false" customHeight="false" outlineLevel="0" collapsed="false">
      <c r="A240" s="34" t="n">
        <v>232</v>
      </c>
      <c r="B240" s="35" t="s">
        <v>564</v>
      </c>
      <c r="C240" s="35" t="s">
        <v>565</v>
      </c>
      <c r="D240" s="35" t="s">
        <v>133</v>
      </c>
      <c r="E240" s="34" t="n">
        <v>9700</v>
      </c>
      <c r="F240" s="34" t="n">
        <v>9700</v>
      </c>
      <c r="G240" s="34" t="n">
        <v>10900</v>
      </c>
      <c r="H240" s="34" t="n">
        <v>13909.23</v>
      </c>
      <c r="I240" s="36" t="n">
        <f aca="false">$E240/F240-1</f>
        <v>0</v>
      </c>
      <c r="J240" s="36" t="n">
        <f aca="false">$E240/G240-1</f>
        <v>-0.110091743119266</v>
      </c>
      <c r="K240" s="36" t="n">
        <f aca="false">$E240/H240-1</f>
        <v>-0.302621352871439</v>
      </c>
      <c r="L240" s="37" t="n">
        <v>10.8</v>
      </c>
      <c r="M240" s="37" t="n">
        <v>0.84</v>
      </c>
      <c r="N240" s="34" t="n">
        <v>19000.19</v>
      </c>
      <c r="O240" s="34" t="n">
        <v>9400</v>
      </c>
      <c r="P240" s="38"/>
      <c r="Q240" s="38"/>
    </row>
    <row r="241" customFormat="false" ht="15" hidden="false" customHeight="false" outlineLevel="0" collapsed="false">
      <c r="A241" s="34" t="n">
        <v>233</v>
      </c>
      <c r="B241" s="35" t="s">
        <v>566</v>
      </c>
      <c r="C241" s="35" t="s">
        <v>567</v>
      </c>
      <c r="D241" s="35" t="s">
        <v>133</v>
      </c>
      <c r="E241" s="34" t="n">
        <v>6000</v>
      </c>
      <c r="F241" s="34" t="n">
        <v>6300</v>
      </c>
      <c r="G241" s="34" t="n">
        <v>7300</v>
      </c>
      <c r="H241" s="34" t="n">
        <v>6700</v>
      </c>
      <c r="I241" s="36" t="n">
        <f aca="false">$E241/F241-1</f>
        <v>-0.0476190476190477</v>
      </c>
      <c r="J241" s="36" t="n">
        <f aca="false">$E241/G241-1</f>
        <v>-0.178082191780822</v>
      </c>
      <c r="K241" s="36" t="n">
        <f aca="false">$E241/H241-1</f>
        <v>-0.104477611940298</v>
      </c>
      <c r="L241" s="37" t="n">
        <v>9.73</v>
      </c>
      <c r="M241" s="37" t="n">
        <v>0.56</v>
      </c>
      <c r="N241" s="34" t="n">
        <v>9100</v>
      </c>
      <c r="O241" s="34" t="n">
        <v>6000</v>
      </c>
      <c r="P241" s="38"/>
      <c r="Q241" s="38"/>
    </row>
    <row r="242" customFormat="false" ht="15" hidden="false" customHeight="false" outlineLevel="0" collapsed="false">
      <c r="A242" s="34" t="n">
        <v>234</v>
      </c>
      <c r="B242" s="35" t="s">
        <v>568</v>
      </c>
      <c r="C242" s="35" t="s">
        <v>569</v>
      </c>
      <c r="D242" s="35" t="s">
        <v>111</v>
      </c>
      <c r="E242" s="34" t="n">
        <v>9200</v>
      </c>
      <c r="F242" s="34" t="n">
        <v>9200</v>
      </c>
      <c r="G242" s="34" t="n">
        <v>9600</v>
      </c>
      <c r="H242" s="34" t="n">
        <v>10213.35</v>
      </c>
      <c r="I242" s="36" t="n">
        <f aca="false">$E242/F242-1</f>
        <v>0</v>
      </c>
      <c r="J242" s="36" t="n">
        <f aca="false">$E242/G242-1</f>
        <v>-0.0416666666666666</v>
      </c>
      <c r="K242" s="36" t="n">
        <f aca="false">$E242/H242-1</f>
        <v>-0.0992181801269907</v>
      </c>
      <c r="L242" s="37" t="n">
        <v>24.31</v>
      </c>
      <c r="M242" s="37" t="n">
        <v>0.88</v>
      </c>
      <c r="N242" s="34" t="n">
        <v>14828.81</v>
      </c>
      <c r="O242" s="34" t="n">
        <v>8754.3</v>
      </c>
      <c r="P242" s="38"/>
      <c r="Q242" s="38"/>
    </row>
    <row r="243" customFormat="false" ht="15" hidden="false" customHeight="false" outlineLevel="0" collapsed="false">
      <c r="A243" s="34" t="n">
        <v>235</v>
      </c>
      <c r="B243" s="35" t="s">
        <v>570</v>
      </c>
      <c r="C243" s="35" t="s">
        <v>571</v>
      </c>
      <c r="D243" s="35" t="s">
        <v>116</v>
      </c>
      <c r="E243" s="34" t="n">
        <v>11800</v>
      </c>
      <c r="F243" s="34" t="n">
        <v>11800</v>
      </c>
      <c r="G243" s="34" t="n">
        <v>16250</v>
      </c>
      <c r="H243" s="34" t="n">
        <v>16900</v>
      </c>
      <c r="I243" s="36" t="n">
        <f aca="false">$E243/F243-1</f>
        <v>0</v>
      </c>
      <c r="J243" s="36" t="n">
        <f aca="false">$E243/G243-1</f>
        <v>-0.273846153846154</v>
      </c>
      <c r="K243" s="36" t="n">
        <f aca="false">$E243/H243-1</f>
        <v>-0.301775147928994</v>
      </c>
      <c r="L243" s="37" t="n">
        <v>11.31</v>
      </c>
      <c r="M243" s="37" t="n">
        <v>1.09</v>
      </c>
      <c r="N243" s="34" t="n">
        <v>25250</v>
      </c>
      <c r="O243" s="34" t="n">
        <v>11200</v>
      </c>
      <c r="P243" s="38"/>
      <c r="Q243" s="38"/>
    </row>
    <row r="244" customFormat="false" ht="15" hidden="false" customHeight="false" outlineLevel="0" collapsed="false">
      <c r="A244" s="34" t="n">
        <v>236</v>
      </c>
      <c r="B244" s="35" t="s">
        <v>572</v>
      </c>
      <c r="C244" s="35" t="s">
        <v>573</v>
      </c>
      <c r="D244" s="35" t="s">
        <v>111</v>
      </c>
      <c r="E244" s="34" t="n">
        <v>4554</v>
      </c>
      <c r="F244" s="34" t="n">
        <v>4630</v>
      </c>
      <c r="G244" s="34" t="n">
        <v>5159</v>
      </c>
      <c r="H244" s="34" t="n">
        <v>6127</v>
      </c>
      <c r="I244" s="36" t="n">
        <f aca="false">$E244/F244-1</f>
        <v>-0.016414686825054</v>
      </c>
      <c r="J244" s="36" t="n">
        <f aca="false">$E244/G244-1</f>
        <v>-0.11727078891258</v>
      </c>
      <c r="K244" s="36" t="n">
        <f aca="false">$E244/H244-1</f>
        <v>-0.25673249551167</v>
      </c>
      <c r="L244" s="37" t="n">
        <v>15.12</v>
      </c>
      <c r="M244" s="37" t="n">
        <v>2.47</v>
      </c>
      <c r="N244" s="34" t="n">
        <v>7584</v>
      </c>
      <c r="O244" s="34" t="n">
        <v>4408</v>
      </c>
      <c r="P244" s="38"/>
      <c r="Q244" s="38"/>
    </row>
    <row r="245" customFormat="false" ht="15" hidden="false" customHeight="false" outlineLevel="0" collapsed="false">
      <c r="A245" s="34" t="n">
        <v>237</v>
      </c>
      <c r="B245" s="35" t="s">
        <v>574</v>
      </c>
      <c r="C245" s="35" t="s">
        <v>575</v>
      </c>
      <c r="D245" s="35" t="s">
        <v>133</v>
      </c>
      <c r="E245" s="34" t="n">
        <v>15600</v>
      </c>
      <c r="F245" s="34" t="n">
        <v>15200</v>
      </c>
      <c r="G245" s="34" t="n">
        <v>19300</v>
      </c>
      <c r="H245" s="34" t="n">
        <v>20600</v>
      </c>
      <c r="I245" s="36" t="n">
        <f aca="false">$E245/F245-1</f>
        <v>0.0263157894736843</v>
      </c>
      <c r="J245" s="36" t="n">
        <f aca="false">$E245/G245-1</f>
        <v>-0.191709844559586</v>
      </c>
      <c r="K245" s="36" t="n">
        <f aca="false">$E245/H245-1</f>
        <v>-0.242718446601942</v>
      </c>
      <c r="L245" s="37" t="n">
        <v>13.94</v>
      </c>
      <c r="M245" s="37" t="n">
        <v>1.12</v>
      </c>
      <c r="N245" s="34" t="n">
        <v>29200</v>
      </c>
      <c r="O245" s="34" t="n">
        <v>14300</v>
      </c>
      <c r="P245" s="38"/>
      <c r="Q245" s="38"/>
    </row>
    <row r="246" customFormat="false" ht="15" hidden="false" customHeight="false" outlineLevel="0" collapsed="false">
      <c r="A246" s="34" t="n">
        <v>238</v>
      </c>
      <c r="B246" s="35" t="s">
        <v>576</v>
      </c>
      <c r="C246" s="35" t="s">
        <v>577</v>
      </c>
      <c r="D246" s="35" t="s">
        <v>111</v>
      </c>
      <c r="E246" s="34" t="n">
        <v>7282</v>
      </c>
      <c r="F246" s="34" t="n">
        <v>7206</v>
      </c>
      <c r="G246" s="34" t="n">
        <v>8807</v>
      </c>
      <c r="H246" s="34" t="n">
        <v>10457</v>
      </c>
      <c r="I246" s="36" t="n">
        <f aca="false">$E246/F246-1</f>
        <v>0.0105467665834027</v>
      </c>
      <c r="J246" s="36" t="n">
        <f aca="false">$E246/G246-1</f>
        <v>-0.173157715453616</v>
      </c>
      <c r="K246" s="36" t="n">
        <f aca="false">$E246/H246-1</f>
        <v>-0.303624366453094</v>
      </c>
      <c r="L246" s="37" t="n">
        <v>13.29</v>
      </c>
      <c r="M246" s="37" t="n">
        <v>0.63</v>
      </c>
      <c r="N246" s="34" t="n">
        <v>24079</v>
      </c>
      <c r="O246" s="34" t="n">
        <v>7079</v>
      </c>
      <c r="P246" s="38"/>
      <c r="Q246" s="38"/>
    </row>
    <row r="247" customFormat="false" ht="15" hidden="false" customHeight="false" outlineLevel="0" collapsed="false">
      <c r="A247" s="34" t="n">
        <v>239</v>
      </c>
      <c r="B247" s="35" t="s">
        <v>40</v>
      </c>
      <c r="C247" s="35" t="s">
        <v>578</v>
      </c>
      <c r="D247" s="35" t="s">
        <v>116</v>
      </c>
      <c r="E247" s="34" t="n">
        <v>24450</v>
      </c>
      <c r="F247" s="34" t="n">
        <v>23550</v>
      </c>
      <c r="G247" s="34" t="n">
        <v>27150</v>
      </c>
      <c r="H247" s="34" t="n">
        <v>30250</v>
      </c>
      <c r="I247" s="36" t="n">
        <f aca="false">$E247/F247-1</f>
        <v>0.0382165605095541</v>
      </c>
      <c r="J247" s="36" t="n">
        <f aca="false">$E247/G247-1</f>
        <v>-0.0994475138121547</v>
      </c>
      <c r="K247" s="36" t="n">
        <f aca="false">$E247/H247-1</f>
        <v>-0.191735537190083</v>
      </c>
      <c r="L247" s="37" t="n">
        <v>11.41</v>
      </c>
      <c r="M247" s="37" t="n">
        <v>1.51</v>
      </c>
      <c r="N247" s="34" t="n">
        <v>37756.8</v>
      </c>
      <c r="O247" s="34" t="n">
        <v>22000</v>
      </c>
      <c r="P247" s="38" t="n">
        <v>17.06</v>
      </c>
      <c r="Q247" s="38" t="n">
        <v>2.12</v>
      </c>
    </row>
    <row r="248" customFormat="false" ht="15" hidden="false" customHeight="false" outlineLevel="0" collapsed="false">
      <c r="A248" s="34" t="n">
        <v>240</v>
      </c>
      <c r="B248" s="35" t="s">
        <v>579</v>
      </c>
      <c r="C248" s="35" t="s">
        <v>580</v>
      </c>
      <c r="D248" s="35" t="s">
        <v>111</v>
      </c>
      <c r="E248" s="34" t="n">
        <v>17200</v>
      </c>
      <c r="F248" s="34" t="n">
        <v>20300</v>
      </c>
      <c r="G248" s="34" t="n">
        <v>17800</v>
      </c>
      <c r="H248" s="34" t="n">
        <v>13266</v>
      </c>
      <c r="I248" s="36" t="n">
        <f aca="false">$E248/F248-1</f>
        <v>-0.152709359605911</v>
      </c>
      <c r="J248" s="36" t="n">
        <f aca="false">$E248/G248-1</f>
        <v>-0.0337078651685393</v>
      </c>
      <c r="K248" s="36" t="n">
        <f aca="false">$E248/H248-1</f>
        <v>0.296547565204282</v>
      </c>
      <c r="L248" s="37" t="n">
        <v>27.91</v>
      </c>
      <c r="M248" s="37" t="n">
        <v>1.73</v>
      </c>
      <c r="N248" s="34" t="n">
        <v>25766</v>
      </c>
      <c r="O248" s="34" t="n">
        <v>12700</v>
      </c>
      <c r="P248" s="38"/>
      <c r="Q248" s="38"/>
    </row>
    <row r="249" customFormat="false" ht="15" hidden="false" customHeight="false" outlineLevel="0" collapsed="false">
      <c r="A249" s="34" t="n">
        <v>241</v>
      </c>
      <c r="B249" s="35" t="s">
        <v>581</v>
      </c>
      <c r="C249" s="35" t="s">
        <v>582</v>
      </c>
      <c r="D249" s="35" t="s">
        <v>116</v>
      </c>
      <c r="E249" s="34" t="n">
        <v>7170</v>
      </c>
      <c r="F249" s="34" t="n">
        <v>7000</v>
      </c>
      <c r="G249" s="34" t="n">
        <v>7780</v>
      </c>
      <c r="H249" s="34" t="n">
        <v>8080</v>
      </c>
      <c r="I249" s="36" t="n">
        <f aca="false">$E249/F249-1</f>
        <v>0.0242857142857142</v>
      </c>
      <c r="J249" s="36" t="n">
        <f aca="false">$E249/G249-1</f>
        <v>-0.0784061696658098</v>
      </c>
      <c r="K249" s="36" t="n">
        <f aca="false">$E249/H249-1</f>
        <v>-0.112623762376238</v>
      </c>
      <c r="L249" s="37" t="n">
        <v>37.1</v>
      </c>
      <c r="M249" s="37" t="n">
        <v>0.71</v>
      </c>
      <c r="N249" s="34" t="n">
        <v>10700</v>
      </c>
      <c r="O249" s="34" t="n">
        <v>6900</v>
      </c>
      <c r="P249" s="38"/>
      <c r="Q249" s="38"/>
    </row>
    <row r="250" customFormat="false" ht="15" hidden="false" customHeight="false" outlineLevel="0" collapsed="false">
      <c r="A250" s="34" t="n">
        <v>242</v>
      </c>
      <c r="B250" s="35" t="s">
        <v>583</v>
      </c>
      <c r="C250" s="35" t="s">
        <v>584</v>
      </c>
      <c r="D250" s="35" t="s">
        <v>116</v>
      </c>
      <c r="E250" s="34" t="n">
        <v>39300</v>
      </c>
      <c r="F250" s="34" t="n">
        <v>41000</v>
      </c>
      <c r="G250" s="34" t="n">
        <v>44750</v>
      </c>
      <c r="H250" s="34" t="n">
        <v>38765.62</v>
      </c>
      <c r="I250" s="36" t="n">
        <f aca="false">$E250/F250-1</f>
        <v>-0.0414634146341464</v>
      </c>
      <c r="J250" s="36" t="n">
        <f aca="false">$E250/G250-1</f>
        <v>-0.121787709497207</v>
      </c>
      <c r="K250" s="36" t="n">
        <f aca="false">$E250/H250-1</f>
        <v>0.0137848949662096</v>
      </c>
      <c r="L250" s="37" t="n">
        <v>17.57</v>
      </c>
      <c r="M250" s="37" t="n">
        <v>2.38</v>
      </c>
      <c r="N250" s="34"/>
      <c r="O250" s="34"/>
      <c r="P250" s="38"/>
      <c r="Q250" s="38"/>
    </row>
    <row r="251" customFormat="false" ht="15" hidden="false" customHeight="false" outlineLevel="0" collapsed="false">
      <c r="A251" s="34" t="n">
        <v>243</v>
      </c>
      <c r="B251" s="35" t="s">
        <v>585</v>
      </c>
      <c r="C251" s="35" t="s">
        <v>586</v>
      </c>
      <c r="D251" s="35" t="s">
        <v>116</v>
      </c>
      <c r="E251" s="34" t="n">
        <v>9900</v>
      </c>
      <c r="F251" s="34" t="n">
        <v>10100</v>
      </c>
      <c r="G251" s="34" t="n">
        <v>10300</v>
      </c>
      <c r="H251" s="34" t="n">
        <v>9790</v>
      </c>
      <c r="I251" s="36" t="n">
        <f aca="false">$E251/F251-1</f>
        <v>-0.0198019801980198</v>
      </c>
      <c r="J251" s="36" t="n">
        <f aca="false">$E251/G251-1</f>
        <v>-0.0388349514563107</v>
      </c>
      <c r="K251" s="36" t="n">
        <f aca="false">$E251/H251-1</f>
        <v>0.0112359550561798</v>
      </c>
      <c r="L251" s="37" t="n">
        <v>81.46</v>
      </c>
      <c r="M251" s="37" t="n">
        <v>0.87</v>
      </c>
      <c r="N251" s="34" t="n">
        <v>13400</v>
      </c>
      <c r="O251" s="34" t="n">
        <v>8190</v>
      </c>
      <c r="P251" s="38"/>
      <c r="Q251" s="38"/>
    </row>
    <row r="252" customFormat="false" ht="15" hidden="false" customHeight="false" outlineLevel="0" collapsed="false">
      <c r="A252" s="34" t="n">
        <v>244</v>
      </c>
      <c r="B252" s="35" t="s">
        <v>587</v>
      </c>
      <c r="C252" s="35" t="s">
        <v>588</v>
      </c>
      <c r="D252" s="35" t="s">
        <v>116</v>
      </c>
      <c r="E252" s="34" t="n">
        <v>13350</v>
      </c>
      <c r="F252" s="34" t="n">
        <v>13400</v>
      </c>
      <c r="G252" s="34" t="n">
        <v>14450</v>
      </c>
      <c r="H252" s="34" t="n">
        <v>14777.5</v>
      </c>
      <c r="I252" s="36" t="n">
        <f aca="false">$E252/F252-1</f>
        <v>-0.00373134328358205</v>
      </c>
      <c r="J252" s="36" t="n">
        <f aca="false">$E252/G252-1</f>
        <v>-0.0761245674740484</v>
      </c>
      <c r="K252" s="36" t="n">
        <f aca="false">$E252/H252-1</f>
        <v>-0.0965995601421079</v>
      </c>
      <c r="L252" s="37" t="n">
        <v>14.46</v>
      </c>
      <c r="M252" s="37" t="n">
        <v>1.03</v>
      </c>
      <c r="N252" s="34" t="n">
        <v>19079.87</v>
      </c>
      <c r="O252" s="34" t="n">
        <v>12800</v>
      </c>
      <c r="P252" s="38"/>
      <c r="Q252" s="38"/>
    </row>
    <row r="253" customFormat="false" ht="15" hidden="false" customHeight="false" outlineLevel="0" collapsed="false">
      <c r="A253" s="34" t="n">
        <v>245</v>
      </c>
      <c r="B253" s="35" t="s">
        <v>589</v>
      </c>
      <c r="C253" s="35" t="s">
        <v>590</v>
      </c>
      <c r="D253" s="35" t="s">
        <v>116</v>
      </c>
      <c r="E253" s="34" t="n">
        <v>14000</v>
      </c>
      <c r="F253" s="34" t="n">
        <v>13850</v>
      </c>
      <c r="G253" s="34" t="n">
        <v>14600</v>
      </c>
      <c r="H253" s="34" t="n">
        <v>13150</v>
      </c>
      <c r="I253" s="36" t="n">
        <f aca="false">$E253/F253-1</f>
        <v>0.0108303249097472</v>
      </c>
      <c r="J253" s="36" t="n">
        <f aca="false">$E253/G253-1</f>
        <v>-0.041095890410959</v>
      </c>
      <c r="K253" s="36" t="n">
        <f aca="false">$E253/H253-1</f>
        <v>0.064638783269962</v>
      </c>
      <c r="L253" s="37" t="n">
        <v>17.02</v>
      </c>
      <c r="M253" s="37" t="n">
        <v>1.12</v>
      </c>
      <c r="N253" s="34" t="n">
        <v>16600</v>
      </c>
      <c r="O253" s="34" t="n">
        <v>12200</v>
      </c>
      <c r="P253" s="38"/>
      <c r="Q253" s="38"/>
    </row>
    <row r="254" customFormat="false" ht="15" hidden="false" customHeight="false" outlineLevel="0" collapsed="false">
      <c r="A254" s="34" t="n">
        <v>246</v>
      </c>
      <c r="B254" s="35" t="s">
        <v>591</v>
      </c>
      <c r="C254" s="35" t="s">
        <v>592</v>
      </c>
      <c r="D254" s="35" t="s">
        <v>111</v>
      </c>
      <c r="E254" s="34" t="n">
        <v>26000</v>
      </c>
      <c r="F254" s="34" t="n">
        <v>26000</v>
      </c>
      <c r="G254" s="34" t="n">
        <v>26000</v>
      </c>
      <c r="H254" s="34"/>
      <c r="I254" s="36" t="n">
        <f aca="false">$E254/F254-1</f>
        <v>0</v>
      </c>
      <c r="J254" s="36" t="n">
        <f aca="false">$E254/G254-1</f>
        <v>0</v>
      </c>
      <c r="K254" s="36" t="e">
        <f aca="false">$E254/H254-1</f>
        <v>#DIV/0!</v>
      </c>
      <c r="L254" s="37" t="n">
        <v>39.59</v>
      </c>
      <c r="M254" s="37" t="n">
        <v>2.4</v>
      </c>
      <c r="N254" s="34"/>
      <c r="O254" s="34"/>
      <c r="P254" s="38"/>
      <c r="Q254" s="38"/>
    </row>
    <row r="255" customFormat="false" ht="15" hidden="false" customHeight="false" outlineLevel="0" collapsed="false">
      <c r="A255" s="34" t="n">
        <v>247</v>
      </c>
      <c r="B255" s="35" t="s">
        <v>55</v>
      </c>
      <c r="C255" s="35" t="s">
        <v>593</v>
      </c>
      <c r="D255" s="35" t="s">
        <v>116</v>
      </c>
      <c r="E255" s="34" t="n">
        <v>21750</v>
      </c>
      <c r="F255" s="34" t="n">
        <v>21300</v>
      </c>
      <c r="G255" s="34" t="n">
        <v>24900</v>
      </c>
      <c r="H255" s="34" t="n">
        <v>25585.8</v>
      </c>
      <c r="I255" s="36" t="n">
        <f aca="false">$E255/F255-1</f>
        <v>0.0211267605633803</v>
      </c>
      <c r="J255" s="36" t="n">
        <f aca="false">$E255/G255-1</f>
        <v>-0.126506024096386</v>
      </c>
      <c r="K255" s="36" t="n">
        <f aca="false">$E255/H255-1</f>
        <v>-0.149919095748423</v>
      </c>
      <c r="L255" s="37" t="n">
        <v>16.29</v>
      </c>
      <c r="M255" s="37" t="n">
        <v>1.46</v>
      </c>
      <c r="N255" s="34" t="n">
        <v>34972.09</v>
      </c>
      <c r="O255" s="34" t="n">
        <v>18450</v>
      </c>
      <c r="P255" s="38" t="n">
        <v>22.425</v>
      </c>
      <c r="Q255" s="38" t="n">
        <v>2.285</v>
      </c>
    </row>
    <row r="256" customFormat="false" ht="15" hidden="false" customHeight="false" outlineLevel="0" collapsed="false">
      <c r="A256" s="34" t="n">
        <v>248</v>
      </c>
      <c r="B256" s="35" t="s">
        <v>594</v>
      </c>
      <c r="C256" s="35" t="s">
        <v>595</v>
      </c>
      <c r="D256" s="35" t="s">
        <v>116</v>
      </c>
      <c r="E256" s="34" t="n">
        <v>21750</v>
      </c>
      <c r="F256" s="34" t="n">
        <v>21850</v>
      </c>
      <c r="G256" s="34" t="n">
        <v>28900</v>
      </c>
      <c r="H256" s="34" t="n">
        <v>25900.1</v>
      </c>
      <c r="I256" s="36" t="n">
        <f aca="false">$E256/F256-1</f>
        <v>-0.00457665903890159</v>
      </c>
      <c r="J256" s="36" t="n">
        <f aca="false">$E256/G256-1</f>
        <v>-0.247404844290657</v>
      </c>
      <c r="K256" s="36" t="n">
        <f aca="false">$E256/H256-1</f>
        <v>-0.160234902567944</v>
      </c>
      <c r="L256" s="37" t="n">
        <v>15.71</v>
      </c>
      <c r="M256" s="37" t="n">
        <v>2.07</v>
      </c>
      <c r="N256" s="34" t="n">
        <v>35080.37</v>
      </c>
      <c r="O256" s="34" t="n">
        <v>19102.78</v>
      </c>
      <c r="P256" s="38" t="n">
        <v>21.32</v>
      </c>
      <c r="Q256" s="38" t="n">
        <v>2.165</v>
      </c>
    </row>
    <row r="257" customFormat="false" ht="15" hidden="false" customHeight="false" outlineLevel="0" collapsed="false">
      <c r="A257" s="34" t="n">
        <v>249</v>
      </c>
      <c r="B257" s="35" t="s">
        <v>36</v>
      </c>
      <c r="C257" s="35" t="s">
        <v>596</v>
      </c>
      <c r="D257" s="35" t="s">
        <v>116</v>
      </c>
      <c r="E257" s="34" t="n">
        <v>13600</v>
      </c>
      <c r="F257" s="34" t="n">
        <v>13000</v>
      </c>
      <c r="G257" s="34" t="n">
        <v>16500</v>
      </c>
      <c r="H257" s="34" t="n">
        <v>19001.25</v>
      </c>
      <c r="I257" s="36" t="n">
        <f aca="false">$E257/F257-1</f>
        <v>0.0461538461538462</v>
      </c>
      <c r="J257" s="36" t="n">
        <f aca="false">$E257/G257-1</f>
        <v>-0.175757575757576</v>
      </c>
      <c r="K257" s="36" t="n">
        <f aca="false">$E257/H257-1</f>
        <v>-0.284257614630616</v>
      </c>
      <c r="L257" s="37" t="n">
        <v>5.9</v>
      </c>
      <c r="M257" s="37" t="n">
        <v>1.02</v>
      </c>
      <c r="N257" s="34" t="n">
        <v>33442.2</v>
      </c>
      <c r="O257" s="34" t="n">
        <v>11750</v>
      </c>
      <c r="P257" s="38" t="n">
        <v>11.055</v>
      </c>
      <c r="Q257" s="38" t="n">
        <v>1.32</v>
      </c>
    </row>
    <row r="258" customFormat="false" ht="15" hidden="false" customHeight="false" outlineLevel="0" collapsed="false">
      <c r="A258" s="34" t="n">
        <v>250</v>
      </c>
      <c r="B258" s="35" t="s">
        <v>79</v>
      </c>
      <c r="C258" s="35" t="s">
        <v>597</v>
      </c>
      <c r="D258" s="35" t="s">
        <v>116</v>
      </c>
      <c r="E258" s="34" t="n">
        <v>16650</v>
      </c>
      <c r="F258" s="34" t="n">
        <v>16600</v>
      </c>
      <c r="G258" s="34" t="n">
        <v>18750</v>
      </c>
      <c r="H258" s="34" t="n">
        <v>18903.46</v>
      </c>
      <c r="I258" s="36" t="n">
        <f aca="false">$E258/F258-1</f>
        <v>0.00301204819277112</v>
      </c>
      <c r="J258" s="36" t="n">
        <f aca="false">$E258/G258-1</f>
        <v>-0.112</v>
      </c>
      <c r="K258" s="36" t="n">
        <f aca="false">$E258/H258-1</f>
        <v>-0.119208864408949</v>
      </c>
      <c r="L258" s="37" t="n">
        <v>9.39</v>
      </c>
      <c r="M258" s="37" t="n">
        <v>1.18</v>
      </c>
      <c r="N258" s="34" t="n">
        <v>26046.92</v>
      </c>
      <c r="O258" s="34" t="n">
        <v>13898.17</v>
      </c>
      <c r="P258" s="38" t="n">
        <v>11.74</v>
      </c>
      <c r="Q258" s="38" t="n">
        <v>1.46</v>
      </c>
    </row>
    <row r="259" customFormat="false" ht="15" hidden="false" customHeight="false" outlineLevel="0" collapsed="false">
      <c r="A259" s="34" t="n">
        <v>251</v>
      </c>
      <c r="B259" s="35" t="s">
        <v>598</v>
      </c>
      <c r="C259" s="35" t="s">
        <v>599</v>
      </c>
      <c r="D259" s="35" t="s">
        <v>116</v>
      </c>
      <c r="E259" s="34" t="n">
        <v>25350</v>
      </c>
      <c r="F259" s="34" t="n">
        <v>25400</v>
      </c>
      <c r="G259" s="34" t="n">
        <v>28550</v>
      </c>
      <c r="H259" s="34" t="n">
        <v>29800</v>
      </c>
      <c r="I259" s="36" t="n">
        <f aca="false">$E259/F259-1</f>
        <v>-0.00196850393700787</v>
      </c>
      <c r="J259" s="36" t="n">
        <f aca="false">$E259/G259-1</f>
        <v>-0.112084063047285</v>
      </c>
      <c r="K259" s="36" t="n">
        <f aca="false">$E259/H259-1</f>
        <v>-0.149328859060403</v>
      </c>
      <c r="L259" s="37" t="n">
        <v>8.79</v>
      </c>
      <c r="M259" s="37" t="n">
        <v>1.33</v>
      </c>
      <c r="N259" s="34"/>
      <c r="O259" s="34"/>
      <c r="P259" s="38"/>
      <c r="Q259" s="38"/>
    </row>
    <row r="260" customFormat="false" ht="15" hidden="false" customHeight="false" outlineLevel="0" collapsed="false">
      <c r="A260" s="34" t="n">
        <v>252</v>
      </c>
      <c r="B260" s="35" t="s">
        <v>600</v>
      </c>
      <c r="C260" s="35" t="s">
        <v>601</v>
      </c>
      <c r="D260" s="35" t="s">
        <v>116</v>
      </c>
      <c r="E260" s="34" t="n">
        <v>30350</v>
      </c>
      <c r="F260" s="34" t="n">
        <v>31000</v>
      </c>
      <c r="G260" s="34" t="n">
        <v>33800</v>
      </c>
      <c r="H260" s="34" t="n">
        <v>31312.5</v>
      </c>
      <c r="I260" s="36" t="n">
        <f aca="false">$E260/F260-1</f>
        <v>-0.0209677419354839</v>
      </c>
      <c r="J260" s="36" t="n">
        <f aca="false">$E260/G260-1</f>
        <v>-0.10207100591716</v>
      </c>
      <c r="K260" s="36" t="n">
        <f aca="false">$E260/H260-1</f>
        <v>-0.0307385229540919</v>
      </c>
      <c r="L260" s="37" t="n">
        <v>15.84</v>
      </c>
      <c r="M260" s="37" t="n">
        <v>2.37</v>
      </c>
      <c r="N260" s="34"/>
      <c r="O260" s="34"/>
      <c r="P260" s="38"/>
      <c r="Q260" s="38"/>
    </row>
    <row r="261" customFormat="false" ht="15" hidden="false" customHeight="false" outlineLevel="0" collapsed="false">
      <c r="A261" s="34" t="n">
        <v>253</v>
      </c>
      <c r="B261" s="35" t="s">
        <v>602</v>
      </c>
      <c r="C261" s="35" t="s">
        <v>603</v>
      </c>
      <c r="D261" s="35" t="s">
        <v>116</v>
      </c>
      <c r="E261" s="34" t="n">
        <v>18800</v>
      </c>
      <c r="F261" s="34" t="n">
        <v>18500</v>
      </c>
      <c r="G261" s="34" t="n">
        <v>18650</v>
      </c>
      <c r="H261" s="34" t="n">
        <v>17010.91</v>
      </c>
      <c r="I261" s="36" t="n">
        <f aca="false">$E261/F261-1</f>
        <v>0.0162162162162163</v>
      </c>
      <c r="J261" s="36" t="n">
        <f aca="false">$E261/G261-1</f>
        <v>0.00804289544235926</v>
      </c>
      <c r="K261" s="36" t="n">
        <f aca="false">$E261/H261-1</f>
        <v>0.105173091856932</v>
      </c>
      <c r="L261" s="37" t="n">
        <v>39.11</v>
      </c>
      <c r="M261" s="37" t="n">
        <v>1.78</v>
      </c>
      <c r="N261" s="34" t="n">
        <v>22100</v>
      </c>
      <c r="O261" s="34" t="n">
        <v>10510.66</v>
      </c>
      <c r="P261" s="38"/>
      <c r="Q261" s="38"/>
    </row>
    <row r="262" customFormat="false" ht="15" hidden="false" customHeight="false" outlineLevel="0" collapsed="false">
      <c r="A262" s="34" t="n">
        <v>254</v>
      </c>
      <c r="B262" s="35" t="s">
        <v>604</v>
      </c>
      <c r="C262" s="35" t="s">
        <v>605</v>
      </c>
      <c r="D262" s="35" t="s">
        <v>116</v>
      </c>
      <c r="E262" s="34" t="n">
        <v>15700</v>
      </c>
      <c r="F262" s="34" t="n">
        <v>15500</v>
      </c>
      <c r="G262" s="34" t="n">
        <v>18901</v>
      </c>
      <c r="H262" s="34" t="n">
        <v>21136.08</v>
      </c>
      <c r="I262" s="36" t="n">
        <f aca="false">$E262/F262-1</f>
        <v>0.0129032258064516</v>
      </c>
      <c r="J262" s="36" t="n">
        <f aca="false">$E262/G262-1</f>
        <v>-0.169356118723877</v>
      </c>
      <c r="K262" s="36" t="n">
        <f aca="false">$E262/H262-1</f>
        <v>-0.257194333102449</v>
      </c>
      <c r="L262" s="37" t="n">
        <v>6.82</v>
      </c>
      <c r="M262" s="37" t="n">
        <v>1.11</v>
      </c>
      <c r="N262" s="34" t="n">
        <v>22612.49</v>
      </c>
      <c r="O262" s="34" t="n">
        <v>15500</v>
      </c>
      <c r="P262" s="38"/>
      <c r="Q262" s="38"/>
    </row>
    <row r="263" customFormat="false" ht="15" hidden="false" customHeight="false" outlineLevel="0" collapsed="false">
      <c r="A263" s="34" t="n">
        <v>255</v>
      </c>
      <c r="B263" s="35" t="s">
        <v>606</v>
      </c>
      <c r="C263" s="35" t="s">
        <v>607</v>
      </c>
      <c r="D263" s="35" t="s">
        <v>116</v>
      </c>
      <c r="E263" s="34" t="n">
        <v>19800</v>
      </c>
      <c r="F263" s="34" t="n">
        <v>18000</v>
      </c>
      <c r="G263" s="34" t="n">
        <v>17500</v>
      </c>
      <c r="H263" s="34" t="n">
        <v>19000</v>
      </c>
      <c r="I263" s="36" t="n">
        <f aca="false">$E263/F263-1</f>
        <v>0.1</v>
      </c>
      <c r="J263" s="36" t="n">
        <f aca="false">$E263/G263-1</f>
        <v>0.131428571428571</v>
      </c>
      <c r="K263" s="36" t="n">
        <f aca="false">$E263/H263-1</f>
        <v>0.0421052631578946</v>
      </c>
      <c r="L263" s="37" t="n">
        <v>131.07</v>
      </c>
      <c r="M263" s="37" t="n">
        <v>1.88</v>
      </c>
      <c r="N263" s="34" t="n">
        <v>20829.06</v>
      </c>
      <c r="O263" s="34" t="n">
        <v>16500</v>
      </c>
      <c r="P263" s="38"/>
      <c r="Q263" s="38"/>
    </row>
    <row r="264" customFormat="false" ht="15" hidden="false" customHeight="false" outlineLevel="0" collapsed="false">
      <c r="A264" s="34" t="n">
        <v>256</v>
      </c>
      <c r="B264" s="35" t="s">
        <v>608</v>
      </c>
      <c r="C264" s="35" t="s">
        <v>609</v>
      </c>
      <c r="D264" s="35" t="s">
        <v>133</v>
      </c>
      <c r="E264" s="34" t="n">
        <v>6300</v>
      </c>
      <c r="F264" s="34" t="n">
        <v>5700</v>
      </c>
      <c r="G264" s="34" t="n">
        <v>7400</v>
      </c>
      <c r="H264" s="34" t="n">
        <v>7300</v>
      </c>
      <c r="I264" s="36" t="n">
        <f aca="false">$E264/F264-1</f>
        <v>0.105263157894737</v>
      </c>
      <c r="J264" s="36" t="n">
        <f aca="false">$E264/G264-1</f>
        <v>-0.148648648648649</v>
      </c>
      <c r="K264" s="36" t="n">
        <f aca="false">$E264/H264-1</f>
        <v>-0.136986301369863</v>
      </c>
      <c r="L264" s="37" t="n">
        <v>21.14</v>
      </c>
      <c r="M264" s="37" t="n">
        <v>0.66</v>
      </c>
      <c r="N264" s="34" t="n">
        <v>13000</v>
      </c>
      <c r="O264" s="34" t="n">
        <v>5400</v>
      </c>
      <c r="P264" s="38"/>
      <c r="Q264" s="38"/>
    </row>
    <row r="265" customFormat="false" ht="15" hidden="false" customHeight="false" outlineLevel="0" collapsed="false">
      <c r="A265" s="34" t="n">
        <v>257</v>
      </c>
      <c r="B265" s="35" t="s">
        <v>610</v>
      </c>
      <c r="C265" s="35" t="s">
        <v>611</v>
      </c>
      <c r="D265" s="35" t="s">
        <v>116</v>
      </c>
      <c r="E265" s="34" t="n">
        <v>8100</v>
      </c>
      <c r="F265" s="34" t="n">
        <v>8600</v>
      </c>
      <c r="G265" s="34" t="n">
        <v>8150</v>
      </c>
      <c r="H265" s="34" t="n">
        <v>8600</v>
      </c>
      <c r="I265" s="36" t="n">
        <f aca="false">$E265/F265-1</f>
        <v>-0.0581395348837209</v>
      </c>
      <c r="J265" s="36" t="n">
        <f aca="false">$E265/G265-1</f>
        <v>-0.00613496932515334</v>
      </c>
      <c r="K265" s="36" t="n">
        <f aca="false">$E265/H265-1</f>
        <v>-0.0581395348837209</v>
      </c>
      <c r="L265" s="37" t="n">
        <v>8.13</v>
      </c>
      <c r="M265" s="37" t="n">
        <v>0.49</v>
      </c>
      <c r="N265" s="34" t="n">
        <v>10000</v>
      </c>
      <c r="O265" s="34" t="n">
        <v>8000</v>
      </c>
      <c r="P265" s="38"/>
      <c r="Q265" s="38"/>
    </row>
    <row r="266" customFormat="false" ht="15" hidden="false" customHeight="false" outlineLevel="0" collapsed="false">
      <c r="A266" s="34" t="n">
        <v>258</v>
      </c>
      <c r="B266" s="35" t="s">
        <v>612</v>
      </c>
      <c r="C266" s="35" t="s">
        <v>613</v>
      </c>
      <c r="D266" s="35" t="s">
        <v>116</v>
      </c>
      <c r="E266" s="34" t="n">
        <v>26850</v>
      </c>
      <c r="F266" s="34" t="n">
        <v>26850</v>
      </c>
      <c r="G266" s="34" t="n">
        <v>26950</v>
      </c>
      <c r="H266" s="34" t="n">
        <v>29000</v>
      </c>
      <c r="I266" s="36" t="n">
        <f aca="false">$E266/F266-1</f>
        <v>0</v>
      </c>
      <c r="J266" s="36" t="n">
        <f aca="false">$E266/G266-1</f>
        <v>-0.00371057513914652</v>
      </c>
      <c r="K266" s="36" t="n">
        <f aca="false">$E266/H266-1</f>
        <v>-0.0741379310344827</v>
      </c>
      <c r="L266" s="37" t="n">
        <v>20.14</v>
      </c>
      <c r="M266" s="37" t="n">
        <v>0.94</v>
      </c>
      <c r="N266" s="34" t="n">
        <v>29000</v>
      </c>
      <c r="O266" s="34" t="n">
        <v>23850</v>
      </c>
      <c r="P266" s="38"/>
      <c r="Q266" s="38"/>
    </row>
    <row r="267" customFormat="false" ht="15" hidden="false" customHeight="false" outlineLevel="0" collapsed="false">
      <c r="A267" s="34" t="n">
        <v>259</v>
      </c>
      <c r="B267" s="35" t="s">
        <v>614</v>
      </c>
      <c r="C267" s="35" t="s">
        <v>615</v>
      </c>
      <c r="D267" s="35" t="s">
        <v>111</v>
      </c>
      <c r="E267" s="34" t="n">
        <v>1400</v>
      </c>
      <c r="F267" s="34" t="n">
        <v>1260</v>
      </c>
      <c r="G267" s="34" t="n">
        <v>900</v>
      </c>
      <c r="H267" s="34" t="n">
        <v>800</v>
      </c>
      <c r="I267" s="36" t="n">
        <f aca="false">$E267/F267-1</f>
        <v>0.111111111111111</v>
      </c>
      <c r="J267" s="36" t="n">
        <f aca="false">$E267/G267-1</f>
        <v>0.555555555555556</v>
      </c>
      <c r="K267" s="36" t="n">
        <f aca="false">$E267/H267-1</f>
        <v>0.75</v>
      </c>
      <c r="L267" s="37" t="n">
        <v>-1.14</v>
      </c>
      <c r="M267" s="37" t="n">
        <v>-0.16</v>
      </c>
      <c r="N267" s="34" t="n">
        <v>1400</v>
      </c>
      <c r="O267" s="34" t="n">
        <v>500</v>
      </c>
      <c r="P267" s="38"/>
      <c r="Q267" s="38"/>
    </row>
    <row r="268" customFormat="false" ht="15" hidden="false" customHeight="false" outlineLevel="0" collapsed="false">
      <c r="A268" s="34" t="n">
        <v>260</v>
      </c>
      <c r="B268" s="35" t="s">
        <v>616</v>
      </c>
      <c r="C268" s="35" t="s">
        <v>617</v>
      </c>
      <c r="D268" s="35" t="s">
        <v>111</v>
      </c>
      <c r="E268" s="34" t="n">
        <v>10500</v>
      </c>
      <c r="F268" s="34" t="n">
        <v>9900</v>
      </c>
      <c r="G268" s="34" t="n">
        <v>14000</v>
      </c>
      <c r="H268" s="34" t="n">
        <v>13058</v>
      </c>
      <c r="I268" s="36" t="n">
        <f aca="false">$E268/F268-1</f>
        <v>0.0606060606060606</v>
      </c>
      <c r="J268" s="36" t="n">
        <f aca="false">$E268/G268-1</f>
        <v>-0.25</v>
      </c>
      <c r="K268" s="36" t="n">
        <f aca="false">$E268/H268-1</f>
        <v>-0.195895236636545</v>
      </c>
      <c r="L268" s="37" t="n">
        <v>4.53</v>
      </c>
      <c r="M268" s="37" t="n">
        <v>0.28</v>
      </c>
      <c r="N268" s="34" t="n">
        <v>14900</v>
      </c>
      <c r="O268" s="34" t="n">
        <v>9816</v>
      </c>
      <c r="P268" s="38"/>
      <c r="Q268" s="38"/>
    </row>
    <row r="269" customFormat="false" ht="15" hidden="false" customHeight="false" outlineLevel="0" collapsed="false">
      <c r="A269" s="34" t="n">
        <v>261</v>
      </c>
      <c r="B269" s="35" t="s">
        <v>618</v>
      </c>
      <c r="C269" s="35" t="s">
        <v>619</v>
      </c>
      <c r="D269" s="35" t="s">
        <v>111</v>
      </c>
      <c r="E269" s="34" t="n">
        <v>2300</v>
      </c>
      <c r="F269" s="34" t="n">
        <v>2300</v>
      </c>
      <c r="G269" s="34" t="n">
        <v>2300</v>
      </c>
      <c r="H269" s="34" t="n">
        <v>2299.92</v>
      </c>
      <c r="I269" s="36" t="n">
        <f aca="false">$E269/F269-1</f>
        <v>0</v>
      </c>
      <c r="J269" s="36" t="n">
        <f aca="false">$E269/G269-1</f>
        <v>0</v>
      </c>
      <c r="K269" s="36" t="n">
        <f aca="false">$E269/H269-1</f>
        <v>3.47838185674743E-005</v>
      </c>
      <c r="L269" s="37" t="n">
        <v>1.74</v>
      </c>
      <c r="M269" s="37" t="n">
        <v>0.18</v>
      </c>
      <c r="N269" s="34" t="n">
        <v>2300</v>
      </c>
      <c r="O269" s="34" t="n">
        <v>2299.92</v>
      </c>
      <c r="P269" s="38"/>
      <c r="Q269" s="38"/>
    </row>
    <row r="270" customFormat="false" ht="15" hidden="false" customHeight="false" outlineLevel="0" collapsed="false">
      <c r="A270" s="34" t="n">
        <v>262</v>
      </c>
      <c r="B270" s="35" t="s">
        <v>620</v>
      </c>
      <c r="C270" s="35" t="s">
        <v>621</v>
      </c>
      <c r="D270" s="35" t="s">
        <v>133</v>
      </c>
      <c r="E270" s="34" t="n">
        <v>7500</v>
      </c>
      <c r="F270" s="34" t="n">
        <v>7500</v>
      </c>
      <c r="G270" s="34" t="n">
        <v>7400</v>
      </c>
      <c r="H270" s="34" t="n">
        <v>7371.81</v>
      </c>
      <c r="I270" s="36" t="n">
        <f aca="false">$E270/F270-1</f>
        <v>0</v>
      </c>
      <c r="J270" s="36" t="n">
        <f aca="false">$E270/G270-1</f>
        <v>0.0135135135135136</v>
      </c>
      <c r="K270" s="36" t="n">
        <f aca="false">$E270/H270-1</f>
        <v>0.0173892164882166</v>
      </c>
      <c r="L270" s="37" t="n">
        <v>5.34</v>
      </c>
      <c r="M270" s="37" t="n">
        <v>0.43</v>
      </c>
      <c r="N270" s="34" t="n">
        <v>8281.91</v>
      </c>
      <c r="O270" s="34" t="n">
        <v>7000</v>
      </c>
      <c r="P270" s="38"/>
      <c r="Q270" s="38"/>
    </row>
    <row r="271" customFormat="false" ht="15" hidden="false" customHeight="false" outlineLevel="0" collapsed="false">
      <c r="A271" s="34" t="n">
        <v>263</v>
      </c>
      <c r="B271" s="35" t="s">
        <v>622</v>
      </c>
      <c r="C271" s="35" t="s">
        <v>623</v>
      </c>
      <c r="D271" s="35" t="s">
        <v>111</v>
      </c>
      <c r="E271" s="34" t="n">
        <v>6000</v>
      </c>
      <c r="F271" s="34" t="n">
        <v>6000</v>
      </c>
      <c r="G271" s="34" t="n">
        <v>6000</v>
      </c>
      <c r="H271" s="34" t="n">
        <v>8900</v>
      </c>
      <c r="I271" s="36" t="n">
        <f aca="false">$E271/F271-1</f>
        <v>0</v>
      </c>
      <c r="J271" s="36" t="n">
        <f aca="false">$E271/G271-1</f>
        <v>0</v>
      </c>
      <c r="K271" s="36" t="n">
        <f aca="false">$E271/H271-1</f>
        <v>-0.325842696629214</v>
      </c>
      <c r="L271" s="37" t="n">
        <v>85.78</v>
      </c>
      <c r="M271" s="37" t="n">
        <v>0.66</v>
      </c>
      <c r="N271" s="34" t="n">
        <v>8900</v>
      </c>
      <c r="O271" s="34" t="n">
        <v>4100</v>
      </c>
      <c r="P271" s="38"/>
      <c r="Q271" s="38"/>
    </row>
    <row r="272" customFormat="false" ht="15" hidden="false" customHeight="false" outlineLevel="0" collapsed="false">
      <c r="A272" s="34" t="n">
        <v>264</v>
      </c>
      <c r="B272" s="35" t="s">
        <v>624</v>
      </c>
      <c r="C272" s="35" t="s">
        <v>625</v>
      </c>
      <c r="D272" s="35" t="s">
        <v>111</v>
      </c>
      <c r="E272" s="34" t="n">
        <v>915</v>
      </c>
      <c r="F272" s="34" t="n">
        <v>1000</v>
      </c>
      <c r="G272" s="34" t="n">
        <v>1000</v>
      </c>
      <c r="H272" s="34" t="n">
        <v>2044</v>
      </c>
      <c r="I272" s="36" t="n">
        <f aca="false">$E272/F272-1</f>
        <v>-0.085</v>
      </c>
      <c r="J272" s="36" t="n">
        <f aca="false">$E272/G272-1</f>
        <v>-0.085</v>
      </c>
      <c r="K272" s="36" t="n">
        <f aca="false">$E272/H272-1</f>
        <v>-0.552348336594912</v>
      </c>
      <c r="L272" s="37" t="n">
        <v>2.69</v>
      </c>
      <c r="M272" s="37" t="n">
        <v>0.1</v>
      </c>
      <c r="N272" s="34" t="n">
        <v>2680</v>
      </c>
      <c r="O272" s="34" t="n">
        <v>900</v>
      </c>
      <c r="P272" s="38"/>
      <c r="Q272" s="38"/>
    </row>
    <row r="273" customFormat="false" ht="15" hidden="false" customHeight="false" outlineLevel="0" collapsed="false">
      <c r="A273" s="34" t="n">
        <v>265</v>
      </c>
      <c r="B273" s="35" t="s">
        <v>626</v>
      </c>
      <c r="C273" s="35" t="s">
        <v>627</v>
      </c>
      <c r="D273" s="35" t="s">
        <v>116</v>
      </c>
      <c r="E273" s="34" t="n">
        <v>22000</v>
      </c>
      <c r="F273" s="34" t="n">
        <v>18900</v>
      </c>
      <c r="G273" s="34" t="n">
        <v>20500</v>
      </c>
      <c r="H273" s="34" t="n">
        <v>24450</v>
      </c>
      <c r="I273" s="36" t="n">
        <f aca="false">$E273/F273-1</f>
        <v>0.164021164021164</v>
      </c>
      <c r="J273" s="36" t="n">
        <f aca="false">$E273/G273-1</f>
        <v>0.0731707317073171</v>
      </c>
      <c r="K273" s="36" t="n">
        <f aca="false">$E273/H273-1</f>
        <v>-0.100204498977505</v>
      </c>
      <c r="L273" s="37" t="n">
        <v>9.88</v>
      </c>
      <c r="M273" s="37" t="n">
        <v>1.22</v>
      </c>
      <c r="N273" s="34" t="n">
        <v>28450</v>
      </c>
      <c r="O273" s="34" t="n">
        <v>18300</v>
      </c>
      <c r="P273" s="38"/>
      <c r="Q273" s="38"/>
    </row>
    <row r="274" customFormat="false" ht="15" hidden="false" customHeight="false" outlineLevel="0" collapsed="false">
      <c r="A274" s="34" t="n">
        <v>266</v>
      </c>
      <c r="B274" s="35" t="s">
        <v>628</v>
      </c>
      <c r="C274" s="35" t="s">
        <v>629</v>
      </c>
      <c r="D274" s="35" t="s">
        <v>111</v>
      </c>
      <c r="E274" s="34" t="n">
        <v>14200</v>
      </c>
      <c r="F274" s="34" t="n">
        <v>14200</v>
      </c>
      <c r="G274" s="34" t="n">
        <v>12400</v>
      </c>
      <c r="H274" s="34" t="n">
        <v>12235.6</v>
      </c>
      <c r="I274" s="36" t="n">
        <f aca="false">$E274/F274-1</f>
        <v>0</v>
      </c>
      <c r="J274" s="36" t="n">
        <f aca="false">$E274/G274-1</f>
        <v>0.145161290322581</v>
      </c>
      <c r="K274" s="36" t="n">
        <f aca="false">$E274/H274-1</f>
        <v>0.160547909379189</v>
      </c>
      <c r="L274" s="37" t="n">
        <v>15.43</v>
      </c>
      <c r="M274" s="37" t="n">
        <v>1.24</v>
      </c>
      <c r="N274" s="34" t="n">
        <v>14200</v>
      </c>
      <c r="O274" s="34" t="n">
        <v>9694.36</v>
      </c>
      <c r="P274" s="38"/>
      <c r="Q274" s="38"/>
    </row>
    <row r="275" customFormat="false" ht="15" hidden="false" customHeight="false" outlineLevel="0" collapsed="false">
      <c r="A275" s="34" t="n">
        <v>267</v>
      </c>
      <c r="B275" s="35" t="s">
        <v>630</v>
      </c>
      <c r="C275" s="35" t="s">
        <v>631</v>
      </c>
      <c r="D275" s="35" t="s">
        <v>133</v>
      </c>
      <c r="E275" s="34" t="n">
        <v>13500</v>
      </c>
      <c r="F275" s="34" t="n">
        <v>13800</v>
      </c>
      <c r="G275" s="34" t="n">
        <v>17500</v>
      </c>
      <c r="H275" s="34" t="n">
        <v>15400</v>
      </c>
      <c r="I275" s="36" t="n">
        <f aca="false">$E275/F275-1</f>
        <v>-0.0217391304347826</v>
      </c>
      <c r="J275" s="36" t="n">
        <f aca="false">$E275/G275-1</f>
        <v>-0.228571428571429</v>
      </c>
      <c r="K275" s="36" t="n">
        <f aca="false">$E275/H275-1</f>
        <v>-0.123376623376623</v>
      </c>
      <c r="L275" s="37" t="n">
        <v>14.65</v>
      </c>
      <c r="M275" s="37" t="n">
        <v>0.71</v>
      </c>
      <c r="N275" s="34" t="n">
        <v>19000</v>
      </c>
      <c r="O275" s="34" t="n">
        <v>11800</v>
      </c>
      <c r="P275" s="38"/>
      <c r="Q275" s="38"/>
    </row>
    <row r="276" customFormat="false" ht="15" hidden="false" customHeight="false" outlineLevel="0" collapsed="false">
      <c r="A276" s="34" t="n">
        <v>268</v>
      </c>
      <c r="B276" s="35" t="s">
        <v>632</v>
      </c>
      <c r="C276" s="35" t="s">
        <v>633</v>
      </c>
      <c r="D276" s="35" t="s">
        <v>111</v>
      </c>
      <c r="E276" s="34" t="n">
        <v>18016</v>
      </c>
      <c r="F276" s="34" t="n">
        <v>20850</v>
      </c>
      <c r="G276" s="34" t="n">
        <v>22305</v>
      </c>
      <c r="H276" s="34" t="n">
        <v>24439.56</v>
      </c>
      <c r="I276" s="36" t="n">
        <f aca="false">$E276/F276-1</f>
        <v>-0.135923261390887</v>
      </c>
      <c r="J276" s="36" t="n">
        <f aca="false">$E276/G276-1</f>
        <v>-0.192288724501233</v>
      </c>
      <c r="K276" s="36" t="n">
        <f aca="false">$E276/H276-1</f>
        <v>-0.262834519115729</v>
      </c>
      <c r="L276" s="37" t="n">
        <v>12.96</v>
      </c>
      <c r="M276" s="37" t="n">
        <v>1.53</v>
      </c>
      <c r="N276" s="34" t="n">
        <v>29456.05</v>
      </c>
      <c r="O276" s="34" t="n">
        <v>17498.25</v>
      </c>
      <c r="P276" s="38"/>
      <c r="Q276" s="38"/>
    </row>
    <row r="277" customFormat="false" ht="15" hidden="false" customHeight="false" outlineLevel="0" collapsed="false">
      <c r="A277" s="34" t="n">
        <v>269</v>
      </c>
      <c r="B277" s="35" t="s">
        <v>634</v>
      </c>
      <c r="C277" s="35" t="s">
        <v>635</v>
      </c>
      <c r="D277" s="35" t="s">
        <v>111</v>
      </c>
      <c r="E277" s="34" t="n">
        <v>3000</v>
      </c>
      <c r="F277" s="34" t="n">
        <v>3000</v>
      </c>
      <c r="G277" s="34" t="n">
        <v>3000</v>
      </c>
      <c r="H277" s="34" t="n">
        <v>3000</v>
      </c>
      <c r="I277" s="36" t="n">
        <f aca="false">$E277/F277-1</f>
        <v>0</v>
      </c>
      <c r="J277" s="36" t="n">
        <f aca="false">$E277/G277-1</f>
        <v>0</v>
      </c>
      <c r="K277" s="36" t="n">
        <f aca="false">$E277/H277-1</f>
        <v>0</v>
      </c>
      <c r="L277" s="37" t="n">
        <v>5.19</v>
      </c>
      <c r="M277" s="37" t="n">
        <v>-2.72</v>
      </c>
      <c r="N277" s="34" t="n">
        <v>3500</v>
      </c>
      <c r="O277" s="34" t="n">
        <v>3000</v>
      </c>
      <c r="P277" s="38"/>
      <c r="Q277" s="38"/>
    </row>
    <row r="278" customFormat="false" ht="15" hidden="false" customHeight="false" outlineLevel="0" collapsed="false">
      <c r="A278" s="34" t="n">
        <v>270</v>
      </c>
      <c r="B278" s="35" t="s">
        <v>636</v>
      </c>
      <c r="C278" s="35" t="s">
        <v>637</v>
      </c>
      <c r="D278" s="35" t="s">
        <v>111</v>
      </c>
      <c r="E278" s="34" t="n">
        <v>5200</v>
      </c>
      <c r="F278" s="34" t="n">
        <v>4769</v>
      </c>
      <c r="G278" s="34" t="n">
        <v>5547</v>
      </c>
      <c r="H278" s="34" t="n">
        <v>7747.4</v>
      </c>
      <c r="I278" s="36" t="n">
        <f aca="false">$E278/F278-1</f>
        <v>0.090375340742294</v>
      </c>
      <c r="J278" s="36" t="n">
        <f aca="false">$E278/G278-1</f>
        <v>-0.0625563367586083</v>
      </c>
      <c r="K278" s="36" t="n">
        <f aca="false">$E278/H278-1</f>
        <v>-0.328807083666778</v>
      </c>
      <c r="L278" s="37" t="n">
        <v>2.44</v>
      </c>
      <c r="M278" s="37" t="n">
        <v>0.42</v>
      </c>
      <c r="N278" s="34" t="n">
        <v>18637.62</v>
      </c>
      <c r="O278" s="34" t="n">
        <v>4357</v>
      </c>
      <c r="P278" s="38"/>
      <c r="Q278" s="38"/>
    </row>
    <row r="279" customFormat="false" ht="15" hidden="false" customHeight="false" outlineLevel="0" collapsed="false">
      <c r="A279" s="34" t="n">
        <v>271</v>
      </c>
      <c r="B279" s="35" t="s">
        <v>638</v>
      </c>
      <c r="C279" s="35" t="s">
        <v>639</v>
      </c>
      <c r="D279" s="35" t="s">
        <v>133</v>
      </c>
      <c r="E279" s="34" t="n">
        <v>9500</v>
      </c>
      <c r="F279" s="34" t="n">
        <v>9500</v>
      </c>
      <c r="G279" s="34" t="n">
        <v>10000</v>
      </c>
      <c r="H279" s="34" t="n">
        <v>9500.16</v>
      </c>
      <c r="I279" s="36" t="n">
        <f aca="false">$E279/F279-1</f>
        <v>0</v>
      </c>
      <c r="J279" s="36" t="n">
        <f aca="false">$E279/G279-1</f>
        <v>-0.05</v>
      </c>
      <c r="K279" s="36" t="n">
        <f aca="false">$E279/H279-1</f>
        <v>-1.68418216114352E-005</v>
      </c>
      <c r="L279" s="37" t="n">
        <v>40.65</v>
      </c>
      <c r="M279" s="37" t="n">
        <v>0.85</v>
      </c>
      <c r="N279" s="34" t="n">
        <v>10000</v>
      </c>
      <c r="O279" s="34" t="n">
        <v>8906.4</v>
      </c>
      <c r="P279" s="38"/>
      <c r="Q279" s="38"/>
    </row>
    <row r="280" customFormat="false" ht="15" hidden="false" customHeight="false" outlineLevel="0" collapsed="false">
      <c r="A280" s="34" t="n">
        <v>272</v>
      </c>
      <c r="B280" s="35" t="s">
        <v>640</v>
      </c>
      <c r="C280" s="35" t="s">
        <v>641</v>
      </c>
      <c r="D280" s="35" t="s">
        <v>133</v>
      </c>
      <c r="E280" s="34" t="n">
        <v>15800</v>
      </c>
      <c r="F280" s="34" t="n">
        <v>14700</v>
      </c>
      <c r="G280" s="34" t="n">
        <v>15300</v>
      </c>
      <c r="H280" s="34" t="n">
        <v>15000</v>
      </c>
      <c r="I280" s="36" t="n">
        <f aca="false">$E280/F280-1</f>
        <v>0.0748299319727892</v>
      </c>
      <c r="J280" s="36" t="n">
        <f aca="false">$E280/G280-1</f>
        <v>0.0326797385620916</v>
      </c>
      <c r="K280" s="36" t="n">
        <f aca="false">$E280/H280-1</f>
        <v>0.0533333333333332</v>
      </c>
      <c r="L280" s="37" t="n">
        <v>6.15</v>
      </c>
      <c r="M280" s="37" t="n">
        <v>0.78</v>
      </c>
      <c r="N280" s="34" t="n">
        <v>16000</v>
      </c>
      <c r="O280" s="34" t="n">
        <v>13000</v>
      </c>
      <c r="P280" s="38"/>
      <c r="Q280" s="38"/>
    </row>
    <row r="281" customFormat="false" ht="15" hidden="false" customHeight="false" outlineLevel="0" collapsed="false">
      <c r="A281" s="34" t="n">
        <v>273</v>
      </c>
      <c r="B281" s="35" t="s">
        <v>642</v>
      </c>
      <c r="C281" s="35" t="s">
        <v>643</v>
      </c>
      <c r="D281" s="35" t="s">
        <v>111</v>
      </c>
      <c r="E281" s="34" t="n">
        <v>1600</v>
      </c>
      <c r="F281" s="34" t="n">
        <v>1600</v>
      </c>
      <c r="G281" s="34" t="n">
        <v>1700</v>
      </c>
      <c r="H281" s="34" t="n">
        <v>1300</v>
      </c>
      <c r="I281" s="36" t="n">
        <f aca="false">$E281/F281-1</f>
        <v>0</v>
      </c>
      <c r="J281" s="36" t="n">
        <f aca="false">$E281/G281-1</f>
        <v>-0.0588235294117647</v>
      </c>
      <c r="K281" s="36" t="n">
        <f aca="false">$E281/H281-1</f>
        <v>0.230769230769231</v>
      </c>
      <c r="L281" s="37" t="n">
        <v>-0.36</v>
      </c>
      <c r="M281" s="37" t="n">
        <v>-0.02</v>
      </c>
      <c r="N281" s="34" t="n">
        <v>1900</v>
      </c>
      <c r="O281" s="34" t="n">
        <v>1200</v>
      </c>
      <c r="P281" s="38"/>
      <c r="Q281" s="38"/>
    </row>
    <row r="282" customFormat="false" ht="15" hidden="false" customHeight="false" outlineLevel="0" collapsed="false">
      <c r="A282" s="34" t="n">
        <v>274</v>
      </c>
      <c r="B282" s="35" t="s">
        <v>644</v>
      </c>
      <c r="C282" s="35" t="s">
        <v>645</v>
      </c>
      <c r="D282" s="35" t="s">
        <v>111</v>
      </c>
      <c r="E282" s="34" t="n">
        <v>12000</v>
      </c>
      <c r="F282" s="34" t="n">
        <v>12000</v>
      </c>
      <c r="G282" s="34" t="n">
        <v>12000</v>
      </c>
      <c r="H282" s="34" t="n">
        <v>12000</v>
      </c>
      <c r="I282" s="36" t="n">
        <f aca="false">$E282/F282-1</f>
        <v>0</v>
      </c>
      <c r="J282" s="36" t="n">
        <f aca="false">$E282/G282-1</f>
        <v>0</v>
      </c>
      <c r="K282" s="36" t="n">
        <f aca="false">$E282/H282-1</f>
        <v>0</v>
      </c>
      <c r="L282" s="37" t="n">
        <v>-31.18</v>
      </c>
      <c r="M282" s="37" t="n">
        <v>0.71</v>
      </c>
      <c r="N282" s="34" t="n">
        <v>12000</v>
      </c>
      <c r="O282" s="34" t="n">
        <v>12000</v>
      </c>
      <c r="P282" s="38"/>
      <c r="Q282" s="38"/>
    </row>
    <row r="283" customFormat="false" ht="15" hidden="false" customHeight="false" outlineLevel="0" collapsed="false">
      <c r="A283" s="34" t="n">
        <v>275</v>
      </c>
      <c r="B283" s="35" t="s">
        <v>646</v>
      </c>
      <c r="C283" s="35" t="s">
        <v>647</v>
      </c>
      <c r="D283" s="35" t="s">
        <v>111</v>
      </c>
      <c r="E283" s="34" t="n">
        <v>29833</v>
      </c>
      <c r="F283" s="34" t="n">
        <v>29728</v>
      </c>
      <c r="G283" s="34" t="n">
        <v>30600</v>
      </c>
      <c r="H283" s="34" t="n">
        <v>31937.4</v>
      </c>
      <c r="I283" s="36" t="n">
        <f aca="false">$E283/F283-1</f>
        <v>0.00353202368137784</v>
      </c>
      <c r="J283" s="36" t="n">
        <f aca="false">$E283/G283-1</f>
        <v>-0.0250653594771242</v>
      </c>
      <c r="K283" s="36" t="n">
        <f aca="false">$E283/H283-1</f>
        <v>-0.0658914000513505</v>
      </c>
      <c r="L283" s="37" t="n">
        <v>9.11</v>
      </c>
      <c r="M283" s="37" t="n">
        <v>1.59</v>
      </c>
      <c r="N283" s="34" t="n">
        <v>37820.57</v>
      </c>
      <c r="O283" s="34" t="n">
        <v>28064</v>
      </c>
      <c r="P283" s="38"/>
      <c r="Q283" s="38"/>
    </row>
    <row r="284" customFormat="false" ht="15" hidden="false" customHeight="false" outlineLevel="0" collapsed="false">
      <c r="A284" s="34" t="n">
        <v>276</v>
      </c>
      <c r="B284" s="35" t="s">
        <v>648</v>
      </c>
      <c r="C284" s="35" t="s">
        <v>649</v>
      </c>
      <c r="D284" s="35" t="s">
        <v>111</v>
      </c>
      <c r="E284" s="34" t="n">
        <v>15700</v>
      </c>
      <c r="F284" s="34" t="n">
        <v>15700</v>
      </c>
      <c r="G284" s="34" t="n">
        <v>15700</v>
      </c>
      <c r="H284" s="34" t="n">
        <v>14048.8</v>
      </c>
      <c r="I284" s="36" t="n">
        <f aca="false">$E284/F284-1</f>
        <v>0</v>
      </c>
      <c r="J284" s="36" t="n">
        <f aca="false">$E284/G284-1</f>
        <v>0</v>
      </c>
      <c r="K284" s="36" t="n">
        <f aca="false">$E284/H284-1</f>
        <v>0.117533170092819</v>
      </c>
      <c r="L284" s="37" t="n">
        <v>9.15</v>
      </c>
      <c r="M284" s="37" t="n">
        <v>1.18</v>
      </c>
      <c r="N284" s="34" t="n">
        <v>17354.4</v>
      </c>
      <c r="O284" s="34" t="n">
        <v>14048.8</v>
      </c>
      <c r="P284" s="38"/>
      <c r="Q284" s="38"/>
    </row>
    <row r="285" customFormat="false" ht="15" hidden="false" customHeight="false" outlineLevel="0" collapsed="false">
      <c r="A285" s="34" t="n">
        <v>277</v>
      </c>
      <c r="B285" s="35" t="s">
        <v>650</v>
      </c>
      <c r="C285" s="35" t="s">
        <v>651</v>
      </c>
      <c r="D285" s="35" t="s">
        <v>116</v>
      </c>
      <c r="E285" s="34" t="n">
        <v>12000</v>
      </c>
      <c r="F285" s="34" t="n">
        <v>11822.62</v>
      </c>
      <c r="G285" s="34" t="n">
        <v>12797.25</v>
      </c>
      <c r="H285" s="34" t="n">
        <v>12523.37</v>
      </c>
      <c r="I285" s="36" t="n">
        <f aca="false">$E285/F285-1</f>
        <v>0.0150034425533425</v>
      </c>
      <c r="J285" s="36" t="n">
        <f aca="false">$E285/G285-1</f>
        <v>-0.0622985407021039</v>
      </c>
      <c r="K285" s="36" t="n">
        <f aca="false">$E285/H285-1</f>
        <v>-0.0417914666739065</v>
      </c>
      <c r="L285" s="37" t="n">
        <v>5.2</v>
      </c>
      <c r="M285" s="37" t="n">
        <v>1.08</v>
      </c>
      <c r="N285" s="34" t="n">
        <v>14534.62</v>
      </c>
      <c r="O285" s="34" t="n">
        <v>10289.9</v>
      </c>
      <c r="P285" s="38"/>
      <c r="Q285" s="38"/>
    </row>
    <row r="286" customFormat="false" ht="15" hidden="false" customHeight="false" outlineLevel="0" collapsed="false">
      <c r="A286" s="34" t="n">
        <v>278</v>
      </c>
      <c r="B286" s="35" t="s">
        <v>652</v>
      </c>
      <c r="C286" s="35" t="s">
        <v>653</v>
      </c>
      <c r="D286" s="35" t="s">
        <v>111</v>
      </c>
      <c r="E286" s="34" t="n">
        <v>7295</v>
      </c>
      <c r="F286" s="34" t="n">
        <v>6598</v>
      </c>
      <c r="G286" s="34" t="n">
        <v>8400</v>
      </c>
      <c r="H286" s="34" t="n">
        <v>8200</v>
      </c>
      <c r="I286" s="36" t="n">
        <f aca="false">$E286/F286-1</f>
        <v>0.105638072143074</v>
      </c>
      <c r="J286" s="36" t="n">
        <f aca="false">$E286/G286-1</f>
        <v>-0.131547619047619</v>
      </c>
      <c r="K286" s="36" t="n">
        <f aca="false">$E286/H286-1</f>
        <v>-0.110365853658537</v>
      </c>
      <c r="L286" s="37" t="n">
        <v>5.13</v>
      </c>
      <c r="M286" s="37" t="n">
        <v>0.62</v>
      </c>
      <c r="N286" s="34" t="n">
        <v>9337</v>
      </c>
      <c r="O286" s="34" t="n">
        <v>6598</v>
      </c>
      <c r="P286" s="38"/>
      <c r="Q286" s="38"/>
    </row>
    <row r="287" customFormat="false" ht="15" hidden="false" customHeight="false" outlineLevel="0" collapsed="false">
      <c r="A287" s="34" t="n">
        <v>279</v>
      </c>
      <c r="B287" s="35" t="s">
        <v>654</v>
      </c>
      <c r="C287" s="35" t="s">
        <v>655</v>
      </c>
      <c r="D287" s="35" t="s">
        <v>116</v>
      </c>
      <c r="E287" s="34" t="n">
        <v>10550</v>
      </c>
      <c r="F287" s="34" t="n">
        <v>10200</v>
      </c>
      <c r="G287" s="34" t="n">
        <v>10400</v>
      </c>
      <c r="H287" s="34" t="n">
        <v>11050</v>
      </c>
      <c r="I287" s="36" t="n">
        <f aca="false">$E287/F287-1</f>
        <v>0.0343137254901962</v>
      </c>
      <c r="J287" s="36" t="n">
        <f aca="false">$E287/G287-1</f>
        <v>0.0144230769230769</v>
      </c>
      <c r="K287" s="36" t="n">
        <f aca="false">$E287/H287-1</f>
        <v>-0.0452488687782805</v>
      </c>
      <c r="L287" s="37" t="n">
        <v>10.74</v>
      </c>
      <c r="M287" s="37" t="n">
        <v>0.83</v>
      </c>
      <c r="N287" s="34" t="n">
        <v>12243.36</v>
      </c>
      <c r="O287" s="34" t="n">
        <v>10200</v>
      </c>
      <c r="P287" s="38"/>
      <c r="Q287" s="38"/>
    </row>
    <row r="288" customFormat="false" ht="15" hidden="false" customHeight="false" outlineLevel="0" collapsed="false">
      <c r="A288" s="34" t="n">
        <v>280</v>
      </c>
      <c r="B288" s="35" t="s">
        <v>656</v>
      </c>
      <c r="C288" s="35" t="s">
        <v>657</v>
      </c>
      <c r="D288" s="35" t="s">
        <v>111</v>
      </c>
      <c r="E288" s="34" t="n">
        <v>12504</v>
      </c>
      <c r="F288" s="34" t="n">
        <v>12197</v>
      </c>
      <c r="G288" s="34" t="n">
        <v>13639</v>
      </c>
      <c r="H288" s="34" t="n">
        <v>15830.55</v>
      </c>
      <c r="I288" s="36" t="n">
        <f aca="false">$E288/F288-1</f>
        <v>0.0251701238009348</v>
      </c>
      <c r="J288" s="36" t="n">
        <f aca="false">$E288/G288-1</f>
        <v>-0.0832172446660312</v>
      </c>
      <c r="K288" s="36" t="n">
        <f aca="false">$E288/H288-1</f>
        <v>-0.210134834228754</v>
      </c>
      <c r="L288" s="37" t="n">
        <v>6.33</v>
      </c>
      <c r="M288" s="37" t="n">
        <v>0.91</v>
      </c>
      <c r="N288" s="34" t="n">
        <v>18427.46</v>
      </c>
      <c r="O288" s="34" t="n">
        <v>11675</v>
      </c>
      <c r="P288" s="38"/>
      <c r="Q288" s="38"/>
    </row>
    <row r="289" customFormat="false" ht="15" hidden="false" customHeight="false" outlineLevel="0" collapsed="false">
      <c r="A289" s="34" t="n">
        <v>281</v>
      </c>
      <c r="B289" s="35" t="s">
        <v>658</v>
      </c>
      <c r="C289" s="35" t="s">
        <v>659</v>
      </c>
      <c r="D289" s="35" t="s">
        <v>111</v>
      </c>
      <c r="E289" s="34" t="n">
        <v>2500</v>
      </c>
      <c r="F289" s="34" t="n">
        <v>2500</v>
      </c>
      <c r="G289" s="34" t="n">
        <v>2500</v>
      </c>
      <c r="H289" s="34" t="n">
        <v>3700</v>
      </c>
      <c r="I289" s="36" t="n">
        <f aca="false">$E289/F289-1</f>
        <v>0</v>
      </c>
      <c r="J289" s="36" t="n">
        <f aca="false">$E289/G289-1</f>
        <v>0</v>
      </c>
      <c r="K289" s="36" t="n">
        <f aca="false">$E289/H289-1</f>
        <v>-0.324324324324324</v>
      </c>
      <c r="L289" s="37" t="n">
        <v>2.47</v>
      </c>
      <c r="M289" s="37" t="n">
        <v>0.07</v>
      </c>
      <c r="N289" s="34" t="n">
        <v>3700</v>
      </c>
      <c r="O289" s="34" t="n">
        <v>2500</v>
      </c>
      <c r="P289" s="38"/>
      <c r="Q289" s="38"/>
    </row>
    <row r="290" customFormat="false" ht="15" hidden="false" customHeight="false" outlineLevel="0" collapsed="false">
      <c r="A290" s="34" t="n">
        <v>282</v>
      </c>
      <c r="B290" s="35" t="s">
        <v>660</v>
      </c>
      <c r="C290" s="35" t="s">
        <v>661</v>
      </c>
      <c r="D290" s="35" t="s">
        <v>111</v>
      </c>
      <c r="E290" s="34" t="n">
        <v>15300</v>
      </c>
      <c r="F290" s="34" t="n">
        <v>15300</v>
      </c>
      <c r="G290" s="34" t="n">
        <v>15300</v>
      </c>
      <c r="H290" s="34" t="n">
        <v>14693.84</v>
      </c>
      <c r="I290" s="36" t="n">
        <f aca="false">$E290/F290-1</f>
        <v>0</v>
      </c>
      <c r="J290" s="36" t="n">
        <f aca="false">$E290/G290-1</f>
        <v>0</v>
      </c>
      <c r="K290" s="36" t="n">
        <f aca="false">$E290/H290-1</f>
        <v>0.0412526609790225</v>
      </c>
      <c r="L290" s="37" t="n">
        <v>6.37</v>
      </c>
      <c r="M290" s="37" t="n">
        <v>0.61</v>
      </c>
      <c r="N290" s="34"/>
      <c r="O290" s="34"/>
      <c r="P290" s="38"/>
      <c r="Q290" s="38"/>
    </row>
    <row r="291" customFormat="false" ht="15" hidden="false" customHeight="false" outlineLevel="0" collapsed="false">
      <c r="A291" s="34" t="n">
        <v>283</v>
      </c>
      <c r="B291" s="35" t="s">
        <v>662</v>
      </c>
      <c r="C291" s="35" t="s">
        <v>663</v>
      </c>
      <c r="D291" s="35" t="s">
        <v>111</v>
      </c>
      <c r="E291" s="34" t="n">
        <v>13000</v>
      </c>
      <c r="F291" s="34" t="n">
        <v>13013</v>
      </c>
      <c r="G291" s="34" t="n">
        <v>8800</v>
      </c>
      <c r="H291" s="34" t="n">
        <v>4100</v>
      </c>
      <c r="I291" s="36" t="n">
        <f aca="false">$E291/F291-1</f>
        <v>-0.000999000999000965</v>
      </c>
      <c r="J291" s="36" t="n">
        <f aca="false">$E291/G291-1</f>
        <v>0.477272727272727</v>
      </c>
      <c r="K291" s="36" t="n">
        <f aca="false">$E291/H291-1</f>
        <v>2.17073170731707</v>
      </c>
      <c r="L291" s="37" t="n">
        <v>8.73</v>
      </c>
      <c r="M291" s="37" t="n">
        <v>-0.72</v>
      </c>
      <c r="N291" s="34" t="n">
        <v>13200</v>
      </c>
      <c r="O291" s="34" t="n">
        <v>3500</v>
      </c>
      <c r="P291" s="38"/>
      <c r="Q291" s="38"/>
    </row>
    <row r="292" customFormat="false" ht="15" hidden="false" customHeight="false" outlineLevel="0" collapsed="false">
      <c r="A292" s="34" t="n">
        <v>284</v>
      </c>
      <c r="B292" s="35" t="s">
        <v>664</v>
      </c>
      <c r="C292" s="35" t="s">
        <v>665</v>
      </c>
      <c r="D292" s="35" t="s">
        <v>133</v>
      </c>
      <c r="E292" s="34" t="n">
        <v>13000</v>
      </c>
      <c r="F292" s="34" t="n">
        <v>11800</v>
      </c>
      <c r="G292" s="34" t="n">
        <v>11100.04</v>
      </c>
      <c r="H292" s="34" t="n">
        <v>12918.15</v>
      </c>
      <c r="I292" s="36" t="n">
        <f aca="false">$E292/F292-1</f>
        <v>0.101694915254237</v>
      </c>
      <c r="J292" s="36" t="n">
        <f aca="false">$E292/G292-1</f>
        <v>0.171166950749727</v>
      </c>
      <c r="K292" s="36" t="n">
        <f aca="false">$E292/H292-1</f>
        <v>0.00633604657013587</v>
      </c>
      <c r="L292" s="37" t="n">
        <v>31.59</v>
      </c>
      <c r="M292" s="37" t="n">
        <v>1.13</v>
      </c>
      <c r="N292" s="34" t="n">
        <v>15693.16</v>
      </c>
      <c r="O292" s="34" t="n">
        <v>10334.52</v>
      </c>
      <c r="P292" s="38"/>
      <c r="Q292" s="38"/>
    </row>
    <row r="293" customFormat="false" ht="15" hidden="false" customHeight="false" outlineLevel="0" collapsed="false">
      <c r="A293" s="34" t="n">
        <v>285</v>
      </c>
      <c r="B293" s="35" t="s">
        <v>666</v>
      </c>
      <c r="C293" s="35" t="s">
        <v>667</v>
      </c>
      <c r="D293" s="35" t="s">
        <v>111</v>
      </c>
      <c r="E293" s="34" t="n">
        <v>6500</v>
      </c>
      <c r="F293" s="34" t="n">
        <v>4777</v>
      </c>
      <c r="G293" s="34" t="n">
        <v>5800</v>
      </c>
      <c r="H293" s="34" t="n">
        <v>5600</v>
      </c>
      <c r="I293" s="36" t="n">
        <f aca="false">$E293/F293-1</f>
        <v>0.36068662340381</v>
      </c>
      <c r="J293" s="36" t="n">
        <f aca="false">$E293/G293-1</f>
        <v>0.120689655172414</v>
      </c>
      <c r="K293" s="36" t="n">
        <f aca="false">$E293/H293-1</f>
        <v>0.160714285714286</v>
      </c>
      <c r="L293" s="37" t="n">
        <v>26.5</v>
      </c>
      <c r="M293" s="37" t="n">
        <v>0.44</v>
      </c>
      <c r="N293" s="34" t="n">
        <v>8000</v>
      </c>
      <c r="O293" s="34" t="n">
        <v>4300</v>
      </c>
      <c r="P293" s="38"/>
      <c r="Q293" s="38"/>
    </row>
    <row r="294" customFormat="false" ht="15" hidden="false" customHeight="false" outlineLevel="0" collapsed="false">
      <c r="A294" s="34" t="n">
        <v>286</v>
      </c>
      <c r="B294" s="35" t="s">
        <v>668</v>
      </c>
      <c r="C294" s="35" t="s">
        <v>669</v>
      </c>
      <c r="D294" s="35" t="s">
        <v>111</v>
      </c>
      <c r="E294" s="34" t="n">
        <v>9700</v>
      </c>
      <c r="F294" s="34" t="n">
        <v>9700</v>
      </c>
      <c r="G294" s="34" t="n">
        <v>9700</v>
      </c>
      <c r="H294" s="34" t="n">
        <v>9500</v>
      </c>
      <c r="I294" s="36" t="n">
        <f aca="false">$E294/F294-1</f>
        <v>0</v>
      </c>
      <c r="J294" s="36" t="n">
        <f aca="false">$E294/G294-1</f>
        <v>0</v>
      </c>
      <c r="K294" s="36" t="n">
        <f aca="false">$E294/H294-1</f>
        <v>0.0210526315789474</v>
      </c>
      <c r="L294" s="37" t="n">
        <v>12.02</v>
      </c>
      <c r="M294" s="37" t="n">
        <v>0.84</v>
      </c>
      <c r="N294" s="34" t="n">
        <v>12400</v>
      </c>
      <c r="O294" s="34" t="n">
        <v>6400</v>
      </c>
      <c r="P294" s="38"/>
      <c r="Q294" s="38"/>
    </row>
    <row r="295" customFormat="false" ht="15" hidden="false" customHeight="false" outlineLevel="0" collapsed="false">
      <c r="A295" s="34" t="n">
        <v>287</v>
      </c>
      <c r="B295" s="35" t="s">
        <v>670</v>
      </c>
      <c r="C295" s="35" t="s">
        <v>671</v>
      </c>
      <c r="D295" s="35" t="s">
        <v>111</v>
      </c>
      <c r="E295" s="34" t="n">
        <v>9591</v>
      </c>
      <c r="F295" s="34" t="n">
        <v>9900</v>
      </c>
      <c r="G295" s="34" t="n">
        <v>9900</v>
      </c>
      <c r="H295" s="34" t="n">
        <v>9487.94</v>
      </c>
      <c r="I295" s="36" t="n">
        <f aca="false">$E295/F295-1</f>
        <v>-0.0312121212121212</v>
      </c>
      <c r="J295" s="36" t="n">
        <f aca="false">$E295/G295-1</f>
        <v>-0.0312121212121212</v>
      </c>
      <c r="K295" s="36" t="n">
        <f aca="false">$E295/H295-1</f>
        <v>0.010862210342814</v>
      </c>
      <c r="L295" s="37" t="n">
        <v>11.47</v>
      </c>
      <c r="M295" s="37" t="n">
        <v>0.86</v>
      </c>
      <c r="N295" s="34" t="n">
        <v>10897.04</v>
      </c>
      <c r="O295" s="34" t="n">
        <v>7233.38</v>
      </c>
      <c r="P295" s="38"/>
      <c r="Q295" s="38"/>
    </row>
    <row r="296" customFormat="false" ht="15" hidden="false" customHeight="false" outlineLevel="0" collapsed="false">
      <c r="A296" s="34" t="n">
        <v>288</v>
      </c>
      <c r="B296" s="35" t="s">
        <v>672</v>
      </c>
      <c r="C296" s="35" t="s">
        <v>673</v>
      </c>
      <c r="D296" s="35" t="s">
        <v>111</v>
      </c>
      <c r="E296" s="34" t="n">
        <v>900</v>
      </c>
      <c r="F296" s="34" t="n">
        <v>900</v>
      </c>
      <c r="G296" s="34" t="n">
        <v>900</v>
      </c>
      <c r="H296" s="34" t="n">
        <v>900</v>
      </c>
      <c r="I296" s="36" t="n">
        <f aca="false">$E296/F296-1</f>
        <v>0</v>
      </c>
      <c r="J296" s="36" t="n">
        <f aca="false">$E296/G296-1</f>
        <v>0</v>
      </c>
      <c r="K296" s="36" t="n">
        <f aca="false">$E296/H296-1</f>
        <v>0</v>
      </c>
      <c r="L296" s="37" t="n">
        <v>3.06</v>
      </c>
      <c r="M296" s="37" t="n">
        <v>0.06</v>
      </c>
      <c r="N296" s="34" t="n">
        <v>900.02</v>
      </c>
      <c r="O296" s="34" t="n">
        <v>900</v>
      </c>
      <c r="P296" s="38"/>
      <c r="Q296" s="38"/>
    </row>
    <row r="297" customFormat="false" ht="15" hidden="false" customHeight="false" outlineLevel="0" collapsed="false">
      <c r="A297" s="34" t="n">
        <v>289</v>
      </c>
      <c r="B297" s="35" t="s">
        <v>674</v>
      </c>
      <c r="C297" s="35" t="s">
        <v>675</v>
      </c>
      <c r="D297" s="35" t="s">
        <v>111</v>
      </c>
      <c r="E297" s="34" t="n">
        <v>15200</v>
      </c>
      <c r="F297" s="34" t="n">
        <v>15000</v>
      </c>
      <c r="G297" s="34" t="n">
        <v>14818.44</v>
      </c>
      <c r="H297" s="34" t="n">
        <v>14174.16</v>
      </c>
      <c r="I297" s="36" t="n">
        <f aca="false">$E297/F297-1</f>
        <v>0.0133333333333334</v>
      </c>
      <c r="J297" s="36" t="n">
        <f aca="false">$E297/G297-1</f>
        <v>0.0257489992198909</v>
      </c>
      <c r="K297" s="36" t="n">
        <f aca="false">$E297/H297-1</f>
        <v>0.072373953729886</v>
      </c>
      <c r="L297" s="37" t="n">
        <v>3.87</v>
      </c>
      <c r="M297" s="37" t="n">
        <v>0.84</v>
      </c>
      <c r="N297" s="34" t="n">
        <v>16014.96</v>
      </c>
      <c r="O297" s="34" t="n">
        <v>12957.39</v>
      </c>
      <c r="P297" s="38"/>
      <c r="Q297" s="38"/>
    </row>
    <row r="298" customFormat="false" ht="15" hidden="false" customHeight="false" outlineLevel="0" collapsed="false">
      <c r="A298" s="34" t="n">
        <v>290</v>
      </c>
      <c r="B298" s="35" t="s">
        <v>676</v>
      </c>
      <c r="C298" s="35" t="s">
        <v>677</v>
      </c>
      <c r="D298" s="35" t="s">
        <v>111</v>
      </c>
      <c r="E298" s="34" t="n">
        <v>6700</v>
      </c>
      <c r="F298" s="34" t="n">
        <v>6700</v>
      </c>
      <c r="G298" s="34" t="n">
        <v>6700</v>
      </c>
      <c r="H298" s="34" t="n">
        <v>6719.88</v>
      </c>
      <c r="I298" s="36" t="n">
        <f aca="false">$E298/F298-1</f>
        <v>0</v>
      </c>
      <c r="J298" s="36" t="n">
        <f aca="false">$E298/G298-1</f>
        <v>0</v>
      </c>
      <c r="K298" s="36" t="n">
        <f aca="false">$E298/H298-1</f>
        <v>-0.00295838616165767</v>
      </c>
      <c r="L298" s="37" t="n">
        <v>1.78</v>
      </c>
      <c r="M298" s="37" t="n">
        <v>0.48</v>
      </c>
      <c r="N298" s="34" t="n">
        <v>6719.88</v>
      </c>
      <c r="O298" s="34" t="n">
        <v>6700</v>
      </c>
      <c r="P298" s="38"/>
      <c r="Q298" s="38"/>
    </row>
    <row r="299" customFormat="false" ht="15" hidden="false" customHeight="false" outlineLevel="0" collapsed="false">
      <c r="A299" s="34" t="n">
        <v>291</v>
      </c>
      <c r="B299" s="35" t="s">
        <v>678</v>
      </c>
      <c r="C299" s="35" t="s">
        <v>679</v>
      </c>
      <c r="D299" s="35" t="s">
        <v>111</v>
      </c>
      <c r="E299" s="34" t="n">
        <v>5000</v>
      </c>
      <c r="F299" s="34" t="n">
        <v>7000</v>
      </c>
      <c r="G299" s="34" t="n">
        <v>7000</v>
      </c>
      <c r="H299" s="34" t="n">
        <v>22837</v>
      </c>
      <c r="I299" s="36" t="n">
        <f aca="false">$E299/F299-1</f>
        <v>-0.285714285714286</v>
      </c>
      <c r="J299" s="36" t="n">
        <f aca="false">$E299/G299-1</f>
        <v>-0.285714285714286</v>
      </c>
      <c r="K299" s="36" t="n">
        <f aca="false">$E299/H299-1</f>
        <v>-0.781057056531068</v>
      </c>
      <c r="L299" s="37" t="n">
        <v>5.22</v>
      </c>
      <c r="M299" s="37" t="n">
        <v>0.44</v>
      </c>
      <c r="N299" s="34" t="n">
        <v>23363</v>
      </c>
      <c r="O299" s="34" t="n">
        <v>5000</v>
      </c>
      <c r="P299" s="38"/>
      <c r="Q299" s="38"/>
    </row>
    <row r="300" customFormat="false" ht="15" hidden="false" customHeight="false" outlineLevel="0" collapsed="false">
      <c r="A300" s="34" t="n">
        <v>292</v>
      </c>
      <c r="B300" s="35" t="s">
        <v>680</v>
      </c>
      <c r="C300" s="35" t="s">
        <v>681</v>
      </c>
      <c r="D300" s="35" t="s">
        <v>111</v>
      </c>
      <c r="E300" s="34" t="n">
        <v>16600</v>
      </c>
      <c r="F300" s="34" t="n">
        <v>16766</v>
      </c>
      <c r="G300" s="34" t="n">
        <v>16700</v>
      </c>
      <c r="H300" s="34" t="n">
        <v>16039.15</v>
      </c>
      <c r="I300" s="36" t="n">
        <f aca="false">$E300/F300-1</f>
        <v>-0.00990099009900991</v>
      </c>
      <c r="J300" s="36" t="n">
        <f aca="false">$E300/G300-1</f>
        <v>-0.00598802395209586</v>
      </c>
      <c r="K300" s="36" t="n">
        <f aca="false">$E300/H300-1</f>
        <v>0.0349675637424676</v>
      </c>
      <c r="L300" s="37" t="n">
        <v>4.39</v>
      </c>
      <c r="M300" s="37" t="n">
        <v>1.1</v>
      </c>
      <c r="N300" s="34" t="n">
        <v>17675</v>
      </c>
      <c r="O300" s="34" t="n">
        <v>15591.13</v>
      </c>
      <c r="P300" s="38"/>
      <c r="Q300" s="38"/>
    </row>
    <row r="301" customFormat="false" ht="15" hidden="false" customHeight="false" outlineLevel="0" collapsed="false">
      <c r="A301" s="34" t="n">
        <v>293</v>
      </c>
      <c r="B301" s="35" t="s">
        <v>682</v>
      </c>
      <c r="C301" s="35" t="s">
        <v>683</v>
      </c>
      <c r="D301" s="35" t="s">
        <v>111</v>
      </c>
      <c r="E301" s="34" t="n">
        <v>9800</v>
      </c>
      <c r="F301" s="34" t="n">
        <v>9800</v>
      </c>
      <c r="G301" s="34" t="n">
        <v>9800</v>
      </c>
      <c r="H301" s="34" t="n">
        <v>9800</v>
      </c>
      <c r="I301" s="36" t="n">
        <f aca="false">$E301/F301-1</f>
        <v>0</v>
      </c>
      <c r="J301" s="36" t="n">
        <f aca="false">$E301/G301-1</f>
        <v>0</v>
      </c>
      <c r="K301" s="36" t="n">
        <f aca="false">$E301/H301-1</f>
        <v>0</v>
      </c>
      <c r="L301" s="37" t="n">
        <v>117.95</v>
      </c>
      <c r="M301" s="37" t="n">
        <v>1.27</v>
      </c>
      <c r="N301" s="34" t="n">
        <v>9800</v>
      </c>
      <c r="O301" s="34" t="n">
        <v>9800</v>
      </c>
      <c r="P301" s="38"/>
      <c r="Q301" s="38"/>
    </row>
    <row r="302" customFormat="false" ht="15" hidden="false" customHeight="false" outlineLevel="0" collapsed="false">
      <c r="A302" s="34" t="n">
        <v>294</v>
      </c>
      <c r="B302" s="35" t="s">
        <v>684</v>
      </c>
      <c r="C302" s="35" t="s">
        <v>685</v>
      </c>
      <c r="D302" s="35" t="s">
        <v>111</v>
      </c>
      <c r="E302" s="34" t="n">
        <v>14500</v>
      </c>
      <c r="F302" s="34" t="n">
        <v>14500</v>
      </c>
      <c r="G302" s="34" t="n">
        <v>13800</v>
      </c>
      <c r="H302" s="34" t="n">
        <v>16000</v>
      </c>
      <c r="I302" s="36" t="n">
        <f aca="false">$E302/F302-1</f>
        <v>0</v>
      </c>
      <c r="J302" s="36" t="n">
        <f aca="false">$E302/G302-1</f>
        <v>0.0507246376811594</v>
      </c>
      <c r="K302" s="36" t="n">
        <f aca="false">$E302/H302-1</f>
        <v>-0.09375</v>
      </c>
      <c r="L302" s="37" t="n">
        <v>7.35</v>
      </c>
      <c r="M302" s="37" t="n">
        <v>0.79</v>
      </c>
      <c r="N302" s="34" t="n">
        <v>17500</v>
      </c>
      <c r="O302" s="34" t="n">
        <v>12821</v>
      </c>
      <c r="P302" s="38"/>
      <c r="Q302" s="38"/>
    </row>
    <row r="303" customFormat="false" ht="15" hidden="false" customHeight="false" outlineLevel="0" collapsed="false">
      <c r="A303" s="34" t="n">
        <v>295</v>
      </c>
      <c r="B303" s="35" t="s">
        <v>686</v>
      </c>
      <c r="C303" s="35" t="s">
        <v>687</v>
      </c>
      <c r="D303" s="35" t="s">
        <v>111</v>
      </c>
      <c r="E303" s="34" t="n">
        <v>22100</v>
      </c>
      <c r="F303" s="34" t="n">
        <v>22100</v>
      </c>
      <c r="G303" s="34" t="n">
        <v>22100</v>
      </c>
      <c r="H303" s="34" t="n">
        <v>17642</v>
      </c>
      <c r="I303" s="36" t="n">
        <f aca="false">$E303/F303-1</f>
        <v>0</v>
      </c>
      <c r="J303" s="36" t="n">
        <f aca="false">$E303/G303-1</f>
        <v>0</v>
      </c>
      <c r="K303" s="36" t="n">
        <f aca="false">$E303/H303-1</f>
        <v>0.252692438499036</v>
      </c>
      <c r="L303" s="37" t="n">
        <v>-158.73</v>
      </c>
      <c r="M303" s="37" t="n">
        <v>2.11</v>
      </c>
      <c r="N303" s="34" t="n">
        <v>32500</v>
      </c>
      <c r="O303" s="34" t="n">
        <v>13600</v>
      </c>
      <c r="P303" s="38"/>
      <c r="Q303" s="38"/>
    </row>
    <row r="304" customFormat="false" ht="15" hidden="false" customHeight="false" outlineLevel="0" collapsed="false">
      <c r="A304" s="34" t="n">
        <v>296</v>
      </c>
      <c r="B304" s="35" t="s">
        <v>688</v>
      </c>
      <c r="C304" s="35" t="s">
        <v>689</v>
      </c>
      <c r="D304" s="35" t="s">
        <v>111</v>
      </c>
      <c r="E304" s="34" t="n">
        <v>3600</v>
      </c>
      <c r="F304" s="34" t="n">
        <v>3600</v>
      </c>
      <c r="G304" s="34" t="n">
        <v>3600</v>
      </c>
      <c r="H304" s="34" t="n">
        <v>3600</v>
      </c>
      <c r="I304" s="36" t="n">
        <f aca="false">$E304/F304-1</f>
        <v>0</v>
      </c>
      <c r="J304" s="36" t="n">
        <f aca="false">$E304/G304-1</f>
        <v>0</v>
      </c>
      <c r="K304" s="36" t="n">
        <f aca="false">$E304/H304-1</f>
        <v>0</v>
      </c>
      <c r="L304" s="37" t="n">
        <v>4.23</v>
      </c>
      <c r="M304" s="37" t="n">
        <v>0.35</v>
      </c>
      <c r="N304" s="34" t="n">
        <v>3600</v>
      </c>
      <c r="O304" s="34" t="n">
        <v>3570</v>
      </c>
      <c r="P304" s="38"/>
      <c r="Q304" s="38"/>
    </row>
    <row r="305" customFormat="false" ht="15" hidden="false" customHeight="false" outlineLevel="0" collapsed="false">
      <c r="A305" s="34" t="n">
        <v>297</v>
      </c>
      <c r="B305" s="35" t="s">
        <v>690</v>
      </c>
      <c r="C305" s="35" t="s">
        <v>691</v>
      </c>
      <c r="D305" s="35" t="s">
        <v>111</v>
      </c>
      <c r="E305" s="34" t="n">
        <v>10900</v>
      </c>
      <c r="F305" s="34" t="n">
        <v>10900</v>
      </c>
      <c r="G305" s="34" t="n">
        <v>11000</v>
      </c>
      <c r="H305" s="34" t="n">
        <v>10700</v>
      </c>
      <c r="I305" s="36" t="n">
        <f aca="false">$E305/F305-1</f>
        <v>0</v>
      </c>
      <c r="J305" s="36" t="n">
        <f aca="false">$E305/G305-1</f>
        <v>-0.00909090909090904</v>
      </c>
      <c r="K305" s="36" t="n">
        <f aca="false">$E305/H305-1</f>
        <v>0.0186915887850467</v>
      </c>
      <c r="L305" s="37" t="n">
        <v>6.54</v>
      </c>
      <c r="M305" s="37" t="n">
        <v>0.86</v>
      </c>
      <c r="N305" s="34" t="n">
        <v>13200</v>
      </c>
      <c r="O305" s="34" t="n">
        <v>9400</v>
      </c>
      <c r="P305" s="38"/>
      <c r="Q305" s="38"/>
    </row>
    <row r="306" customFormat="false" ht="15" hidden="false" customHeight="false" outlineLevel="0" collapsed="false">
      <c r="A306" s="34" t="n">
        <v>298</v>
      </c>
      <c r="B306" s="35" t="s">
        <v>692</v>
      </c>
      <c r="C306" s="35" t="s">
        <v>693</v>
      </c>
      <c r="D306" s="35" t="s">
        <v>111</v>
      </c>
      <c r="E306" s="34" t="n">
        <v>3603</v>
      </c>
      <c r="F306" s="34" t="n">
        <v>3414</v>
      </c>
      <c r="G306" s="34" t="n">
        <v>3775</v>
      </c>
      <c r="H306" s="34" t="n">
        <v>4965</v>
      </c>
      <c r="I306" s="36" t="n">
        <f aca="false">$E306/F306-1</f>
        <v>0.0553602811950791</v>
      </c>
      <c r="J306" s="36" t="n">
        <f aca="false">$E306/G306-1</f>
        <v>-0.0455629139072847</v>
      </c>
      <c r="K306" s="36" t="n">
        <f aca="false">$E306/H306-1</f>
        <v>-0.274320241691843</v>
      </c>
      <c r="L306" s="37" t="n">
        <v>28.52</v>
      </c>
      <c r="M306" s="37" t="n">
        <v>0.28</v>
      </c>
      <c r="N306" s="34" t="n">
        <v>5619</v>
      </c>
      <c r="O306" s="34" t="n">
        <v>3366</v>
      </c>
      <c r="P306" s="38"/>
      <c r="Q306" s="38"/>
    </row>
    <row r="307" customFormat="false" ht="15" hidden="false" customHeight="false" outlineLevel="0" collapsed="false">
      <c r="A307" s="34" t="n">
        <v>299</v>
      </c>
      <c r="B307" s="35" t="s">
        <v>694</v>
      </c>
      <c r="C307" s="35" t="s">
        <v>695</v>
      </c>
      <c r="D307" s="35" t="s">
        <v>116</v>
      </c>
      <c r="E307" s="34" t="n">
        <v>77000</v>
      </c>
      <c r="F307" s="34" t="n">
        <v>71900</v>
      </c>
      <c r="G307" s="34" t="n">
        <v>73772.52</v>
      </c>
      <c r="H307" s="34" t="n">
        <v>74825.16</v>
      </c>
      <c r="I307" s="36" t="n">
        <f aca="false">$E307/F307-1</f>
        <v>0.0709318497913769</v>
      </c>
      <c r="J307" s="36" t="n">
        <f aca="false">$E307/G307-1</f>
        <v>0.0437490816363599</v>
      </c>
      <c r="K307" s="36" t="n">
        <f aca="false">$E307/H307-1</f>
        <v>0.0290656244503853</v>
      </c>
      <c r="L307" s="37" t="n">
        <v>15.07</v>
      </c>
      <c r="M307" s="37" t="n">
        <v>4.4</v>
      </c>
      <c r="N307" s="34" t="n">
        <v>94737.6</v>
      </c>
      <c r="O307" s="34" t="n">
        <v>66400</v>
      </c>
      <c r="P307" s="38" t="n">
        <v>19.49</v>
      </c>
      <c r="Q307" s="38" t="n">
        <v>5.48</v>
      </c>
    </row>
    <row r="308" customFormat="false" ht="15" hidden="false" customHeight="false" outlineLevel="0" collapsed="false">
      <c r="A308" s="34" t="n">
        <v>300</v>
      </c>
      <c r="B308" s="35" t="s">
        <v>696</v>
      </c>
      <c r="C308" s="35" t="s">
        <v>697</v>
      </c>
      <c r="D308" s="35" t="s">
        <v>111</v>
      </c>
      <c r="E308" s="34" t="n">
        <v>15598</v>
      </c>
      <c r="F308" s="34" t="n">
        <v>17000</v>
      </c>
      <c r="G308" s="34" t="n">
        <v>18000</v>
      </c>
      <c r="H308" s="34" t="n">
        <v>18300</v>
      </c>
      <c r="I308" s="36" t="n">
        <f aca="false">$E308/F308-1</f>
        <v>-0.0824705882352941</v>
      </c>
      <c r="J308" s="36" t="n">
        <f aca="false">$E308/G308-1</f>
        <v>-0.133444444444444</v>
      </c>
      <c r="K308" s="36" t="n">
        <f aca="false">$E308/H308-1</f>
        <v>-0.147650273224044</v>
      </c>
      <c r="L308" s="37" t="n">
        <v>6.65</v>
      </c>
      <c r="M308" s="37" t="n">
        <v>0.78</v>
      </c>
      <c r="N308" s="34" t="n">
        <v>19400</v>
      </c>
      <c r="O308" s="34" t="n">
        <v>14000</v>
      </c>
      <c r="P308" s="38"/>
      <c r="Q308" s="38"/>
    </row>
    <row r="309" customFormat="false" ht="15" hidden="false" customHeight="false" outlineLevel="0" collapsed="false">
      <c r="A309" s="34" t="n">
        <v>301</v>
      </c>
      <c r="B309" s="35" t="s">
        <v>698</v>
      </c>
      <c r="C309" s="35" t="s">
        <v>699</v>
      </c>
      <c r="D309" s="35" t="s">
        <v>111</v>
      </c>
      <c r="E309" s="34" t="n">
        <v>12500</v>
      </c>
      <c r="F309" s="34" t="n">
        <v>12500</v>
      </c>
      <c r="G309" s="34" t="n">
        <v>15000</v>
      </c>
      <c r="H309" s="34" t="n">
        <v>15000</v>
      </c>
      <c r="I309" s="36" t="n">
        <f aca="false">$E309/F309-1</f>
        <v>0</v>
      </c>
      <c r="J309" s="36" t="n">
        <f aca="false">$E309/G309-1</f>
        <v>-0.166666666666667</v>
      </c>
      <c r="K309" s="36" t="n">
        <f aca="false">$E309/H309-1</f>
        <v>-0.166666666666667</v>
      </c>
      <c r="L309" s="37" t="n">
        <v>2.32</v>
      </c>
      <c r="M309" s="37" t="n">
        <v>0.19</v>
      </c>
      <c r="N309" s="34" t="n">
        <v>24200.8</v>
      </c>
      <c r="O309" s="34" t="n">
        <v>12500</v>
      </c>
      <c r="P309" s="38"/>
      <c r="Q309" s="38"/>
    </row>
    <row r="310" customFormat="false" ht="15" hidden="false" customHeight="false" outlineLevel="0" collapsed="false">
      <c r="A310" s="34" t="n">
        <v>302</v>
      </c>
      <c r="B310" s="35" t="s">
        <v>700</v>
      </c>
      <c r="C310" s="35" t="s">
        <v>701</v>
      </c>
      <c r="D310" s="35" t="s">
        <v>111</v>
      </c>
      <c r="E310" s="34" t="n">
        <v>26925</v>
      </c>
      <c r="F310" s="34" t="n">
        <v>30000</v>
      </c>
      <c r="G310" s="34" t="n">
        <v>28077</v>
      </c>
      <c r="H310" s="34" t="n">
        <v>33329.5</v>
      </c>
      <c r="I310" s="36" t="n">
        <f aca="false">$E310/F310-1</f>
        <v>-0.1025</v>
      </c>
      <c r="J310" s="36" t="n">
        <f aca="false">$E310/G310-1</f>
        <v>-0.0410300245752752</v>
      </c>
      <c r="K310" s="36" t="n">
        <f aca="false">$E310/H310-1</f>
        <v>-0.192157098066278</v>
      </c>
      <c r="L310" s="37" t="n">
        <v>3.6</v>
      </c>
      <c r="M310" s="37" t="n">
        <v>0.79</v>
      </c>
      <c r="N310" s="34" t="n">
        <v>35444.53</v>
      </c>
      <c r="O310" s="34" t="n">
        <v>26925</v>
      </c>
      <c r="P310" s="38"/>
      <c r="Q310" s="38"/>
    </row>
    <row r="311" customFormat="false" ht="15" hidden="false" customHeight="false" outlineLevel="0" collapsed="false">
      <c r="A311" s="34" t="n">
        <v>303</v>
      </c>
      <c r="B311" s="35" t="s">
        <v>702</v>
      </c>
      <c r="C311" s="35" t="s">
        <v>703</v>
      </c>
      <c r="D311" s="35" t="s">
        <v>111</v>
      </c>
      <c r="E311" s="34" t="n">
        <v>2200</v>
      </c>
      <c r="F311" s="34" t="n">
        <v>2200</v>
      </c>
      <c r="G311" s="34" t="n">
        <v>2200</v>
      </c>
      <c r="H311" s="34" t="n">
        <v>1600</v>
      </c>
      <c r="I311" s="36" t="n">
        <f aca="false">$E311/F311-1</f>
        <v>0</v>
      </c>
      <c r="J311" s="36" t="n">
        <f aca="false">$E311/G311-1</f>
        <v>0</v>
      </c>
      <c r="K311" s="36" t="n">
        <f aca="false">$E311/H311-1</f>
        <v>0.375</v>
      </c>
      <c r="L311" s="37" t="n">
        <v>0.65</v>
      </c>
      <c r="M311" s="37" t="n">
        <v>0.16</v>
      </c>
      <c r="N311" s="34" t="n">
        <v>2200</v>
      </c>
      <c r="O311" s="34" t="n">
        <v>900</v>
      </c>
      <c r="P311" s="38"/>
      <c r="Q311" s="38"/>
    </row>
    <row r="312" customFormat="false" ht="15" hidden="false" customHeight="false" outlineLevel="0" collapsed="false">
      <c r="A312" s="34" t="n">
        <v>304</v>
      </c>
      <c r="B312" s="35" t="s">
        <v>704</v>
      </c>
      <c r="C312" s="35" t="s">
        <v>705</v>
      </c>
      <c r="D312" s="35" t="s">
        <v>111</v>
      </c>
      <c r="E312" s="34" t="n">
        <v>20745</v>
      </c>
      <c r="F312" s="34" t="n">
        <v>20223</v>
      </c>
      <c r="G312" s="34" t="n">
        <v>22750</v>
      </c>
      <c r="H312" s="34"/>
      <c r="I312" s="36" t="n">
        <f aca="false">$E312/F312-1</f>
        <v>0.025812194036493</v>
      </c>
      <c r="J312" s="36" t="n">
        <f aca="false">$E312/G312-1</f>
        <v>-0.0881318681318681</v>
      </c>
      <c r="K312" s="36" t="e">
        <f aca="false">$E312/H312-1</f>
        <v>#DIV/0!</v>
      </c>
      <c r="L312" s="37" t="n">
        <v>3.92</v>
      </c>
      <c r="M312" s="37" t="n">
        <v>0.61</v>
      </c>
      <c r="N312" s="34"/>
      <c r="O312" s="34"/>
      <c r="P312" s="38"/>
      <c r="Q312" s="38"/>
    </row>
    <row r="313" customFormat="false" ht="15" hidden="false" customHeight="false" outlineLevel="0" collapsed="false">
      <c r="A313" s="34" t="n">
        <v>305</v>
      </c>
      <c r="B313" s="35" t="s">
        <v>706</v>
      </c>
      <c r="C313" s="35" t="s">
        <v>707</v>
      </c>
      <c r="D313" s="35" t="s">
        <v>111</v>
      </c>
      <c r="E313" s="34" t="n">
        <v>19600</v>
      </c>
      <c r="F313" s="34" t="n">
        <v>19809</v>
      </c>
      <c r="G313" s="34" t="n">
        <v>19200</v>
      </c>
      <c r="H313" s="34" t="n">
        <v>14311</v>
      </c>
      <c r="I313" s="36" t="n">
        <f aca="false">$E313/F313-1</f>
        <v>-0.0105507597556667</v>
      </c>
      <c r="J313" s="36" t="n">
        <f aca="false">$E313/G313-1</f>
        <v>0.0208333333333333</v>
      </c>
      <c r="K313" s="36" t="n">
        <f aca="false">$E313/H313-1</f>
        <v>0.369575850744183</v>
      </c>
      <c r="L313" s="37" t="n">
        <v>31.56</v>
      </c>
      <c r="M313" s="37" t="n">
        <v>1.02</v>
      </c>
      <c r="N313" s="34" t="n">
        <v>21931</v>
      </c>
      <c r="O313" s="34" t="n">
        <v>8030</v>
      </c>
      <c r="P313" s="38"/>
      <c r="Q313" s="38"/>
    </row>
    <row r="314" customFormat="false" ht="15" hidden="false" customHeight="false" outlineLevel="0" collapsed="false">
      <c r="A314" s="34" t="n">
        <v>306</v>
      </c>
      <c r="B314" s="35" t="s">
        <v>708</v>
      </c>
      <c r="C314" s="35" t="s">
        <v>709</v>
      </c>
      <c r="D314" s="35" t="s">
        <v>111</v>
      </c>
      <c r="E314" s="34" t="n">
        <v>48100</v>
      </c>
      <c r="F314" s="34" t="n">
        <v>56500</v>
      </c>
      <c r="G314" s="34" t="n">
        <v>38900</v>
      </c>
      <c r="H314" s="34"/>
      <c r="I314" s="36" t="n">
        <f aca="false">$E314/F314-1</f>
        <v>-0.148672566371681</v>
      </c>
      <c r="J314" s="36" t="n">
        <f aca="false">$E314/G314-1</f>
        <v>0.236503856041131</v>
      </c>
      <c r="K314" s="36" t="e">
        <f aca="false">$E314/H314-1</f>
        <v>#DIV/0!</v>
      </c>
      <c r="L314" s="37" t="n">
        <v>4.83</v>
      </c>
      <c r="M314" s="37" t="n">
        <v>1.28</v>
      </c>
      <c r="N314" s="34"/>
      <c r="O314" s="34"/>
      <c r="P314" s="38"/>
      <c r="Q314" s="38"/>
    </row>
    <row r="315" customFormat="false" ht="15" hidden="false" customHeight="false" outlineLevel="0" collapsed="false">
      <c r="A315" s="34" t="n">
        <v>307</v>
      </c>
      <c r="B315" s="35" t="s">
        <v>710</v>
      </c>
      <c r="C315" s="35" t="s">
        <v>711</v>
      </c>
      <c r="D315" s="35" t="s">
        <v>111</v>
      </c>
      <c r="E315" s="34" t="n">
        <v>6700</v>
      </c>
      <c r="F315" s="34" t="n">
        <v>6700</v>
      </c>
      <c r="G315" s="34" t="n">
        <v>6900</v>
      </c>
      <c r="H315" s="34" t="n">
        <v>8500</v>
      </c>
      <c r="I315" s="36" t="n">
        <f aca="false">$E315/F315-1</f>
        <v>0</v>
      </c>
      <c r="J315" s="36" t="n">
        <f aca="false">$E315/G315-1</f>
        <v>-0.0289855072463768</v>
      </c>
      <c r="K315" s="36" t="n">
        <f aca="false">$E315/H315-1</f>
        <v>-0.211764705882353</v>
      </c>
      <c r="L315" s="37" t="n">
        <v>7.15</v>
      </c>
      <c r="M315" s="37" t="n">
        <v>0.43</v>
      </c>
      <c r="N315" s="34" t="n">
        <v>8800</v>
      </c>
      <c r="O315" s="34" t="n">
        <v>5900</v>
      </c>
      <c r="P315" s="38"/>
      <c r="Q315" s="38"/>
    </row>
    <row r="316" customFormat="false" ht="15" hidden="false" customHeight="false" outlineLevel="0" collapsed="false">
      <c r="A316" s="34" t="n">
        <v>308</v>
      </c>
      <c r="B316" s="35" t="s">
        <v>712</v>
      </c>
      <c r="C316" s="35" t="s">
        <v>713</v>
      </c>
      <c r="D316" s="35" t="s">
        <v>111</v>
      </c>
      <c r="E316" s="34"/>
      <c r="F316" s="34"/>
      <c r="G316" s="34"/>
      <c r="H316" s="34"/>
      <c r="I316" s="36" t="e">
        <f aca="false">$E316/F316-1</f>
        <v>#DIV/0!</v>
      </c>
      <c r="J316" s="36" t="e">
        <f aca="false">$E316/G316-1</f>
        <v>#DIV/0!</v>
      </c>
      <c r="K316" s="36" t="e">
        <f aca="false">$E316/H316-1</f>
        <v>#DIV/0!</v>
      </c>
      <c r="L316" s="37"/>
      <c r="M316" s="37"/>
      <c r="N316" s="34"/>
      <c r="O316" s="34"/>
      <c r="P316" s="38"/>
      <c r="Q316" s="38"/>
    </row>
    <row r="317" customFormat="false" ht="15" hidden="false" customHeight="false" outlineLevel="0" collapsed="false">
      <c r="A317" s="34" t="n">
        <v>309</v>
      </c>
      <c r="B317" s="35" t="s">
        <v>714</v>
      </c>
      <c r="C317" s="35" t="s">
        <v>715</v>
      </c>
      <c r="D317" s="35" t="s">
        <v>116</v>
      </c>
      <c r="E317" s="34" t="n">
        <v>33500</v>
      </c>
      <c r="F317" s="34" t="n">
        <v>33500</v>
      </c>
      <c r="G317" s="34" t="n">
        <v>36850</v>
      </c>
      <c r="H317" s="34" t="n">
        <v>37273.01</v>
      </c>
      <c r="I317" s="36" t="n">
        <f aca="false">$E317/F317-1</f>
        <v>0</v>
      </c>
      <c r="J317" s="36" t="n">
        <f aca="false">$E317/G317-1</f>
        <v>-0.0909090909090909</v>
      </c>
      <c r="K317" s="36" t="n">
        <f aca="false">$E317/H317-1</f>
        <v>-0.101226329722231</v>
      </c>
      <c r="L317" s="37" t="n">
        <v>5.72</v>
      </c>
      <c r="M317" s="37" t="n">
        <v>0.94</v>
      </c>
      <c r="N317" s="34" t="n">
        <v>45868.38</v>
      </c>
      <c r="O317" s="34" t="n">
        <v>31850</v>
      </c>
      <c r="P317" s="38"/>
      <c r="Q317" s="38"/>
    </row>
    <row r="318" customFormat="false" ht="15" hidden="false" customHeight="false" outlineLevel="0" collapsed="false">
      <c r="A318" s="34" t="n">
        <v>310</v>
      </c>
      <c r="B318" s="35" t="s">
        <v>716</v>
      </c>
      <c r="C318" s="35" t="s">
        <v>717</v>
      </c>
      <c r="D318" s="35" t="s">
        <v>111</v>
      </c>
      <c r="E318" s="34" t="n">
        <v>700</v>
      </c>
      <c r="F318" s="34" t="n">
        <v>795</v>
      </c>
      <c r="G318" s="34" t="n">
        <v>800</v>
      </c>
      <c r="H318" s="34" t="n">
        <v>700</v>
      </c>
      <c r="I318" s="36" t="n">
        <f aca="false">$E318/F318-1</f>
        <v>-0.119496855345912</v>
      </c>
      <c r="J318" s="36" t="n">
        <f aca="false">$E318/G318-1</f>
        <v>-0.125</v>
      </c>
      <c r="K318" s="36" t="n">
        <f aca="false">$E318/H318-1</f>
        <v>0</v>
      </c>
      <c r="L318" s="37" t="n">
        <v>-12.75</v>
      </c>
      <c r="M318" s="37" t="n">
        <v>-0.12</v>
      </c>
      <c r="N318" s="34" t="n">
        <v>1000</v>
      </c>
      <c r="O318" s="34" t="n">
        <v>655</v>
      </c>
      <c r="P318" s="38"/>
      <c r="Q318" s="38"/>
    </row>
    <row r="319" customFormat="false" ht="15" hidden="false" customHeight="false" outlineLevel="0" collapsed="false">
      <c r="A319" s="34" t="n">
        <v>311</v>
      </c>
      <c r="B319" s="35" t="s">
        <v>718</v>
      </c>
      <c r="C319" s="35" t="s">
        <v>719</v>
      </c>
      <c r="D319" s="35" t="s">
        <v>111</v>
      </c>
      <c r="E319" s="34" t="n">
        <v>6971</v>
      </c>
      <c r="F319" s="34" t="n">
        <v>7118</v>
      </c>
      <c r="G319" s="34" t="n">
        <v>7331</v>
      </c>
      <c r="H319" s="34" t="n">
        <v>6812</v>
      </c>
      <c r="I319" s="36" t="n">
        <f aca="false">$E319/F319-1</f>
        <v>-0.0206518685023883</v>
      </c>
      <c r="J319" s="36" t="n">
        <f aca="false">$E319/G319-1</f>
        <v>-0.0491065338971491</v>
      </c>
      <c r="K319" s="36" t="n">
        <f aca="false">$E319/H319-1</f>
        <v>0.0233411626541398</v>
      </c>
      <c r="L319" s="37" t="n">
        <v>-4.01</v>
      </c>
      <c r="M319" s="37" t="n">
        <v>0.83</v>
      </c>
      <c r="N319" s="34" t="n">
        <v>8739</v>
      </c>
      <c r="O319" s="34" t="n">
        <v>5000</v>
      </c>
      <c r="P319" s="38"/>
      <c r="Q319" s="38"/>
    </row>
    <row r="320" customFormat="false" ht="15" hidden="false" customHeight="false" outlineLevel="0" collapsed="false">
      <c r="A320" s="34" t="n">
        <v>312</v>
      </c>
      <c r="B320" s="35" t="s">
        <v>720</v>
      </c>
      <c r="C320" s="35" t="s">
        <v>721</v>
      </c>
      <c r="D320" s="35" t="s">
        <v>116</v>
      </c>
      <c r="E320" s="34" t="n">
        <v>35100</v>
      </c>
      <c r="F320" s="34" t="n">
        <v>35500</v>
      </c>
      <c r="G320" s="34" t="n">
        <v>36550</v>
      </c>
      <c r="H320" s="34" t="n">
        <v>38550</v>
      </c>
      <c r="I320" s="36" t="n">
        <f aca="false">$E320/F320-1</f>
        <v>-0.0112676056338028</v>
      </c>
      <c r="J320" s="36" t="n">
        <f aca="false">$E320/G320-1</f>
        <v>-0.039671682626539</v>
      </c>
      <c r="K320" s="36" t="n">
        <f aca="false">$E320/H320-1</f>
        <v>-0.0894941634241245</v>
      </c>
      <c r="L320" s="37" t="n">
        <v>283.33</v>
      </c>
      <c r="M320" s="37" t="n">
        <v>3.24</v>
      </c>
      <c r="N320" s="34" t="n">
        <v>42150</v>
      </c>
      <c r="O320" s="34" t="n">
        <v>34500</v>
      </c>
      <c r="P320" s="38"/>
      <c r="Q320" s="38"/>
    </row>
    <row r="321" customFormat="false" ht="15" hidden="false" customHeight="false" outlineLevel="0" collapsed="false">
      <c r="A321" s="34" t="n">
        <v>313</v>
      </c>
      <c r="B321" s="35" t="s">
        <v>722</v>
      </c>
      <c r="C321" s="35" t="s">
        <v>723</v>
      </c>
      <c r="D321" s="35" t="s">
        <v>133</v>
      </c>
      <c r="E321" s="34"/>
      <c r="F321" s="34"/>
      <c r="G321" s="34"/>
      <c r="H321" s="34"/>
      <c r="I321" s="36" t="e">
        <f aca="false">$E321/F321-1</f>
        <v>#DIV/0!</v>
      </c>
      <c r="J321" s="36" t="e">
        <f aca="false">$E321/G321-1</f>
        <v>#DIV/0!</v>
      </c>
      <c r="K321" s="36" t="e">
        <f aca="false">$E321/H321-1</f>
        <v>#DIV/0!</v>
      </c>
      <c r="L321" s="37"/>
      <c r="M321" s="37"/>
      <c r="N321" s="34"/>
      <c r="O321" s="34"/>
      <c r="P321" s="38"/>
      <c r="Q321" s="38"/>
    </row>
    <row r="322" customFormat="false" ht="15" hidden="false" customHeight="false" outlineLevel="0" collapsed="false">
      <c r="A322" s="34" t="n">
        <v>314</v>
      </c>
      <c r="B322" s="35" t="s">
        <v>724</v>
      </c>
      <c r="C322" s="35" t="s">
        <v>725</v>
      </c>
      <c r="D322" s="35" t="s">
        <v>133</v>
      </c>
      <c r="E322" s="34" t="n">
        <v>163300</v>
      </c>
      <c r="F322" s="34" t="n">
        <v>119700</v>
      </c>
      <c r="G322" s="34" t="n">
        <v>122500</v>
      </c>
      <c r="H322" s="34" t="n">
        <v>30300</v>
      </c>
      <c r="I322" s="36" t="n">
        <f aca="false">$E322/F322-1</f>
        <v>0.364243943191312</v>
      </c>
      <c r="J322" s="36" t="n">
        <f aca="false">$E322/G322-1</f>
        <v>0.333061224489796</v>
      </c>
      <c r="K322" s="36" t="n">
        <f aca="false">$E322/H322-1</f>
        <v>4.38943894389439</v>
      </c>
      <c r="L322" s="37" t="n">
        <v>412.87</v>
      </c>
      <c r="M322" s="37" t="n">
        <v>12.42</v>
      </c>
      <c r="N322" s="34" t="n">
        <v>212500</v>
      </c>
      <c r="O322" s="34" t="n">
        <v>25400</v>
      </c>
      <c r="P322" s="38"/>
      <c r="Q322" s="38"/>
    </row>
    <row r="323" customFormat="false" ht="15" hidden="false" customHeight="false" outlineLevel="0" collapsed="false">
      <c r="A323" s="34" t="n">
        <v>315</v>
      </c>
      <c r="B323" s="35" t="s">
        <v>726</v>
      </c>
      <c r="C323" s="35" t="s">
        <v>727</v>
      </c>
      <c r="D323" s="35" t="s">
        <v>133</v>
      </c>
      <c r="E323" s="34" t="n">
        <v>28000</v>
      </c>
      <c r="F323" s="34" t="n">
        <v>29000</v>
      </c>
      <c r="G323" s="34" t="n">
        <v>31700</v>
      </c>
      <c r="H323" s="34" t="n">
        <v>33473</v>
      </c>
      <c r="I323" s="36" t="n">
        <f aca="false">$E323/F323-1</f>
        <v>-0.0344827586206896</v>
      </c>
      <c r="J323" s="36" t="n">
        <f aca="false">$E323/G323-1</f>
        <v>-0.116719242902208</v>
      </c>
      <c r="K323" s="36" t="n">
        <f aca="false">$E323/H323-1</f>
        <v>-0.163504914408628</v>
      </c>
      <c r="L323" s="37" t="n">
        <v>5.52</v>
      </c>
      <c r="M323" s="37" t="n">
        <v>0.95</v>
      </c>
      <c r="N323" s="34" t="n">
        <v>36337.5</v>
      </c>
      <c r="O323" s="34" t="n">
        <v>28000</v>
      </c>
      <c r="P323" s="38"/>
      <c r="Q323" s="38"/>
    </row>
    <row r="324" customFormat="false" ht="15" hidden="false" customHeight="false" outlineLevel="0" collapsed="false">
      <c r="A324" s="34" t="n">
        <v>316</v>
      </c>
      <c r="B324" s="35" t="s">
        <v>728</v>
      </c>
      <c r="C324" s="35" t="s">
        <v>729</v>
      </c>
      <c r="D324" s="35" t="s">
        <v>116</v>
      </c>
      <c r="E324" s="34" t="n">
        <v>28500</v>
      </c>
      <c r="F324" s="34" t="n">
        <v>28000</v>
      </c>
      <c r="G324" s="34" t="n">
        <v>28950</v>
      </c>
      <c r="H324" s="34" t="n">
        <v>29000</v>
      </c>
      <c r="I324" s="36" t="n">
        <f aca="false">$E324/F324-1</f>
        <v>0.0178571428571428</v>
      </c>
      <c r="J324" s="36" t="n">
        <f aca="false">$E324/G324-1</f>
        <v>-0.0155440414507773</v>
      </c>
      <c r="K324" s="36" t="n">
        <f aca="false">$E324/H324-1</f>
        <v>-0.0172413793103449</v>
      </c>
      <c r="L324" s="37" t="n">
        <v>19.14</v>
      </c>
      <c r="M324" s="37" t="n">
        <v>2.09</v>
      </c>
      <c r="N324" s="34" t="n">
        <v>35700</v>
      </c>
      <c r="O324" s="34" t="n">
        <v>24857.35</v>
      </c>
      <c r="P324" s="38"/>
      <c r="Q324" s="38"/>
    </row>
    <row r="325" customFormat="false" ht="15" hidden="false" customHeight="false" outlineLevel="0" collapsed="false">
      <c r="A325" s="34" t="n">
        <v>317</v>
      </c>
      <c r="B325" s="35" t="s">
        <v>730</v>
      </c>
      <c r="C325" s="35" t="s">
        <v>731</v>
      </c>
      <c r="D325" s="35" t="s">
        <v>116</v>
      </c>
      <c r="E325" s="34" t="n">
        <v>37200</v>
      </c>
      <c r="F325" s="34" t="n">
        <v>37000</v>
      </c>
      <c r="G325" s="34" t="n">
        <v>37600</v>
      </c>
      <c r="H325" s="34" t="n">
        <v>40528.83</v>
      </c>
      <c r="I325" s="36" t="n">
        <f aca="false">$E325/F325-1</f>
        <v>0.00540540540540535</v>
      </c>
      <c r="J325" s="36" t="n">
        <f aca="false">$E325/G325-1</f>
        <v>-0.0106382978723404</v>
      </c>
      <c r="K325" s="36" t="n">
        <f aca="false">$E325/H325-1</f>
        <v>-0.0821348654772418</v>
      </c>
      <c r="L325" s="37" t="n">
        <v>5.79</v>
      </c>
      <c r="M325" s="37" t="n">
        <v>1.31</v>
      </c>
      <c r="N325" s="34" t="n">
        <v>41527.3</v>
      </c>
      <c r="O325" s="34" t="n">
        <v>34550</v>
      </c>
      <c r="P325" s="38"/>
      <c r="Q325" s="38"/>
    </row>
    <row r="326" customFormat="false" ht="15" hidden="false" customHeight="false" outlineLevel="0" collapsed="false">
      <c r="A326" s="34" t="n">
        <v>318</v>
      </c>
      <c r="B326" s="35" t="s">
        <v>732</v>
      </c>
      <c r="C326" s="35" t="s">
        <v>733</v>
      </c>
      <c r="D326" s="35" t="s">
        <v>133</v>
      </c>
      <c r="E326" s="34" t="n">
        <v>6000</v>
      </c>
      <c r="F326" s="34" t="n">
        <v>6000</v>
      </c>
      <c r="G326" s="34" t="n">
        <v>6800</v>
      </c>
      <c r="H326" s="34" t="n">
        <v>7300</v>
      </c>
      <c r="I326" s="36" t="n">
        <f aca="false">$E326/F326-1</f>
        <v>0</v>
      </c>
      <c r="J326" s="36" t="n">
        <f aca="false">$E326/G326-1</f>
        <v>-0.117647058823529</v>
      </c>
      <c r="K326" s="36" t="n">
        <f aca="false">$E326/H326-1</f>
        <v>-0.178082191780822</v>
      </c>
      <c r="L326" s="37" t="n">
        <v>11.41</v>
      </c>
      <c r="M326" s="37" t="n">
        <v>0.45</v>
      </c>
      <c r="N326" s="34" t="n">
        <v>9300</v>
      </c>
      <c r="O326" s="34" t="n">
        <v>6000</v>
      </c>
      <c r="P326" s="38"/>
      <c r="Q326" s="38"/>
    </row>
    <row r="327" customFormat="false" ht="15" hidden="false" customHeight="false" outlineLevel="0" collapsed="false">
      <c r="A327" s="34" t="n">
        <v>319</v>
      </c>
      <c r="B327" s="35" t="s">
        <v>734</v>
      </c>
      <c r="C327" s="35" t="s">
        <v>735</v>
      </c>
      <c r="D327" s="35" t="s">
        <v>111</v>
      </c>
      <c r="E327" s="34" t="n">
        <v>10000</v>
      </c>
      <c r="F327" s="34" t="n">
        <v>10000</v>
      </c>
      <c r="G327" s="34" t="n">
        <v>10000</v>
      </c>
      <c r="H327" s="34" t="n">
        <v>10000</v>
      </c>
      <c r="I327" s="36" t="n">
        <f aca="false">$E327/F327-1</f>
        <v>0</v>
      </c>
      <c r="J327" s="36" t="n">
        <f aca="false">$E327/G327-1</f>
        <v>0</v>
      </c>
      <c r="K327" s="36" t="n">
        <f aca="false">$E327/H327-1</f>
        <v>0</v>
      </c>
      <c r="L327" s="37" t="n">
        <v>371.69</v>
      </c>
      <c r="M327" s="37" t="n">
        <v>1.14</v>
      </c>
      <c r="N327" s="34" t="n">
        <v>10000</v>
      </c>
      <c r="O327" s="34" t="n">
        <v>10000</v>
      </c>
      <c r="P327" s="38"/>
      <c r="Q327" s="38"/>
    </row>
    <row r="328" customFormat="false" ht="15" hidden="false" customHeight="false" outlineLevel="0" collapsed="false">
      <c r="A328" s="34" t="n">
        <v>320</v>
      </c>
      <c r="B328" s="35" t="s">
        <v>736</v>
      </c>
      <c r="C328" s="35" t="s">
        <v>737</v>
      </c>
      <c r="D328" s="35" t="s">
        <v>337</v>
      </c>
      <c r="E328" s="34"/>
      <c r="F328" s="34"/>
      <c r="G328" s="34" t="n">
        <v>2900</v>
      </c>
      <c r="H328" s="34" t="n">
        <v>2900</v>
      </c>
      <c r="I328" s="36" t="e">
        <f aca="false">$E328/F328-1</f>
        <v>#DIV/0!</v>
      </c>
      <c r="J328" s="36" t="n">
        <f aca="false">$E328/G328-1</f>
        <v>-1</v>
      </c>
      <c r="K328" s="36" t="n">
        <f aca="false">$E328/H328-1</f>
        <v>-1</v>
      </c>
      <c r="L328" s="37"/>
      <c r="M328" s="37"/>
      <c r="N328" s="34"/>
      <c r="O328" s="34"/>
      <c r="P328" s="38"/>
      <c r="Q328" s="38"/>
    </row>
    <row r="329" customFormat="false" ht="15" hidden="false" customHeight="false" outlineLevel="0" collapsed="false">
      <c r="A329" s="34" t="n">
        <v>321</v>
      </c>
      <c r="B329" s="35" t="s">
        <v>65</v>
      </c>
      <c r="C329" s="35" t="s">
        <v>738</v>
      </c>
      <c r="D329" s="35" t="s">
        <v>116</v>
      </c>
      <c r="E329" s="34" t="n">
        <v>47100</v>
      </c>
      <c r="F329" s="34" t="n">
        <v>46500</v>
      </c>
      <c r="G329" s="34" t="n">
        <v>47450</v>
      </c>
      <c r="H329" s="34" t="n">
        <v>52202.17</v>
      </c>
      <c r="I329" s="36" t="n">
        <f aca="false">$E329/F329-1</f>
        <v>0.0129032258064516</v>
      </c>
      <c r="J329" s="36" t="n">
        <f aca="false">$E329/G329-1</f>
        <v>-0.00737618545837726</v>
      </c>
      <c r="K329" s="36" t="n">
        <f aca="false">$E329/H329-1</f>
        <v>-0.0977386572244027</v>
      </c>
      <c r="L329" s="37" t="n">
        <v>11.11</v>
      </c>
      <c r="M329" s="37" t="n">
        <v>1.35</v>
      </c>
      <c r="N329" s="34" t="n">
        <v>62350.32</v>
      </c>
      <c r="O329" s="34" t="n">
        <v>43850</v>
      </c>
      <c r="P329" s="38" t="n">
        <v>12.695</v>
      </c>
      <c r="Q329" s="38" t="n">
        <v>1.68</v>
      </c>
    </row>
    <row r="330" customFormat="false" ht="15" hidden="false" customHeight="false" outlineLevel="0" collapsed="false">
      <c r="A330" s="34" t="n">
        <v>322</v>
      </c>
      <c r="B330" s="35" t="s">
        <v>739</v>
      </c>
      <c r="C330" s="35" t="s">
        <v>740</v>
      </c>
      <c r="D330" s="35" t="s">
        <v>133</v>
      </c>
      <c r="E330" s="34" t="n">
        <v>19800</v>
      </c>
      <c r="F330" s="34" t="n">
        <v>19800</v>
      </c>
      <c r="G330" s="34" t="n">
        <v>18000</v>
      </c>
      <c r="H330" s="34" t="n">
        <v>21600</v>
      </c>
      <c r="I330" s="36" t="n">
        <f aca="false">$E330/F330-1</f>
        <v>0</v>
      </c>
      <c r="J330" s="36" t="n">
        <f aca="false">$E330/G330-1</f>
        <v>0.1</v>
      </c>
      <c r="K330" s="36" t="n">
        <f aca="false">$E330/H330-1</f>
        <v>-0.0833333333333334</v>
      </c>
      <c r="L330" s="37" t="n">
        <v>26.19</v>
      </c>
      <c r="M330" s="37" t="n">
        <v>1.56</v>
      </c>
      <c r="N330" s="34" t="n">
        <v>24000</v>
      </c>
      <c r="O330" s="34" t="n">
        <v>18000</v>
      </c>
      <c r="P330" s="38"/>
      <c r="Q330" s="38"/>
    </row>
    <row r="331" customFormat="false" ht="15" hidden="false" customHeight="false" outlineLevel="0" collapsed="false">
      <c r="A331" s="34" t="n">
        <v>323</v>
      </c>
      <c r="B331" s="35" t="s">
        <v>741</v>
      </c>
      <c r="C331" s="35" t="s">
        <v>742</v>
      </c>
      <c r="D331" s="35" t="s">
        <v>111</v>
      </c>
      <c r="E331" s="34" t="n">
        <v>10000</v>
      </c>
      <c r="F331" s="34" t="n">
        <v>10000</v>
      </c>
      <c r="G331" s="34" t="n">
        <v>10000</v>
      </c>
      <c r="H331" s="34" t="n">
        <v>15300.72</v>
      </c>
      <c r="I331" s="36" t="n">
        <f aca="false">$E331/F331-1</f>
        <v>0</v>
      </c>
      <c r="J331" s="36" t="n">
        <f aca="false">$E331/G331-1</f>
        <v>0</v>
      </c>
      <c r="K331" s="36" t="n">
        <f aca="false">$E331/H331-1</f>
        <v>-0.346435984711831</v>
      </c>
      <c r="L331" s="37" t="n">
        <v>15.35</v>
      </c>
      <c r="M331" s="37" t="n">
        <v>0.93</v>
      </c>
      <c r="N331" s="34" t="n">
        <v>15300.72</v>
      </c>
      <c r="O331" s="34" t="n">
        <v>9200</v>
      </c>
      <c r="P331" s="38"/>
      <c r="Q331" s="38"/>
    </row>
    <row r="332" customFormat="false" ht="15" hidden="false" customHeight="false" outlineLevel="0" collapsed="false">
      <c r="A332" s="34" t="n">
        <v>324</v>
      </c>
      <c r="B332" s="35" t="s">
        <v>743</v>
      </c>
      <c r="C332" s="35" t="s">
        <v>744</v>
      </c>
      <c r="D332" s="35" t="s">
        <v>111</v>
      </c>
      <c r="E332" s="34" t="n">
        <v>4700</v>
      </c>
      <c r="F332" s="34" t="n">
        <v>4200</v>
      </c>
      <c r="G332" s="34" t="n">
        <v>3900</v>
      </c>
      <c r="H332" s="34" t="n">
        <v>7200</v>
      </c>
      <c r="I332" s="36" t="n">
        <f aca="false">$E332/F332-1</f>
        <v>0.119047619047619</v>
      </c>
      <c r="J332" s="36" t="n">
        <f aca="false">$E332/G332-1</f>
        <v>0.205128205128205</v>
      </c>
      <c r="K332" s="36" t="n">
        <f aca="false">$E332/H332-1</f>
        <v>-0.347222222222222</v>
      </c>
      <c r="L332" s="37" t="n">
        <v>38.02</v>
      </c>
      <c r="M332" s="37" t="n">
        <v>0.32</v>
      </c>
      <c r="N332" s="34" t="n">
        <v>7200</v>
      </c>
      <c r="O332" s="34" t="n">
        <v>3000</v>
      </c>
      <c r="P332" s="38"/>
      <c r="Q332" s="38"/>
    </row>
    <row r="333" customFormat="false" ht="15" hidden="false" customHeight="false" outlineLevel="0" collapsed="false">
      <c r="A333" s="34" t="n">
        <v>325</v>
      </c>
      <c r="B333" s="35" t="s">
        <v>745</v>
      </c>
      <c r="C333" s="35" t="s">
        <v>746</v>
      </c>
      <c r="D333" s="35" t="s">
        <v>111</v>
      </c>
      <c r="E333" s="34" t="n">
        <v>5600</v>
      </c>
      <c r="F333" s="34" t="n">
        <v>5600</v>
      </c>
      <c r="G333" s="34" t="n">
        <v>5600</v>
      </c>
      <c r="H333" s="34" t="n">
        <v>5000</v>
      </c>
      <c r="I333" s="36" t="n">
        <f aca="false">$E333/F333-1</f>
        <v>0</v>
      </c>
      <c r="J333" s="36" t="n">
        <f aca="false">$E333/G333-1</f>
        <v>0</v>
      </c>
      <c r="K333" s="36" t="n">
        <f aca="false">$E333/H333-1</f>
        <v>0.12</v>
      </c>
      <c r="L333" s="37" t="n">
        <v>11.77</v>
      </c>
      <c r="M333" s="37" t="n">
        <v>-2.21</v>
      </c>
      <c r="N333" s="34" t="n">
        <v>5600</v>
      </c>
      <c r="O333" s="34" t="n">
        <v>3600</v>
      </c>
      <c r="P333" s="38"/>
      <c r="Q333" s="38"/>
    </row>
    <row r="334" customFormat="false" ht="15" hidden="false" customHeight="false" outlineLevel="0" collapsed="false">
      <c r="A334" s="34" t="n">
        <v>326</v>
      </c>
      <c r="B334" s="35" t="s">
        <v>747</v>
      </c>
      <c r="C334" s="35" t="s">
        <v>748</v>
      </c>
      <c r="D334" s="35" t="s">
        <v>111</v>
      </c>
      <c r="E334" s="34" t="n">
        <v>68318</v>
      </c>
      <c r="F334" s="34" t="n">
        <v>65425</v>
      </c>
      <c r="G334" s="34" t="n">
        <v>65185</v>
      </c>
      <c r="H334" s="34" t="n">
        <v>45842</v>
      </c>
      <c r="I334" s="36" t="n">
        <f aca="false">$E334/F334-1</f>
        <v>0.0442185708826901</v>
      </c>
      <c r="J334" s="36" t="n">
        <f aca="false">$E334/G334-1</f>
        <v>0.0480632047250134</v>
      </c>
      <c r="K334" s="36" t="n">
        <f aca="false">$E334/H334-1</f>
        <v>0.490292744644649</v>
      </c>
      <c r="L334" s="37" t="n">
        <v>3.44</v>
      </c>
      <c r="M334" s="37" t="n">
        <v>1.61</v>
      </c>
      <c r="N334" s="34" t="n">
        <v>68318</v>
      </c>
      <c r="O334" s="34" t="n">
        <v>42336</v>
      </c>
      <c r="P334" s="38"/>
      <c r="Q334" s="38"/>
    </row>
    <row r="335" customFormat="false" ht="15" hidden="false" customHeight="false" outlineLevel="0" collapsed="false">
      <c r="A335" s="34" t="n">
        <v>327</v>
      </c>
      <c r="B335" s="35" t="s">
        <v>749</v>
      </c>
      <c r="C335" s="35" t="s">
        <v>750</v>
      </c>
      <c r="D335" s="35" t="s">
        <v>111</v>
      </c>
      <c r="E335" s="34" t="n">
        <v>3500</v>
      </c>
      <c r="F335" s="34" t="n">
        <v>2400</v>
      </c>
      <c r="G335" s="34" t="n">
        <v>1200</v>
      </c>
      <c r="H335" s="34" t="n">
        <v>4000</v>
      </c>
      <c r="I335" s="36" t="n">
        <f aca="false">$E335/F335-1</f>
        <v>0.458333333333333</v>
      </c>
      <c r="J335" s="36" t="n">
        <f aca="false">$E335/G335-1</f>
        <v>1.91666666666667</v>
      </c>
      <c r="K335" s="36" t="n">
        <f aca="false">$E335/H335-1</f>
        <v>-0.125</v>
      </c>
      <c r="L335" s="37" t="n">
        <v>-35.93</v>
      </c>
      <c r="M335" s="37" t="n">
        <v>2.26</v>
      </c>
      <c r="N335" s="34" t="n">
        <v>5400</v>
      </c>
      <c r="O335" s="34" t="n">
        <v>1200</v>
      </c>
      <c r="P335" s="38"/>
      <c r="Q335" s="38"/>
    </row>
    <row r="336" customFormat="false" ht="15" hidden="false" customHeight="false" outlineLevel="0" collapsed="false">
      <c r="A336" s="34" t="n">
        <v>328</v>
      </c>
      <c r="B336" s="35" t="s">
        <v>751</v>
      </c>
      <c r="C336" s="35" t="s">
        <v>752</v>
      </c>
      <c r="D336" s="35" t="s">
        <v>111</v>
      </c>
      <c r="E336" s="34" t="n">
        <v>13000</v>
      </c>
      <c r="F336" s="34" t="n">
        <v>10600</v>
      </c>
      <c r="G336" s="34" t="n">
        <v>11020</v>
      </c>
      <c r="H336" s="34" t="n">
        <v>17600</v>
      </c>
      <c r="I336" s="36" t="n">
        <f aca="false">$E336/F336-1</f>
        <v>0.226415094339623</v>
      </c>
      <c r="J336" s="36" t="n">
        <f aca="false">$E336/G336-1</f>
        <v>0.17967332123412</v>
      </c>
      <c r="K336" s="36" t="n">
        <f aca="false">$E336/H336-1</f>
        <v>-0.261363636363636</v>
      </c>
      <c r="L336" s="37" t="n">
        <v>33.93</v>
      </c>
      <c r="M336" s="37" t="n">
        <v>0.87</v>
      </c>
      <c r="N336" s="34" t="n">
        <v>19700</v>
      </c>
      <c r="O336" s="34" t="n">
        <v>9300</v>
      </c>
      <c r="P336" s="38"/>
      <c r="Q336" s="38"/>
    </row>
    <row r="337" customFormat="false" ht="15" hidden="false" customHeight="false" outlineLevel="0" collapsed="false">
      <c r="A337" s="34" t="n">
        <v>329</v>
      </c>
      <c r="B337" s="35" t="s">
        <v>753</v>
      </c>
      <c r="C337" s="35" t="s">
        <v>754</v>
      </c>
      <c r="D337" s="35" t="s">
        <v>111</v>
      </c>
      <c r="E337" s="34" t="n">
        <v>7800</v>
      </c>
      <c r="F337" s="34" t="n">
        <v>7800</v>
      </c>
      <c r="G337" s="34" t="n">
        <v>7800</v>
      </c>
      <c r="H337" s="34" t="n">
        <v>7800.34</v>
      </c>
      <c r="I337" s="36" t="n">
        <f aca="false">$E337/F337-1</f>
        <v>0</v>
      </c>
      <c r="J337" s="36" t="n">
        <f aca="false">$E337/G337-1</f>
        <v>0</v>
      </c>
      <c r="K337" s="36" t="n">
        <f aca="false">$E337/H337-1</f>
        <v>-4.35878436068071E-005</v>
      </c>
      <c r="L337" s="37" t="n">
        <v>11.69</v>
      </c>
      <c r="M337" s="37" t="n">
        <v>0.59</v>
      </c>
      <c r="N337" s="34" t="n">
        <v>7800.34</v>
      </c>
      <c r="O337" s="34" t="n">
        <v>7800</v>
      </c>
      <c r="P337" s="38"/>
      <c r="Q337" s="38"/>
    </row>
    <row r="338" customFormat="false" ht="15" hidden="false" customHeight="false" outlineLevel="0" collapsed="false">
      <c r="A338" s="34" t="n">
        <v>330</v>
      </c>
      <c r="B338" s="35" t="s">
        <v>755</v>
      </c>
      <c r="C338" s="35" t="s">
        <v>756</v>
      </c>
      <c r="D338" s="35" t="s">
        <v>111</v>
      </c>
      <c r="E338" s="34" t="n">
        <v>3700</v>
      </c>
      <c r="F338" s="34" t="n">
        <v>3700</v>
      </c>
      <c r="G338" s="34" t="n">
        <v>3700</v>
      </c>
      <c r="H338" s="34" t="n">
        <v>3700</v>
      </c>
      <c r="I338" s="36" t="n">
        <f aca="false">$E338/F338-1</f>
        <v>0</v>
      </c>
      <c r="J338" s="36" t="n">
        <f aca="false">$E338/G338-1</f>
        <v>0</v>
      </c>
      <c r="K338" s="36" t="n">
        <f aca="false">$E338/H338-1</f>
        <v>0</v>
      </c>
      <c r="L338" s="37" t="n">
        <v>0.18</v>
      </c>
      <c r="M338" s="37" t="n">
        <v>0.12</v>
      </c>
      <c r="N338" s="34" t="n">
        <v>3700</v>
      </c>
      <c r="O338" s="34" t="n">
        <v>3700</v>
      </c>
      <c r="P338" s="38"/>
      <c r="Q338" s="38"/>
    </row>
    <row r="339" customFormat="false" ht="15" hidden="false" customHeight="false" outlineLevel="0" collapsed="false">
      <c r="A339" s="34" t="n">
        <v>331</v>
      </c>
      <c r="B339" s="35" t="s">
        <v>757</v>
      </c>
      <c r="C339" s="35" t="s">
        <v>758</v>
      </c>
      <c r="D339" s="35" t="s">
        <v>133</v>
      </c>
      <c r="E339" s="34" t="n">
        <v>7100</v>
      </c>
      <c r="F339" s="34" t="n">
        <v>7100</v>
      </c>
      <c r="G339" s="34" t="n">
        <v>7000</v>
      </c>
      <c r="H339" s="34" t="n">
        <v>6790.98</v>
      </c>
      <c r="I339" s="36" t="n">
        <f aca="false">$E339/F339-1</f>
        <v>0</v>
      </c>
      <c r="J339" s="36" t="n">
        <f aca="false">$E339/G339-1</f>
        <v>0.0142857142857142</v>
      </c>
      <c r="K339" s="36" t="n">
        <f aca="false">$E339/H339-1</f>
        <v>0.0455044779987572</v>
      </c>
      <c r="L339" s="37" t="n">
        <v>4.78</v>
      </c>
      <c r="M339" s="37" t="n">
        <v>0.63</v>
      </c>
      <c r="N339" s="34" t="n">
        <v>7600</v>
      </c>
      <c r="O339" s="34" t="n">
        <v>6790.98</v>
      </c>
      <c r="P339" s="38"/>
      <c r="Q339" s="38"/>
    </row>
    <row r="340" customFormat="false" ht="15" hidden="false" customHeight="false" outlineLevel="0" collapsed="false">
      <c r="A340" s="34" t="n">
        <v>332</v>
      </c>
      <c r="B340" s="35" t="s">
        <v>759</v>
      </c>
      <c r="C340" s="35" t="s">
        <v>760</v>
      </c>
      <c r="D340" s="35" t="s">
        <v>111</v>
      </c>
      <c r="E340" s="34" t="n">
        <v>11500</v>
      </c>
      <c r="F340" s="34" t="n">
        <v>11500</v>
      </c>
      <c r="G340" s="34" t="n">
        <v>11500</v>
      </c>
      <c r="H340" s="34" t="n">
        <v>10858.75</v>
      </c>
      <c r="I340" s="36" t="n">
        <f aca="false">$E340/F340-1</f>
        <v>0</v>
      </c>
      <c r="J340" s="36" t="n">
        <f aca="false">$E340/G340-1</f>
        <v>0</v>
      </c>
      <c r="K340" s="36" t="n">
        <f aca="false">$E340/H340-1</f>
        <v>0.0590537584896973</v>
      </c>
      <c r="L340" s="37" t="n">
        <v>4.24</v>
      </c>
      <c r="M340" s="37" t="n">
        <v>0.77</v>
      </c>
      <c r="N340" s="34" t="n">
        <v>16425</v>
      </c>
      <c r="O340" s="34" t="n">
        <v>10827.72</v>
      </c>
      <c r="P340" s="38"/>
      <c r="Q340" s="38"/>
    </row>
    <row r="341" customFormat="false" ht="15" hidden="false" customHeight="false" outlineLevel="0" collapsed="false">
      <c r="A341" s="34" t="n">
        <v>333</v>
      </c>
      <c r="B341" s="35" t="s">
        <v>761</v>
      </c>
      <c r="C341" s="35" t="s">
        <v>762</v>
      </c>
      <c r="D341" s="35" t="s">
        <v>133</v>
      </c>
      <c r="E341" s="34" t="n">
        <v>33100</v>
      </c>
      <c r="F341" s="34" t="n">
        <v>33100</v>
      </c>
      <c r="G341" s="34" t="n">
        <v>35200</v>
      </c>
      <c r="H341" s="34" t="n">
        <v>31378.74</v>
      </c>
      <c r="I341" s="36" t="n">
        <f aca="false">$E341/F341-1</f>
        <v>0</v>
      </c>
      <c r="J341" s="36" t="n">
        <f aca="false">$E341/G341-1</f>
        <v>-0.0596590909090909</v>
      </c>
      <c r="K341" s="36" t="n">
        <f aca="false">$E341/H341-1</f>
        <v>0.0548543376821375</v>
      </c>
      <c r="L341" s="37" t="n">
        <v>7.87</v>
      </c>
      <c r="M341" s="37" t="n">
        <v>1.42</v>
      </c>
      <c r="N341" s="34" t="n">
        <v>38996.7</v>
      </c>
      <c r="O341" s="34" t="n">
        <v>29927.7</v>
      </c>
      <c r="P341" s="38"/>
      <c r="Q341" s="38"/>
    </row>
    <row r="342" customFormat="false" ht="15" hidden="false" customHeight="false" outlineLevel="0" collapsed="false">
      <c r="A342" s="34" t="n">
        <v>334</v>
      </c>
      <c r="B342" s="35" t="s">
        <v>763</v>
      </c>
      <c r="C342" s="35" t="s">
        <v>764</v>
      </c>
      <c r="D342" s="35" t="s">
        <v>116</v>
      </c>
      <c r="E342" s="34" t="n">
        <v>5220</v>
      </c>
      <c r="F342" s="34" t="n">
        <v>5800</v>
      </c>
      <c r="G342" s="34" t="n">
        <v>6000</v>
      </c>
      <c r="H342" s="34" t="n">
        <v>9460</v>
      </c>
      <c r="I342" s="36" t="n">
        <f aca="false">$E342/F342-1</f>
        <v>-0.1</v>
      </c>
      <c r="J342" s="36" t="n">
        <f aca="false">$E342/G342-1</f>
        <v>-0.13</v>
      </c>
      <c r="K342" s="36" t="n">
        <f aca="false">$E342/H342-1</f>
        <v>-0.448202959830867</v>
      </c>
      <c r="L342" s="37" t="n">
        <v>8.32</v>
      </c>
      <c r="M342" s="37" t="n">
        <v>0.46</v>
      </c>
      <c r="N342" s="34" t="n">
        <v>12400</v>
      </c>
      <c r="O342" s="34" t="n">
        <v>5220</v>
      </c>
      <c r="P342" s="38"/>
      <c r="Q342" s="38"/>
    </row>
    <row r="343" customFormat="false" ht="15" hidden="false" customHeight="false" outlineLevel="0" collapsed="false">
      <c r="A343" s="34" t="n">
        <v>335</v>
      </c>
      <c r="B343" s="35" t="s">
        <v>765</v>
      </c>
      <c r="C343" s="35" t="s">
        <v>766</v>
      </c>
      <c r="D343" s="35" t="s">
        <v>111</v>
      </c>
      <c r="E343" s="34"/>
      <c r="F343" s="34"/>
      <c r="G343" s="34"/>
      <c r="H343" s="34"/>
      <c r="I343" s="36" t="e">
        <f aca="false">$E343/F343-1</f>
        <v>#DIV/0!</v>
      </c>
      <c r="J343" s="36" t="e">
        <f aca="false">$E343/G343-1</f>
        <v>#DIV/0!</v>
      </c>
      <c r="K343" s="36" t="e">
        <f aca="false">$E343/H343-1</f>
        <v>#DIV/0!</v>
      </c>
      <c r="L343" s="37"/>
      <c r="M343" s="37"/>
      <c r="N343" s="34"/>
      <c r="O343" s="34"/>
      <c r="P343" s="38"/>
      <c r="Q343" s="38"/>
    </row>
    <row r="344" customFormat="false" ht="15" hidden="false" customHeight="false" outlineLevel="0" collapsed="false">
      <c r="A344" s="34" t="n">
        <v>336</v>
      </c>
      <c r="B344" s="35" t="s">
        <v>767</v>
      </c>
      <c r="C344" s="35" t="s">
        <v>768</v>
      </c>
      <c r="D344" s="35" t="s">
        <v>111</v>
      </c>
      <c r="E344" s="34" t="n">
        <v>600</v>
      </c>
      <c r="F344" s="34" t="n">
        <v>600</v>
      </c>
      <c r="G344" s="34" t="n">
        <v>600</v>
      </c>
      <c r="H344" s="34" t="n">
        <v>600</v>
      </c>
      <c r="I344" s="36" t="n">
        <f aca="false">$E344/F344-1</f>
        <v>0</v>
      </c>
      <c r="J344" s="36" t="n">
        <f aca="false">$E344/G344-1</f>
        <v>0</v>
      </c>
      <c r="K344" s="36" t="n">
        <f aca="false">$E344/H344-1</f>
        <v>0</v>
      </c>
      <c r="L344" s="37" t="n">
        <v>5058595.4</v>
      </c>
      <c r="M344" s="37" t="n">
        <v>0.06</v>
      </c>
      <c r="N344" s="34" t="n">
        <v>600</v>
      </c>
      <c r="O344" s="34" t="n">
        <v>600</v>
      </c>
      <c r="P344" s="38"/>
      <c r="Q344" s="38"/>
    </row>
    <row r="345" customFormat="false" ht="15" hidden="false" customHeight="false" outlineLevel="0" collapsed="false">
      <c r="A345" s="34" t="n">
        <v>337</v>
      </c>
      <c r="B345" s="35" t="s">
        <v>769</v>
      </c>
      <c r="C345" s="35" t="s">
        <v>770</v>
      </c>
      <c r="D345" s="35" t="s">
        <v>111</v>
      </c>
      <c r="E345" s="34" t="n">
        <v>6300</v>
      </c>
      <c r="F345" s="34" t="n">
        <v>6300</v>
      </c>
      <c r="G345" s="34" t="n">
        <v>6300</v>
      </c>
      <c r="H345" s="34" t="n">
        <v>6300</v>
      </c>
      <c r="I345" s="36" t="n">
        <f aca="false">$E345/F345-1</f>
        <v>0</v>
      </c>
      <c r="J345" s="36" t="n">
        <f aca="false">$E345/G345-1</f>
        <v>0</v>
      </c>
      <c r="K345" s="36" t="n">
        <f aca="false">$E345/H345-1</f>
        <v>0</v>
      </c>
      <c r="L345" s="37" t="n">
        <v>1.73</v>
      </c>
      <c r="M345" s="37" t="n">
        <v>-3.02</v>
      </c>
      <c r="N345" s="34" t="n">
        <v>6300</v>
      </c>
      <c r="O345" s="34" t="n">
        <v>4500</v>
      </c>
      <c r="P345" s="38"/>
      <c r="Q345" s="38"/>
    </row>
    <row r="346" customFormat="false" ht="15" hidden="false" customHeight="false" outlineLevel="0" collapsed="false">
      <c r="A346" s="34" t="n">
        <v>338</v>
      </c>
      <c r="B346" s="35" t="s">
        <v>771</v>
      </c>
      <c r="C346" s="35" t="s">
        <v>772</v>
      </c>
      <c r="D346" s="35" t="s">
        <v>116</v>
      </c>
      <c r="E346" s="34" t="n">
        <v>7910</v>
      </c>
      <c r="F346" s="34" t="n">
        <v>8790</v>
      </c>
      <c r="G346" s="34" t="n">
        <v>9047.8</v>
      </c>
      <c r="H346" s="34" t="n">
        <v>11619.28</v>
      </c>
      <c r="I346" s="36" t="n">
        <f aca="false">$E346/F346-1</f>
        <v>-0.100113765642776</v>
      </c>
      <c r="J346" s="36" t="n">
        <f aca="false">$E346/G346-1</f>
        <v>-0.125754327018723</v>
      </c>
      <c r="K346" s="36" t="n">
        <f aca="false">$E346/H346-1</f>
        <v>-0.319234926776874</v>
      </c>
      <c r="L346" s="37" t="n">
        <v>3.16</v>
      </c>
      <c r="M346" s="37" t="n">
        <v>0.59</v>
      </c>
      <c r="N346" s="34" t="n">
        <v>15047.92</v>
      </c>
      <c r="O346" s="34" t="n">
        <v>7910</v>
      </c>
      <c r="P346" s="38"/>
      <c r="Q346" s="38"/>
    </row>
    <row r="347" customFormat="false" ht="15" hidden="false" customHeight="false" outlineLevel="0" collapsed="false">
      <c r="A347" s="34" t="n">
        <v>339</v>
      </c>
      <c r="B347" s="35" t="s">
        <v>773</v>
      </c>
      <c r="C347" s="35" t="s">
        <v>774</v>
      </c>
      <c r="D347" s="35" t="s">
        <v>111</v>
      </c>
      <c r="E347" s="34" t="n">
        <v>984</v>
      </c>
      <c r="F347" s="34" t="n">
        <v>928</v>
      </c>
      <c r="G347" s="34" t="n">
        <v>1200</v>
      </c>
      <c r="H347" s="34" t="n">
        <v>1300</v>
      </c>
      <c r="I347" s="36" t="n">
        <f aca="false">$E347/F347-1</f>
        <v>0.0603448275862069</v>
      </c>
      <c r="J347" s="36" t="n">
        <f aca="false">$E347/G347-1</f>
        <v>-0.18</v>
      </c>
      <c r="K347" s="36" t="n">
        <f aca="false">$E347/H347-1</f>
        <v>-0.243076923076923</v>
      </c>
      <c r="L347" s="37" t="n">
        <v>-4.26</v>
      </c>
      <c r="M347" s="37" t="n">
        <v>-0.51</v>
      </c>
      <c r="N347" s="34" t="n">
        <v>1400</v>
      </c>
      <c r="O347" s="34" t="n">
        <v>898</v>
      </c>
      <c r="P347" s="38"/>
      <c r="Q347" s="38"/>
    </row>
    <row r="348" customFormat="false" ht="15" hidden="false" customHeight="false" outlineLevel="0" collapsed="false">
      <c r="A348" s="34" t="n">
        <v>340</v>
      </c>
      <c r="B348" s="35" t="s">
        <v>775</v>
      </c>
      <c r="C348" s="35" t="s">
        <v>776</v>
      </c>
      <c r="D348" s="35" t="s">
        <v>111</v>
      </c>
      <c r="E348" s="34" t="n">
        <v>3600</v>
      </c>
      <c r="F348" s="34" t="n">
        <v>3600</v>
      </c>
      <c r="G348" s="34" t="n">
        <v>3600</v>
      </c>
      <c r="H348" s="34" t="n">
        <v>3600</v>
      </c>
      <c r="I348" s="36" t="n">
        <f aca="false">$E348/F348-1</f>
        <v>0</v>
      </c>
      <c r="J348" s="36" t="n">
        <f aca="false">$E348/G348-1</f>
        <v>0</v>
      </c>
      <c r="K348" s="36" t="n">
        <f aca="false">$E348/H348-1</f>
        <v>0</v>
      </c>
      <c r="L348" s="37" t="n">
        <v>1.86</v>
      </c>
      <c r="M348" s="37" t="n">
        <v>0.26</v>
      </c>
      <c r="N348" s="34" t="n">
        <v>5900</v>
      </c>
      <c r="O348" s="34" t="n">
        <v>3600</v>
      </c>
      <c r="P348" s="38"/>
      <c r="Q348" s="38"/>
    </row>
    <row r="349" customFormat="false" ht="15" hidden="false" customHeight="false" outlineLevel="0" collapsed="false">
      <c r="A349" s="34" t="n">
        <v>341</v>
      </c>
      <c r="B349" s="35" t="s">
        <v>777</v>
      </c>
      <c r="C349" s="35" t="s">
        <v>778</v>
      </c>
      <c r="D349" s="35" t="s">
        <v>133</v>
      </c>
      <c r="E349" s="34" t="n">
        <v>45700</v>
      </c>
      <c r="F349" s="34" t="n">
        <v>45000</v>
      </c>
      <c r="G349" s="34" t="n">
        <v>48600</v>
      </c>
      <c r="H349" s="34" t="n">
        <v>51700</v>
      </c>
      <c r="I349" s="36" t="n">
        <f aca="false">$E349/F349-1</f>
        <v>0.0155555555555555</v>
      </c>
      <c r="J349" s="36" t="n">
        <f aca="false">$E349/G349-1</f>
        <v>-0.0596707818930041</v>
      </c>
      <c r="K349" s="36" t="n">
        <f aca="false">$E349/H349-1</f>
        <v>-0.11605415860735</v>
      </c>
      <c r="L349" s="37" t="n">
        <v>5.27</v>
      </c>
      <c r="M349" s="37" t="n">
        <v>1.38</v>
      </c>
      <c r="N349" s="34" t="n">
        <v>67227.93</v>
      </c>
      <c r="O349" s="34" t="n">
        <v>39000</v>
      </c>
      <c r="P349" s="38"/>
      <c r="Q349" s="38"/>
    </row>
    <row r="350" customFormat="false" ht="15" hidden="false" customHeight="false" outlineLevel="0" collapsed="false">
      <c r="A350" s="34" t="n">
        <v>342</v>
      </c>
      <c r="B350" s="35" t="s">
        <v>779</v>
      </c>
      <c r="C350" s="35" t="s">
        <v>780</v>
      </c>
      <c r="D350" s="35" t="s">
        <v>133</v>
      </c>
      <c r="E350" s="34" t="n">
        <v>7200</v>
      </c>
      <c r="F350" s="34" t="n">
        <v>6700</v>
      </c>
      <c r="G350" s="34" t="n">
        <v>8500</v>
      </c>
      <c r="H350" s="34" t="n">
        <v>7700</v>
      </c>
      <c r="I350" s="36" t="n">
        <f aca="false">$E350/F350-1</f>
        <v>0.0746268656716418</v>
      </c>
      <c r="J350" s="36" t="n">
        <f aca="false">$E350/G350-1</f>
        <v>-0.152941176470588</v>
      </c>
      <c r="K350" s="36" t="n">
        <f aca="false">$E350/H350-1</f>
        <v>-0.064935064935065</v>
      </c>
      <c r="L350" s="37" t="n">
        <v>-2713.36</v>
      </c>
      <c r="M350" s="37" t="n">
        <v>0.59</v>
      </c>
      <c r="N350" s="34" t="n">
        <v>22000</v>
      </c>
      <c r="O350" s="34" t="n">
        <v>4800</v>
      </c>
      <c r="P350" s="38"/>
      <c r="Q350" s="38"/>
    </row>
    <row r="351" customFormat="false" ht="15" hidden="false" customHeight="false" outlineLevel="0" collapsed="false">
      <c r="A351" s="34" t="n">
        <v>343</v>
      </c>
      <c r="B351" s="35" t="s">
        <v>781</v>
      </c>
      <c r="C351" s="35" t="s">
        <v>782</v>
      </c>
      <c r="D351" s="35" t="s">
        <v>116</v>
      </c>
      <c r="E351" s="34" t="n">
        <v>19400</v>
      </c>
      <c r="F351" s="34" t="n">
        <v>19000</v>
      </c>
      <c r="G351" s="34" t="n">
        <v>19500</v>
      </c>
      <c r="H351" s="34" t="n">
        <v>22250</v>
      </c>
      <c r="I351" s="36" t="n">
        <f aca="false">$E351/F351-1</f>
        <v>0.0210526315789474</v>
      </c>
      <c r="J351" s="36" t="n">
        <f aca="false">$E351/G351-1</f>
        <v>-0.00512820512820511</v>
      </c>
      <c r="K351" s="36" t="n">
        <f aca="false">$E351/H351-1</f>
        <v>-0.128089887640449</v>
      </c>
      <c r="L351" s="37" t="n">
        <v>8.02</v>
      </c>
      <c r="M351" s="37" t="n">
        <v>0.72</v>
      </c>
      <c r="N351" s="34" t="n">
        <v>27600</v>
      </c>
      <c r="O351" s="34" t="n">
        <v>18200</v>
      </c>
      <c r="P351" s="38"/>
      <c r="Q351" s="38"/>
    </row>
    <row r="352" customFormat="false" ht="15" hidden="false" customHeight="false" outlineLevel="0" collapsed="false">
      <c r="A352" s="34" t="n">
        <v>344</v>
      </c>
      <c r="B352" s="35" t="s">
        <v>783</v>
      </c>
      <c r="C352" s="35" t="s">
        <v>784</v>
      </c>
      <c r="D352" s="35" t="s">
        <v>111</v>
      </c>
      <c r="E352" s="34" t="n">
        <v>18975</v>
      </c>
      <c r="F352" s="34" t="n">
        <v>18169</v>
      </c>
      <c r="G352" s="34" t="n">
        <v>20981</v>
      </c>
      <c r="H352" s="34" t="n">
        <v>24279.65</v>
      </c>
      <c r="I352" s="36" t="n">
        <f aca="false">$E352/F352-1</f>
        <v>0.0443612746986626</v>
      </c>
      <c r="J352" s="36" t="n">
        <f aca="false">$E352/G352-1</f>
        <v>-0.0956103140937038</v>
      </c>
      <c r="K352" s="36" t="n">
        <f aca="false">$E352/H352-1</f>
        <v>-0.218481320776865</v>
      </c>
      <c r="L352" s="37" t="n">
        <v>4.72</v>
      </c>
      <c r="M352" s="37" t="n">
        <v>1.27</v>
      </c>
      <c r="N352" s="34" t="n">
        <v>33603.97</v>
      </c>
      <c r="O352" s="34" t="n">
        <v>17803</v>
      </c>
      <c r="P352" s="38"/>
      <c r="Q352" s="38"/>
    </row>
    <row r="353" customFormat="false" ht="15" hidden="false" customHeight="false" outlineLevel="0" collapsed="false">
      <c r="A353" s="34" t="n">
        <v>345</v>
      </c>
      <c r="B353" s="35" t="s">
        <v>785</v>
      </c>
      <c r="C353" s="35" t="s">
        <v>786</v>
      </c>
      <c r="D353" s="35" t="s">
        <v>116</v>
      </c>
      <c r="E353" s="34" t="n">
        <v>11950</v>
      </c>
      <c r="F353" s="34" t="n">
        <v>11900</v>
      </c>
      <c r="G353" s="34" t="n">
        <v>9390</v>
      </c>
      <c r="H353" s="34" t="n">
        <v>4690</v>
      </c>
      <c r="I353" s="36" t="n">
        <f aca="false">$E353/F353-1</f>
        <v>0.00420168067226889</v>
      </c>
      <c r="J353" s="36" t="n">
        <f aca="false">$E353/G353-1</f>
        <v>0.272630457933972</v>
      </c>
      <c r="K353" s="36" t="n">
        <f aca="false">$E353/H353-1</f>
        <v>1.54797441364606</v>
      </c>
      <c r="L353" s="37" t="n">
        <v>3.4</v>
      </c>
      <c r="M353" s="37" t="n">
        <v>1.01</v>
      </c>
      <c r="N353" s="34" t="n">
        <v>12350</v>
      </c>
      <c r="O353" s="34" t="n">
        <v>4370</v>
      </c>
      <c r="P353" s="38"/>
      <c r="Q353" s="38"/>
    </row>
    <row r="354" customFormat="false" ht="15" hidden="false" customHeight="false" outlineLevel="0" collapsed="false">
      <c r="A354" s="34" t="n">
        <v>346</v>
      </c>
      <c r="B354" s="35" t="s">
        <v>787</v>
      </c>
      <c r="C354" s="35" t="s">
        <v>788</v>
      </c>
      <c r="D354" s="35" t="s">
        <v>111</v>
      </c>
      <c r="E354" s="34" t="n">
        <v>1604</v>
      </c>
      <c r="F354" s="34" t="n">
        <v>1600</v>
      </c>
      <c r="G354" s="34" t="n">
        <v>1905</v>
      </c>
      <c r="H354" s="34" t="n">
        <v>2584</v>
      </c>
      <c r="I354" s="36" t="n">
        <f aca="false">$E354/F354-1</f>
        <v>0.00249999999999995</v>
      </c>
      <c r="J354" s="36" t="n">
        <f aca="false">$E354/G354-1</f>
        <v>-0.158005249343832</v>
      </c>
      <c r="K354" s="36" t="n">
        <f aca="false">$E354/H354-1</f>
        <v>-0.379256965944273</v>
      </c>
      <c r="L354" s="37" t="n">
        <v>-68.51</v>
      </c>
      <c r="M354" s="37" t="n">
        <v>0.35</v>
      </c>
      <c r="N354" s="34" t="n">
        <v>3518</v>
      </c>
      <c r="O354" s="34" t="n">
        <v>1522</v>
      </c>
      <c r="P354" s="38"/>
      <c r="Q354" s="38"/>
    </row>
    <row r="355" customFormat="false" ht="15" hidden="false" customHeight="false" outlineLevel="0" collapsed="false">
      <c r="A355" s="34" t="n">
        <v>347</v>
      </c>
      <c r="B355" s="35" t="s">
        <v>789</v>
      </c>
      <c r="C355" s="35" t="s">
        <v>790</v>
      </c>
      <c r="D355" s="35" t="s">
        <v>111</v>
      </c>
      <c r="E355" s="34" t="n">
        <v>5100</v>
      </c>
      <c r="F355" s="34" t="n">
        <v>4500</v>
      </c>
      <c r="G355" s="34" t="n">
        <v>4600</v>
      </c>
      <c r="H355" s="34" t="n">
        <v>4600</v>
      </c>
      <c r="I355" s="36" t="n">
        <f aca="false">$E355/F355-1</f>
        <v>0.133333333333333</v>
      </c>
      <c r="J355" s="36" t="n">
        <f aca="false">$E355/G355-1</f>
        <v>0.108695652173913</v>
      </c>
      <c r="K355" s="36" t="n">
        <f aca="false">$E355/H355-1</f>
        <v>0.108695652173913</v>
      </c>
      <c r="L355" s="37" t="n">
        <v>43.12</v>
      </c>
      <c r="M355" s="37" t="n">
        <v>0.52</v>
      </c>
      <c r="N355" s="34" t="n">
        <v>6300</v>
      </c>
      <c r="O355" s="34" t="n">
        <v>4200</v>
      </c>
      <c r="P355" s="38"/>
      <c r="Q355" s="38"/>
    </row>
    <row r="356" customFormat="false" ht="15" hidden="false" customHeight="false" outlineLevel="0" collapsed="false">
      <c r="A356" s="34" t="n">
        <v>348</v>
      </c>
      <c r="B356" s="35" t="s">
        <v>791</v>
      </c>
      <c r="C356" s="35" t="s">
        <v>792</v>
      </c>
      <c r="D356" s="35" t="s">
        <v>111</v>
      </c>
      <c r="E356" s="34" t="n">
        <v>5858</v>
      </c>
      <c r="F356" s="34" t="n">
        <v>5774</v>
      </c>
      <c r="G356" s="34" t="n">
        <v>5964</v>
      </c>
      <c r="H356" s="34" t="n">
        <v>5718.63</v>
      </c>
      <c r="I356" s="36" t="n">
        <f aca="false">$E356/F356-1</f>
        <v>0.0145479736750953</v>
      </c>
      <c r="J356" s="36" t="n">
        <f aca="false">$E356/G356-1</f>
        <v>-0.0177733065057009</v>
      </c>
      <c r="K356" s="36" t="n">
        <f aca="false">$E356/H356-1</f>
        <v>0.0243712217786427</v>
      </c>
      <c r="L356" s="37" t="n">
        <v>34.58</v>
      </c>
      <c r="M356" s="37" t="n">
        <v>0.51</v>
      </c>
      <c r="N356" s="34" t="n">
        <v>11358.39</v>
      </c>
      <c r="O356" s="34" t="n">
        <v>5370</v>
      </c>
      <c r="P356" s="38"/>
      <c r="Q356" s="38"/>
    </row>
    <row r="357" customFormat="false" ht="15" hidden="false" customHeight="false" outlineLevel="0" collapsed="false">
      <c r="A357" s="34" t="n">
        <v>349</v>
      </c>
      <c r="B357" s="35" t="s">
        <v>793</v>
      </c>
      <c r="C357" s="35" t="s">
        <v>794</v>
      </c>
      <c r="D357" s="35" t="s">
        <v>133</v>
      </c>
      <c r="E357" s="34" t="n">
        <v>9000</v>
      </c>
      <c r="F357" s="34" t="n">
        <v>9000</v>
      </c>
      <c r="G357" s="34" t="n">
        <v>9000</v>
      </c>
      <c r="H357" s="34" t="n">
        <v>8400</v>
      </c>
      <c r="I357" s="36" t="n">
        <f aca="false">$E357/F357-1</f>
        <v>0</v>
      </c>
      <c r="J357" s="36" t="n">
        <f aca="false">$E357/G357-1</f>
        <v>0</v>
      </c>
      <c r="K357" s="36" t="n">
        <f aca="false">$E357/H357-1</f>
        <v>0.0714285714285714</v>
      </c>
      <c r="L357" s="37" t="n">
        <v>4.66</v>
      </c>
      <c r="M357" s="37" t="n">
        <v>0.65</v>
      </c>
      <c r="N357" s="34" t="n">
        <v>9400</v>
      </c>
      <c r="O357" s="34" t="n">
        <v>7700</v>
      </c>
      <c r="P357" s="38"/>
      <c r="Q357" s="38"/>
    </row>
    <row r="358" customFormat="false" ht="15" hidden="false" customHeight="false" outlineLevel="0" collapsed="false">
      <c r="A358" s="34" t="n">
        <v>350</v>
      </c>
      <c r="B358" s="35" t="s">
        <v>795</v>
      </c>
      <c r="C358" s="35" t="s">
        <v>796</v>
      </c>
      <c r="D358" s="35" t="s">
        <v>116</v>
      </c>
      <c r="E358" s="34" t="n">
        <v>16950</v>
      </c>
      <c r="F358" s="34" t="n">
        <v>17000</v>
      </c>
      <c r="G358" s="34" t="n">
        <v>16850</v>
      </c>
      <c r="H358" s="34" t="n">
        <v>15842.7</v>
      </c>
      <c r="I358" s="36" t="n">
        <f aca="false">$E358/F358-1</f>
        <v>-0.00294117647058823</v>
      </c>
      <c r="J358" s="36" t="n">
        <f aca="false">$E358/G358-1</f>
        <v>0.00593471810089019</v>
      </c>
      <c r="K358" s="36" t="n">
        <f aca="false">$E358/H358-1</f>
        <v>0.0698933893843852</v>
      </c>
      <c r="L358" s="37" t="n">
        <v>4.19</v>
      </c>
      <c r="M358" s="37" t="n">
        <v>0.8</v>
      </c>
      <c r="N358" s="34" t="n">
        <v>18483.15</v>
      </c>
      <c r="O358" s="34" t="n">
        <v>15478.5</v>
      </c>
      <c r="P358" s="38"/>
      <c r="Q358" s="38"/>
    </row>
    <row r="359" customFormat="false" ht="15" hidden="false" customHeight="false" outlineLevel="0" collapsed="false">
      <c r="A359" s="34" t="n">
        <v>351</v>
      </c>
      <c r="B359" s="35" t="s">
        <v>797</v>
      </c>
      <c r="C359" s="35" t="s">
        <v>798</v>
      </c>
      <c r="D359" s="35" t="s">
        <v>111</v>
      </c>
      <c r="E359" s="34" t="n">
        <v>9728</v>
      </c>
      <c r="F359" s="34" t="n">
        <v>9700</v>
      </c>
      <c r="G359" s="34" t="n">
        <v>10300</v>
      </c>
      <c r="H359" s="34" t="n">
        <v>8500</v>
      </c>
      <c r="I359" s="36" t="n">
        <f aca="false">$E359/F359-1</f>
        <v>0.00288659793814428</v>
      </c>
      <c r="J359" s="36" t="n">
        <f aca="false">$E359/G359-1</f>
        <v>-0.0555339805825242</v>
      </c>
      <c r="K359" s="36" t="n">
        <f aca="false">$E359/H359-1</f>
        <v>0.144470588235294</v>
      </c>
      <c r="L359" s="37" t="n">
        <v>6.22</v>
      </c>
      <c r="M359" s="37" t="n">
        <v>1.14</v>
      </c>
      <c r="N359" s="34" t="n">
        <v>10700</v>
      </c>
      <c r="O359" s="34" t="n">
        <v>8100</v>
      </c>
      <c r="P359" s="38"/>
      <c r="Q359" s="38"/>
    </row>
    <row r="360" customFormat="false" ht="15" hidden="false" customHeight="false" outlineLevel="0" collapsed="false">
      <c r="A360" s="34" t="n">
        <v>352</v>
      </c>
      <c r="B360" s="35" t="s">
        <v>799</v>
      </c>
      <c r="C360" s="35" t="s">
        <v>800</v>
      </c>
      <c r="D360" s="35" t="s">
        <v>133</v>
      </c>
      <c r="E360" s="34" t="n">
        <v>21100</v>
      </c>
      <c r="F360" s="34" t="n">
        <v>20100</v>
      </c>
      <c r="G360" s="34" t="n">
        <v>16300</v>
      </c>
      <c r="H360" s="34" t="n">
        <v>20917.44</v>
      </c>
      <c r="I360" s="36" t="n">
        <f aca="false">$E360/F360-1</f>
        <v>0.0497512437810945</v>
      </c>
      <c r="J360" s="36" t="n">
        <f aca="false">$E360/G360-1</f>
        <v>0.294478527607362</v>
      </c>
      <c r="K360" s="36" t="n">
        <f aca="false">$E360/H360-1</f>
        <v>0.00872764544800897</v>
      </c>
      <c r="L360" s="37" t="n">
        <v>5.91</v>
      </c>
      <c r="M360" s="37" t="n">
        <v>0.71</v>
      </c>
      <c r="N360" s="34" t="n">
        <v>24984.72</v>
      </c>
      <c r="O360" s="34" t="n">
        <v>15300</v>
      </c>
      <c r="P360" s="38"/>
      <c r="Q360" s="38"/>
    </row>
    <row r="361" customFormat="false" ht="15" hidden="false" customHeight="false" outlineLevel="0" collapsed="false">
      <c r="A361" s="34" t="n">
        <v>353</v>
      </c>
      <c r="B361" s="35" t="s">
        <v>801</v>
      </c>
      <c r="C361" s="35" t="s">
        <v>802</v>
      </c>
      <c r="D361" s="35" t="s">
        <v>111</v>
      </c>
      <c r="E361" s="34" t="n">
        <v>20000</v>
      </c>
      <c r="F361" s="34" t="n">
        <v>20000</v>
      </c>
      <c r="G361" s="34" t="n">
        <v>20000</v>
      </c>
      <c r="H361" s="34" t="n">
        <v>20435.8</v>
      </c>
      <c r="I361" s="36" t="n">
        <f aca="false">$E361/F361-1</f>
        <v>0</v>
      </c>
      <c r="J361" s="36" t="n">
        <f aca="false">$E361/G361-1</f>
        <v>0</v>
      </c>
      <c r="K361" s="36" t="n">
        <f aca="false">$E361/H361-1</f>
        <v>-0.0213253212499632</v>
      </c>
      <c r="L361" s="37" t="n">
        <v>5.06</v>
      </c>
      <c r="M361" s="37" t="n">
        <v>1.07</v>
      </c>
      <c r="N361" s="34" t="n">
        <v>23593.54</v>
      </c>
      <c r="O361" s="34" t="n">
        <v>13469.05</v>
      </c>
      <c r="P361" s="38"/>
      <c r="Q361" s="38"/>
    </row>
    <row r="362" customFormat="false" ht="15" hidden="false" customHeight="false" outlineLevel="0" collapsed="false">
      <c r="A362" s="34" t="n">
        <v>354</v>
      </c>
      <c r="B362" s="35" t="s">
        <v>803</v>
      </c>
      <c r="C362" s="35" t="s">
        <v>804</v>
      </c>
      <c r="D362" s="35" t="s">
        <v>116</v>
      </c>
      <c r="E362" s="34" t="n">
        <v>34100</v>
      </c>
      <c r="F362" s="34" t="n">
        <v>34000</v>
      </c>
      <c r="G362" s="34" t="n">
        <v>34858.28</v>
      </c>
      <c r="H362" s="34" t="n">
        <v>35640.23</v>
      </c>
      <c r="I362" s="36" t="n">
        <f aca="false">$E362/F362-1</f>
        <v>0.00294117647058823</v>
      </c>
      <c r="J362" s="36" t="n">
        <f aca="false">$E362/G362-1</f>
        <v>-0.0217532247718476</v>
      </c>
      <c r="K362" s="36" t="n">
        <f aca="false">$E362/H362-1</f>
        <v>-0.0432160510748669</v>
      </c>
      <c r="L362" s="37" t="n">
        <v>4.51</v>
      </c>
      <c r="M362" s="37" t="n">
        <v>1.2</v>
      </c>
      <c r="N362" s="34" t="n">
        <v>38430.57</v>
      </c>
      <c r="O362" s="34" t="n">
        <v>33047.46</v>
      </c>
      <c r="P362" s="38"/>
      <c r="Q362" s="38"/>
    </row>
    <row r="363" customFormat="false" ht="15" hidden="false" customHeight="false" outlineLevel="0" collapsed="false">
      <c r="A363" s="34" t="n">
        <v>355</v>
      </c>
      <c r="B363" s="35" t="s">
        <v>805</v>
      </c>
      <c r="C363" s="35" t="s">
        <v>806</v>
      </c>
      <c r="D363" s="35" t="s">
        <v>111</v>
      </c>
      <c r="E363" s="34" t="n">
        <v>10600</v>
      </c>
      <c r="F363" s="34" t="n">
        <v>10600</v>
      </c>
      <c r="G363" s="34" t="n">
        <v>10600</v>
      </c>
      <c r="H363" s="34" t="n">
        <v>10600</v>
      </c>
      <c r="I363" s="36" t="n">
        <f aca="false">$E363/F363-1</f>
        <v>0</v>
      </c>
      <c r="J363" s="36" t="n">
        <f aca="false">$E363/G363-1</f>
        <v>0</v>
      </c>
      <c r="K363" s="36" t="n">
        <f aca="false">$E363/H363-1</f>
        <v>0</v>
      </c>
      <c r="L363" s="37" t="n">
        <v>-3.12</v>
      </c>
      <c r="M363" s="37" t="n">
        <v>-6.24</v>
      </c>
      <c r="N363" s="34" t="n">
        <v>10600</v>
      </c>
      <c r="O363" s="34" t="n">
        <v>10600</v>
      </c>
      <c r="P363" s="38"/>
      <c r="Q363" s="38"/>
    </row>
    <row r="364" customFormat="false" ht="15" hidden="false" customHeight="false" outlineLevel="0" collapsed="false">
      <c r="A364" s="34" t="n">
        <v>356</v>
      </c>
      <c r="B364" s="35" t="s">
        <v>807</v>
      </c>
      <c r="C364" s="35" t="s">
        <v>808</v>
      </c>
      <c r="D364" s="35" t="s">
        <v>111</v>
      </c>
      <c r="E364" s="34" t="n">
        <v>31800</v>
      </c>
      <c r="F364" s="34" t="n">
        <v>32000</v>
      </c>
      <c r="G364" s="34" t="n">
        <v>32990</v>
      </c>
      <c r="H364" s="34" t="n">
        <v>34665.33</v>
      </c>
      <c r="I364" s="36" t="n">
        <f aca="false">$E364/F364-1</f>
        <v>-0.00624999999999998</v>
      </c>
      <c r="J364" s="36" t="n">
        <f aca="false">$E364/G364-1</f>
        <v>-0.0360715368293423</v>
      </c>
      <c r="K364" s="36" t="n">
        <f aca="false">$E364/H364-1</f>
        <v>-0.0826569370607463</v>
      </c>
      <c r="L364" s="37" t="n">
        <v>4.47</v>
      </c>
      <c r="M364" s="37" t="n">
        <v>1.12</v>
      </c>
      <c r="N364" s="34" t="n">
        <v>39529.43</v>
      </c>
      <c r="O364" s="34" t="n">
        <v>31466</v>
      </c>
      <c r="P364" s="38"/>
      <c r="Q364" s="38"/>
    </row>
    <row r="365" customFormat="false" ht="15" hidden="false" customHeight="false" outlineLevel="0" collapsed="false">
      <c r="A365" s="34" t="n">
        <v>357</v>
      </c>
      <c r="B365" s="35" t="s">
        <v>809</v>
      </c>
      <c r="C365" s="35" t="s">
        <v>810</v>
      </c>
      <c r="D365" s="35" t="s">
        <v>111</v>
      </c>
      <c r="E365" s="34" t="n">
        <v>4616</v>
      </c>
      <c r="F365" s="34" t="n">
        <v>4675</v>
      </c>
      <c r="G365" s="34" t="n">
        <v>4520</v>
      </c>
      <c r="H365" s="34" t="n">
        <v>5515</v>
      </c>
      <c r="I365" s="36" t="n">
        <f aca="false">$E365/F365-1</f>
        <v>-0.0126203208556149</v>
      </c>
      <c r="J365" s="36" t="n">
        <f aca="false">$E365/G365-1</f>
        <v>0.0212389380530973</v>
      </c>
      <c r="K365" s="36" t="n">
        <f aca="false">$E365/H365-1</f>
        <v>-0.163009972801451</v>
      </c>
      <c r="L365" s="37" t="n">
        <v>2.17</v>
      </c>
      <c r="M365" s="37" t="n">
        <v>1.11</v>
      </c>
      <c r="N365" s="34" t="n">
        <v>5802</v>
      </c>
      <c r="O365" s="34" t="n">
        <v>4236</v>
      </c>
      <c r="P365" s="38"/>
      <c r="Q365" s="38"/>
    </row>
    <row r="366" customFormat="false" ht="15" hidden="false" customHeight="false" outlineLevel="0" collapsed="false">
      <c r="A366" s="34" t="n">
        <v>358</v>
      </c>
      <c r="B366" s="35" t="s">
        <v>811</v>
      </c>
      <c r="C366" s="35" t="s">
        <v>812</v>
      </c>
      <c r="D366" s="35" t="s">
        <v>116</v>
      </c>
      <c r="E366" s="34" t="n">
        <v>16650</v>
      </c>
      <c r="F366" s="34" t="n">
        <v>16600</v>
      </c>
      <c r="G366" s="34" t="n">
        <v>20050</v>
      </c>
      <c r="H366" s="34" t="n">
        <v>24314.69</v>
      </c>
      <c r="I366" s="36" t="n">
        <f aca="false">$E366/F366-1</f>
        <v>0.00301204819277112</v>
      </c>
      <c r="J366" s="36" t="n">
        <f aca="false">$E366/G366-1</f>
        <v>-0.169576059850374</v>
      </c>
      <c r="K366" s="36" t="n">
        <f aca="false">$E366/H366-1</f>
        <v>-0.315228777335841</v>
      </c>
      <c r="L366" s="37" t="n">
        <v>8.89</v>
      </c>
      <c r="M366" s="37" t="n">
        <v>0.81</v>
      </c>
      <c r="N366" s="34" t="n">
        <v>30301.95</v>
      </c>
      <c r="O366" s="34" t="n">
        <v>16300</v>
      </c>
      <c r="P366" s="38"/>
      <c r="Q366" s="38"/>
    </row>
    <row r="367" customFormat="false" ht="15" hidden="false" customHeight="false" outlineLevel="0" collapsed="false">
      <c r="A367" s="34" t="n">
        <v>359</v>
      </c>
      <c r="B367" s="35" t="s">
        <v>813</v>
      </c>
      <c r="C367" s="35" t="s">
        <v>814</v>
      </c>
      <c r="D367" s="35" t="s">
        <v>116</v>
      </c>
      <c r="E367" s="34" t="n">
        <v>8110</v>
      </c>
      <c r="F367" s="34" t="n">
        <v>7960</v>
      </c>
      <c r="G367" s="34" t="n">
        <v>7980</v>
      </c>
      <c r="H367" s="34" t="n">
        <v>7091.57</v>
      </c>
      <c r="I367" s="36" t="n">
        <f aca="false">$E367/F367-1</f>
        <v>0.0188442211055277</v>
      </c>
      <c r="J367" s="36" t="n">
        <f aca="false">$E367/G367-1</f>
        <v>0.0162907268170427</v>
      </c>
      <c r="K367" s="36" t="n">
        <f aca="false">$E367/H367-1</f>
        <v>0.143611358274684</v>
      </c>
      <c r="L367" s="37" t="n">
        <v>6.42</v>
      </c>
      <c r="M367" s="37" t="n">
        <v>0.62</v>
      </c>
      <c r="N367" s="34" t="n">
        <v>8560.02</v>
      </c>
      <c r="O367" s="34" t="n">
        <v>6984.12</v>
      </c>
      <c r="P367" s="38"/>
      <c r="Q367" s="38"/>
    </row>
    <row r="368" customFormat="false" ht="15" hidden="false" customHeight="false" outlineLevel="0" collapsed="false">
      <c r="A368" s="34" t="n">
        <v>360</v>
      </c>
      <c r="B368" s="35" t="s">
        <v>815</v>
      </c>
      <c r="C368" s="35" t="s">
        <v>816</v>
      </c>
      <c r="D368" s="35" t="s">
        <v>111</v>
      </c>
      <c r="E368" s="34" t="n">
        <v>17900</v>
      </c>
      <c r="F368" s="34" t="n">
        <v>17900</v>
      </c>
      <c r="G368" s="34" t="n">
        <v>17900</v>
      </c>
      <c r="H368" s="34" t="n">
        <v>16000</v>
      </c>
      <c r="I368" s="36" t="n">
        <f aca="false">$E368/F368-1</f>
        <v>0</v>
      </c>
      <c r="J368" s="36" t="n">
        <f aca="false">$E368/G368-1</f>
        <v>0</v>
      </c>
      <c r="K368" s="36" t="n">
        <f aca="false">$E368/H368-1</f>
        <v>0.11875</v>
      </c>
      <c r="L368" s="37" t="n">
        <v>71.89</v>
      </c>
      <c r="M368" s="37" t="n">
        <v>1.7</v>
      </c>
      <c r="N368" s="34" t="n">
        <v>17900</v>
      </c>
      <c r="O368" s="34" t="n">
        <v>8306.95</v>
      </c>
      <c r="P368" s="38"/>
      <c r="Q368" s="38"/>
    </row>
    <row r="369" customFormat="false" ht="15" hidden="false" customHeight="false" outlineLevel="0" collapsed="false">
      <c r="A369" s="34" t="n">
        <v>361</v>
      </c>
      <c r="B369" s="35" t="s">
        <v>817</v>
      </c>
      <c r="C369" s="35" t="s">
        <v>818</v>
      </c>
      <c r="D369" s="35" t="s">
        <v>111</v>
      </c>
      <c r="E369" s="34" t="n">
        <v>3310</v>
      </c>
      <c r="F369" s="34" t="n">
        <v>3560</v>
      </c>
      <c r="G369" s="34" t="n">
        <v>4000</v>
      </c>
      <c r="H369" s="34" t="n">
        <v>3916</v>
      </c>
      <c r="I369" s="36" t="n">
        <f aca="false">$E369/F369-1</f>
        <v>-0.0702247191011236</v>
      </c>
      <c r="J369" s="36" t="n">
        <f aca="false">$E369/G369-1</f>
        <v>-0.1725</v>
      </c>
      <c r="K369" s="36" t="n">
        <f aca="false">$E369/H369-1</f>
        <v>-0.154749744637385</v>
      </c>
      <c r="L369" s="37" t="n">
        <v>16.59</v>
      </c>
      <c r="M369" s="37" t="n">
        <v>0.27</v>
      </c>
      <c r="N369" s="34" t="n">
        <v>4851</v>
      </c>
      <c r="O369" s="34" t="n">
        <v>3221</v>
      </c>
      <c r="P369" s="38"/>
      <c r="Q369" s="38"/>
    </row>
    <row r="370" customFormat="false" ht="15" hidden="false" customHeight="false" outlineLevel="0" collapsed="false">
      <c r="A370" s="34" t="n">
        <v>362</v>
      </c>
      <c r="B370" s="35" t="s">
        <v>29</v>
      </c>
      <c r="C370" s="35" t="s">
        <v>819</v>
      </c>
      <c r="D370" s="35" t="s">
        <v>116</v>
      </c>
      <c r="E370" s="34" t="n">
        <v>10700</v>
      </c>
      <c r="F370" s="34" t="n">
        <v>10050</v>
      </c>
      <c r="G370" s="34" t="n">
        <v>11900</v>
      </c>
      <c r="H370" s="34" t="n">
        <v>16750</v>
      </c>
      <c r="I370" s="36" t="n">
        <f aca="false">$E370/F370-1</f>
        <v>0.0646766169154229</v>
      </c>
      <c r="J370" s="36" t="n">
        <f aca="false">$E370/G370-1</f>
        <v>-0.100840336134454</v>
      </c>
      <c r="K370" s="36" t="n">
        <f aca="false">$E370/H370-1</f>
        <v>-0.361194029850746</v>
      </c>
      <c r="L370" s="37" t="n">
        <v>10.18</v>
      </c>
      <c r="M370" s="37" t="n">
        <v>0.84</v>
      </c>
      <c r="N370" s="34" t="n">
        <v>24600</v>
      </c>
      <c r="O370" s="34" t="n">
        <v>9690</v>
      </c>
      <c r="P370" s="38" t="n">
        <v>52.475</v>
      </c>
      <c r="Q370" s="38" t="n">
        <v>1.91</v>
      </c>
    </row>
    <row r="371" customFormat="false" ht="15" hidden="false" customHeight="false" outlineLevel="0" collapsed="false">
      <c r="A371" s="34" t="n">
        <v>363</v>
      </c>
      <c r="B371" s="35" t="s">
        <v>820</v>
      </c>
      <c r="C371" s="35" t="s">
        <v>821</v>
      </c>
      <c r="D371" s="35" t="s">
        <v>133</v>
      </c>
      <c r="E371" s="34" t="n">
        <v>6300</v>
      </c>
      <c r="F371" s="34" t="n">
        <v>6200</v>
      </c>
      <c r="G371" s="34" t="n">
        <v>6300</v>
      </c>
      <c r="H371" s="34" t="n">
        <v>6130.15</v>
      </c>
      <c r="I371" s="36" t="n">
        <f aca="false">$E371/F371-1</f>
        <v>0.0161290322580645</v>
      </c>
      <c r="J371" s="36" t="n">
        <f aca="false">$E371/G371-1</f>
        <v>0</v>
      </c>
      <c r="K371" s="36" t="n">
        <f aca="false">$E371/H371-1</f>
        <v>0.0277073154816767</v>
      </c>
      <c r="L371" s="37" t="n">
        <v>17.13</v>
      </c>
      <c r="M371" s="37" t="n">
        <v>0.6</v>
      </c>
      <c r="N371" s="34" t="n">
        <v>7300</v>
      </c>
      <c r="O371" s="34" t="n">
        <v>5281.36</v>
      </c>
      <c r="P371" s="38"/>
      <c r="Q371" s="38"/>
    </row>
    <row r="372" customFormat="false" ht="15" hidden="false" customHeight="false" outlineLevel="0" collapsed="false">
      <c r="A372" s="34" t="n">
        <v>364</v>
      </c>
      <c r="B372" s="35" t="s">
        <v>822</v>
      </c>
      <c r="C372" s="35" t="s">
        <v>823</v>
      </c>
      <c r="D372" s="35" t="s">
        <v>116</v>
      </c>
      <c r="E372" s="34" t="n">
        <v>6670</v>
      </c>
      <c r="F372" s="34" t="n">
        <v>6560</v>
      </c>
      <c r="G372" s="34" t="n">
        <v>7000</v>
      </c>
      <c r="H372" s="34" t="n">
        <v>9454.64</v>
      </c>
      <c r="I372" s="36" t="n">
        <f aca="false">$E372/F372-1</f>
        <v>0.0167682926829269</v>
      </c>
      <c r="J372" s="36" t="n">
        <f aca="false">$E372/G372-1</f>
        <v>-0.0471428571428572</v>
      </c>
      <c r="K372" s="36" t="n">
        <f aca="false">$E372/H372-1</f>
        <v>-0.294526285506376</v>
      </c>
      <c r="L372" s="37" t="n">
        <v>3.46</v>
      </c>
      <c r="M372" s="37" t="n">
        <v>0.53</v>
      </c>
      <c r="N372" s="34" t="n">
        <v>12591.04</v>
      </c>
      <c r="O372" s="34" t="n">
        <v>6160</v>
      </c>
      <c r="P372" s="38"/>
      <c r="Q372" s="38"/>
    </row>
    <row r="373" customFormat="false" ht="15" hidden="false" customHeight="false" outlineLevel="0" collapsed="false">
      <c r="A373" s="34" t="n">
        <v>365</v>
      </c>
      <c r="B373" s="35" t="s">
        <v>824</v>
      </c>
      <c r="C373" s="35" t="s">
        <v>825</v>
      </c>
      <c r="D373" s="35" t="s">
        <v>116</v>
      </c>
      <c r="E373" s="34" t="n">
        <v>5890</v>
      </c>
      <c r="F373" s="34" t="n">
        <v>5750</v>
      </c>
      <c r="G373" s="34" t="n">
        <v>6950</v>
      </c>
      <c r="H373" s="34" t="n">
        <v>9070</v>
      </c>
      <c r="I373" s="36" t="n">
        <f aca="false">$E373/F373-1</f>
        <v>0.0243478260869565</v>
      </c>
      <c r="J373" s="36" t="n">
        <f aca="false">$E373/G373-1</f>
        <v>-0.152517985611511</v>
      </c>
      <c r="K373" s="36" t="n">
        <f aca="false">$E373/H373-1</f>
        <v>-0.350606394707828</v>
      </c>
      <c r="L373" s="37" t="n">
        <v>14.66</v>
      </c>
      <c r="M373" s="37" t="n">
        <v>0.53</v>
      </c>
      <c r="N373" s="34" t="n">
        <v>13850</v>
      </c>
      <c r="O373" s="34" t="n">
        <v>5610</v>
      </c>
      <c r="P373" s="38" t="n">
        <v>10.69</v>
      </c>
      <c r="Q373" s="38" t="n">
        <v>0.71</v>
      </c>
    </row>
    <row r="374" customFormat="false" ht="15" hidden="false" customHeight="false" outlineLevel="0" collapsed="false">
      <c r="A374" s="34" t="n">
        <v>366</v>
      </c>
      <c r="B374" s="35" t="s">
        <v>826</v>
      </c>
      <c r="C374" s="35" t="s">
        <v>827</v>
      </c>
      <c r="D374" s="35" t="s">
        <v>111</v>
      </c>
      <c r="E374" s="34" t="n">
        <v>95446</v>
      </c>
      <c r="F374" s="34" t="n">
        <v>91544</v>
      </c>
      <c r="G374" s="34" t="n">
        <v>104358</v>
      </c>
      <c r="H374" s="34" t="n">
        <v>86685.76</v>
      </c>
      <c r="I374" s="36" t="n">
        <f aca="false">$E374/F374-1</f>
        <v>0.0426243118063445</v>
      </c>
      <c r="J374" s="36" t="n">
        <f aca="false">$E374/G374-1</f>
        <v>-0.0853983403284846</v>
      </c>
      <c r="K374" s="36" t="n">
        <f aca="false">$E374/H374-1</f>
        <v>0.101057428578812</v>
      </c>
      <c r="L374" s="37" t="n">
        <v>6.96</v>
      </c>
      <c r="M374" s="37" t="n">
        <v>3.04</v>
      </c>
      <c r="N374" s="34" t="n">
        <v>114957.59</v>
      </c>
      <c r="O374" s="34" t="n">
        <v>68952.08</v>
      </c>
      <c r="P374" s="38"/>
      <c r="Q374" s="38"/>
    </row>
    <row r="375" customFormat="false" ht="15" hidden="false" customHeight="false" outlineLevel="0" collapsed="false">
      <c r="A375" s="34" t="n">
        <v>367</v>
      </c>
      <c r="B375" s="35" t="s">
        <v>828</v>
      </c>
      <c r="C375" s="35" t="s">
        <v>829</v>
      </c>
      <c r="D375" s="35" t="s">
        <v>111</v>
      </c>
      <c r="E375" s="34" t="n">
        <v>13100</v>
      </c>
      <c r="F375" s="34" t="n">
        <v>12120</v>
      </c>
      <c r="G375" s="34" t="n">
        <v>12600</v>
      </c>
      <c r="H375" s="34" t="n">
        <v>12400</v>
      </c>
      <c r="I375" s="36" t="n">
        <f aca="false">$E375/F375-1</f>
        <v>0.0808580858085808</v>
      </c>
      <c r="J375" s="36" t="n">
        <f aca="false">$E375/G375-1</f>
        <v>0.0396825396825398</v>
      </c>
      <c r="K375" s="36" t="n">
        <f aca="false">$E375/H375-1</f>
        <v>0.0564516129032258</v>
      </c>
      <c r="L375" s="37" t="n">
        <v>8.23</v>
      </c>
      <c r="M375" s="37" t="n">
        <v>1.04</v>
      </c>
      <c r="N375" s="34" t="n">
        <v>15400</v>
      </c>
      <c r="O375" s="34" t="n">
        <v>11314</v>
      </c>
      <c r="P375" s="38"/>
      <c r="Q375" s="38"/>
    </row>
    <row r="376" customFormat="false" ht="15" hidden="false" customHeight="false" outlineLevel="0" collapsed="false">
      <c r="A376" s="34" t="n">
        <v>368</v>
      </c>
      <c r="B376" s="35" t="s">
        <v>830</v>
      </c>
      <c r="C376" s="35" t="s">
        <v>831</v>
      </c>
      <c r="D376" s="35" t="s">
        <v>111</v>
      </c>
      <c r="E376" s="34" t="n">
        <v>12000</v>
      </c>
      <c r="F376" s="34" t="n">
        <v>12000</v>
      </c>
      <c r="G376" s="34" t="n">
        <v>12800</v>
      </c>
      <c r="H376" s="34" t="n">
        <v>13500</v>
      </c>
      <c r="I376" s="36" t="n">
        <f aca="false">$E376/F376-1</f>
        <v>0</v>
      </c>
      <c r="J376" s="36" t="n">
        <f aca="false">$E376/G376-1</f>
        <v>-0.0625</v>
      </c>
      <c r="K376" s="36" t="n">
        <f aca="false">$E376/H376-1</f>
        <v>-0.111111111111111</v>
      </c>
      <c r="L376" s="37" t="n">
        <v>-25.82</v>
      </c>
      <c r="M376" s="37" t="n">
        <v>1.67</v>
      </c>
      <c r="N376" s="34" t="n">
        <v>21642</v>
      </c>
      <c r="O376" s="34" t="n">
        <v>11700</v>
      </c>
      <c r="P376" s="38"/>
      <c r="Q376" s="38"/>
    </row>
    <row r="377" customFormat="false" ht="15" hidden="false" customHeight="false" outlineLevel="0" collapsed="false">
      <c r="A377" s="34" t="n">
        <v>369</v>
      </c>
      <c r="B377" s="35" t="s">
        <v>832</v>
      </c>
      <c r="C377" s="35" t="s">
        <v>833</v>
      </c>
      <c r="D377" s="35" t="s">
        <v>111</v>
      </c>
      <c r="E377" s="34" t="n">
        <v>22200</v>
      </c>
      <c r="F377" s="34" t="n">
        <v>22029</v>
      </c>
      <c r="G377" s="34" t="n">
        <v>22767.36</v>
      </c>
      <c r="H377" s="34" t="n">
        <v>19098.24</v>
      </c>
      <c r="I377" s="36" t="n">
        <f aca="false">$E377/F377-1</f>
        <v>0.00776249489309544</v>
      </c>
      <c r="J377" s="36" t="n">
        <f aca="false">$E377/G377-1</f>
        <v>-0.0249198853094957</v>
      </c>
      <c r="K377" s="36" t="n">
        <f aca="false">$E377/H377-1</f>
        <v>0.162410777118729</v>
      </c>
      <c r="L377" s="37" t="n">
        <v>5.87</v>
      </c>
      <c r="M377" s="37" t="n">
        <v>1.48</v>
      </c>
      <c r="N377" s="34" t="n">
        <v>37257.56</v>
      </c>
      <c r="O377" s="34" t="n">
        <v>18392.64</v>
      </c>
      <c r="P377" s="38"/>
      <c r="Q377" s="38"/>
    </row>
    <row r="378" customFormat="false" ht="15" hidden="false" customHeight="false" outlineLevel="0" collapsed="false">
      <c r="A378" s="34" t="n">
        <v>370</v>
      </c>
      <c r="B378" s="35" t="s">
        <v>834</v>
      </c>
      <c r="C378" s="35" t="s">
        <v>835</v>
      </c>
      <c r="D378" s="35" t="s">
        <v>111</v>
      </c>
      <c r="E378" s="34" t="n">
        <v>8600</v>
      </c>
      <c r="F378" s="34" t="n">
        <v>8600</v>
      </c>
      <c r="G378" s="34" t="n">
        <v>6200</v>
      </c>
      <c r="H378" s="34" t="n">
        <v>6200</v>
      </c>
      <c r="I378" s="36" t="n">
        <f aca="false">$E378/F378-1</f>
        <v>0</v>
      </c>
      <c r="J378" s="36" t="n">
        <f aca="false">$E378/G378-1</f>
        <v>0.387096774193549</v>
      </c>
      <c r="K378" s="36" t="n">
        <f aca="false">$E378/H378-1</f>
        <v>0.387096774193549</v>
      </c>
      <c r="L378" s="37" t="n">
        <v>-7.03</v>
      </c>
      <c r="M378" s="37" t="n">
        <v>1.21</v>
      </c>
      <c r="N378" s="34" t="n">
        <v>8600</v>
      </c>
      <c r="O378" s="34" t="n">
        <v>6200</v>
      </c>
      <c r="P378" s="38"/>
      <c r="Q378" s="38"/>
    </row>
    <row r="379" customFormat="false" ht="15" hidden="false" customHeight="false" outlineLevel="0" collapsed="false">
      <c r="A379" s="34" t="n">
        <v>371</v>
      </c>
      <c r="B379" s="35" t="s">
        <v>836</v>
      </c>
      <c r="C379" s="35" t="s">
        <v>837</v>
      </c>
      <c r="D379" s="35" t="s">
        <v>111</v>
      </c>
      <c r="E379" s="34" t="n">
        <v>13600</v>
      </c>
      <c r="F379" s="34" t="n">
        <v>13600</v>
      </c>
      <c r="G379" s="34" t="n">
        <v>22900</v>
      </c>
      <c r="H379" s="34" t="n">
        <v>29527.35</v>
      </c>
      <c r="I379" s="36" t="n">
        <f aca="false">$E379/F379-1</f>
        <v>0</v>
      </c>
      <c r="J379" s="36" t="n">
        <f aca="false">$E379/G379-1</f>
        <v>-0.406113537117904</v>
      </c>
      <c r="K379" s="36" t="n">
        <f aca="false">$E379/H379-1</f>
        <v>-0.539410072356646</v>
      </c>
      <c r="L379" s="37" t="n">
        <v>14.02</v>
      </c>
      <c r="M379" s="37" t="n">
        <v>1.08</v>
      </c>
      <c r="N379" s="34" t="n">
        <v>29527.35</v>
      </c>
      <c r="O379" s="34" t="n">
        <v>11060.58</v>
      </c>
      <c r="P379" s="38"/>
      <c r="Q379" s="38"/>
    </row>
    <row r="380" customFormat="false" ht="15" hidden="false" customHeight="false" outlineLevel="0" collapsed="false">
      <c r="A380" s="34" t="n">
        <v>372</v>
      </c>
      <c r="B380" s="35" t="s">
        <v>838</v>
      </c>
      <c r="C380" s="35" t="s">
        <v>839</v>
      </c>
      <c r="D380" s="35" t="s">
        <v>116</v>
      </c>
      <c r="E380" s="34" t="n">
        <v>64300</v>
      </c>
      <c r="F380" s="34" t="n">
        <v>64000</v>
      </c>
      <c r="G380" s="34" t="n">
        <v>62000</v>
      </c>
      <c r="H380" s="34" t="n">
        <v>63272.22</v>
      </c>
      <c r="I380" s="36" t="n">
        <f aca="false">$E380/F380-1</f>
        <v>0.00468749999999996</v>
      </c>
      <c r="J380" s="36" t="n">
        <f aca="false">$E380/G380-1</f>
        <v>0.0370967741935484</v>
      </c>
      <c r="K380" s="36" t="n">
        <f aca="false">$E380/H380-1</f>
        <v>0.0162437796555897</v>
      </c>
      <c r="L380" s="37" t="n">
        <v>11.17</v>
      </c>
      <c r="M380" s="37" t="n">
        <v>4.82</v>
      </c>
      <c r="N380" s="34" t="n">
        <v>64300</v>
      </c>
      <c r="O380" s="34" t="n">
        <v>53186.26</v>
      </c>
      <c r="P380" s="38"/>
      <c r="Q380" s="38"/>
    </row>
    <row r="381" customFormat="false" ht="15" hidden="false" customHeight="false" outlineLevel="0" collapsed="false">
      <c r="A381" s="34" t="n">
        <v>373</v>
      </c>
      <c r="B381" s="35" t="s">
        <v>840</v>
      </c>
      <c r="C381" s="35" t="s">
        <v>841</v>
      </c>
      <c r="D381" s="35" t="s">
        <v>111</v>
      </c>
      <c r="E381" s="34" t="n">
        <v>8100</v>
      </c>
      <c r="F381" s="34" t="n">
        <v>8100</v>
      </c>
      <c r="G381" s="34" t="n">
        <v>7100</v>
      </c>
      <c r="H381" s="34" t="n">
        <v>9500</v>
      </c>
      <c r="I381" s="36" t="n">
        <f aca="false">$E381/F381-1</f>
        <v>0</v>
      </c>
      <c r="J381" s="36" t="n">
        <f aca="false">$E381/G381-1</f>
        <v>0.140845070422535</v>
      </c>
      <c r="K381" s="36" t="n">
        <f aca="false">$E381/H381-1</f>
        <v>-0.147368421052632</v>
      </c>
      <c r="L381" s="37" t="n">
        <v>-15.45</v>
      </c>
      <c r="M381" s="37" t="n">
        <v>1.41</v>
      </c>
      <c r="N381" s="34" t="n">
        <v>10500</v>
      </c>
      <c r="O381" s="34" t="n">
        <v>6175</v>
      </c>
      <c r="P381" s="38"/>
      <c r="Q381" s="38"/>
    </row>
    <row r="382" customFormat="false" ht="15" hidden="false" customHeight="false" outlineLevel="0" collapsed="false">
      <c r="A382" s="34" t="n">
        <v>374</v>
      </c>
      <c r="B382" s="35" t="s">
        <v>842</v>
      </c>
      <c r="C382" s="35" t="s">
        <v>843</v>
      </c>
      <c r="D382" s="35" t="s">
        <v>111</v>
      </c>
      <c r="E382" s="34" t="n">
        <v>33000</v>
      </c>
      <c r="F382" s="34" t="n">
        <v>33000</v>
      </c>
      <c r="G382" s="34" t="n">
        <v>32500</v>
      </c>
      <c r="H382" s="34" t="n">
        <v>31482</v>
      </c>
      <c r="I382" s="36" t="n">
        <f aca="false">$E382/F382-1</f>
        <v>0</v>
      </c>
      <c r="J382" s="36" t="n">
        <f aca="false">$E382/G382-1</f>
        <v>0.0153846153846153</v>
      </c>
      <c r="K382" s="36" t="n">
        <f aca="false">$E382/H382-1</f>
        <v>0.0482180293501049</v>
      </c>
      <c r="L382" s="37" t="n">
        <v>4.48</v>
      </c>
      <c r="M382" s="37" t="n">
        <v>1.91</v>
      </c>
      <c r="N382" s="34" t="n">
        <v>36800</v>
      </c>
      <c r="O382" s="34" t="n">
        <v>28131.24</v>
      </c>
      <c r="P382" s="38"/>
      <c r="Q382" s="38"/>
    </row>
    <row r="383" customFormat="false" ht="15" hidden="false" customHeight="false" outlineLevel="0" collapsed="false">
      <c r="A383" s="34" t="n">
        <v>375</v>
      </c>
      <c r="B383" s="35" t="s">
        <v>844</v>
      </c>
      <c r="C383" s="35" t="s">
        <v>845</v>
      </c>
      <c r="D383" s="35" t="s">
        <v>116</v>
      </c>
      <c r="E383" s="34" t="n">
        <v>38900</v>
      </c>
      <c r="F383" s="34" t="n">
        <v>38000</v>
      </c>
      <c r="G383" s="34" t="n">
        <v>36692.04</v>
      </c>
      <c r="H383" s="34" t="n">
        <v>23714.29</v>
      </c>
      <c r="I383" s="36" t="n">
        <f aca="false">$E383/F383-1</f>
        <v>0.0236842105263158</v>
      </c>
      <c r="J383" s="36" t="n">
        <f aca="false">$E383/G383-1</f>
        <v>0.0601754494980382</v>
      </c>
      <c r="K383" s="36" t="n">
        <f aca="false">$E383/H383-1</f>
        <v>0.640361149332322</v>
      </c>
      <c r="L383" s="37" t="n">
        <v>19.56</v>
      </c>
      <c r="M383" s="37" t="n">
        <v>2.42</v>
      </c>
      <c r="N383" s="34" t="n">
        <v>40000</v>
      </c>
      <c r="O383" s="34" t="n">
        <v>19977.08</v>
      </c>
      <c r="P383" s="38"/>
      <c r="Q383" s="38"/>
    </row>
    <row r="384" customFormat="false" ht="15" hidden="false" customHeight="false" outlineLevel="0" collapsed="false">
      <c r="A384" s="34" t="n">
        <v>376</v>
      </c>
      <c r="B384" s="35" t="s">
        <v>846</v>
      </c>
      <c r="C384" s="35" t="s">
        <v>847</v>
      </c>
      <c r="D384" s="35" t="s">
        <v>111</v>
      </c>
      <c r="E384" s="34" t="n">
        <v>134200</v>
      </c>
      <c r="F384" s="34" t="n">
        <v>134200</v>
      </c>
      <c r="G384" s="34" t="n">
        <v>134200</v>
      </c>
      <c r="H384" s="34" t="n">
        <v>72500</v>
      </c>
      <c r="I384" s="36" t="n">
        <f aca="false">$E384/F384-1</f>
        <v>0</v>
      </c>
      <c r="J384" s="36" t="n">
        <f aca="false">$E384/G384-1</f>
        <v>0</v>
      </c>
      <c r="K384" s="36" t="n">
        <f aca="false">$E384/H384-1</f>
        <v>0.851034482758621</v>
      </c>
      <c r="L384" s="37" t="n">
        <v>12.44</v>
      </c>
      <c r="M384" s="37" t="n">
        <v>1.68</v>
      </c>
      <c r="N384" s="34" t="n">
        <v>134200</v>
      </c>
      <c r="O384" s="34" t="n">
        <v>72500</v>
      </c>
      <c r="P384" s="38"/>
      <c r="Q384" s="38"/>
    </row>
    <row r="385" customFormat="false" ht="15" hidden="false" customHeight="false" outlineLevel="0" collapsed="false">
      <c r="A385" s="34" t="n">
        <v>377</v>
      </c>
      <c r="B385" s="35" t="s">
        <v>848</v>
      </c>
      <c r="C385" s="35" t="s">
        <v>849</v>
      </c>
      <c r="D385" s="35" t="s">
        <v>133</v>
      </c>
      <c r="E385" s="34" t="n">
        <v>9900</v>
      </c>
      <c r="F385" s="34" t="n">
        <v>9100</v>
      </c>
      <c r="G385" s="34" t="n">
        <v>9000</v>
      </c>
      <c r="H385" s="34" t="n">
        <v>9315.6</v>
      </c>
      <c r="I385" s="36" t="n">
        <f aca="false">$E385/F385-1</f>
        <v>0.0879120879120878</v>
      </c>
      <c r="J385" s="36" t="n">
        <f aca="false">$E385/G385-1</f>
        <v>0.1</v>
      </c>
      <c r="K385" s="36" t="n">
        <f aca="false">$E385/H385-1</f>
        <v>0.0627334793250032</v>
      </c>
      <c r="L385" s="37" t="n">
        <v>19.75</v>
      </c>
      <c r="M385" s="37" t="n">
        <v>0.47</v>
      </c>
      <c r="N385" s="34" t="n">
        <v>19895.46</v>
      </c>
      <c r="O385" s="34" t="n">
        <v>7600</v>
      </c>
      <c r="P385" s="38"/>
      <c r="Q385" s="38"/>
    </row>
    <row r="386" customFormat="false" ht="15" hidden="false" customHeight="false" outlineLevel="0" collapsed="false">
      <c r="A386" s="34" t="n">
        <v>378</v>
      </c>
      <c r="B386" s="35" t="s">
        <v>850</v>
      </c>
      <c r="C386" s="35" t="s">
        <v>851</v>
      </c>
      <c r="D386" s="35" t="s">
        <v>133</v>
      </c>
      <c r="E386" s="34" t="n">
        <v>22900</v>
      </c>
      <c r="F386" s="34" t="n">
        <v>21900</v>
      </c>
      <c r="G386" s="34" t="n">
        <v>19900</v>
      </c>
      <c r="H386" s="34" t="n">
        <v>24691.52</v>
      </c>
      <c r="I386" s="36" t="n">
        <f aca="false">$E386/F386-1</f>
        <v>0.0456621004566211</v>
      </c>
      <c r="J386" s="36" t="n">
        <f aca="false">$E386/G386-1</f>
        <v>0.150753768844221</v>
      </c>
      <c r="K386" s="36" t="n">
        <f aca="false">$E386/H386-1</f>
        <v>-0.0725560840320888</v>
      </c>
      <c r="L386" s="37" t="n">
        <v>3.25</v>
      </c>
      <c r="M386" s="37" t="n">
        <v>1.22</v>
      </c>
      <c r="N386" s="34" t="n">
        <v>25959.92</v>
      </c>
      <c r="O386" s="34" t="n">
        <v>15136.24</v>
      </c>
      <c r="P386" s="38"/>
      <c r="Q386" s="38"/>
    </row>
    <row r="387" customFormat="false" ht="15" hidden="false" customHeight="false" outlineLevel="0" collapsed="false">
      <c r="A387" s="34" t="n">
        <v>379</v>
      </c>
      <c r="B387" s="35" t="s">
        <v>852</v>
      </c>
      <c r="C387" s="35" t="s">
        <v>853</v>
      </c>
      <c r="D387" s="35" t="s">
        <v>116</v>
      </c>
      <c r="E387" s="34" t="n">
        <v>7300</v>
      </c>
      <c r="F387" s="34" t="n">
        <v>7020</v>
      </c>
      <c r="G387" s="34" t="n">
        <v>6390</v>
      </c>
      <c r="H387" s="34" t="n">
        <v>7970</v>
      </c>
      <c r="I387" s="36" t="n">
        <f aca="false">$E387/F387-1</f>
        <v>0.0398860398860399</v>
      </c>
      <c r="J387" s="36" t="n">
        <f aca="false">$E387/G387-1</f>
        <v>0.142410015649452</v>
      </c>
      <c r="K387" s="36" t="n">
        <f aca="false">$E387/H387-1</f>
        <v>-0.0840652446675031</v>
      </c>
      <c r="L387" s="37" t="n">
        <v>11.57</v>
      </c>
      <c r="M387" s="37" t="n">
        <v>0.65</v>
      </c>
      <c r="N387" s="34" t="n">
        <v>7970</v>
      </c>
      <c r="O387" s="34" t="n">
        <v>5590</v>
      </c>
      <c r="P387" s="38"/>
      <c r="Q387" s="38"/>
    </row>
    <row r="388" customFormat="false" ht="15" hidden="false" customHeight="false" outlineLevel="0" collapsed="false">
      <c r="A388" s="34" t="n">
        <v>380</v>
      </c>
      <c r="B388" s="35" t="s">
        <v>854</v>
      </c>
      <c r="C388" s="35" t="s">
        <v>855</v>
      </c>
      <c r="D388" s="35" t="s">
        <v>111</v>
      </c>
      <c r="E388" s="34" t="n">
        <v>21500</v>
      </c>
      <c r="F388" s="34" t="n">
        <v>21500</v>
      </c>
      <c r="G388" s="34" t="n">
        <v>21500</v>
      </c>
      <c r="H388" s="34" t="n">
        <v>21500</v>
      </c>
      <c r="I388" s="36" t="n">
        <f aca="false">$E388/F388-1</f>
        <v>0</v>
      </c>
      <c r="J388" s="36" t="n">
        <f aca="false">$E388/G388-1</f>
        <v>0</v>
      </c>
      <c r="K388" s="36" t="n">
        <f aca="false">$E388/H388-1</f>
        <v>0</v>
      </c>
      <c r="L388" s="37" t="n">
        <v>64.14</v>
      </c>
      <c r="M388" s="37" t="n">
        <v>2.48</v>
      </c>
      <c r="N388" s="34" t="n">
        <v>21500</v>
      </c>
      <c r="O388" s="34" t="n">
        <v>21500</v>
      </c>
      <c r="P388" s="38"/>
      <c r="Q388" s="38"/>
    </row>
    <row r="389" customFormat="false" ht="15" hidden="false" customHeight="false" outlineLevel="0" collapsed="false">
      <c r="A389" s="34" t="n">
        <v>381</v>
      </c>
      <c r="B389" s="35" t="s">
        <v>856</v>
      </c>
      <c r="C389" s="35" t="s">
        <v>857</v>
      </c>
      <c r="D389" s="35" t="s">
        <v>133</v>
      </c>
      <c r="E389" s="34" t="n">
        <v>20900</v>
      </c>
      <c r="F389" s="34" t="n">
        <v>21000</v>
      </c>
      <c r="G389" s="34" t="n">
        <v>20500</v>
      </c>
      <c r="H389" s="34" t="n">
        <v>21600</v>
      </c>
      <c r="I389" s="36" t="n">
        <f aca="false">$E389/F389-1</f>
        <v>-0.00476190476190475</v>
      </c>
      <c r="J389" s="36" t="n">
        <f aca="false">$E389/G389-1</f>
        <v>0.0195121951219512</v>
      </c>
      <c r="K389" s="36" t="n">
        <f aca="false">$E389/H389-1</f>
        <v>-0.0324074074074074</v>
      </c>
      <c r="L389" s="37" t="n">
        <v>13.34</v>
      </c>
      <c r="M389" s="37" t="n">
        <v>1.23</v>
      </c>
      <c r="N389" s="34" t="n">
        <v>21900</v>
      </c>
      <c r="O389" s="34" t="n">
        <v>18100</v>
      </c>
      <c r="P389" s="38"/>
      <c r="Q389" s="38"/>
    </row>
    <row r="390" customFormat="false" ht="15" hidden="false" customHeight="false" outlineLevel="0" collapsed="false">
      <c r="A390" s="34" t="n">
        <v>382</v>
      </c>
      <c r="B390" s="35" t="s">
        <v>858</v>
      </c>
      <c r="C390" s="35" t="s">
        <v>859</v>
      </c>
      <c r="D390" s="35" t="s">
        <v>111</v>
      </c>
      <c r="E390" s="34" t="n">
        <v>8800</v>
      </c>
      <c r="F390" s="34" t="n">
        <v>8818</v>
      </c>
      <c r="G390" s="34" t="n">
        <v>8368</v>
      </c>
      <c r="H390" s="34" t="n">
        <v>5000.1</v>
      </c>
      <c r="I390" s="36" t="n">
        <f aca="false">$E390/F390-1</f>
        <v>-0.002041279201633</v>
      </c>
      <c r="J390" s="36" t="n">
        <f aca="false">$E390/G390-1</f>
        <v>0.0516252390057361</v>
      </c>
      <c r="K390" s="36" t="n">
        <f aca="false">$E390/H390-1</f>
        <v>0.759964800703986</v>
      </c>
      <c r="L390" s="37" t="n">
        <v>7.91</v>
      </c>
      <c r="M390" s="37" t="n">
        <v>0.81</v>
      </c>
      <c r="N390" s="34" t="n">
        <v>10500</v>
      </c>
      <c r="O390" s="34" t="n">
        <v>4428.66</v>
      </c>
      <c r="P390" s="38"/>
      <c r="Q390" s="38"/>
    </row>
    <row r="391" customFormat="false" ht="15" hidden="false" customHeight="false" outlineLevel="0" collapsed="false">
      <c r="A391" s="34" t="n">
        <v>383</v>
      </c>
      <c r="B391" s="35" t="s">
        <v>860</v>
      </c>
      <c r="C391" s="35" t="s">
        <v>861</v>
      </c>
      <c r="D391" s="35" t="s">
        <v>111</v>
      </c>
      <c r="E391" s="34"/>
      <c r="F391" s="34"/>
      <c r="G391" s="34"/>
      <c r="H391" s="34"/>
      <c r="I391" s="36" t="e">
        <f aca="false">$E391/F391-1</f>
        <v>#DIV/0!</v>
      </c>
      <c r="J391" s="36" t="e">
        <f aca="false">$E391/G391-1</f>
        <v>#DIV/0!</v>
      </c>
      <c r="K391" s="36" t="e">
        <f aca="false">$E391/H391-1</f>
        <v>#DIV/0!</v>
      </c>
      <c r="L391" s="37"/>
      <c r="M391" s="37"/>
      <c r="N391" s="34"/>
      <c r="O391" s="34"/>
      <c r="P391" s="38"/>
      <c r="Q391" s="38"/>
    </row>
    <row r="392" customFormat="false" ht="15" hidden="false" customHeight="false" outlineLevel="0" collapsed="false">
      <c r="A392" s="34" t="n">
        <v>384</v>
      </c>
      <c r="B392" s="35" t="s">
        <v>862</v>
      </c>
      <c r="C392" s="35" t="s">
        <v>863</v>
      </c>
      <c r="D392" s="35" t="s">
        <v>116</v>
      </c>
      <c r="E392" s="34" t="n">
        <v>1520</v>
      </c>
      <c r="F392" s="34" t="n">
        <v>1570</v>
      </c>
      <c r="G392" s="34" t="n">
        <v>1770</v>
      </c>
      <c r="H392" s="34" t="n">
        <v>2220</v>
      </c>
      <c r="I392" s="36" t="n">
        <f aca="false">$E392/F392-1</f>
        <v>-0.0318471337579618</v>
      </c>
      <c r="J392" s="36" t="n">
        <f aca="false">$E392/G392-1</f>
        <v>-0.141242937853107</v>
      </c>
      <c r="K392" s="36" t="n">
        <f aca="false">$E392/H392-1</f>
        <v>-0.315315315315315</v>
      </c>
      <c r="L392" s="37" t="n">
        <v>6.84</v>
      </c>
      <c r="M392" s="37" t="n">
        <v>0.15</v>
      </c>
      <c r="N392" s="34" t="n">
        <v>3580</v>
      </c>
      <c r="O392" s="34" t="n">
        <v>1430</v>
      </c>
      <c r="P392" s="38"/>
      <c r="Q392" s="38"/>
    </row>
    <row r="393" customFormat="false" ht="15" hidden="false" customHeight="false" outlineLevel="0" collapsed="false">
      <c r="A393" s="34" t="n">
        <v>385</v>
      </c>
      <c r="B393" s="35" t="s">
        <v>864</v>
      </c>
      <c r="C393" s="35" t="s">
        <v>865</v>
      </c>
      <c r="D393" s="35" t="s">
        <v>111</v>
      </c>
      <c r="E393" s="34" t="n">
        <v>22500</v>
      </c>
      <c r="F393" s="34" t="n">
        <v>22500</v>
      </c>
      <c r="G393" s="34" t="n">
        <v>22500</v>
      </c>
      <c r="H393" s="34" t="n">
        <v>17900</v>
      </c>
      <c r="I393" s="36" t="n">
        <f aca="false">$E393/F393-1</f>
        <v>0</v>
      </c>
      <c r="J393" s="36" t="n">
        <f aca="false">$E393/G393-1</f>
        <v>0</v>
      </c>
      <c r="K393" s="36" t="n">
        <f aca="false">$E393/H393-1</f>
        <v>0.256983240223464</v>
      </c>
      <c r="L393" s="37" t="n">
        <v>8.08</v>
      </c>
      <c r="M393" s="37" t="n">
        <v>2.15</v>
      </c>
      <c r="N393" s="34" t="n">
        <v>23500</v>
      </c>
      <c r="O393" s="34" t="n">
        <v>11100</v>
      </c>
      <c r="P393" s="38"/>
      <c r="Q393" s="38"/>
    </row>
    <row r="394" customFormat="false" ht="15" hidden="false" customHeight="false" outlineLevel="0" collapsed="false">
      <c r="A394" s="34" t="n">
        <v>386</v>
      </c>
      <c r="B394" s="35" t="s">
        <v>866</v>
      </c>
      <c r="C394" s="35" t="s">
        <v>867</v>
      </c>
      <c r="D394" s="35" t="s">
        <v>133</v>
      </c>
      <c r="E394" s="34" t="n">
        <v>32000</v>
      </c>
      <c r="F394" s="34" t="n">
        <v>30600</v>
      </c>
      <c r="G394" s="34" t="n">
        <v>32000</v>
      </c>
      <c r="H394" s="34" t="n">
        <v>35000</v>
      </c>
      <c r="I394" s="36" t="n">
        <f aca="false">$E394/F394-1</f>
        <v>0.0457516339869282</v>
      </c>
      <c r="J394" s="36" t="n">
        <f aca="false">$E394/G394-1</f>
        <v>0</v>
      </c>
      <c r="K394" s="36" t="n">
        <f aca="false">$E394/H394-1</f>
        <v>-0.0857142857142857</v>
      </c>
      <c r="L394" s="37" t="n">
        <v>4.62</v>
      </c>
      <c r="M394" s="37" t="n">
        <v>0.45</v>
      </c>
      <c r="N394" s="34" t="n">
        <v>36900</v>
      </c>
      <c r="O394" s="34" t="n">
        <v>30243.2</v>
      </c>
      <c r="P394" s="38"/>
      <c r="Q394" s="38"/>
    </row>
    <row r="395" customFormat="false" ht="15" hidden="false" customHeight="false" outlineLevel="0" collapsed="false">
      <c r="A395" s="34" t="n">
        <v>387</v>
      </c>
      <c r="B395" s="35" t="s">
        <v>868</v>
      </c>
      <c r="C395" s="35" t="s">
        <v>869</v>
      </c>
      <c r="D395" s="35" t="s">
        <v>111</v>
      </c>
      <c r="E395" s="34" t="n">
        <v>4900</v>
      </c>
      <c r="F395" s="34" t="n">
        <v>4900</v>
      </c>
      <c r="G395" s="34" t="n">
        <v>4900</v>
      </c>
      <c r="H395" s="34" t="n">
        <v>5700</v>
      </c>
      <c r="I395" s="36" t="n">
        <f aca="false">$E395/F395-1</f>
        <v>0</v>
      </c>
      <c r="J395" s="36" t="n">
        <f aca="false">$E395/G395-1</f>
        <v>0</v>
      </c>
      <c r="K395" s="36" t="n">
        <f aca="false">$E395/H395-1</f>
        <v>-0.140350877192982</v>
      </c>
      <c r="L395" s="37" t="n">
        <v>-2.42</v>
      </c>
      <c r="M395" s="37" t="n">
        <v>-3.75</v>
      </c>
      <c r="N395" s="34" t="n">
        <v>5700</v>
      </c>
      <c r="O395" s="34" t="n">
        <v>4900</v>
      </c>
      <c r="P395" s="38"/>
      <c r="Q395" s="38"/>
    </row>
    <row r="396" customFormat="false" ht="15" hidden="false" customHeight="false" outlineLevel="0" collapsed="false">
      <c r="A396" s="34" t="n">
        <v>388</v>
      </c>
      <c r="B396" s="35" t="s">
        <v>870</v>
      </c>
      <c r="C396" s="35" t="s">
        <v>871</v>
      </c>
      <c r="D396" s="35" t="s">
        <v>111</v>
      </c>
      <c r="E396" s="34" t="n">
        <v>61000</v>
      </c>
      <c r="F396" s="34" t="n">
        <v>61000</v>
      </c>
      <c r="G396" s="34" t="n">
        <v>61000</v>
      </c>
      <c r="H396" s="34" t="n">
        <v>44200</v>
      </c>
      <c r="I396" s="36" t="n">
        <f aca="false">$E396/F396-1</f>
        <v>0</v>
      </c>
      <c r="J396" s="36" t="n">
        <f aca="false">$E396/G396-1</f>
        <v>0</v>
      </c>
      <c r="K396" s="36" t="n">
        <f aca="false">$E396/H396-1</f>
        <v>0.380090497737557</v>
      </c>
      <c r="L396" s="37" t="n">
        <v>50.53</v>
      </c>
      <c r="M396" s="37" t="n">
        <v>5.99</v>
      </c>
      <c r="N396" s="34" t="n">
        <v>61000</v>
      </c>
      <c r="O396" s="34" t="n">
        <v>28414.08</v>
      </c>
      <c r="P396" s="38"/>
      <c r="Q396" s="38"/>
    </row>
    <row r="397" customFormat="false" ht="15" hidden="false" customHeight="false" outlineLevel="0" collapsed="false">
      <c r="A397" s="34" t="n">
        <v>389</v>
      </c>
      <c r="B397" s="35" t="s">
        <v>872</v>
      </c>
      <c r="C397" s="35" t="s">
        <v>873</v>
      </c>
      <c r="D397" s="35" t="s">
        <v>111</v>
      </c>
      <c r="E397" s="34" t="n">
        <v>12100</v>
      </c>
      <c r="F397" s="34" t="n">
        <v>12100</v>
      </c>
      <c r="G397" s="34" t="n">
        <v>12100</v>
      </c>
      <c r="H397" s="34" t="n">
        <v>12100</v>
      </c>
      <c r="I397" s="36" t="n">
        <f aca="false">$E397/F397-1</f>
        <v>0</v>
      </c>
      <c r="J397" s="36" t="n">
        <f aca="false">$E397/G397-1</f>
        <v>0</v>
      </c>
      <c r="K397" s="36" t="n">
        <f aca="false">$E397/H397-1</f>
        <v>0</v>
      </c>
      <c r="L397" s="37" t="n">
        <v>-13.88</v>
      </c>
      <c r="M397" s="37" t="n">
        <v>1.27</v>
      </c>
      <c r="N397" s="34" t="n">
        <v>14900</v>
      </c>
      <c r="O397" s="34" t="n">
        <v>12100</v>
      </c>
      <c r="P397" s="38"/>
      <c r="Q397" s="38"/>
    </row>
    <row r="398" customFormat="false" ht="15" hidden="false" customHeight="false" outlineLevel="0" collapsed="false">
      <c r="A398" s="34" t="n">
        <v>390</v>
      </c>
      <c r="B398" s="35" t="s">
        <v>874</v>
      </c>
      <c r="C398" s="35" t="s">
        <v>875</v>
      </c>
      <c r="D398" s="35" t="s">
        <v>111</v>
      </c>
      <c r="E398" s="34" t="n">
        <v>3800</v>
      </c>
      <c r="F398" s="34" t="n">
        <v>3800</v>
      </c>
      <c r="G398" s="34" t="n">
        <v>4000</v>
      </c>
      <c r="H398" s="34" t="n">
        <v>7000</v>
      </c>
      <c r="I398" s="36" t="n">
        <f aca="false">$E398/F398-1</f>
        <v>0</v>
      </c>
      <c r="J398" s="36" t="n">
        <f aca="false">$E398/G398-1</f>
        <v>-0.05</v>
      </c>
      <c r="K398" s="36" t="n">
        <f aca="false">$E398/H398-1</f>
        <v>-0.457142857142857</v>
      </c>
      <c r="L398" s="37" t="n">
        <v>94.37</v>
      </c>
      <c r="M398" s="37" t="n">
        <v>0.46</v>
      </c>
      <c r="N398" s="34" t="n">
        <v>7500</v>
      </c>
      <c r="O398" s="34" t="n">
        <v>3400</v>
      </c>
      <c r="P398" s="38"/>
      <c r="Q398" s="38"/>
    </row>
    <row r="399" customFormat="false" ht="15" hidden="false" customHeight="false" outlineLevel="0" collapsed="false">
      <c r="A399" s="34" t="n">
        <v>391</v>
      </c>
      <c r="B399" s="35" t="s">
        <v>876</v>
      </c>
      <c r="C399" s="35" t="s">
        <v>877</v>
      </c>
      <c r="D399" s="35" t="s">
        <v>111</v>
      </c>
      <c r="E399" s="34" t="n">
        <v>3500</v>
      </c>
      <c r="F399" s="34" t="n">
        <v>4000</v>
      </c>
      <c r="G399" s="34" t="n">
        <v>3400</v>
      </c>
      <c r="H399" s="34" t="n">
        <v>5000</v>
      </c>
      <c r="I399" s="36" t="n">
        <f aca="false">$E399/F399-1</f>
        <v>-0.125</v>
      </c>
      <c r="J399" s="36" t="n">
        <f aca="false">$E399/G399-1</f>
        <v>0.0294117647058823</v>
      </c>
      <c r="K399" s="36" t="n">
        <f aca="false">$E399/H399-1</f>
        <v>-0.3</v>
      </c>
      <c r="L399" s="37" t="n">
        <v>1.96</v>
      </c>
      <c r="M399" s="37" t="n">
        <v>0.79</v>
      </c>
      <c r="N399" s="34" t="n">
        <v>6300</v>
      </c>
      <c r="O399" s="34" t="n">
        <v>2974</v>
      </c>
      <c r="P399" s="38"/>
      <c r="Q399" s="38"/>
    </row>
    <row r="400" customFormat="false" ht="15" hidden="false" customHeight="false" outlineLevel="0" collapsed="false">
      <c r="A400" s="34" t="n">
        <v>392</v>
      </c>
      <c r="B400" s="35" t="s">
        <v>878</v>
      </c>
      <c r="C400" s="35" t="s">
        <v>879</v>
      </c>
      <c r="D400" s="35" t="s">
        <v>111</v>
      </c>
      <c r="E400" s="34" t="n">
        <v>8600</v>
      </c>
      <c r="F400" s="34" t="n">
        <v>8600</v>
      </c>
      <c r="G400" s="34" t="n">
        <v>8600</v>
      </c>
      <c r="H400" s="34" t="n">
        <v>8600</v>
      </c>
      <c r="I400" s="36" t="n">
        <f aca="false">$E400/F400-1</f>
        <v>0</v>
      </c>
      <c r="J400" s="36" t="n">
        <f aca="false">$E400/G400-1</f>
        <v>0</v>
      </c>
      <c r="K400" s="36" t="n">
        <f aca="false">$E400/H400-1</f>
        <v>0</v>
      </c>
      <c r="L400" s="37" t="n">
        <v>4.33</v>
      </c>
      <c r="M400" s="37" t="n">
        <v>0.36</v>
      </c>
      <c r="N400" s="34" t="n">
        <v>8600</v>
      </c>
      <c r="O400" s="34" t="n">
        <v>8600</v>
      </c>
      <c r="P400" s="38"/>
      <c r="Q400" s="38"/>
    </row>
    <row r="401" customFormat="false" ht="15" hidden="false" customHeight="false" outlineLevel="0" collapsed="false">
      <c r="A401" s="34" t="n">
        <v>393</v>
      </c>
      <c r="B401" s="35" t="s">
        <v>880</v>
      </c>
      <c r="C401" s="35" t="s">
        <v>881</v>
      </c>
      <c r="D401" s="35" t="s">
        <v>111</v>
      </c>
      <c r="E401" s="34" t="n">
        <v>9400</v>
      </c>
      <c r="F401" s="34" t="n">
        <v>9400</v>
      </c>
      <c r="G401" s="34" t="n">
        <v>9400</v>
      </c>
      <c r="H401" s="34" t="n">
        <v>15300</v>
      </c>
      <c r="I401" s="36" t="n">
        <f aca="false">$E401/F401-1</f>
        <v>0</v>
      </c>
      <c r="J401" s="36" t="n">
        <f aca="false">$E401/G401-1</f>
        <v>0</v>
      </c>
      <c r="K401" s="36" t="n">
        <f aca="false">$E401/H401-1</f>
        <v>-0.38562091503268</v>
      </c>
      <c r="L401" s="37" t="n">
        <v>1729.13</v>
      </c>
      <c r="M401" s="37" t="n">
        <v>0.9</v>
      </c>
      <c r="N401" s="34" t="n">
        <v>18078</v>
      </c>
      <c r="O401" s="34" t="n">
        <v>9400</v>
      </c>
      <c r="P401" s="38"/>
      <c r="Q401" s="38"/>
    </row>
    <row r="402" customFormat="false" ht="15" hidden="false" customHeight="false" outlineLevel="0" collapsed="false">
      <c r="A402" s="34" t="n">
        <v>394</v>
      </c>
      <c r="B402" s="35" t="s">
        <v>882</v>
      </c>
      <c r="C402" s="35" t="s">
        <v>883</v>
      </c>
      <c r="D402" s="35" t="s">
        <v>111</v>
      </c>
      <c r="E402" s="34" t="n">
        <v>5061</v>
      </c>
      <c r="F402" s="34" t="n">
        <v>4590</v>
      </c>
      <c r="G402" s="34" t="n">
        <v>4568</v>
      </c>
      <c r="H402" s="34" t="n">
        <v>6296</v>
      </c>
      <c r="I402" s="36" t="n">
        <f aca="false">$E402/F402-1</f>
        <v>0.102614379084967</v>
      </c>
      <c r="J402" s="36" t="n">
        <f aca="false">$E402/G402-1</f>
        <v>0.10792469352014</v>
      </c>
      <c r="K402" s="36" t="n">
        <f aca="false">$E402/H402-1</f>
        <v>-0.196156289707751</v>
      </c>
      <c r="L402" s="37" t="n">
        <v>20.32</v>
      </c>
      <c r="M402" s="37" t="n">
        <v>0.45</v>
      </c>
      <c r="N402" s="34" t="n">
        <v>9863</v>
      </c>
      <c r="O402" s="34" t="n">
        <v>4352</v>
      </c>
      <c r="P402" s="38"/>
      <c r="Q402" s="38"/>
    </row>
    <row r="403" customFormat="false" ht="15" hidden="false" customHeight="false" outlineLevel="0" collapsed="false">
      <c r="A403" s="34" t="n">
        <v>395</v>
      </c>
      <c r="B403" s="35" t="s">
        <v>884</v>
      </c>
      <c r="C403" s="35" t="s">
        <v>885</v>
      </c>
      <c r="D403" s="35" t="s">
        <v>111</v>
      </c>
      <c r="E403" s="34" t="n">
        <v>10480</v>
      </c>
      <c r="F403" s="34" t="n">
        <v>10047</v>
      </c>
      <c r="G403" s="34" t="n">
        <v>10565</v>
      </c>
      <c r="H403" s="34" t="n">
        <v>12995</v>
      </c>
      <c r="I403" s="36" t="n">
        <f aca="false">$E403/F403-1</f>
        <v>0.0430974420224943</v>
      </c>
      <c r="J403" s="36" t="n">
        <f aca="false">$E403/G403-1</f>
        <v>-0.0080454330336015</v>
      </c>
      <c r="K403" s="36" t="n">
        <f aca="false">$E403/H403-1</f>
        <v>-0.193535975375144</v>
      </c>
      <c r="L403" s="37" t="n">
        <v>767.71</v>
      </c>
      <c r="M403" s="37" t="n">
        <v>0.88</v>
      </c>
      <c r="N403" s="34" t="n">
        <v>15746.72</v>
      </c>
      <c r="O403" s="34" t="n">
        <v>9450</v>
      </c>
      <c r="P403" s="38"/>
      <c r="Q403" s="38"/>
    </row>
    <row r="404" customFormat="false" ht="15" hidden="false" customHeight="false" outlineLevel="0" collapsed="false">
      <c r="A404" s="34" t="n">
        <v>396</v>
      </c>
      <c r="B404" s="35" t="s">
        <v>886</v>
      </c>
      <c r="C404" s="35" t="s">
        <v>887</v>
      </c>
      <c r="D404" s="35" t="s">
        <v>111</v>
      </c>
      <c r="E404" s="34" t="n">
        <v>3100</v>
      </c>
      <c r="F404" s="34" t="n">
        <v>3100</v>
      </c>
      <c r="G404" s="34" t="n">
        <v>3100</v>
      </c>
      <c r="H404" s="34" t="n">
        <v>3600</v>
      </c>
      <c r="I404" s="36" t="n">
        <f aca="false">$E404/F404-1</f>
        <v>0</v>
      </c>
      <c r="J404" s="36" t="n">
        <f aca="false">$E404/G404-1</f>
        <v>0</v>
      </c>
      <c r="K404" s="36" t="n">
        <f aca="false">$E404/H404-1</f>
        <v>-0.138888888888889</v>
      </c>
      <c r="L404" s="37" t="n">
        <v>-11.28</v>
      </c>
      <c r="M404" s="37" t="n">
        <v>0.66</v>
      </c>
      <c r="N404" s="34" t="n">
        <v>3600</v>
      </c>
      <c r="O404" s="34" t="n">
        <v>3100</v>
      </c>
      <c r="P404" s="38"/>
      <c r="Q404" s="38"/>
    </row>
    <row r="405" customFormat="false" ht="15" hidden="false" customHeight="false" outlineLevel="0" collapsed="false">
      <c r="A405" s="34" t="n">
        <v>397</v>
      </c>
      <c r="B405" s="35" t="s">
        <v>888</v>
      </c>
      <c r="C405" s="35" t="s">
        <v>889</v>
      </c>
      <c r="D405" s="35" t="s">
        <v>111</v>
      </c>
      <c r="E405" s="34"/>
      <c r="F405" s="34"/>
      <c r="G405" s="34"/>
      <c r="H405" s="34"/>
      <c r="I405" s="36" t="e">
        <f aca="false">$E405/F405-1</f>
        <v>#DIV/0!</v>
      </c>
      <c r="J405" s="36" t="e">
        <f aca="false">$E405/G405-1</f>
        <v>#DIV/0!</v>
      </c>
      <c r="K405" s="36" t="e">
        <f aca="false">$E405/H405-1</f>
        <v>#DIV/0!</v>
      </c>
      <c r="L405" s="37"/>
      <c r="M405" s="37"/>
      <c r="N405" s="34"/>
      <c r="O405" s="34"/>
      <c r="P405" s="38"/>
      <c r="Q405" s="38"/>
    </row>
    <row r="406" customFormat="false" ht="15" hidden="false" customHeight="false" outlineLevel="0" collapsed="false">
      <c r="A406" s="34" t="n">
        <v>398</v>
      </c>
      <c r="B406" s="35" t="s">
        <v>890</v>
      </c>
      <c r="C406" s="35" t="s">
        <v>891</v>
      </c>
      <c r="D406" s="35" t="s">
        <v>116</v>
      </c>
      <c r="E406" s="34" t="n">
        <v>49600</v>
      </c>
      <c r="F406" s="34" t="n">
        <v>49500</v>
      </c>
      <c r="G406" s="34" t="n">
        <v>51400</v>
      </c>
      <c r="H406" s="34" t="n">
        <v>48800</v>
      </c>
      <c r="I406" s="36" t="n">
        <f aca="false">$E406/F406-1</f>
        <v>0.00202020202020203</v>
      </c>
      <c r="J406" s="36" t="n">
        <f aca="false">$E406/G406-1</f>
        <v>-0.0350194552529183</v>
      </c>
      <c r="K406" s="36" t="n">
        <f aca="false">$E406/H406-1</f>
        <v>0.0163934426229508</v>
      </c>
      <c r="L406" s="37" t="n">
        <v>16.13</v>
      </c>
      <c r="M406" s="37" t="n">
        <v>2.7</v>
      </c>
      <c r="N406" s="34" t="n">
        <v>55500</v>
      </c>
      <c r="O406" s="34" t="n">
        <v>48050</v>
      </c>
      <c r="P406" s="38"/>
      <c r="Q406" s="38"/>
    </row>
    <row r="407" customFormat="false" ht="15" hidden="false" customHeight="false" outlineLevel="0" collapsed="false">
      <c r="A407" s="34" t="n">
        <v>399</v>
      </c>
      <c r="B407" s="35" t="s">
        <v>892</v>
      </c>
      <c r="C407" s="35" t="s">
        <v>893</v>
      </c>
      <c r="D407" s="35" t="s">
        <v>111</v>
      </c>
      <c r="E407" s="34" t="n">
        <v>9000</v>
      </c>
      <c r="F407" s="34" t="n">
        <v>9800</v>
      </c>
      <c r="G407" s="34" t="n">
        <v>8615</v>
      </c>
      <c r="H407" s="34" t="n">
        <v>6800</v>
      </c>
      <c r="I407" s="36" t="n">
        <f aca="false">$E407/F407-1</f>
        <v>-0.0816326530612245</v>
      </c>
      <c r="J407" s="36" t="n">
        <f aca="false">$E407/G407-1</f>
        <v>0.044689495066744</v>
      </c>
      <c r="K407" s="36" t="n">
        <f aca="false">$E407/H407-1</f>
        <v>0.323529411764706</v>
      </c>
      <c r="L407" s="37" t="n">
        <v>19.6</v>
      </c>
      <c r="M407" s="37" t="n">
        <v>0.69</v>
      </c>
      <c r="N407" s="34" t="n">
        <v>11064</v>
      </c>
      <c r="O407" s="34" t="n">
        <v>5634</v>
      </c>
      <c r="P407" s="38"/>
      <c r="Q407" s="38"/>
    </row>
    <row r="408" customFormat="false" ht="15" hidden="false" customHeight="false" outlineLevel="0" collapsed="false">
      <c r="A408" s="34" t="n">
        <v>400</v>
      </c>
      <c r="B408" s="35" t="s">
        <v>894</v>
      </c>
      <c r="C408" s="35" t="s">
        <v>895</v>
      </c>
      <c r="D408" s="35" t="s">
        <v>133</v>
      </c>
      <c r="E408" s="34"/>
      <c r="F408" s="34"/>
      <c r="G408" s="34"/>
      <c r="H408" s="34"/>
      <c r="I408" s="36" t="e">
        <f aca="false">$E408/F408-1</f>
        <v>#DIV/0!</v>
      </c>
      <c r="J408" s="36" t="e">
        <f aca="false">$E408/G408-1</f>
        <v>#DIV/0!</v>
      </c>
      <c r="K408" s="36" t="e">
        <f aca="false">$E408/H408-1</f>
        <v>#DIV/0!</v>
      </c>
      <c r="L408" s="37"/>
      <c r="M408" s="37"/>
      <c r="N408" s="34"/>
      <c r="O408" s="34"/>
      <c r="P408" s="38"/>
      <c r="Q408" s="38"/>
    </row>
    <row r="409" customFormat="false" ht="15" hidden="false" customHeight="false" outlineLevel="0" collapsed="false">
      <c r="A409" s="34" t="n">
        <v>401</v>
      </c>
      <c r="B409" s="35" t="s">
        <v>896</v>
      </c>
      <c r="C409" s="35" t="s">
        <v>897</v>
      </c>
      <c r="D409" s="35" t="s">
        <v>111</v>
      </c>
      <c r="E409" s="34" t="n">
        <v>32800</v>
      </c>
      <c r="F409" s="34" t="n">
        <v>32800</v>
      </c>
      <c r="G409" s="34" t="n">
        <v>30300</v>
      </c>
      <c r="H409" s="34" t="n">
        <v>36600</v>
      </c>
      <c r="I409" s="36" t="n">
        <f aca="false">$E409/F409-1</f>
        <v>0</v>
      </c>
      <c r="J409" s="36" t="n">
        <f aca="false">$E409/G409-1</f>
        <v>0.0825082508250825</v>
      </c>
      <c r="K409" s="36" t="n">
        <f aca="false">$E409/H409-1</f>
        <v>-0.103825136612022</v>
      </c>
      <c r="L409" s="37" t="n">
        <v>5.21</v>
      </c>
      <c r="M409" s="37" t="n">
        <v>0.75</v>
      </c>
      <c r="N409" s="34" t="n">
        <v>39800</v>
      </c>
      <c r="O409" s="34" t="n">
        <v>22961</v>
      </c>
      <c r="P409" s="38"/>
      <c r="Q409" s="38"/>
    </row>
    <row r="410" customFormat="false" ht="15" hidden="false" customHeight="false" outlineLevel="0" collapsed="false">
      <c r="A410" s="34" t="n">
        <v>402</v>
      </c>
      <c r="B410" s="35" t="s">
        <v>898</v>
      </c>
      <c r="C410" s="35" t="s">
        <v>899</v>
      </c>
      <c r="D410" s="35" t="s">
        <v>111</v>
      </c>
      <c r="E410" s="34" t="n">
        <v>26500</v>
      </c>
      <c r="F410" s="34" t="n">
        <v>26500</v>
      </c>
      <c r="G410" s="34" t="n">
        <v>26500</v>
      </c>
      <c r="H410" s="34" t="n">
        <v>26499.2</v>
      </c>
      <c r="I410" s="36" t="n">
        <f aca="false">$E410/F410-1</f>
        <v>0</v>
      </c>
      <c r="J410" s="36" t="n">
        <f aca="false">$E410/G410-1</f>
        <v>0</v>
      </c>
      <c r="K410" s="36" t="n">
        <f aca="false">$E410/H410-1</f>
        <v>3.01895906291705E-005</v>
      </c>
      <c r="L410" s="37" t="n">
        <v>7.26</v>
      </c>
      <c r="M410" s="37" t="n">
        <v>1.29</v>
      </c>
      <c r="N410" s="34" t="n">
        <v>26500</v>
      </c>
      <c r="O410" s="34" t="n">
        <v>23660</v>
      </c>
      <c r="P410" s="38"/>
      <c r="Q410" s="38"/>
    </row>
    <row r="411" customFormat="false" ht="15" hidden="false" customHeight="false" outlineLevel="0" collapsed="false">
      <c r="A411" s="34" t="n">
        <v>403</v>
      </c>
      <c r="B411" s="35" t="s">
        <v>900</v>
      </c>
      <c r="C411" s="35" t="s">
        <v>901</v>
      </c>
      <c r="D411" s="35" t="s">
        <v>111</v>
      </c>
      <c r="E411" s="34" t="n">
        <v>10100</v>
      </c>
      <c r="F411" s="34" t="n">
        <v>10200</v>
      </c>
      <c r="G411" s="34" t="n">
        <v>10000</v>
      </c>
      <c r="H411" s="34" t="n">
        <v>11600</v>
      </c>
      <c r="I411" s="36" t="n">
        <f aca="false">$E411/F411-1</f>
        <v>-0.00980392156862742</v>
      </c>
      <c r="J411" s="36" t="n">
        <f aca="false">$E411/G411-1</f>
        <v>0.01</v>
      </c>
      <c r="K411" s="36" t="n">
        <f aca="false">$E411/H411-1</f>
        <v>-0.129310344827586</v>
      </c>
      <c r="L411" s="37" t="n">
        <v>23.23</v>
      </c>
      <c r="M411" s="37" t="n">
        <v>1.62</v>
      </c>
      <c r="N411" s="34" t="n">
        <v>13400</v>
      </c>
      <c r="O411" s="34" t="n">
        <v>7600</v>
      </c>
      <c r="P411" s="38"/>
      <c r="Q411" s="38"/>
    </row>
    <row r="412" customFormat="false" ht="15" hidden="false" customHeight="false" outlineLevel="0" collapsed="false">
      <c r="A412" s="34" t="n">
        <v>404</v>
      </c>
      <c r="B412" s="35" t="s">
        <v>902</v>
      </c>
      <c r="C412" s="35" t="s">
        <v>903</v>
      </c>
      <c r="D412" s="35" t="s">
        <v>111</v>
      </c>
      <c r="E412" s="34" t="n">
        <v>16000</v>
      </c>
      <c r="F412" s="34" t="n">
        <v>16000</v>
      </c>
      <c r="G412" s="34" t="n">
        <v>18900</v>
      </c>
      <c r="H412" s="34" t="n">
        <v>25935</v>
      </c>
      <c r="I412" s="36" t="n">
        <f aca="false">$E412/F412-1</f>
        <v>0</v>
      </c>
      <c r="J412" s="36" t="n">
        <f aca="false">$E412/G412-1</f>
        <v>-0.153439153439154</v>
      </c>
      <c r="K412" s="36" t="n">
        <f aca="false">$E412/H412-1</f>
        <v>-0.383073067283594</v>
      </c>
      <c r="L412" s="37" t="n">
        <v>6.23</v>
      </c>
      <c r="M412" s="37" t="n">
        <v>1.07</v>
      </c>
      <c r="N412" s="34" t="n">
        <v>32300</v>
      </c>
      <c r="O412" s="34" t="n">
        <v>16000</v>
      </c>
      <c r="P412" s="38"/>
      <c r="Q412" s="38"/>
    </row>
    <row r="413" customFormat="false" ht="15" hidden="false" customHeight="false" outlineLevel="0" collapsed="false">
      <c r="A413" s="34" t="n">
        <v>405</v>
      </c>
      <c r="B413" s="35" t="s">
        <v>904</v>
      </c>
      <c r="C413" s="35" t="s">
        <v>905</v>
      </c>
      <c r="D413" s="35" t="s">
        <v>111</v>
      </c>
      <c r="E413" s="34" t="n">
        <v>26000</v>
      </c>
      <c r="F413" s="34" t="n">
        <v>25000</v>
      </c>
      <c r="G413" s="34" t="n">
        <v>26000</v>
      </c>
      <c r="H413" s="34" t="n">
        <v>23944.5</v>
      </c>
      <c r="I413" s="36" t="n">
        <f aca="false">$E413/F413-1</f>
        <v>0.04</v>
      </c>
      <c r="J413" s="36" t="n">
        <f aca="false">$E413/G413-1</f>
        <v>0</v>
      </c>
      <c r="K413" s="36" t="n">
        <f aca="false">$E413/H413-1</f>
        <v>0.0858443483889828</v>
      </c>
      <c r="L413" s="37" t="n">
        <v>12.83</v>
      </c>
      <c r="M413" s="37" t="n">
        <v>1.92</v>
      </c>
      <c r="N413" s="34" t="n">
        <v>27500</v>
      </c>
      <c r="O413" s="34" t="n">
        <v>16995.9</v>
      </c>
      <c r="P413" s="38"/>
      <c r="Q413" s="38"/>
    </row>
    <row r="414" customFormat="false" ht="15" hidden="false" customHeight="false" outlineLevel="0" collapsed="false">
      <c r="A414" s="34" t="n">
        <v>406</v>
      </c>
      <c r="B414" s="35" t="s">
        <v>906</v>
      </c>
      <c r="C414" s="35" t="s">
        <v>907</v>
      </c>
      <c r="D414" s="35" t="s">
        <v>116</v>
      </c>
      <c r="E414" s="34" t="n">
        <v>95600</v>
      </c>
      <c r="F414" s="34" t="n">
        <v>92600</v>
      </c>
      <c r="G414" s="34" t="n">
        <v>93400</v>
      </c>
      <c r="H414" s="34" t="n">
        <v>97277.07</v>
      </c>
      <c r="I414" s="36" t="n">
        <f aca="false">$E414/F414-1</f>
        <v>0.0323974082073435</v>
      </c>
      <c r="J414" s="36" t="n">
        <f aca="false">$E414/G414-1</f>
        <v>0.0235546038543897</v>
      </c>
      <c r="K414" s="36" t="n">
        <f aca="false">$E414/H414-1</f>
        <v>-0.017240136858563</v>
      </c>
      <c r="L414" s="37" t="n">
        <v>12.97</v>
      </c>
      <c r="M414" s="37" t="n">
        <v>3.66</v>
      </c>
      <c r="N414" s="34" t="n">
        <v>102792.29</v>
      </c>
      <c r="O414" s="34" t="n">
        <v>90200</v>
      </c>
      <c r="P414" s="38"/>
      <c r="Q414" s="38"/>
    </row>
    <row r="415" customFormat="false" ht="15" hidden="false" customHeight="false" outlineLevel="0" collapsed="false">
      <c r="A415" s="34" t="n">
        <v>407</v>
      </c>
      <c r="B415" s="35" t="s">
        <v>908</v>
      </c>
      <c r="C415" s="35" t="s">
        <v>909</v>
      </c>
      <c r="D415" s="35" t="s">
        <v>133</v>
      </c>
      <c r="E415" s="34" t="n">
        <v>7900</v>
      </c>
      <c r="F415" s="34" t="n">
        <v>8000</v>
      </c>
      <c r="G415" s="34" t="n">
        <v>8100</v>
      </c>
      <c r="H415" s="34" t="n">
        <v>11100</v>
      </c>
      <c r="I415" s="36" t="n">
        <f aca="false">$E415/F415-1</f>
        <v>-0.0125</v>
      </c>
      <c r="J415" s="36" t="n">
        <f aca="false">$E415/G415-1</f>
        <v>-0.0246913580246914</v>
      </c>
      <c r="K415" s="36" t="n">
        <f aca="false">$E415/H415-1</f>
        <v>-0.288288288288288</v>
      </c>
      <c r="L415" s="37" t="n">
        <v>4.78</v>
      </c>
      <c r="M415" s="37" t="n">
        <v>0.77</v>
      </c>
      <c r="N415" s="34" t="n">
        <v>14100</v>
      </c>
      <c r="O415" s="34" t="n">
        <v>7700</v>
      </c>
      <c r="P415" s="38"/>
      <c r="Q415" s="38"/>
    </row>
    <row r="416" customFormat="false" ht="15" hidden="false" customHeight="false" outlineLevel="0" collapsed="false">
      <c r="A416" s="34" t="n">
        <v>408</v>
      </c>
      <c r="B416" s="35" t="s">
        <v>910</v>
      </c>
      <c r="C416" s="35" t="s">
        <v>911</v>
      </c>
      <c r="D416" s="35" t="s">
        <v>133</v>
      </c>
      <c r="E416" s="34" t="n">
        <v>3000</v>
      </c>
      <c r="F416" s="34" t="n">
        <v>3000</v>
      </c>
      <c r="G416" s="34" t="n">
        <v>3100</v>
      </c>
      <c r="H416" s="34" t="n">
        <v>3800</v>
      </c>
      <c r="I416" s="36" t="n">
        <f aca="false">$E416/F416-1</f>
        <v>0</v>
      </c>
      <c r="J416" s="36" t="n">
        <f aca="false">$E416/G416-1</f>
        <v>-0.032258064516129</v>
      </c>
      <c r="K416" s="36" t="n">
        <f aca="false">$E416/H416-1</f>
        <v>-0.210526315789474</v>
      </c>
      <c r="L416" s="37" t="n">
        <v>4.62</v>
      </c>
      <c r="M416" s="37" t="n">
        <v>0.28</v>
      </c>
      <c r="N416" s="34" t="n">
        <v>5200</v>
      </c>
      <c r="O416" s="34" t="n">
        <v>2700</v>
      </c>
      <c r="P416" s="38"/>
      <c r="Q416" s="38"/>
    </row>
    <row r="417" customFormat="false" ht="15" hidden="false" customHeight="false" outlineLevel="0" collapsed="false">
      <c r="A417" s="34" t="n">
        <v>409</v>
      </c>
      <c r="B417" s="35" t="s">
        <v>912</v>
      </c>
      <c r="C417" s="35" t="s">
        <v>913</v>
      </c>
      <c r="D417" s="35" t="s">
        <v>133</v>
      </c>
      <c r="E417" s="34" t="n">
        <v>5200</v>
      </c>
      <c r="F417" s="34" t="n">
        <v>5300</v>
      </c>
      <c r="G417" s="34" t="n">
        <v>6200</v>
      </c>
      <c r="H417" s="34" t="n">
        <v>5600</v>
      </c>
      <c r="I417" s="36" t="n">
        <f aca="false">$E417/F417-1</f>
        <v>-0.0188679245283019</v>
      </c>
      <c r="J417" s="36" t="n">
        <f aca="false">$E417/G417-1</f>
        <v>-0.161290322580645</v>
      </c>
      <c r="K417" s="36" t="n">
        <f aca="false">$E417/H417-1</f>
        <v>-0.0714285714285714</v>
      </c>
      <c r="L417" s="37" t="n">
        <v>12.94</v>
      </c>
      <c r="M417" s="37" t="n">
        <v>0.31</v>
      </c>
      <c r="N417" s="34" t="n">
        <v>8500</v>
      </c>
      <c r="O417" s="34" t="n">
        <v>5000</v>
      </c>
      <c r="P417" s="38"/>
      <c r="Q417" s="38"/>
    </row>
    <row r="418" customFormat="false" ht="15" hidden="false" customHeight="false" outlineLevel="0" collapsed="false">
      <c r="A418" s="34" t="n">
        <v>410</v>
      </c>
      <c r="B418" s="35" t="s">
        <v>914</v>
      </c>
      <c r="C418" s="35" t="s">
        <v>915</v>
      </c>
      <c r="D418" s="35" t="s">
        <v>111</v>
      </c>
      <c r="E418" s="34" t="n">
        <v>14000</v>
      </c>
      <c r="F418" s="34" t="n">
        <v>13300</v>
      </c>
      <c r="G418" s="34" t="n">
        <v>12600</v>
      </c>
      <c r="H418" s="34" t="n">
        <v>13000.4</v>
      </c>
      <c r="I418" s="36" t="n">
        <f aca="false">$E418/F418-1</f>
        <v>0.0526315789473684</v>
      </c>
      <c r="J418" s="36" t="n">
        <f aca="false">$E418/G418-1</f>
        <v>0.111111111111111</v>
      </c>
      <c r="K418" s="36" t="n">
        <f aca="false">$E418/H418-1</f>
        <v>0.0768899418479432</v>
      </c>
      <c r="L418" s="37" t="n">
        <v>5.75</v>
      </c>
      <c r="M418" s="37" t="n">
        <v>0.86</v>
      </c>
      <c r="N418" s="34" t="n">
        <v>15043.32</v>
      </c>
      <c r="O418" s="34" t="n">
        <v>11000</v>
      </c>
      <c r="P418" s="38"/>
      <c r="Q418" s="38"/>
    </row>
    <row r="419" customFormat="false" ht="15" hidden="false" customHeight="false" outlineLevel="0" collapsed="false">
      <c r="A419" s="34" t="n">
        <v>411</v>
      </c>
      <c r="B419" s="35" t="s">
        <v>916</v>
      </c>
      <c r="C419" s="35" t="s">
        <v>917</v>
      </c>
      <c r="D419" s="35" t="s">
        <v>133</v>
      </c>
      <c r="E419" s="34" t="n">
        <v>18400</v>
      </c>
      <c r="F419" s="34" t="n">
        <v>18400</v>
      </c>
      <c r="G419" s="34" t="n">
        <v>18400</v>
      </c>
      <c r="H419" s="34" t="n">
        <v>23500</v>
      </c>
      <c r="I419" s="36" t="n">
        <f aca="false">$E419/F419-1</f>
        <v>0</v>
      </c>
      <c r="J419" s="36" t="n">
        <f aca="false">$E419/G419-1</f>
        <v>0</v>
      </c>
      <c r="K419" s="36" t="n">
        <f aca="false">$E419/H419-1</f>
        <v>-0.217021276595745</v>
      </c>
      <c r="L419" s="37" t="n">
        <v>10.46</v>
      </c>
      <c r="M419" s="37" t="n">
        <v>0.67</v>
      </c>
      <c r="N419" s="34" t="n">
        <v>25900</v>
      </c>
      <c r="O419" s="34" t="n">
        <v>18400</v>
      </c>
      <c r="P419" s="38"/>
      <c r="Q419" s="38"/>
    </row>
    <row r="420" customFormat="false" ht="15" hidden="false" customHeight="false" outlineLevel="0" collapsed="false">
      <c r="A420" s="34" t="n">
        <v>412</v>
      </c>
      <c r="B420" s="35" t="s">
        <v>918</v>
      </c>
      <c r="C420" s="35" t="s">
        <v>919</v>
      </c>
      <c r="D420" s="35" t="s">
        <v>111</v>
      </c>
      <c r="E420" s="34"/>
      <c r="F420" s="34"/>
      <c r="G420" s="34"/>
      <c r="H420" s="34"/>
      <c r="I420" s="36" t="e">
        <f aca="false">$E420/F420-1</f>
        <v>#DIV/0!</v>
      </c>
      <c r="J420" s="36" t="e">
        <f aca="false">$E420/G420-1</f>
        <v>#DIV/0!</v>
      </c>
      <c r="K420" s="36" t="e">
        <f aca="false">$E420/H420-1</f>
        <v>#DIV/0!</v>
      </c>
      <c r="L420" s="37"/>
      <c r="M420" s="37"/>
      <c r="N420" s="34"/>
      <c r="O420" s="34"/>
      <c r="P420" s="38"/>
      <c r="Q420" s="38"/>
    </row>
    <row r="421" customFormat="false" ht="15" hidden="false" customHeight="false" outlineLevel="0" collapsed="false">
      <c r="A421" s="34" t="n">
        <v>413</v>
      </c>
      <c r="B421" s="35" t="s">
        <v>920</v>
      </c>
      <c r="C421" s="35" t="s">
        <v>921</v>
      </c>
      <c r="D421" s="35" t="s">
        <v>111</v>
      </c>
      <c r="E421" s="34" t="n">
        <v>12400</v>
      </c>
      <c r="F421" s="34" t="n">
        <v>12200</v>
      </c>
      <c r="G421" s="34" t="n">
        <v>12000</v>
      </c>
      <c r="H421" s="34" t="n">
        <v>15876.9</v>
      </c>
      <c r="I421" s="36" t="n">
        <f aca="false">$E421/F421-1</f>
        <v>0.0163934426229508</v>
      </c>
      <c r="J421" s="36" t="n">
        <f aca="false">$E421/G421-1</f>
        <v>0.0333333333333334</v>
      </c>
      <c r="K421" s="36" t="n">
        <f aca="false">$E421/H421-1</f>
        <v>-0.21899111287468</v>
      </c>
      <c r="L421" s="37" t="n">
        <v>37.3</v>
      </c>
      <c r="M421" s="37" t="n">
        <v>2.04</v>
      </c>
      <c r="N421" s="34" t="n">
        <v>20588</v>
      </c>
      <c r="O421" s="34" t="n">
        <v>8000</v>
      </c>
      <c r="P421" s="38"/>
      <c r="Q421" s="38"/>
    </row>
    <row r="422" customFormat="false" ht="15" hidden="false" customHeight="false" outlineLevel="0" collapsed="false">
      <c r="A422" s="34" t="n">
        <v>414</v>
      </c>
      <c r="B422" s="35" t="s">
        <v>922</v>
      </c>
      <c r="C422" s="35" t="s">
        <v>923</v>
      </c>
      <c r="D422" s="35" t="s">
        <v>111</v>
      </c>
      <c r="E422" s="34" t="n">
        <v>23000</v>
      </c>
      <c r="F422" s="34" t="n">
        <v>23000</v>
      </c>
      <c r="G422" s="34" t="n">
        <v>23000</v>
      </c>
      <c r="H422" s="34" t="n">
        <v>21180.96</v>
      </c>
      <c r="I422" s="36" t="n">
        <f aca="false">$E422/F422-1</f>
        <v>0</v>
      </c>
      <c r="J422" s="36" t="n">
        <f aca="false">$E422/G422-1</f>
        <v>0</v>
      </c>
      <c r="K422" s="36" t="n">
        <f aca="false">$E422/H422-1</f>
        <v>0.0858809043593869</v>
      </c>
      <c r="L422" s="37" t="n">
        <v>11.21</v>
      </c>
      <c r="M422" s="37" t="n">
        <v>0.94</v>
      </c>
      <c r="N422" s="34" t="n">
        <v>25900</v>
      </c>
      <c r="O422" s="34" t="n">
        <v>19121.7</v>
      </c>
      <c r="P422" s="38"/>
      <c r="Q422" s="38"/>
    </row>
    <row r="423" customFormat="false" ht="15" hidden="false" customHeight="false" outlineLevel="0" collapsed="false">
      <c r="A423" s="34" t="n">
        <v>415</v>
      </c>
      <c r="B423" s="35" t="s">
        <v>924</v>
      </c>
      <c r="C423" s="35" t="s">
        <v>925</v>
      </c>
      <c r="D423" s="35" t="s">
        <v>111</v>
      </c>
      <c r="E423" s="34" t="n">
        <v>31850</v>
      </c>
      <c r="F423" s="34" t="n">
        <v>32750</v>
      </c>
      <c r="G423" s="34" t="n">
        <v>33766</v>
      </c>
      <c r="H423" s="34" t="n">
        <v>32684.6</v>
      </c>
      <c r="I423" s="36" t="n">
        <f aca="false">$E423/F423-1</f>
        <v>-0.0274809160305344</v>
      </c>
      <c r="J423" s="36" t="n">
        <f aca="false">$E423/G423-1</f>
        <v>-0.056743469762483</v>
      </c>
      <c r="K423" s="36" t="n">
        <f aca="false">$E423/H423-1</f>
        <v>-0.0255349614191392</v>
      </c>
      <c r="L423" s="37" t="n">
        <v>19</v>
      </c>
      <c r="M423" s="37" t="n">
        <v>1.88</v>
      </c>
      <c r="N423" s="34" t="n">
        <v>38353</v>
      </c>
      <c r="O423" s="34" t="n">
        <v>30791.66</v>
      </c>
      <c r="P423" s="38"/>
      <c r="Q423" s="38"/>
    </row>
    <row r="424" customFormat="false" ht="15" hidden="false" customHeight="false" outlineLevel="0" collapsed="false">
      <c r="A424" s="34" t="n">
        <v>416</v>
      </c>
      <c r="B424" s="35" t="s">
        <v>926</v>
      </c>
      <c r="C424" s="35" t="s">
        <v>927</v>
      </c>
      <c r="D424" s="35" t="s">
        <v>116</v>
      </c>
      <c r="E424" s="34" t="n">
        <v>13500</v>
      </c>
      <c r="F424" s="34" t="n">
        <v>13200</v>
      </c>
      <c r="G424" s="34" t="n">
        <v>12600</v>
      </c>
      <c r="H424" s="34" t="n">
        <v>11250</v>
      </c>
      <c r="I424" s="36" t="n">
        <f aca="false">$E424/F424-1</f>
        <v>0.0227272727272727</v>
      </c>
      <c r="J424" s="36" t="n">
        <f aca="false">$E424/G424-1</f>
        <v>0.0714285714285714</v>
      </c>
      <c r="K424" s="36" t="n">
        <f aca="false">$E424/H424-1</f>
        <v>0.2</v>
      </c>
      <c r="L424" s="37" t="n">
        <v>10.47</v>
      </c>
      <c r="M424" s="37" t="n">
        <v>1.04</v>
      </c>
      <c r="N424" s="34" t="n">
        <v>13900</v>
      </c>
      <c r="O424" s="34" t="n">
        <v>10000</v>
      </c>
      <c r="P424" s="38"/>
      <c r="Q424" s="38"/>
    </row>
    <row r="425" customFormat="false" ht="15" hidden="false" customHeight="false" outlineLevel="0" collapsed="false">
      <c r="A425" s="34" t="n">
        <v>417</v>
      </c>
      <c r="B425" s="35" t="s">
        <v>928</v>
      </c>
      <c r="C425" s="35" t="s">
        <v>929</v>
      </c>
      <c r="D425" s="35" t="s">
        <v>111</v>
      </c>
      <c r="E425" s="34" t="n">
        <v>65076</v>
      </c>
      <c r="F425" s="34" t="n">
        <v>70400</v>
      </c>
      <c r="G425" s="34" t="n">
        <v>75000</v>
      </c>
      <c r="H425" s="34" t="n">
        <v>92940</v>
      </c>
      <c r="I425" s="36" t="n">
        <f aca="false">$E425/F425-1</f>
        <v>-0.0756250000000001</v>
      </c>
      <c r="J425" s="36" t="n">
        <f aca="false">$E425/G425-1</f>
        <v>-0.13232</v>
      </c>
      <c r="K425" s="36" t="n">
        <f aca="false">$E425/H425-1</f>
        <v>-0.299806326662363</v>
      </c>
      <c r="L425" s="37" t="n">
        <v>9.64</v>
      </c>
      <c r="M425" s="37" t="n">
        <v>2.11</v>
      </c>
      <c r="N425" s="34" t="n">
        <v>100012.8</v>
      </c>
      <c r="O425" s="34" t="n">
        <v>65076</v>
      </c>
      <c r="P425" s="38"/>
      <c r="Q425" s="38"/>
    </row>
    <row r="426" customFormat="false" ht="15" hidden="false" customHeight="false" outlineLevel="0" collapsed="false">
      <c r="A426" s="34" t="n">
        <v>418</v>
      </c>
      <c r="B426" s="35" t="s">
        <v>930</v>
      </c>
      <c r="C426" s="35" t="s">
        <v>931</v>
      </c>
      <c r="D426" s="35" t="s">
        <v>116</v>
      </c>
      <c r="E426" s="34" t="n">
        <v>39200</v>
      </c>
      <c r="F426" s="34" t="n">
        <v>38450</v>
      </c>
      <c r="G426" s="34" t="n">
        <v>38200</v>
      </c>
      <c r="H426" s="34" t="n">
        <v>43000</v>
      </c>
      <c r="I426" s="36" t="n">
        <f aca="false">$E426/F426-1</f>
        <v>0.0195058517555267</v>
      </c>
      <c r="J426" s="36" t="n">
        <f aca="false">$E426/G426-1</f>
        <v>0.0261780104712042</v>
      </c>
      <c r="K426" s="36" t="n">
        <f aca="false">$E426/H426-1</f>
        <v>-0.0883720930232558</v>
      </c>
      <c r="L426" s="37" t="n">
        <v>-1269.09</v>
      </c>
      <c r="M426" s="37" t="n">
        <v>1.91</v>
      </c>
      <c r="N426" s="34" t="n">
        <v>60900</v>
      </c>
      <c r="O426" s="34" t="n">
        <v>20850</v>
      </c>
      <c r="P426" s="38"/>
      <c r="Q426" s="38"/>
    </row>
    <row r="427" customFormat="false" ht="15" hidden="false" customHeight="false" outlineLevel="0" collapsed="false">
      <c r="A427" s="34" t="n">
        <v>419</v>
      </c>
      <c r="B427" s="35" t="s">
        <v>932</v>
      </c>
      <c r="C427" s="35" t="s">
        <v>933</v>
      </c>
      <c r="D427" s="35" t="s">
        <v>116</v>
      </c>
      <c r="E427" s="34" t="n">
        <v>58000</v>
      </c>
      <c r="F427" s="34" t="n">
        <v>56900</v>
      </c>
      <c r="G427" s="34" t="n">
        <v>58000</v>
      </c>
      <c r="H427" s="34" t="n">
        <v>59700</v>
      </c>
      <c r="I427" s="36" t="n">
        <f aca="false">$E427/F427-1</f>
        <v>0.0193321616871704</v>
      </c>
      <c r="J427" s="36" t="n">
        <f aca="false">$E427/G427-1</f>
        <v>0</v>
      </c>
      <c r="K427" s="36" t="n">
        <f aca="false">$E427/H427-1</f>
        <v>-0.0284757118927973</v>
      </c>
      <c r="L427" s="37" t="n">
        <v>8.81</v>
      </c>
      <c r="M427" s="37" t="n">
        <v>1.2</v>
      </c>
      <c r="N427" s="34" t="n">
        <v>63000</v>
      </c>
      <c r="O427" s="34" t="n">
        <v>54500</v>
      </c>
      <c r="P427" s="38"/>
      <c r="Q427" s="38"/>
    </row>
    <row r="428" customFormat="false" ht="15" hidden="false" customHeight="false" outlineLevel="0" collapsed="false">
      <c r="A428" s="34" t="n">
        <v>420</v>
      </c>
      <c r="B428" s="35" t="s">
        <v>934</v>
      </c>
      <c r="C428" s="35" t="s">
        <v>935</v>
      </c>
      <c r="D428" s="35" t="s">
        <v>133</v>
      </c>
      <c r="E428" s="34" t="n">
        <v>58300</v>
      </c>
      <c r="F428" s="34" t="n">
        <v>59000</v>
      </c>
      <c r="G428" s="34" t="n">
        <v>64700</v>
      </c>
      <c r="H428" s="34" t="n">
        <v>70000</v>
      </c>
      <c r="I428" s="36" t="n">
        <f aca="false">$E428/F428-1</f>
        <v>-0.0118644067796611</v>
      </c>
      <c r="J428" s="36" t="n">
        <f aca="false">$E428/G428-1</f>
        <v>-0.0989180834621329</v>
      </c>
      <c r="K428" s="36" t="n">
        <f aca="false">$E428/H428-1</f>
        <v>-0.167142857142857</v>
      </c>
      <c r="L428" s="37" t="n">
        <v>131.48</v>
      </c>
      <c r="M428" s="37" t="n">
        <v>4.79</v>
      </c>
      <c r="N428" s="34" t="n">
        <v>80400</v>
      </c>
      <c r="O428" s="34" t="n">
        <v>58300</v>
      </c>
      <c r="P428" s="38"/>
      <c r="Q428" s="38"/>
    </row>
    <row r="429" customFormat="false" ht="15" hidden="false" customHeight="false" outlineLevel="0" collapsed="false">
      <c r="A429" s="34" t="n">
        <v>421</v>
      </c>
      <c r="B429" s="35" t="s">
        <v>936</v>
      </c>
      <c r="C429" s="35" t="s">
        <v>937</v>
      </c>
      <c r="D429" s="35" t="s">
        <v>111</v>
      </c>
      <c r="E429" s="34" t="n">
        <v>52900</v>
      </c>
      <c r="F429" s="34" t="n">
        <v>53900</v>
      </c>
      <c r="G429" s="34" t="n">
        <v>30900</v>
      </c>
      <c r="H429" s="34" t="n">
        <v>41625.98</v>
      </c>
      <c r="I429" s="36" t="n">
        <f aca="false">$E429/F429-1</f>
        <v>-0.0185528756957328</v>
      </c>
      <c r="J429" s="36" t="n">
        <f aca="false">$E429/G429-1</f>
        <v>0.711974110032362</v>
      </c>
      <c r="K429" s="36" t="n">
        <f aca="false">$E429/H429-1</f>
        <v>0.270840950771609</v>
      </c>
      <c r="L429" s="37" t="n">
        <v>6.12</v>
      </c>
      <c r="M429" s="37" t="n">
        <v>0.63</v>
      </c>
      <c r="N429" s="34" t="n">
        <v>60845.4</v>
      </c>
      <c r="O429" s="34" t="n">
        <v>30900</v>
      </c>
      <c r="P429" s="38"/>
      <c r="Q429" s="38"/>
    </row>
    <row r="430" customFormat="false" ht="15" hidden="false" customHeight="false" outlineLevel="0" collapsed="false">
      <c r="A430" s="34" t="n">
        <v>422</v>
      </c>
      <c r="B430" s="35" t="s">
        <v>938</v>
      </c>
      <c r="C430" s="35" t="s">
        <v>939</v>
      </c>
      <c r="D430" s="35" t="s">
        <v>116</v>
      </c>
      <c r="E430" s="34" t="n">
        <v>36700</v>
      </c>
      <c r="F430" s="34" t="n">
        <v>35100</v>
      </c>
      <c r="G430" s="34" t="n">
        <v>41189.72</v>
      </c>
      <c r="H430" s="34" t="n">
        <v>51733.5</v>
      </c>
      <c r="I430" s="36" t="n">
        <f aca="false">$E430/F430-1</f>
        <v>0.0455840455840455</v>
      </c>
      <c r="J430" s="36" t="n">
        <f aca="false">$E430/G430-1</f>
        <v>-0.109000983740603</v>
      </c>
      <c r="K430" s="36" t="n">
        <f aca="false">$E430/H430-1</f>
        <v>-0.290595068959185</v>
      </c>
      <c r="L430" s="37" t="n">
        <v>15.69</v>
      </c>
      <c r="M430" s="37" t="n">
        <v>2.41</v>
      </c>
      <c r="N430" s="34" t="n">
        <v>55872.18</v>
      </c>
      <c r="O430" s="34" t="n">
        <v>35000</v>
      </c>
      <c r="P430" s="38" t="n">
        <v>21.3</v>
      </c>
      <c r="Q430" s="38" t="n">
        <v>2.79</v>
      </c>
    </row>
    <row r="431" customFormat="false" ht="15" hidden="false" customHeight="false" outlineLevel="0" collapsed="false">
      <c r="A431" s="34" t="n">
        <v>423</v>
      </c>
      <c r="B431" s="35" t="s">
        <v>940</v>
      </c>
      <c r="C431" s="35" t="s">
        <v>941</v>
      </c>
      <c r="D431" s="35" t="s">
        <v>111</v>
      </c>
      <c r="E431" s="34" t="n">
        <v>25200</v>
      </c>
      <c r="F431" s="34" t="n">
        <v>24000</v>
      </c>
      <c r="G431" s="34" t="n">
        <v>25662.63</v>
      </c>
      <c r="H431" s="34" t="n">
        <v>24907.19</v>
      </c>
      <c r="I431" s="36" t="n">
        <f aca="false">$E431/F431-1</f>
        <v>0.05</v>
      </c>
      <c r="J431" s="36" t="n">
        <f aca="false">$E431/G431-1</f>
        <v>-0.018027380669869</v>
      </c>
      <c r="K431" s="36" t="n">
        <f aca="false">$E431/H431-1</f>
        <v>0.0117560431345327</v>
      </c>
      <c r="L431" s="37" t="n">
        <v>17.03</v>
      </c>
      <c r="M431" s="37" t="n">
        <v>0.51</v>
      </c>
      <c r="N431" s="34" t="n">
        <v>39674.7</v>
      </c>
      <c r="O431" s="34" t="n">
        <v>23000</v>
      </c>
      <c r="P431" s="38"/>
      <c r="Q431" s="38"/>
    </row>
    <row r="432" customFormat="false" ht="15" hidden="false" customHeight="false" outlineLevel="0" collapsed="false">
      <c r="A432" s="34" t="n">
        <v>424</v>
      </c>
      <c r="B432" s="35" t="s">
        <v>942</v>
      </c>
      <c r="C432" s="35" t="s">
        <v>943</v>
      </c>
      <c r="D432" s="35" t="s">
        <v>111</v>
      </c>
      <c r="E432" s="34" t="n">
        <v>193000</v>
      </c>
      <c r="F432" s="34" t="n">
        <v>193000</v>
      </c>
      <c r="G432" s="34" t="n">
        <v>193000</v>
      </c>
      <c r="H432" s="34" t="n">
        <v>142274</v>
      </c>
      <c r="I432" s="36" t="n">
        <f aca="false">$E432/F432-1</f>
        <v>0</v>
      </c>
      <c r="J432" s="36" t="n">
        <f aca="false">$E432/G432-1</f>
        <v>0</v>
      </c>
      <c r="K432" s="36" t="n">
        <f aca="false">$E432/H432-1</f>
        <v>0.356537385608052</v>
      </c>
      <c r="L432" s="37" t="n">
        <v>12.78</v>
      </c>
      <c r="M432" s="37" t="n">
        <v>1.77</v>
      </c>
      <c r="N432" s="34" t="n">
        <v>193000</v>
      </c>
      <c r="O432" s="34" t="n">
        <v>113917.32</v>
      </c>
      <c r="P432" s="38"/>
      <c r="Q432" s="38"/>
    </row>
    <row r="433" customFormat="false" ht="15" hidden="false" customHeight="false" outlineLevel="0" collapsed="false">
      <c r="A433" s="34" t="n">
        <v>425</v>
      </c>
      <c r="B433" s="35" t="s">
        <v>944</v>
      </c>
      <c r="C433" s="35" t="s">
        <v>945</v>
      </c>
      <c r="D433" s="35" t="s">
        <v>111</v>
      </c>
      <c r="E433" s="34" t="n">
        <v>65000</v>
      </c>
      <c r="F433" s="34" t="n">
        <v>62000</v>
      </c>
      <c r="G433" s="34" t="n">
        <v>86500</v>
      </c>
      <c r="H433" s="34"/>
      <c r="I433" s="36" t="n">
        <f aca="false">$E433/F433-1</f>
        <v>0.0483870967741935</v>
      </c>
      <c r="J433" s="36" t="n">
        <f aca="false">$E433/G433-1</f>
        <v>-0.248554913294798</v>
      </c>
      <c r="K433" s="36" t="e">
        <f aca="false">$E433/H433-1</f>
        <v>#DIV/0!</v>
      </c>
      <c r="L433" s="37" t="n">
        <v>6.57</v>
      </c>
      <c r="M433" s="37" t="n">
        <v>0.76</v>
      </c>
      <c r="N433" s="34"/>
      <c r="O433" s="34"/>
      <c r="P433" s="38"/>
      <c r="Q433" s="38"/>
    </row>
    <row r="434" customFormat="false" ht="15" hidden="false" customHeight="false" outlineLevel="0" collapsed="false">
      <c r="A434" s="34" t="n">
        <v>426</v>
      </c>
      <c r="B434" s="35" t="s">
        <v>946</v>
      </c>
      <c r="C434" s="35" t="s">
        <v>947</v>
      </c>
      <c r="D434" s="35" t="s">
        <v>116</v>
      </c>
      <c r="E434" s="34" t="n">
        <v>21250</v>
      </c>
      <c r="F434" s="34" t="n">
        <v>21800</v>
      </c>
      <c r="G434" s="34" t="n">
        <v>19144.64</v>
      </c>
      <c r="H434" s="34" t="n">
        <v>19804.8</v>
      </c>
      <c r="I434" s="36" t="n">
        <f aca="false">$E434/F434-1</f>
        <v>-0.0252293577981652</v>
      </c>
      <c r="J434" s="36" t="n">
        <f aca="false">$E434/G434-1</f>
        <v>0.109971250438765</v>
      </c>
      <c r="K434" s="36" t="n">
        <f aca="false">$E434/H434-1</f>
        <v>0.0729722087574729</v>
      </c>
      <c r="L434" s="37" t="n">
        <v>13.39</v>
      </c>
      <c r="M434" s="37" t="n">
        <v>1.77</v>
      </c>
      <c r="N434" s="34" t="n">
        <v>21900</v>
      </c>
      <c r="O434" s="34" t="n">
        <v>17989.36</v>
      </c>
      <c r="P434" s="38"/>
      <c r="Q434" s="38"/>
    </row>
    <row r="435" customFormat="false" ht="15" hidden="false" customHeight="false" outlineLevel="0" collapsed="false">
      <c r="A435" s="34" t="n">
        <v>427</v>
      </c>
      <c r="B435" s="35" t="s">
        <v>948</v>
      </c>
      <c r="C435" s="35" t="s">
        <v>949</v>
      </c>
      <c r="D435" s="35" t="s">
        <v>133</v>
      </c>
      <c r="E435" s="34" t="n">
        <v>15200</v>
      </c>
      <c r="F435" s="34" t="n">
        <v>14500</v>
      </c>
      <c r="G435" s="34" t="n">
        <v>13698.9</v>
      </c>
      <c r="H435" s="34" t="n">
        <v>13698.9</v>
      </c>
      <c r="I435" s="36" t="n">
        <f aca="false">$E435/F435-1</f>
        <v>0.0482758620689656</v>
      </c>
      <c r="J435" s="36" t="n">
        <f aca="false">$E435/G435-1</f>
        <v>0.109578141310616</v>
      </c>
      <c r="K435" s="36" t="n">
        <f aca="false">$E435/H435-1</f>
        <v>0.109578141310616</v>
      </c>
      <c r="L435" s="37" t="n">
        <v>6.37</v>
      </c>
      <c r="M435" s="37" t="n">
        <v>0.76</v>
      </c>
      <c r="N435" s="34" t="n">
        <v>15908.4</v>
      </c>
      <c r="O435" s="34" t="n">
        <v>12461.58</v>
      </c>
      <c r="P435" s="38"/>
      <c r="Q435" s="38"/>
    </row>
    <row r="436" customFormat="false" ht="15" hidden="false" customHeight="false" outlineLevel="0" collapsed="false">
      <c r="A436" s="34" t="n">
        <v>428</v>
      </c>
      <c r="B436" s="35" t="s">
        <v>950</v>
      </c>
      <c r="C436" s="35" t="s">
        <v>951</v>
      </c>
      <c r="D436" s="35" t="s">
        <v>111</v>
      </c>
      <c r="E436" s="34" t="n">
        <v>29925</v>
      </c>
      <c r="F436" s="34" t="n">
        <v>30033</v>
      </c>
      <c r="G436" s="34" t="n">
        <v>29483</v>
      </c>
      <c r="H436" s="34" t="n">
        <v>34690</v>
      </c>
      <c r="I436" s="36" t="n">
        <f aca="false">$E436/F436-1</f>
        <v>-0.00359604435121363</v>
      </c>
      <c r="J436" s="36" t="n">
        <f aca="false">$E436/G436-1</f>
        <v>0.0149916901265137</v>
      </c>
      <c r="K436" s="36" t="n">
        <f aca="false">$E436/H436-1</f>
        <v>-0.137359469587777</v>
      </c>
      <c r="L436" s="37" t="n">
        <v>4.99</v>
      </c>
      <c r="M436" s="37" t="n">
        <v>1.07</v>
      </c>
      <c r="N436" s="34" t="n">
        <v>39900</v>
      </c>
      <c r="O436" s="34" t="n">
        <v>28600</v>
      </c>
      <c r="P436" s="38"/>
      <c r="Q436" s="38"/>
    </row>
    <row r="437" customFormat="false" ht="15" hidden="false" customHeight="false" outlineLevel="0" collapsed="false">
      <c r="A437" s="34" t="n">
        <v>429</v>
      </c>
      <c r="B437" s="35" t="s">
        <v>952</v>
      </c>
      <c r="C437" s="35" t="s">
        <v>953</v>
      </c>
      <c r="D437" s="35" t="s">
        <v>111</v>
      </c>
      <c r="E437" s="34" t="n">
        <v>5398</v>
      </c>
      <c r="F437" s="34" t="n">
        <v>5200</v>
      </c>
      <c r="G437" s="34" t="n">
        <v>5690</v>
      </c>
      <c r="H437" s="34" t="n">
        <v>6244</v>
      </c>
      <c r="I437" s="36" t="n">
        <f aca="false">$E437/F437-1</f>
        <v>0.0380769230769231</v>
      </c>
      <c r="J437" s="36" t="n">
        <f aca="false">$E437/G437-1</f>
        <v>-0.0513181019332162</v>
      </c>
      <c r="K437" s="36" t="n">
        <f aca="false">$E437/H437-1</f>
        <v>-0.135490070467649</v>
      </c>
      <c r="L437" s="37" t="n">
        <v>11.29</v>
      </c>
      <c r="M437" s="37" t="n">
        <v>0.48</v>
      </c>
      <c r="N437" s="34" t="n">
        <v>6900</v>
      </c>
      <c r="O437" s="34" t="n">
        <v>5086</v>
      </c>
      <c r="P437" s="38"/>
      <c r="Q437" s="38"/>
    </row>
    <row r="438" customFormat="false" ht="15" hidden="false" customHeight="false" outlineLevel="0" collapsed="false">
      <c r="A438" s="34" t="n">
        <v>430</v>
      </c>
      <c r="B438" s="35" t="s">
        <v>954</v>
      </c>
      <c r="C438" s="35" t="s">
        <v>955</v>
      </c>
      <c r="D438" s="35" t="s">
        <v>111</v>
      </c>
      <c r="E438" s="34" t="n">
        <v>4900</v>
      </c>
      <c r="F438" s="34" t="n">
        <v>4900</v>
      </c>
      <c r="G438" s="34" t="n">
        <v>4900</v>
      </c>
      <c r="H438" s="34" t="n">
        <v>4200</v>
      </c>
      <c r="I438" s="36" t="n">
        <f aca="false">$E438/F438-1</f>
        <v>0</v>
      </c>
      <c r="J438" s="36" t="n">
        <f aca="false">$E438/G438-1</f>
        <v>0</v>
      </c>
      <c r="K438" s="36" t="n">
        <f aca="false">$E438/H438-1</f>
        <v>0.166666666666667</v>
      </c>
      <c r="L438" s="37" t="n">
        <v>-5.78</v>
      </c>
      <c r="M438" s="37" t="n">
        <v>1.61</v>
      </c>
      <c r="N438" s="34" t="n">
        <v>4900</v>
      </c>
      <c r="O438" s="34" t="n">
        <v>4000</v>
      </c>
      <c r="P438" s="38"/>
      <c r="Q438" s="38"/>
    </row>
    <row r="439" customFormat="false" ht="15" hidden="false" customHeight="false" outlineLevel="0" collapsed="false">
      <c r="A439" s="34" t="n">
        <v>431</v>
      </c>
      <c r="B439" s="35" t="s">
        <v>956</v>
      </c>
      <c r="C439" s="35" t="s">
        <v>957</v>
      </c>
      <c r="D439" s="35" t="s">
        <v>111</v>
      </c>
      <c r="E439" s="34" t="n">
        <v>12100</v>
      </c>
      <c r="F439" s="34" t="n">
        <v>10860</v>
      </c>
      <c r="G439" s="34" t="n">
        <v>11528.37</v>
      </c>
      <c r="H439" s="34" t="n">
        <v>11503.79</v>
      </c>
      <c r="I439" s="36" t="n">
        <f aca="false">$E439/F439-1</f>
        <v>0.114180478821363</v>
      </c>
      <c r="J439" s="36" t="n">
        <f aca="false">$E439/G439-1</f>
        <v>0.0495846333870269</v>
      </c>
      <c r="K439" s="36" t="n">
        <f aca="false">$E439/H439-1</f>
        <v>0.0518272673614522</v>
      </c>
      <c r="L439" s="37" t="n">
        <v>6.41</v>
      </c>
      <c r="M439" s="37" t="n">
        <v>0.93</v>
      </c>
      <c r="N439" s="34" t="n">
        <v>16968.99</v>
      </c>
      <c r="O439" s="34" t="n">
        <v>8816.61</v>
      </c>
      <c r="P439" s="38"/>
      <c r="Q439" s="38"/>
    </row>
    <row r="440" customFormat="false" ht="15" hidden="false" customHeight="false" outlineLevel="0" collapsed="false">
      <c r="A440" s="34" t="n">
        <v>432</v>
      </c>
      <c r="B440" s="35" t="s">
        <v>958</v>
      </c>
      <c r="C440" s="35" t="s">
        <v>959</v>
      </c>
      <c r="D440" s="35" t="s">
        <v>111</v>
      </c>
      <c r="E440" s="34" t="n">
        <v>3300</v>
      </c>
      <c r="F440" s="34" t="n">
        <v>3300</v>
      </c>
      <c r="G440" s="34" t="n">
        <v>5800</v>
      </c>
      <c r="H440" s="34" t="n">
        <v>10020</v>
      </c>
      <c r="I440" s="36" t="n">
        <f aca="false">$E440/F440-1</f>
        <v>0</v>
      </c>
      <c r="J440" s="36" t="n">
        <f aca="false">$E440/G440-1</f>
        <v>-0.431034482758621</v>
      </c>
      <c r="K440" s="36" t="n">
        <f aca="false">$E440/H440-1</f>
        <v>-0.670658682634731</v>
      </c>
      <c r="L440" s="37" t="n">
        <v>8.56</v>
      </c>
      <c r="M440" s="37" t="n">
        <v>0.27</v>
      </c>
      <c r="N440" s="34" t="n">
        <v>11903</v>
      </c>
      <c r="O440" s="34" t="n">
        <v>3300</v>
      </c>
      <c r="P440" s="38"/>
      <c r="Q440" s="38"/>
    </row>
    <row r="441" customFormat="false" ht="15" hidden="false" customHeight="false" outlineLevel="0" collapsed="false">
      <c r="A441" s="34" t="n">
        <v>433</v>
      </c>
      <c r="B441" s="35" t="s">
        <v>960</v>
      </c>
      <c r="C441" s="35" t="s">
        <v>961</v>
      </c>
      <c r="D441" s="35" t="s">
        <v>133</v>
      </c>
      <c r="E441" s="34" t="n">
        <v>59500</v>
      </c>
      <c r="F441" s="34" t="n">
        <v>60700</v>
      </c>
      <c r="G441" s="34" t="n">
        <v>63500</v>
      </c>
      <c r="H441" s="34" t="n">
        <v>49452.48</v>
      </c>
      <c r="I441" s="36" t="n">
        <f aca="false">$E441/F441-1</f>
        <v>-0.0197693574958814</v>
      </c>
      <c r="J441" s="36" t="n">
        <f aca="false">$E441/G441-1</f>
        <v>-0.062992125984252</v>
      </c>
      <c r="K441" s="36" t="n">
        <f aca="false">$E441/H441-1</f>
        <v>0.203175250260452</v>
      </c>
      <c r="L441" s="37" t="n">
        <v>7.35</v>
      </c>
      <c r="M441" s="37" t="n">
        <v>2.14</v>
      </c>
      <c r="N441" s="34" t="n">
        <v>63800</v>
      </c>
      <c r="O441" s="34" t="n">
        <v>46642.68</v>
      </c>
      <c r="P441" s="38"/>
      <c r="Q441" s="38"/>
    </row>
    <row r="442" customFormat="false" ht="15" hidden="false" customHeight="false" outlineLevel="0" collapsed="false">
      <c r="A442" s="34" t="n">
        <v>434</v>
      </c>
      <c r="B442" s="35" t="s">
        <v>962</v>
      </c>
      <c r="C442" s="35" t="s">
        <v>963</v>
      </c>
      <c r="D442" s="35" t="s">
        <v>116</v>
      </c>
      <c r="E442" s="34" t="n">
        <v>39950</v>
      </c>
      <c r="F442" s="34" t="n">
        <v>37200</v>
      </c>
      <c r="G442" s="34" t="n">
        <v>39926.6</v>
      </c>
      <c r="H442" s="34" t="n">
        <v>43529</v>
      </c>
      <c r="I442" s="36" t="n">
        <f aca="false">$E442/F442-1</f>
        <v>0.0739247311827957</v>
      </c>
      <c r="J442" s="36" t="n">
        <f aca="false">$E442/G442-1</f>
        <v>0.000586075448447909</v>
      </c>
      <c r="K442" s="36" t="n">
        <f aca="false">$E442/H442-1</f>
        <v>-0.0822210480369409</v>
      </c>
      <c r="L442" s="37" t="n">
        <v>14.39</v>
      </c>
      <c r="M442" s="37" t="n">
        <v>1.65</v>
      </c>
      <c r="N442" s="34" t="n">
        <v>45405.25</v>
      </c>
      <c r="O442" s="34" t="n">
        <v>28969.3</v>
      </c>
      <c r="P442" s="38"/>
      <c r="Q442" s="38"/>
    </row>
    <row r="443" customFormat="false" ht="15" hidden="false" customHeight="false" outlineLevel="0" collapsed="false">
      <c r="A443" s="34" t="n">
        <v>435</v>
      </c>
      <c r="B443" s="35" t="s">
        <v>964</v>
      </c>
      <c r="C443" s="35" t="s">
        <v>965</v>
      </c>
      <c r="D443" s="35" t="s">
        <v>133</v>
      </c>
      <c r="E443" s="34" t="n">
        <v>11700</v>
      </c>
      <c r="F443" s="34" t="n">
        <v>13500</v>
      </c>
      <c r="G443" s="34" t="n">
        <v>21000</v>
      </c>
      <c r="H443" s="34" t="n">
        <v>15100</v>
      </c>
      <c r="I443" s="36" t="n">
        <f aca="false">$E443/F443-1</f>
        <v>-0.133333333333333</v>
      </c>
      <c r="J443" s="36" t="n">
        <f aca="false">$E443/G443-1</f>
        <v>-0.442857142857143</v>
      </c>
      <c r="K443" s="36" t="n">
        <f aca="false">$E443/H443-1</f>
        <v>-0.225165562913907</v>
      </c>
      <c r="L443" s="37" t="n">
        <v>3.93</v>
      </c>
      <c r="M443" s="37" t="n">
        <v>0.55</v>
      </c>
      <c r="N443" s="34" t="n">
        <v>26400</v>
      </c>
      <c r="O443" s="34" t="n">
        <v>9300</v>
      </c>
      <c r="P443" s="38"/>
      <c r="Q443" s="38"/>
    </row>
    <row r="444" customFormat="false" ht="15" hidden="false" customHeight="false" outlineLevel="0" collapsed="false">
      <c r="A444" s="34" t="n">
        <v>436</v>
      </c>
      <c r="B444" s="35" t="s">
        <v>966</v>
      </c>
      <c r="C444" s="35" t="s">
        <v>967</v>
      </c>
      <c r="D444" s="35" t="s">
        <v>111</v>
      </c>
      <c r="E444" s="34" t="n">
        <v>13000</v>
      </c>
      <c r="F444" s="34" t="n">
        <v>13000</v>
      </c>
      <c r="G444" s="34" t="n">
        <v>13000</v>
      </c>
      <c r="H444" s="34" t="n">
        <v>14100</v>
      </c>
      <c r="I444" s="36" t="n">
        <f aca="false">$E444/F444-1</f>
        <v>0</v>
      </c>
      <c r="J444" s="36" t="n">
        <f aca="false">$E444/G444-1</f>
        <v>0</v>
      </c>
      <c r="K444" s="36" t="n">
        <f aca="false">$E444/H444-1</f>
        <v>-0.0780141843971631</v>
      </c>
      <c r="L444" s="37" t="n">
        <v>5.8</v>
      </c>
      <c r="M444" s="37" t="n">
        <v>0.64</v>
      </c>
      <c r="N444" s="34" t="n">
        <v>32500</v>
      </c>
      <c r="O444" s="34" t="n">
        <v>13000</v>
      </c>
      <c r="P444" s="38"/>
      <c r="Q444" s="38"/>
    </row>
    <row r="445" customFormat="false" ht="15" hidden="false" customHeight="false" outlineLevel="0" collapsed="false">
      <c r="A445" s="34" t="n">
        <v>437</v>
      </c>
      <c r="B445" s="35" t="s">
        <v>968</v>
      </c>
      <c r="C445" s="35" t="s">
        <v>969</v>
      </c>
      <c r="D445" s="35" t="s">
        <v>111</v>
      </c>
      <c r="E445" s="34" t="n">
        <v>26000</v>
      </c>
      <c r="F445" s="34" t="n">
        <v>26703</v>
      </c>
      <c r="G445" s="34" t="n">
        <v>27916</v>
      </c>
      <c r="H445" s="34" t="n">
        <v>25805.5</v>
      </c>
      <c r="I445" s="36" t="n">
        <f aca="false">$E445/F445-1</f>
        <v>-0.0263266299666705</v>
      </c>
      <c r="J445" s="36" t="n">
        <f aca="false">$E445/G445-1</f>
        <v>-0.0686344748531308</v>
      </c>
      <c r="K445" s="36" t="n">
        <f aca="false">$E445/H445-1</f>
        <v>0.00753715293251434</v>
      </c>
      <c r="L445" s="37" t="n">
        <v>19.99</v>
      </c>
      <c r="M445" s="37" t="n">
        <v>2.39</v>
      </c>
      <c r="N445" s="34" t="n">
        <v>29123.35</v>
      </c>
      <c r="O445" s="34" t="n">
        <v>21750.35</v>
      </c>
      <c r="P445" s="38"/>
      <c r="Q445" s="38"/>
    </row>
    <row r="446" customFormat="false" ht="15" hidden="false" customHeight="false" outlineLevel="0" collapsed="false">
      <c r="A446" s="34" t="n">
        <v>438</v>
      </c>
      <c r="B446" s="35" t="s">
        <v>970</v>
      </c>
      <c r="C446" s="35" t="s">
        <v>971</v>
      </c>
      <c r="D446" s="35" t="s">
        <v>133</v>
      </c>
      <c r="E446" s="34" t="n">
        <v>1300</v>
      </c>
      <c r="F446" s="34" t="n">
        <v>1300</v>
      </c>
      <c r="G446" s="34" t="n">
        <v>1400</v>
      </c>
      <c r="H446" s="34" t="n">
        <v>2000</v>
      </c>
      <c r="I446" s="36" t="n">
        <f aca="false">$E446/F446-1</f>
        <v>0</v>
      </c>
      <c r="J446" s="36" t="n">
        <f aca="false">$E446/G446-1</f>
        <v>-0.0714285714285714</v>
      </c>
      <c r="K446" s="36" t="n">
        <f aca="false">$E446/H446-1</f>
        <v>-0.35</v>
      </c>
      <c r="L446" s="37" t="n">
        <v>-3.45</v>
      </c>
      <c r="M446" s="37" t="n">
        <v>0.11</v>
      </c>
      <c r="N446" s="34" t="n">
        <v>2600</v>
      </c>
      <c r="O446" s="34" t="n">
        <v>1200</v>
      </c>
      <c r="P446" s="38"/>
      <c r="Q446" s="38"/>
    </row>
    <row r="447" customFormat="false" ht="15" hidden="false" customHeight="false" outlineLevel="0" collapsed="false">
      <c r="A447" s="34" t="n">
        <v>439</v>
      </c>
      <c r="B447" s="35" t="s">
        <v>972</v>
      </c>
      <c r="C447" s="35" t="s">
        <v>973</v>
      </c>
      <c r="D447" s="35" t="s">
        <v>111</v>
      </c>
      <c r="E447" s="34" t="n">
        <v>28865</v>
      </c>
      <c r="F447" s="34" t="n">
        <v>29137</v>
      </c>
      <c r="G447" s="34" t="n">
        <v>28500</v>
      </c>
      <c r="H447" s="34" t="n">
        <v>23282.88</v>
      </c>
      <c r="I447" s="36" t="n">
        <f aca="false">$E447/F447-1</f>
        <v>-0.00933520952740496</v>
      </c>
      <c r="J447" s="36" t="n">
        <f aca="false">$E447/G447-1</f>
        <v>0.0128070175438597</v>
      </c>
      <c r="K447" s="36" t="n">
        <f aca="false">$E447/H447-1</f>
        <v>0.239752126884647</v>
      </c>
      <c r="L447" s="37"/>
      <c r="M447" s="37"/>
      <c r="N447" s="34" t="n">
        <v>29982.25</v>
      </c>
      <c r="O447" s="34" t="n">
        <v>22426.23</v>
      </c>
      <c r="P447" s="38"/>
      <c r="Q447" s="38"/>
    </row>
    <row r="448" customFormat="false" ht="15" hidden="false" customHeight="false" outlineLevel="0" collapsed="false">
      <c r="A448" s="34" t="n">
        <v>440</v>
      </c>
      <c r="B448" s="35" t="s">
        <v>974</v>
      </c>
      <c r="C448" s="35" t="s">
        <v>975</v>
      </c>
      <c r="D448" s="35" t="s">
        <v>111</v>
      </c>
      <c r="E448" s="34" t="n">
        <v>16500</v>
      </c>
      <c r="F448" s="34" t="n">
        <v>16000</v>
      </c>
      <c r="G448" s="34" t="n">
        <v>15900</v>
      </c>
      <c r="H448" s="34" t="n">
        <v>17466</v>
      </c>
      <c r="I448" s="36" t="n">
        <f aca="false">$E448/F448-1</f>
        <v>0.03125</v>
      </c>
      <c r="J448" s="36" t="n">
        <f aca="false">$E448/G448-1</f>
        <v>0.0377358490566038</v>
      </c>
      <c r="K448" s="36" t="n">
        <f aca="false">$E448/H448-1</f>
        <v>-0.0553074544829956</v>
      </c>
      <c r="L448" s="37" t="n">
        <v>57.27</v>
      </c>
      <c r="M448" s="37" t="n">
        <v>1.44</v>
      </c>
      <c r="N448" s="34" t="n">
        <v>21000</v>
      </c>
      <c r="O448" s="34" t="n">
        <v>13441.16</v>
      </c>
      <c r="P448" s="38"/>
      <c r="Q448" s="38"/>
    </row>
    <row r="449" customFormat="false" ht="15" hidden="false" customHeight="false" outlineLevel="0" collapsed="false">
      <c r="A449" s="34" t="n">
        <v>441</v>
      </c>
      <c r="B449" s="35" t="s">
        <v>976</v>
      </c>
      <c r="C449" s="35" t="s">
        <v>977</v>
      </c>
      <c r="D449" s="35" t="s">
        <v>111</v>
      </c>
      <c r="E449" s="34" t="n">
        <v>4000</v>
      </c>
      <c r="F449" s="34" t="n">
        <v>4000</v>
      </c>
      <c r="G449" s="34" t="n">
        <v>4000</v>
      </c>
      <c r="H449" s="34" t="n">
        <v>4000</v>
      </c>
      <c r="I449" s="36" t="n">
        <f aca="false">$E449/F449-1</f>
        <v>0</v>
      </c>
      <c r="J449" s="36" t="n">
        <f aca="false">$E449/G449-1</f>
        <v>0</v>
      </c>
      <c r="K449" s="36" t="n">
        <f aca="false">$E449/H449-1</f>
        <v>0</v>
      </c>
      <c r="L449" s="37" t="n">
        <v>3.39</v>
      </c>
      <c r="M449" s="37" t="n">
        <v>0.52</v>
      </c>
      <c r="N449" s="34" t="n">
        <v>4000</v>
      </c>
      <c r="O449" s="34" t="n">
        <v>4000</v>
      </c>
      <c r="P449" s="38"/>
      <c r="Q449" s="38"/>
    </row>
    <row r="450" customFormat="false" ht="15" hidden="false" customHeight="false" outlineLevel="0" collapsed="false">
      <c r="A450" s="34" t="n">
        <v>442</v>
      </c>
      <c r="B450" s="35" t="s">
        <v>978</v>
      </c>
      <c r="C450" s="35" t="s">
        <v>979</v>
      </c>
      <c r="D450" s="35" t="s">
        <v>111</v>
      </c>
      <c r="E450" s="34" t="n">
        <v>20200</v>
      </c>
      <c r="F450" s="34" t="n">
        <v>20000</v>
      </c>
      <c r="G450" s="34" t="n">
        <v>17619.4</v>
      </c>
      <c r="H450" s="34" t="n">
        <v>16476.52</v>
      </c>
      <c r="I450" s="36" t="n">
        <f aca="false">$E450/F450-1</f>
        <v>0.01</v>
      </c>
      <c r="J450" s="36" t="n">
        <f aca="false">$E450/G450-1</f>
        <v>0.146463557215342</v>
      </c>
      <c r="K450" s="36" t="n">
        <f aca="false">$E450/H450-1</f>
        <v>0.225987040952823</v>
      </c>
      <c r="L450" s="37" t="n">
        <v>16.73</v>
      </c>
      <c r="M450" s="37" t="n">
        <v>1.84</v>
      </c>
      <c r="N450" s="34" t="n">
        <v>20200</v>
      </c>
      <c r="O450" s="34" t="n">
        <v>9047.8</v>
      </c>
      <c r="P450" s="38"/>
      <c r="Q450" s="38"/>
    </row>
    <row r="451" customFormat="false" ht="15" hidden="false" customHeight="false" outlineLevel="0" collapsed="false">
      <c r="A451" s="34" t="n">
        <v>443</v>
      </c>
      <c r="B451" s="35" t="s">
        <v>980</v>
      </c>
      <c r="C451" s="35" t="s">
        <v>981</v>
      </c>
      <c r="D451" s="35" t="s">
        <v>111</v>
      </c>
      <c r="E451" s="34" t="n">
        <v>7900</v>
      </c>
      <c r="F451" s="34" t="n">
        <v>8000</v>
      </c>
      <c r="G451" s="34" t="n">
        <v>7784</v>
      </c>
      <c r="H451" s="34" t="n">
        <v>9070.31</v>
      </c>
      <c r="I451" s="36" t="n">
        <f aca="false">$E451/F451-1</f>
        <v>-0.0125</v>
      </c>
      <c r="J451" s="36" t="n">
        <f aca="false">$E451/G451-1</f>
        <v>0.0149023638232271</v>
      </c>
      <c r="K451" s="36" t="n">
        <f aca="false">$E451/H451-1</f>
        <v>-0.129026461058112</v>
      </c>
      <c r="L451" s="37" t="n">
        <v>25.31</v>
      </c>
      <c r="M451" s="37" t="n">
        <v>0.76</v>
      </c>
      <c r="N451" s="34" t="n">
        <v>9372.91</v>
      </c>
      <c r="O451" s="34" t="n">
        <v>7007.55</v>
      </c>
      <c r="P451" s="38"/>
      <c r="Q451" s="38"/>
    </row>
    <row r="452" customFormat="false" ht="15" hidden="false" customHeight="false" outlineLevel="0" collapsed="false">
      <c r="A452" s="34" t="n">
        <v>444</v>
      </c>
      <c r="B452" s="35" t="s">
        <v>982</v>
      </c>
      <c r="C452" s="35" t="s">
        <v>983</v>
      </c>
      <c r="D452" s="35" t="s">
        <v>116</v>
      </c>
      <c r="E452" s="34" t="n">
        <v>82600</v>
      </c>
      <c r="F452" s="34" t="n">
        <v>83400</v>
      </c>
      <c r="G452" s="34" t="n">
        <v>86993.76</v>
      </c>
      <c r="H452" s="34" t="n">
        <v>81967.86</v>
      </c>
      <c r="I452" s="36" t="n">
        <f aca="false">$E452/F452-1</f>
        <v>-0.00959232613908878</v>
      </c>
      <c r="J452" s="36" t="n">
        <f aca="false">$E452/G452-1</f>
        <v>-0.0505066110488843</v>
      </c>
      <c r="K452" s="36" t="n">
        <f aca="false">$E452/H452-1</f>
        <v>0.00771204713652396</v>
      </c>
      <c r="L452" s="37" t="n">
        <v>4.74</v>
      </c>
      <c r="M452" s="37" t="n">
        <v>2.41</v>
      </c>
      <c r="N452" s="34" t="n">
        <v>94710.62</v>
      </c>
      <c r="O452" s="34" t="n">
        <v>81145.44</v>
      </c>
      <c r="P452" s="38"/>
      <c r="Q452" s="38"/>
    </row>
    <row r="453" customFormat="false" ht="15" hidden="false" customHeight="false" outlineLevel="0" collapsed="false">
      <c r="A453" s="34" t="n">
        <v>445</v>
      </c>
      <c r="B453" s="35" t="s">
        <v>984</v>
      </c>
      <c r="C453" s="35" t="s">
        <v>985</v>
      </c>
      <c r="D453" s="35" t="s">
        <v>116</v>
      </c>
      <c r="E453" s="34" t="n">
        <v>45000</v>
      </c>
      <c r="F453" s="34" t="n">
        <v>43400</v>
      </c>
      <c r="G453" s="34" t="n">
        <v>46440.54</v>
      </c>
      <c r="H453" s="34" t="n">
        <v>48665.52</v>
      </c>
      <c r="I453" s="36" t="n">
        <f aca="false">$E453/F453-1</f>
        <v>0.0368663594470047</v>
      </c>
      <c r="J453" s="36" t="n">
        <f aca="false">$E453/G453-1</f>
        <v>-0.031019019158692</v>
      </c>
      <c r="K453" s="36" t="n">
        <f aca="false">$E453/H453-1</f>
        <v>-0.0753206787885961</v>
      </c>
      <c r="L453" s="37" t="n">
        <v>6.11</v>
      </c>
      <c r="M453" s="37" t="n">
        <v>2.78</v>
      </c>
      <c r="N453" s="34" t="n">
        <v>56396.39</v>
      </c>
      <c r="O453" s="34" t="n">
        <v>42600</v>
      </c>
      <c r="P453" s="38" t="n">
        <v>12.345</v>
      </c>
      <c r="Q453" s="38" t="n">
        <v>5.065</v>
      </c>
    </row>
    <row r="454" customFormat="false" ht="15" hidden="false" customHeight="false" outlineLevel="0" collapsed="false">
      <c r="A454" s="34" t="n">
        <v>446</v>
      </c>
      <c r="B454" s="35" t="s">
        <v>986</v>
      </c>
      <c r="C454" s="35" t="s">
        <v>987</v>
      </c>
      <c r="D454" s="35" t="s">
        <v>111</v>
      </c>
      <c r="E454" s="34" t="n">
        <v>32911</v>
      </c>
      <c r="F454" s="34" t="n">
        <v>34126.07</v>
      </c>
      <c r="G454" s="34" t="n">
        <v>34054.51</v>
      </c>
      <c r="H454" s="34" t="n">
        <v>28011.27</v>
      </c>
      <c r="I454" s="36" t="n">
        <f aca="false">$E454/F454-1</f>
        <v>-0.0356053304702241</v>
      </c>
      <c r="J454" s="36" t="n">
        <f aca="false">$E454/G454-1</f>
        <v>-0.0335788123217747</v>
      </c>
      <c r="K454" s="36" t="n">
        <f aca="false">$E454/H454-1</f>
        <v>0.174919951862233</v>
      </c>
      <c r="L454" s="37" t="n">
        <v>5.2</v>
      </c>
      <c r="M454" s="37" t="n">
        <v>2.56</v>
      </c>
      <c r="N454" s="34" t="n">
        <v>37781</v>
      </c>
      <c r="O454" s="34" t="n">
        <v>27109.61</v>
      </c>
      <c r="P454" s="38"/>
      <c r="Q454" s="38"/>
    </row>
    <row r="455" customFormat="false" ht="15" hidden="false" customHeight="false" outlineLevel="0" collapsed="false">
      <c r="A455" s="34" t="n">
        <v>447</v>
      </c>
      <c r="B455" s="35" t="s">
        <v>988</v>
      </c>
      <c r="C455" s="35" t="s">
        <v>989</v>
      </c>
      <c r="D455" s="35" t="s">
        <v>111</v>
      </c>
      <c r="E455" s="34" t="n">
        <v>29500</v>
      </c>
      <c r="F455" s="34" t="n">
        <v>30000</v>
      </c>
      <c r="G455" s="34" t="n">
        <v>32000</v>
      </c>
      <c r="H455" s="34" t="n">
        <v>34800</v>
      </c>
      <c r="I455" s="36" t="n">
        <f aca="false">$E455/F455-1</f>
        <v>-0.0166666666666667</v>
      </c>
      <c r="J455" s="36" t="n">
        <f aca="false">$E455/G455-1</f>
        <v>-0.078125</v>
      </c>
      <c r="K455" s="36" t="n">
        <f aca="false">$E455/H455-1</f>
        <v>-0.152298850574713</v>
      </c>
      <c r="L455" s="37" t="n">
        <v>8.91</v>
      </c>
      <c r="M455" s="37" t="n">
        <v>2.23</v>
      </c>
      <c r="N455" s="34" t="n">
        <v>42000</v>
      </c>
      <c r="O455" s="34" t="n">
        <v>28037</v>
      </c>
      <c r="P455" s="38"/>
      <c r="Q455" s="38"/>
    </row>
    <row r="456" customFormat="false" ht="15" hidden="false" customHeight="false" outlineLevel="0" collapsed="false">
      <c r="A456" s="34" t="n">
        <v>448</v>
      </c>
      <c r="B456" s="35" t="s">
        <v>990</v>
      </c>
      <c r="C456" s="35" t="s">
        <v>991</v>
      </c>
      <c r="D456" s="35" t="s">
        <v>116</v>
      </c>
      <c r="E456" s="34" t="n">
        <v>3040</v>
      </c>
      <c r="F456" s="34" t="n">
        <v>3010</v>
      </c>
      <c r="G456" s="34" t="n">
        <v>3010</v>
      </c>
      <c r="H456" s="34" t="n">
        <v>3110</v>
      </c>
      <c r="I456" s="36" t="n">
        <f aca="false">$E456/F456-1</f>
        <v>0.00996677740863783</v>
      </c>
      <c r="J456" s="36" t="n">
        <f aca="false">$E456/G456-1</f>
        <v>0.00996677740863783</v>
      </c>
      <c r="K456" s="36" t="n">
        <f aca="false">$E456/H456-1</f>
        <v>-0.022508038585209</v>
      </c>
      <c r="L456" s="37" t="n">
        <v>-1.1</v>
      </c>
      <c r="M456" s="37" t="n">
        <v>0.61</v>
      </c>
      <c r="N456" s="34" t="n">
        <v>3930</v>
      </c>
      <c r="O456" s="34" t="n">
        <v>2570</v>
      </c>
      <c r="P456" s="38"/>
      <c r="Q456" s="38"/>
    </row>
    <row r="457" customFormat="false" ht="15" hidden="false" customHeight="false" outlineLevel="0" collapsed="false">
      <c r="A457" s="34" t="n">
        <v>449</v>
      </c>
      <c r="B457" s="35" t="s">
        <v>992</v>
      </c>
      <c r="C457" s="35" t="s">
        <v>993</v>
      </c>
      <c r="D457" s="35" t="s">
        <v>133</v>
      </c>
      <c r="E457" s="34" t="n">
        <v>9300</v>
      </c>
      <c r="F457" s="34" t="n">
        <v>9600</v>
      </c>
      <c r="G457" s="34" t="n">
        <v>9500</v>
      </c>
      <c r="H457" s="34" t="n">
        <v>9100</v>
      </c>
      <c r="I457" s="36" t="n">
        <f aca="false">$E457/F457-1</f>
        <v>-0.03125</v>
      </c>
      <c r="J457" s="36" t="n">
        <f aca="false">$E457/G457-1</f>
        <v>-0.0210526315789473</v>
      </c>
      <c r="K457" s="36" t="n">
        <f aca="false">$E457/H457-1</f>
        <v>0.0219780219780219</v>
      </c>
      <c r="L457" s="37" t="n">
        <v>6.16</v>
      </c>
      <c r="M457" s="37" t="n">
        <v>0.48</v>
      </c>
      <c r="N457" s="34" t="n">
        <v>10400</v>
      </c>
      <c r="O457" s="34" t="n">
        <v>9000</v>
      </c>
      <c r="P457" s="38"/>
      <c r="Q457" s="38"/>
    </row>
    <row r="458" customFormat="false" ht="15" hidden="false" customHeight="false" outlineLevel="0" collapsed="false">
      <c r="A458" s="34" t="n">
        <v>450</v>
      </c>
      <c r="B458" s="35" t="s">
        <v>994</v>
      </c>
      <c r="C458" s="35" t="s">
        <v>995</v>
      </c>
      <c r="D458" s="35" t="s">
        <v>111</v>
      </c>
      <c r="E458" s="34" t="n">
        <v>39000</v>
      </c>
      <c r="F458" s="34" t="n">
        <v>56000</v>
      </c>
      <c r="G458" s="34" t="n">
        <v>42390</v>
      </c>
      <c r="H458" s="34" t="n">
        <v>30332.4</v>
      </c>
      <c r="I458" s="36" t="n">
        <f aca="false">$E458/F458-1</f>
        <v>-0.303571428571429</v>
      </c>
      <c r="J458" s="36" t="n">
        <f aca="false">$E458/G458-1</f>
        <v>-0.0799716914366596</v>
      </c>
      <c r="K458" s="36" t="n">
        <f aca="false">$E458/H458-1</f>
        <v>0.285753847371128</v>
      </c>
      <c r="L458" s="37" t="n">
        <v>9.54</v>
      </c>
      <c r="M458" s="37" t="n">
        <v>1.65</v>
      </c>
      <c r="N458" s="34" t="n">
        <v>56000</v>
      </c>
      <c r="O458" s="34" t="n">
        <v>16485</v>
      </c>
      <c r="P458" s="38"/>
      <c r="Q458" s="38"/>
    </row>
    <row r="459" customFormat="false" ht="15" hidden="false" customHeight="false" outlineLevel="0" collapsed="false">
      <c r="A459" s="34" t="n">
        <v>451</v>
      </c>
      <c r="B459" s="35" t="s">
        <v>76</v>
      </c>
      <c r="C459" s="35" t="s">
        <v>996</v>
      </c>
      <c r="D459" s="35" t="s">
        <v>133</v>
      </c>
      <c r="E459" s="34" t="n">
        <v>34300</v>
      </c>
      <c r="F459" s="34" t="n">
        <v>34100</v>
      </c>
      <c r="G459" s="34" t="n">
        <v>36000</v>
      </c>
      <c r="H459" s="34" t="n">
        <v>34300</v>
      </c>
      <c r="I459" s="36" t="n">
        <f aca="false">$E459/F459-1</f>
        <v>0.00586510263929618</v>
      </c>
      <c r="J459" s="36" t="n">
        <f aca="false">$E459/G459-1</f>
        <v>-0.0472222222222223</v>
      </c>
      <c r="K459" s="36" t="n">
        <f aca="false">$E459/H459-1</f>
        <v>0</v>
      </c>
      <c r="L459" s="37" t="n">
        <v>8.35</v>
      </c>
      <c r="M459" s="37" t="n">
        <v>1.13</v>
      </c>
      <c r="N459" s="34" t="n">
        <v>54600</v>
      </c>
      <c r="O459" s="34" t="n">
        <v>26355.72</v>
      </c>
      <c r="P459" s="38" t="n">
        <v>19.295</v>
      </c>
      <c r="Q459" s="38" t="n">
        <v>1.2</v>
      </c>
    </row>
    <row r="460" customFormat="false" ht="15" hidden="false" customHeight="false" outlineLevel="0" collapsed="false">
      <c r="A460" s="34" t="n">
        <v>452</v>
      </c>
      <c r="B460" s="35" t="s">
        <v>997</v>
      </c>
      <c r="C460" s="35" t="s">
        <v>998</v>
      </c>
      <c r="D460" s="35" t="s">
        <v>133</v>
      </c>
      <c r="E460" s="34" t="n">
        <v>10100</v>
      </c>
      <c r="F460" s="34" t="n">
        <v>10100</v>
      </c>
      <c r="G460" s="34" t="n">
        <v>10500</v>
      </c>
      <c r="H460" s="34" t="n">
        <v>10200</v>
      </c>
      <c r="I460" s="36" t="n">
        <f aca="false">$E460/F460-1</f>
        <v>0</v>
      </c>
      <c r="J460" s="36" t="n">
        <f aca="false">$E460/G460-1</f>
        <v>-0.0380952380952381</v>
      </c>
      <c r="K460" s="36" t="n">
        <f aca="false">$E460/H460-1</f>
        <v>-0.00980392156862742</v>
      </c>
      <c r="L460" s="37" t="n">
        <v>10.05</v>
      </c>
      <c r="M460" s="37" t="n">
        <v>0.86</v>
      </c>
      <c r="N460" s="34" t="n">
        <v>11300</v>
      </c>
      <c r="O460" s="34" t="n">
        <v>9600</v>
      </c>
      <c r="P460" s="38"/>
      <c r="Q460" s="38"/>
    </row>
    <row r="461" customFormat="false" ht="15" hidden="false" customHeight="false" outlineLevel="0" collapsed="false">
      <c r="A461" s="34" t="n">
        <v>453</v>
      </c>
      <c r="B461" s="35" t="s">
        <v>999</v>
      </c>
      <c r="C461" s="35" t="s">
        <v>1000</v>
      </c>
      <c r="D461" s="35" t="s">
        <v>133</v>
      </c>
      <c r="E461" s="34" t="n">
        <v>9600</v>
      </c>
      <c r="F461" s="34" t="n">
        <v>9800</v>
      </c>
      <c r="G461" s="34" t="n">
        <v>9400</v>
      </c>
      <c r="H461" s="34" t="n">
        <v>12000</v>
      </c>
      <c r="I461" s="36" t="n">
        <f aca="false">$E461/F461-1</f>
        <v>-0.0204081632653061</v>
      </c>
      <c r="J461" s="36" t="n">
        <f aca="false">$E461/G461-1</f>
        <v>0.0212765957446808</v>
      </c>
      <c r="K461" s="36" t="n">
        <f aca="false">$E461/H461-1</f>
        <v>-0.2</v>
      </c>
      <c r="L461" s="37" t="n">
        <v>17.32</v>
      </c>
      <c r="M461" s="37" t="n">
        <v>0.96</v>
      </c>
      <c r="N461" s="34" t="n">
        <v>12900</v>
      </c>
      <c r="O461" s="34" t="n">
        <v>8900</v>
      </c>
      <c r="P461" s="38"/>
      <c r="Q461" s="38"/>
    </row>
    <row r="462" customFormat="false" ht="15" hidden="false" customHeight="false" outlineLevel="0" collapsed="false">
      <c r="A462" s="34" t="n">
        <v>454</v>
      </c>
      <c r="B462" s="35" t="s">
        <v>1001</v>
      </c>
      <c r="C462" s="35" t="s">
        <v>1002</v>
      </c>
      <c r="D462" s="35" t="s">
        <v>116</v>
      </c>
      <c r="E462" s="34" t="n">
        <v>39500</v>
      </c>
      <c r="F462" s="34" t="n">
        <v>40450</v>
      </c>
      <c r="G462" s="34" t="n">
        <v>43200</v>
      </c>
      <c r="H462" s="34" t="n">
        <v>66300</v>
      </c>
      <c r="I462" s="36" t="n">
        <f aca="false">$E462/F462-1</f>
        <v>-0.0234857849196539</v>
      </c>
      <c r="J462" s="36" t="n">
        <f aca="false">$E462/G462-1</f>
        <v>-0.0856481481481481</v>
      </c>
      <c r="K462" s="36" t="n">
        <f aca="false">$E462/H462-1</f>
        <v>-0.40422322775264</v>
      </c>
      <c r="L462" s="37" t="n">
        <v>4.75</v>
      </c>
      <c r="M462" s="37" t="n">
        <v>1.42</v>
      </c>
      <c r="N462" s="34" t="n">
        <v>76500</v>
      </c>
      <c r="O462" s="34" t="n">
        <v>38100</v>
      </c>
      <c r="P462" s="38"/>
      <c r="Q462" s="38"/>
    </row>
    <row r="463" customFormat="false" ht="15" hidden="false" customHeight="false" outlineLevel="0" collapsed="false">
      <c r="A463" s="34" t="n">
        <v>455</v>
      </c>
      <c r="B463" s="35" t="s">
        <v>1003</v>
      </c>
      <c r="C463" s="35" t="s">
        <v>1004</v>
      </c>
      <c r="D463" s="35" t="s">
        <v>133</v>
      </c>
      <c r="E463" s="34" t="n">
        <v>18100</v>
      </c>
      <c r="F463" s="34" t="n">
        <v>18300</v>
      </c>
      <c r="G463" s="34" t="n">
        <v>20100</v>
      </c>
      <c r="H463" s="34" t="n">
        <v>19309.36</v>
      </c>
      <c r="I463" s="36" t="n">
        <f aca="false">$E463/F463-1</f>
        <v>-0.0109289617486339</v>
      </c>
      <c r="J463" s="36" t="n">
        <f aca="false">$E463/G463-1</f>
        <v>-0.0995024875621891</v>
      </c>
      <c r="K463" s="36" t="n">
        <f aca="false">$E463/H463-1</f>
        <v>-0.0626307655976169</v>
      </c>
      <c r="L463" s="37" t="n">
        <v>9.98</v>
      </c>
      <c r="M463" s="37" t="n">
        <v>0.77</v>
      </c>
      <c r="N463" s="34" t="n">
        <v>21016.12</v>
      </c>
      <c r="O463" s="34" t="n">
        <v>18000</v>
      </c>
      <c r="P463" s="38"/>
      <c r="Q463" s="38"/>
    </row>
    <row r="464" customFormat="false" ht="15" hidden="false" customHeight="false" outlineLevel="0" collapsed="false">
      <c r="A464" s="34" t="n">
        <v>456</v>
      </c>
      <c r="B464" s="35" t="s">
        <v>1005</v>
      </c>
      <c r="C464" s="35" t="s">
        <v>1006</v>
      </c>
      <c r="D464" s="35" t="s">
        <v>116</v>
      </c>
      <c r="E464" s="34" t="n">
        <v>10200</v>
      </c>
      <c r="F464" s="34" t="n">
        <v>10050</v>
      </c>
      <c r="G464" s="34" t="n">
        <v>10000</v>
      </c>
      <c r="H464" s="34" t="n">
        <v>13200</v>
      </c>
      <c r="I464" s="36" t="n">
        <f aca="false">$E464/F464-1</f>
        <v>0.0149253731343284</v>
      </c>
      <c r="J464" s="36" t="n">
        <f aca="false">$E464/G464-1</f>
        <v>0.02</v>
      </c>
      <c r="K464" s="36" t="n">
        <f aca="false">$E464/H464-1</f>
        <v>-0.227272727272727</v>
      </c>
      <c r="L464" s="37" t="n">
        <v>-4.84</v>
      </c>
      <c r="M464" s="37" t="n">
        <v>1.12</v>
      </c>
      <c r="N464" s="34" t="n">
        <v>15750</v>
      </c>
      <c r="O464" s="34" t="n">
        <v>9300</v>
      </c>
      <c r="P464" s="38"/>
      <c r="Q464" s="38"/>
    </row>
    <row r="465" customFormat="false" ht="15" hidden="false" customHeight="false" outlineLevel="0" collapsed="false">
      <c r="A465" s="34" t="n">
        <v>457</v>
      </c>
      <c r="B465" s="35" t="s">
        <v>1007</v>
      </c>
      <c r="C465" s="35" t="s">
        <v>1008</v>
      </c>
      <c r="D465" s="35" t="s">
        <v>111</v>
      </c>
      <c r="E465" s="34" t="n">
        <v>4500</v>
      </c>
      <c r="F465" s="34" t="n">
        <v>4484.97</v>
      </c>
      <c r="G465" s="34" t="n">
        <v>4484.97</v>
      </c>
      <c r="H465" s="34" t="n">
        <v>5766.39</v>
      </c>
      <c r="I465" s="36" t="n">
        <f aca="false">$E465/F465-1</f>
        <v>0.00335119298456843</v>
      </c>
      <c r="J465" s="36" t="n">
        <f aca="false">$E465/G465-1</f>
        <v>0.00335119298456843</v>
      </c>
      <c r="K465" s="36" t="n">
        <f aca="false">$E465/H465-1</f>
        <v>-0.21961573878978</v>
      </c>
      <c r="L465" s="37" t="n">
        <v>8.29</v>
      </c>
      <c r="M465" s="37" t="n">
        <v>0.42</v>
      </c>
      <c r="N465" s="34" t="n">
        <v>7963.11</v>
      </c>
      <c r="O465" s="34" t="n">
        <v>3478.14</v>
      </c>
      <c r="P465" s="38"/>
      <c r="Q465" s="38"/>
    </row>
    <row r="466" customFormat="false" ht="15" hidden="false" customHeight="false" outlineLevel="0" collapsed="false">
      <c r="A466" s="34" t="n">
        <v>458</v>
      </c>
      <c r="B466" s="35" t="s">
        <v>46</v>
      </c>
      <c r="C466" s="35" t="s">
        <v>1009</v>
      </c>
      <c r="D466" s="35" t="s">
        <v>116</v>
      </c>
      <c r="E466" s="34" t="n">
        <v>31600</v>
      </c>
      <c r="F466" s="34" t="n">
        <v>30700</v>
      </c>
      <c r="G466" s="34" t="n">
        <v>33183.54</v>
      </c>
      <c r="H466" s="34" t="n">
        <v>30914.58</v>
      </c>
      <c r="I466" s="36" t="n">
        <f aca="false">$E466/F466-1</f>
        <v>0.0293159609120521</v>
      </c>
      <c r="J466" s="36" t="n">
        <f aca="false">$E466/G466-1</f>
        <v>-0.047720647043685</v>
      </c>
      <c r="K466" s="36" t="n">
        <f aca="false">$E466/H466-1</f>
        <v>0.0221714155586135</v>
      </c>
      <c r="L466" s="37" t="n">
        <v>6.39</v>
      </c>
      <c r="M466" s="37" t="n">
        <v>1.46</v>
      </c>
      <c r="N466" s="34" t="n">
        <v>47459.08</v>
      </c>
      <c r="O466" s="34" t="n">
        <v>28900</v>
      </c>
      <c r="P466" s="38" t="n">
        <v>11.03</v>
      </c>
      <c r="Q466" s="38" t="n">
        <v>1.805</v>
      </c>
    </row>
    <row r="467" customFormat="false" ht="15" hidden="false" customHeight="false" outlineLevel="0" collapsed="false">
      <c r="A467" s="34" t="n">
        <v>459</v>
      </c>
      <c r="B467" s="35" t="s">
        <v>1010</v>
      </c>
      <c r="C467" s="35" t="s">
        <v>1011</v>
      </c>
      <c r="D467" s="35" t="s">
        <v>111</v>
      </c>
      <c r="E467" s="34" t="n">
        <v>12850</v>
      </c>
      <c r="F467" s="34" t="n">
        <v>13396</v>
      </c>
      <c r="G467" s="34" t="n">
        <v>10400</v>
      </c>
      <c r="H467" s="34" t="n">
        <v>7537</v>
      </c>
      <c r="I467" s="36" t="n">
        <f aca="false">$E467/F467-1</f>
        <v>-0.0407584353538369</v>
      </c>
      <c r="J467" s="36" t="n">
        <f aca="false">$E467/G467-1</f>
        <v>0.235576923076923</v>
      </c>
      <c r="K467" s="36" t="n">
        <f aca="false">$E467/H467-1</f>
        <v>0.704922382910973</v>
      </c>
      <c r="L467" s="37" t="n">
        <v>4.35</v>
      </c>
      <c r="M467" s="37" t="n">
        <v>2.36</v>
      </c>
      <c r="N467" s="34" t="n">
        <v>16098</v>
      </c>
      <c r="O467" s="34" t="n">
        <v>7315</v>
      </c>
      <c r="P467" s="38"/>
      <c r="Q467" s="38"/>
    </row>
    <row r="468" customFormat="false" ht="15" hidden="false" customHeight="false" outlineLevel="0" collapsed="false">
      <c r="A468" s="34" t="n">
        <v>460</v>
      </c>
      <c r="B468" s="35" t="s">
        <v>1012</v>
      </c>
      <c r="C468" s="35" t="s">
        <v>1013</v>
      </c>
      <c r="D468" s="35" t="s">
        <v>111</v>
      </c>
      <c r="E468" s="34" t="n">
        <v>1700</v>
      </c>
      <c r="F468" s="34" t="n">
        <v>1607</v>
      </c>
      <c r="G468" s="34" t="n">
        <v>2000</v>
      </c>
      <c r="H468" s="34" t="n">
        <v>2900</v>
      </c>
      <c r="I468" s="36" t="n">
        <f aca="false">$E468/F468-1</f>
        <v>0.057871810827629</v>
      </c>
      <c r="J468" s="36" t="n">
        <f aca="false">$E468/G468-1</f>
        <v>-0.15</v>
      </c>
      <c r="K468" s="36" t="n">
        <f aca="false">$E468/H468-1</f>
        <v>-0.413793103448276</v>
      </c>
      <c r="L468" s="37" t="n">
        <v>-0.97</v>
      </c>
      <c r="M468" s="37" t="n">
        <v>0.36</v>
      </c>
      <c r="N468" s="34" t="n">
        <v>3612</v>
      </c>
      <c r="O468" s="34" t="n">
        <v>1607</v>
      </c>
      <c r="P468" s="38"/>
      <c r="Q468" s="38"/>
    </row>
    <row r="469" customFormat="false" ht="15" hidden="false" customHeight="false" outlineLevel="0" collapsed="false">
      <c r="A469" s="34" t="n">
        <v>461</v>
      </c>
      <c r="B469" s="35" t="s">
        <v>1014</v>
      </c>
      <c r="C469" s="35" t="s">
        <v>1015</v>
      </c>
      <c r="D469" s="35" t="s">
        <v>111</v>
      </c>
      <c r="E469" s="34" t="n">
        <v>7300</v>
      </c>
      <c r="F469" s="34" t="n">
        <v>7300</v>
      </c>
      <c r="G469" s="34" t="n">
        <v>7300</v>
      </c>
      <c r="H469" s="34" t="n">
        <v>11000</v>
      </c>
      <c r="I469" s="36" t="n">
        <f aca="false">$E469/F469-1</f>
        <v>0</v>
      </c>
      <c r="J469" s="36" t="n">
        <f aca="false">$E469/G469-1</f>
        <v>0</v>
      </c>
      <c r="K469" s="36" t="n">
        <f aca="false">$E469/H469-1</f>
        <v>-0.336363636363636</v>
      </c>
      <c r="L469" s="37" t="n">
        <v>-62.57</v>
      </c>
      <c r="M469" s="37" t="n">
        <v>0.6</v>
      </c>
      <c r="N469" s="34" t="n">
        <v>11000</v>
      </c>
      <c r="O469" s="34" t="n">
        <v>6600</v>
      </c>
      <c r="P469" s="38"/>
      <c r="Q469" s="38"/>
    </row>
    <row r="470" customFormat="false" ht="15" hidden="false" customHeight="false" outlineLevel="0" collapsed="false">
      <c r="A470" s="34" t="n">
        <v>462</v>
      </c>
      <c r="B470" s="35" t="s">
        <v>1016</v>
      </c>
      <c r="C470" s="35" t="s">
        <v>1017</v>
      </c>
      <c r="D470" s="35" t="s">
        <v>116</v>
      </c>
      <c r="E470" s="34" t="n">
        <v>4390</v>
      </c>
      <c r="F470" s="34" t="n">
        <v>4400</v>
      </c>
      <c r="G470" s="34" t="n">
        <v>4260</v>
      </c>
      <c r="H470" s="34" t="n">
        <v>4450</v>
      </c>
      <c r="I470" s="36" t="n">
        <f aca="false">$E470/F470-1</f>
        <v>-0.00227272727272732</v>
      </c>
      <c r="J470" s="36" t="n">
        <f aca="false">$E470/G470-1</f>
        <v>0.0305164319248827</v>
      </c>
      <c r="K470" s="36" t="n">
        <f aca="false">$E470/H470-1</f>
        <v>-0.0134831460674157</v>
      </c>
      <c r="L470" s="37" t="n">
        <v>107.83</v>
      </c>
      <c r="M470" s="37" t="n">
        <v>0.46</v>
      </c>
      <c r="N470" s="34" t="n">
        <v>7000</v>
      </c>
      <c r="O470" s="34" t="n">
        <v>3120</v>
      </c>
      <c r="P470" s="38"/>
      <c r="Q470" s="38"/>
    </row>
    <row r="471" customFormat="false" ht="15" hidden="false" customHeight="false" outlineLevel="0" collapsed="false">
      <c r="A471" s="34" t="n">
        <v>463</v>
      </c>
      <c r="B471" s="35" t="s">
        <v>1018</v>
      </c>
      <c r="C471" s="35" t="s">
        <v>1019</v>
      </c>
      <c r="D471" s="35" t="s">
        <v>111</v>
      </c>
      <c r="E471" s="34" t="n">
        <v>11142</v>
      </c>
      <c r="F471" s="34" t="n">
        <v>12200</v>
      </c>
      <c r="G471" s="34" t="n">
        <v>13300</v>
      </c>
      <c r="H471" s="34" t="n">
        <v>11077</v>
      </c>
      <c r="I471" s="36" t="n">
        <f aca="false">$E471/F471-1</f>
        <v>-0.0867213114754099</v>
      </c>
      <c r="J471" s="36" t="n">
        <f aca="false">$E471/G471-1</f>
        <v>-0.162255639097744</v>
      </c>
      <c r="K471" s="36" t="n">
        <f aca="false">$E471/H471-1</f>
        <v>0.00586801480545285</v>
      </c>
      <c r="L471" s="37" t="n">
        <v>8.85</v>
      </c>
      <c r="M471" s="37" t="n">
        <v>0.61</v>
      </c>
      <c r="N471" s="34" t="n">
        <v>13791</v>
      </c>
      <c r="O471" s="34" t="n">
        <v>9788</v>
      </c>
      <c r="P471" s="38"/>
      <c r="Q471" s="38"/>
    </row>
    <row r="472" customFormat="false" ht="15" hidden="false" customHeight="false" outlineLevel="0" collapsed="false">
      <c r="A472" s="34" t="n">
        <v>464</v>
      </c>
      <c r="B472" s="35" t="s">
        <v>1020</v>
      </c>
      <c r="C472" s="35" t="s">
        <v>1021</v>
      </c>
      <c r="D472" s="35" t="s">
        <v>116</v>
      </c>
      <c r="E472" s="34" t="n">
        <v>25050</v>
      </c>
      <c r="F472" s="34" t="n">
        <v>22250</v>
      </c>
      <c r="G472" s="34" t="n">
        <v>25700</v>
      </c>
      <c r="H472" s="34" t="n">
        <v>36439.92</v>
      </c>
      <c r="I472" s="36" t="n">
        <f aca="false">$E472/F472-1</f>
        <v>0.125842696629213</v>
      </c>
      <c r="J472" s="36" t="n">
        <f aca="false">$E472/G472-1</f>
        <v>-0.0252918287937743</v>
      </c>
      <c r="K472" s="36" t="n">
        <f aca="false">$E472/H472-1</f>
        <v>-0.31256709674445</v>
      </c>
      <c r="L472" s="37" t="n">
        <v>14.01</v>
      </c>
      <c r="M472" s="37" t="n">
        <v>2.25</v>
      </c>
      <c r="N472" s="34" t="n">
        <v>38558.52</v>
      </c>
      <c r="O472" s="34" t="n">
        <v>19750</v>
      </c>
      <c r="P472" s="38"/>
      <c r="Q472" s="38"/>
    </row>
    <row r="473" customFormat="false" ht="15" hidden="false" customHeight="false" outlineLevel="0" collapsed="false">
      <c r="A473" s="34" t="n">
        <v>465</v>
      </c>
      <c r="B473" s="35" t="s">
        <v>1022</v>
      </c>
      <c r="C473" s="35" t="s">
        <v>1023</v>
      </c>
      <c r="D473" s="35" t="s">
        <v>116</v>
      </c>
      <c r="E473" s="34" t="n">
        <v>2060</v>
      </c>
      <c r="F473" s="34" t="n">
        <v>2090</v>
      </c>
      <c r="G473" s="34" t="n">
        <v>2300</v>
      </c>
      <c r="H473" s="34" t="n">
        <v>2870</v>
      </c>
      <c r="I473" s="36" t="n">
        <f aca="false">$E473/F473-1</f>
        <v>-0.0143540669856459</v>
      </c>
      <c r="J473" s="36" t="n">
        <f aca="false">$E473/G473-1</f>
        <v>-0.104347826086956</v>
      </c>
      <c r="K473" s="36" t="n">
        <f aca="false">$E473/H473-1</f>
        <v>-0.282229965156794</v>
      </c>
      <c r="L473" s="37" t="n">
        <v>25.07</v>
      </c>
      <c r="M473" s="37" t="n">
        <v>0.2</v>
      </c>
      <c r="N473" s="34" t="n">
        <v>3450</v>
      </c>
      <c r="O473" s="34" t="n">
        <v>2060</v>
      </c>
      <c r="P473" s="38"/>
      <c r="Q473" s="38"/>
    </row>
    <row r="474" customFormat="false" ht="15" hidden="false" customHeight="false" outlineLevel="0" collapsed="false">
      <c r="A474" s="34" t="n">
        <v>466</v>
      </c>
      <c r="B474" s="35" t="s">
        <v>1024</v>
      </c>
      <c r="C474" s="35" t="s">
        <v>1025</v>
      </c>
      <c r="D474" s="35" t="s">
        <v>111</v>
      </c>
      <c r="E474" s="34" t="n">
        <v>5900</v>
      </c>
      <c r="F474" s="34" t="n">
        <v>5900</v>
      </c>
      <c r="G474" s="34" t="n">
        <v>5900</v>
      </c>
      <c r="H474" s="34" t="n">
        <v>3800</v>
      </c>
      <c r="I474" s="36" t="n">
        <f aca="false">$E474/F474-1</f>
        <v>0</v>
      </c>
      <c r="J474" s="36" t="n">
        <f aca="false">$E474/G474-1</f>
        <v>0</v>
      </c>
      <c r="K474" s="36" t="n">
        <f aca="false">$E474/H474-1</f>
        <v>0.552631578947368</v>
      </c>
      <c r="L474" s="37" t="n">
        <v>82.07</v>
      </c>
      <c r="M474" s="37" t="n">
        <v>-10.29</v>
      </c>
      <c r="N474" s="34" t="n">
        <v>6000</v>
      </c>
      <c r="O474" s="34" t="n">
        <v>3752</v>
      </c>
      <c r="P474" s="38"/>
      <c r="Q474" s="38"/>
    </row>
    <row r="475" customFormat="false" ht="15" hidden="false" customHeight="false" outlineLevel="0" collapsed="false">
      <c r="A475" s="34" t="n">
        <v>467</v>
      </c>
      <c r="B475" s="35" t="s">
        <v>1026</v>
      </c>
      <c r="C475" s="35" t="s">
        <v>1027</v>
      </c>
      <c r="D475" s="35" t="s">
        <v>111</v>
      </c>
      <c r="E475" s="34" t="n">
        <v>13195</v>
      </c>
      <c r="F475" s="34" t="n">
        <v>12916</v>
      </c>
      <c r="G475" s="34" t="n">
        <v>13060</v>
      </c>
      <c r="H475" s="34" t="n">
        <v>13086</v>
      </c>
      <c r="I475" s="36" t="n">
        <f aca="false">$E475/F475-1</f>
        <v>0.0216011148962527</v>
      </c>
      <c r="J475" s="36" t="n">
        <f aca="false">$E475/G475-1</f>
        <v>0.0103369065849923</v>
      </c>
      <c r="K475" s="36" t="n">
        <f aca="false">$E475/H475-1</f>
        <v>0.00832951245605984</v>
      </c>
      <c r="L475" s="37" t="n">
        <v>4.27</v>
      </c>
      <c r="M475" s="37" t="n">
        <v>1.21</v>
      </c>
      <c r="N475" s="34" t="n">
        <v>15955</v>
      </c>
      <c r="O475" s="34" t="n">
        <v>10467</v>
      </c>
      <c r="P475" s="38"/>
      <c r="Q475" s="38"/>
    </row>
    <row r="476" customFormat="false" ht="15" hidden="false" customHeight="false" outlineLevel="0" collapsed="false">
      <c r="A476" s="34" t="n">
        <v>468</v>
      </c>
      <c r="B476" s="35" t="s">
        <v>1028</v>
      </c>
      <c r="C476" s="35" t="s">
        <v>1029</v>
      </c>
      <c r="D476" s="35" t="s">
        <v>116</v>
      </c>
      <c r="E476" s="34" t="n">
        <v>64800</v>
      </c>
      <c r="F476" s="34" t="n">
        <v>64800</v>
      </c>
      <c r="G476" s="34" t="n">
        <v>64800</v>
      </c>
      <c r="H476" s="34" t="n">
        <v>52100</v>
      </c>
      <c r="I476" s="36" t="n">
        <f aca="false">$E476/F476-1</f>
        <v>0</v>
      </c>
      <c r="J476" s="36" t="n">
        <f aca="false">$E476/G476-1</f>
        <v>0</v>
      </c>
      <c r="K476" s="36" t="n">
        <f aca="false">$E476/H476-1</f>
        <v>0.243761996161229</v>
      </c>
      <c r="L476" s="37" t="n">
        <v>37.35</v>
      </c>
      <c r="M476" s="37" t="n">
        <v>3.04</v>
      </c>
      <c r="N476" s="34" t="n">
        <v>64800</v>
      </c>
      <c r="O476" s="34" t="n">
        <v>52100</v>
      </c>
      <c r="P476" s="38"/>
      <c r="Q476" s="38"/>
    </row>
    <row r="477" customFormat="false" ht="15" hidden="false" customHeight="false" outlineLevel="0" collapsed="false">
      <c r="A477" s="34" t="n">
        <v>469</v>
      </c>
      <c r="B477" s="35" t="s">
        <v>1030</v>
      </c>
      <c r="C477" s="35" t="s">
        <v>1031</v>
      </c>
      <c r="D477" s="35" t="s">
        <v>111</v>
      </c>
      <c r="E477" s="34" t="n">
        <v>9000</v>
      </c>
      <c r="F477" s="34" t="n">
        <v>9000</v>
      </c>
      <c r="G477" s="34" t="n">
        <v>13500</v>
      </c>
      <c r="H477" s="34" t="n">
        <v>8500</v>
      </c>
      <c r="I477" s="36" t="n">
        <f aca="false">$E477/F477-1</f>
        <v>0</v>
      </c>
      <c r="J477" s="36" t="n">
        <f aca="false">$E477/G477-1</f>
        <v>-0.333333333333333</v>
      </c>
      <c r="K477" s="36" t="n">
        <f aca="false">$E477/H477-1</f>
        <v>0.0588235294117647</v>
      </c>
      <c r="L477" s="37" t="n">
        <v>15.81</v>
      </c>
      <c r="M477" s="37" t="n">
        <v>0.87</v>
      </c>
      <c r="N477" s="34" t="n">
        <v>13500</v>
      </c>
      <c r="O477" s="34" t="n">
        <v>7313.77</v>
      </c>
      <c r="P477" s="38"/>
      <c r="Q477" s="38"/>
    </row>
    <row r="478" customFormat="false" ht="15" hidden="false" customHeight="false" outlineLevel="0" collapsed="false">
      <c r="A478" s="34" t="n">
        <v>470</v>
      </c>
      <c r="B478" s="35" t="s">
        <v>1032</v>
      </c>
      <c r="C478" s="35" t="s">
        <v>1033</v>
      </c>
      <c r="D478" s="35" t="s">
        <v>133</v>
      </c>
      <c r="E478" s="34" t="n">
        <v>5700</v>
      </c>
      <c r="F478" s="34" t="n">
        <v>5500</v>
      </c>
      <c r="G478" s="34" t="n">
        <v>6300</v>
      </c>
      <c r="H478" s="34" t="n">
        <v>7000</v>
      </c>
      <c r="I478" s="36" t="n">
        <f aca="false">$E478/F478-1</f>
        <v>0.0363636363636364</v>
      </c>
      <c r="J478" s="36" t="n">
        <f aca="false">$E478/G478-1</f>
        <v>-0.0952380952380952</v>
      </c>
      <c r="K478" s="36" t="n">
        <f aca="false">$E478/H478-1</f>
        <v>-0.185714285714286</v>
      </c>
      <c r="L478" s="37" t="n">
        <v>-10.69</v>
      </c>
      <c r="M478" s="37" t="n">
        <v>0.57</v>
      </c>
      <c r="N478" s="34" t="n">
        <v>10400</v>
      </c>
      <c r="O478" s="34" t="n">
        <v>5400</v>
      </c>
      <c r="P478" s="38"/>
      <c r="Q478" s="38"/>
    </row>
    <row r="479" customFormat="false" ht="15" hidden="false" customHeight="false" outlineLevel="0" collapsed="false">
      <c r="A479" s="34" t="n">
        <v>471</v>
      </c>
      <c r="B479" s="35" t="s">
        <v>1034</v>
      </c>
      <c r="C479" s="35" t="s">
        <v>1035</v>
      </c>
      <c r="D479" s="35" t="s">
        <v>133</v>
      </c>
      <c r="E479" s="34" t="n">
        <v>8700</v>
      </c>
      <c r="F479" s="34" t="n">
        <v>8700</v>
      </c>
      <c r="G479" s="34" t="n">
        <v>10000</v>
      </c>
      <c r="H479" s="34" t="n">
        <v>9300</v>
      </c>
      <c r="I479" s="36" t="n">
        <f aca="false">$E479/F479-1</f>
        <v>0</v>
      </c>
      <c r="J479" s="36" t="n">
        <f aca="false">$E479/G479-1</f>
        <v>-0.13</v>
      </c>
      <c r="K479" s="36" t="n">
        <f aca="false">$E479/H479-1</f>
        <v>-0.0645161290322581</v>
      </c>
      <c r="L479" s="37" t="n">
        <v>8.94</v>
      </c>
      <c r="M479" s="37" t="n">
        <v>0.66</v>
      </c>
      <c r="N479" s="34" t="n">
        <v>11000</v>
      </c>
      <c r="O479" s="34" t="n">
        <v>7900</v>
      </c>
      <c r="P479" s="38"/>
      <c r="Q479" s="38"/>
    </row>
    <row r="480" customFormat="false" ht="15" hidden="false" customHeight="false" outlineLevel="0" collapsed="false">
      <c r="A480" s="34" t="n">
        <v>472</v>
      </c>
      <c r="B480" s="35" t="s">
        <v>1036</v>
      </c>
      <c r="C480" s="35" t="s">
        <v>1037</v>
      </c>
      <c r="D480" s="35" t="s">
        <v>111</v>
      </c>
      <c r="E480" s="34" t="n">
        <v>2300</v>
      </c>
      <c r="F480" s="34" t="n">
        <v>2300</v>
      </c>
      <c r="G480" s="34" t="n">
        <v>2300</v>
      </c>
      <c r="H480" s="34" t="n">
        <v>2300</v>
      </c>
      <c r="I480" s="36" t="n">
        <f aca="false">$E480/F480-1</f>
        <v>0</v>
      </c>
      <c r="J480" s="36" t="n">
        <f aca="false">$E480/G480-1</f>
        <v>0</v>
      </c>
      <c r="K480" s="36" t="n">
        <f aca="false">$E480/H480-1</f>
        <v>0</v>
      </c>
      <c r="L480" s="37" t="n">
        <v>15.79</v>
      </c>
      <c r="M480" s="37" t="n">
        <v>0.2</v>
      </c>
      <c r="N480" s="34" t="n">
        <v>2300</v>
      </c>
      <c r="O480" s="34" t="n">
        <v>2300</v>
      </c>
      <c r="P480" s="38"/>
      <c r="Q480" s="38"/>
    </row>
    <row r="481" customFormat="false" ht="15" hidden="false" customHeight="false" outlineLevel="0" collapsed="false">
      <c r="A481" s="34" t="n">
        <v>473</v>
      </c>
      <c r="B481" s="35" t="s">
        <v>1038</v>
      </c>
      <c r="C481" s="35" t="s">
        <v>1039</v>
      </c>
      <c r="D481" s="35" t="s">
        <v>111</v>
      </c>
      <c r="E481" s="34" t="n">
        <v>1093</v>
      </c>
      <c r="F481" s="34" t="n">
        <v>900</v>
      </c>
      <c r="G481" s="34" t="n">
        <v>1299</v>
      </c>
      <c r="H481" s="34" t="n">
        <v>1100</v>
      </c>
      <c r="I481" s="36" t="n">
        <f aca="false">$E481/F481-1</f>
        <v>0.214444444444444</v>
      </c>
      <c r="J481" s="36" t="n">
        <f aca="false">$E481/G481-1</f>
        <v>-0.158583525789069</v>
      </c>
      <c r="K481" s="36" t="n">
        <f aca="false">$E481/H481-1</f>
        <v>-0.00636363636363635</v>
      </c>
      <c r="L481" s="37" t="n">
        <v>-0.25</v>
      </c>
      <c r="M481" s="37" t="n">
        <v>0.34</v>
      </c>
      <c r="N481" s="34" t="n">
        <v>2900</v>
      </c>
      <c r="O481" s="34" t="n">
        <v>600</v>
      </c>
      <c r="P481" s="38"/>
      <c r="Q481" s="38"/>
    </row>
    <row r="482" customFormat="false" ht="15" hidden="false" customHeight="false" outlineLevel="0" collapsed="false">
      <c r="A482" s="34" t="n">
        <v>474</v>
      </c>
      <c r="B482" s="35" t="s">
        <v>1040</v>
      </c>
      <c r="C482" s="35" t="s">
        <v>1041</v>
      </c>
      <c r="D482" s="35" t="s">
        <v>111</v>
      </c>
      <c r="E482" s="34" t="n">
        <v>500</v>
      </c>
      <c r="F482" s="34" t="n">
        <v>500</v>
      </c>
      <c r="G482" s="34" t="n">
        <v>600</v>
      </c>
      <c r="H482" s="34" t="n">
        <v>600</v>
      </c>
      <c r="I482" s="36" t="n">
        <f aca="false">$E482/F482-1</f>
        <v>0</v>
      </c>
      <c r="J482" s="36" t="n">
        <f aca="false">$E482/G482-1</f>
        <v>-0.166666666666667</v>
      </c>
      <c r="K482" s="36" t="n">
        <f aca="false">$E482/H482-1</f>
        <v>-0.166666666666667</v>
      </c>
      <c r="L482" s="37" t="n">
        <v>-0.55</v>
      </c>
      <c r="M482" s="37" t="n">
        <v>-0.05</v>
      </c>
      <c r="N482" s="34" t="n">
        <v>700</v>
      </c>
      <c r="O482" s="34" t="n">
        <v>452</v>
      </c>
      <c r="P482" s="38"/>
      <c r="Q482" s="38"/>
    </row>
    <row r="483" customFormat="false" ht="15" hidden="false" customHeight="false" outlineLevel="0" collapsed="false">
      <c r="A483" s="34" t="n">
        <v>475</v>
      </c>
      <c r="B483" s="35" t="s">
        <v>1042</v>
      </c>
      <c r="C483" s="35" t="s">
        <v>1043</v>
      </c>
      <c r="D483" s="35" t="s">
        <v>133</v>
      </c>
      <c r="E483" s="34" t="n">
        <v>5500</v>
      </c>
      <c r="F483" s="34" t="n">
        <v>5200</v>
      </c>
      <c r="G483" s="34" t="n">
        <v>4300</v>
      </c>
      <c r="H483" s="34" t="n">
        <v>4400</v>
      </c>
      <c r="I483" s="36" t="n">
        <f aca="false">$E483/F483-1</f>
        <v>0.0576923076923077</v>
      </c>
      <c r="J483" s="36" t="n">
        <f aca="false">$E483/G483-1</f>
        <v>0.279069767441861</v>
      </c>
      <c r="K483" s="36" t="n">
        <f aca="false">$E483/H483-1</f>
        <v>0.25</v>
      </c>
      <c r="L483" s="37" t="n">
        <v>111</v>
      </c>
      <c r="M483" s="37" t="n">
        <v>0.55</v>
      </c>
      <c r="N483" s="34" t="n">
        <v>6600</v>
      </c>
      <c r="O483" s="34" t="n">
        <v>3800</v>
      </c>
      <c r="P483" s="38"/>
      <c r="Q483" s="38"/>
    </row>
    <row r="484" customFormat="false" ht="15" hidden="false" customHeight="false" outlineLevel="0" collapsed="false">
      <c r="A484" s="34" t="n">
        <v>476</v>
      </c>
      <c r="B484" s="35" t="s">
        <v>1044</v>
      </c>
      <c r="C484" s="35" t="s">
        <v>1045</v>
      </c>
      <c r="D484" s="35" t="s">
        <v>116</v>
      </c>
      <c r="E484" s="34" t="n">
        <v>9750</v>
      </c>
      <c r="F484" s="34" t="n">
        <v>9520</v>
      </c>
      <c r="G484" s="34" t="n">
        <v>10900</v>
      </c>
      <c r="H484" s="34" t="n">
        <v>12500</v>
      </c>
      <c r="I484" s="36" t="n">
        <f aca="false">$E484/F484-1</f>
        <v>0.0241596638655461</v>
      </c>
      <c r="J484" s="36" t="n">
        <f aca="false">$E484/G484-1</f>
        <v>-0.105504587155963</v>
      </c>
      <c r="K484" s="36" t="n">
        <f aca="false">$E484/H484-1</f>
        <v>-0.22</v>
      </c>
      <c r="L484" s="37" t="n">
        <v>95.18</v>
      </c>
      <c r="M484" s="37" t="n">
        <v>0.47</v>
      </c>
      <c r="N484" s="34" t="n">
        <v>19700</v>
      </c>
      <c r="O484" s="34" t="n">
        <v>9400</v>
      </c>
      <c r="P484" s="38"/>
      <c r="Q484" s="38"/>
    </row>
    <row r="485" customFormat="false" ht="15" hidden="false" customHeight="false" outlineLevel="0" collapsed="false">
      <c r="A485" s="34" t="n">
        <v>477</v>
      </c>
      <c r="B485" s="35" t="s">
        <v>1046</v>
      </c>
      <c r="C485" s="35" t="s">
        <v>1047</v>
      </c>
      <c r="D485" s="35" t="s">
        <v>133</v>
      </c>
      <c r="E485" s="34" t="n">
        <v>14100</v>
      </c>
      <c r="F485" s="34" t="n">
        <v>13900</v>
      </c>
      <c r="G485" s="34" t="n">
        <v>13750.68</v>
      </c>
      <c r="H485" s="34" t="n">
        <v>15423.06</v>
      </c>
      <c r="I485" s="36" t="n">
        <f aca="false">$E485/F485-1</f>
        <v>0.014388489208633</v>
      </c>
      <c r="J485" s="36" t="n">
        <f aca="false">$E485/G485-1</f>
        <v>0.0254038345739993</v>
      </c>
      <c r="K485" s="36" t="n">
        <f aca="false">$E485/H485-1</f>
        <v>-0.0857845330304102</v>
      </c>
      <c r="L485" s="37" t="n">
        <v>21.4</v>
      </c>
      <c r="M485" s="37" t="n">
        <v>1.23</v>
      </c>
      <c r="N485" s="34" t="n">
        <v>17652.9</v>
      </c>
      <c r="O485" s="34" t="n">
        <v>13100.31</v>
      </c>
      <c r="P485" s="38"/>
      <c r="Q485" s="38"/>
    </row>
    <row r="486" customFormat="false" ht="15" hidden="false" customHeight="false" outlineLevel="0" collapsed="false">
      <c r="A486" s="34" t="n">
        <v>478</v>
      </c>
      <c r="B486" s="35" t="s">
        <v>1048</v>
      </c>
      <c r="C486" s="35" t="s">
        <v>1049</v>
      </c>
      <c r="D486" s="35" t="s">
        <v>111</v>
      </c>
      <c r="E486" s="34" t="n">
        <v>1800</v>
      </c>
      <c r="F486" s="34" t="n">
        <v>1800</v>
      </c>
      <c r="G486" s="34" t="n">
        <v>1900</v>
      </c>
      <c r="H486" s="34" t="n">
        <v>2396</v>
      </c>
      <c r="I486" s="36" t="n">
        <f aca="false">$E486/F486-1</f>
        <v>0</v>
      </c>
      <c r="J486" s="36" t="n">
        <f aca="false">$E486/G486-1</f>
        <v>-0.0526315789473685</v>
      </c>
      <c r="K486" s="36" t="n">
        <f aca="false">$E486/H486-1</f>
        <v>-0.248747913188648</v>
      </c>
      <c r="L486" s="37" t="n">
        <v>122.19</v>
      </c>
      <c r="M486" s="37" t="n">
        <v>0.18</v>
      </c>
      <c r="N486" s="34" t="n">
        <v>3570</v>
      </c>
      <c r="O486" s="34" t="n">
        <v>1800</v>
      </c>
      <c r="P486" s="38"/>
      <c r="Q486" s="38"/>
    </row>
    <row r="487" customFormat="false" ht="15" hidden="false" customHeight="false" outlineLevel="0" collapsed="false">
      <c r="A487" s="34" t="n">
        <v>479</v>
      </c>
      <c r="B487" s="35" t="s">
        <v>1050</v>
      </c>
      <c r="C487" s="35" t="s">
        <v>1051</v>
      </c>
      <c r="D487" s="35" t="s">
        <v>111</v>
      </c>
      <c r="E487" s="34" t="n">
        <v>66546</v>
      </c>
      <c r="F487" s="34" t="n">
        <v>72521</v>
      </c>
      <c r="G487" s="34" t="n">
        <v>77992</v>
      </c>
      <c r="H487" s="34" t="n">
        <v>47094.18</v>
      </c>
      <c r="I487" s="36" t="n">
        <f aca="false">$E487/F487-1</f>
        <v>-0.0823899284345224</v>
      </c>
      <c r="J487" s="36" t="n">
        <f aca="false">$E487/G487-1</f>
        <v>-0.146758641911991</v>
      </c>
      <c r="K487" s="36" t="n">
        <f aca="false">$E487/H487-1</f>
        <v>0.413040847085563</v>
      </c>
      <c r="L487" s="37" t="n">
        <v>14.52</v>
      </c>
      <c r="M487" s="37" t="n">
        <v>4.9</v>
      </c>
      <c r="N487" s="34" t="n">
        <v>136632</v>
      </c>
      <c r="O487" s="34" t="n">
        <v>38791.05</v>
      </c>
      <c r="P487" s="38"/>
      <c r="Q487" s="38"/>
    </row>
    <row r="488" customFormat="false" ht="15" hidden="false" customHeight="false" outlineLevel="0" collapsed="false">
      <c r="A488" s="34" t="n">
        <v>480</v>
      </c>
      <c r="B488" s="35" t="s">
        <v>70</v>
      </c>
      <c r="C488" s="35" t="s">
        <v>1052</v>
      </c>
      <c r="D488" s="35" t="s">
        <v>116</v>
      </c>
      <c r="E488" s="34" t="n">
        <v>10050</v>
      </c>
      <c r="F488" s="34" t="n">
        <v>9960</v>
      </c>
      <c r="G488" s="34" t="n">
        <v>10666.88</v>
      </c>
      <c r="H488" s="34" t="n">
        <v>12524.06</v>
      </c>
      <c r="I488" s="36" t="n">
        <f aca="false">$E488/F488-1</f>
        <v>0.00903614457831314</v>
      </c>
      <c r="J488" s="36" t="n">
        <f aca="false">$E488/G488-1</f>
        <v>-0.0578313433731325</v>
      </c>
      <c r="K488" s="36" t="n">
        <f aca="false">$E488/H488-1</f>
        <v>-0.197544566218942</v>
      </c>
      <c r="L488" s="37" t="n">
        <v>8.63</v>
      </c>
      <c r="M488" s="37" t="n">
        <v>0.51</v>
      </c>
      <c r="N488" s="34" t="n">
        <v>15576.22</v>
      </c>
      <c r="O488" s="34" t="n">
        <v>9800</v>
      </c>
      <c r="P488" s="38" t="n">
        <v>13.41</v>
      </c>
      <c r="Q488" s="38" t="n">
        <v>0.88</v>
      </c>
    </row>
    <row r="489" customFormat="false" ht="15" hidden="false" customHeight="false" outlineLevel="0" collapsed="false">
      <c r="A489" s="34" t="n">
        <v>481</v>
      </c>
      <c r="B489" s="35" t="s">
        <v>1053</v>
      </c>
      <c r="C489" s="35" t="s">
        <v>1054</v>
      </c>
      <c r="D489" s="35" t="s">
        <v>116</v>
      </c>
      <c r="E489" s="34" t="n">
        <v>4290</v>
      </c>
      <c r="F489" s="34" t="n">
        <v>4170</v>
      </c>
      <c r="G489" s="34" t="n">
        <v>4550</v>
      </c>
      <c r="H489" s="34" t="n">
        <v>4800</v>
      </c>
      <c r="I489" s="36" t="n">
        <f aca="false">$E489/F489-1</f>
        <v>0.0287769784172662</v>
      </c>
      <c r="J489" s="36" t="n">
        <f aca="false">$E489/G489-1</f>
        <v>-0.0571428571428572</v>
      </c>
      <c r="K489" s="36" t="n">
        <f aca="false">$E489/H489-1</f>
        <v>-0.10625</v>
      </c>
      <c r="L489" s="37" t="n">
        <v>10.54</v>
      </c>
      <c r="M489" s="37" t="n">
        <v>0.36</v>
      </c>
      <c r="N489" s="34" t="n">
        <v>6150</v>
      </c>
      <c r="O489" s="34" t="n">
        <v>4000</v>
      </c>
      <c r="P489" s="38"/>
      <c r="Q489" s="38"/>
    </row>
    <row r="490" customFormat="false" ht="15" hidden="false" customHeight="false" outlineLevel="0" collapsed="false">
      <c r="A490" s="34" t="n">
        <v>482</v>
      </c>
      <c r="B490" s="35" t="s">
        <v>1055</v>
      </c>
      <c r="C490" s="35" t="s">
        <v>1056</v>
      </c>
      <c r="D490" s="35" t="s">
        <v>111</v>
      </c>
      <c r="E490" s="34" t="n">
        <v>1863</v>
      </c>
      <c r="F490" s="34" t="n">
        <v>2014</v>
      </c>
      <c r="G490" s="34" t="n">
        <v>3100</v>
      </c>
      <c r="H490" s="34" t="n">
        <v>18951</v>
      </c>
      <c r="I490" s="36" t="n">
        <f aca="false">$E490/F490-1</f>
        <v>-0.0749751737835154</v>
      </c>
      <c r="J490" s="36" t="n">
        <f aca="false">$E490/G490-1</f>
        <v>-0.399032258064516</v>
      </c>
      <c r="K490" s="36" t="n">
        <f aca="false">$E490/H490-1</f>
        <v>-0.901693842013614</v>
      </c>
      <c r="L490" s="37" t="n">
        <v>10.51</v>
      </c>
      <c r="M490" s="37" t="n">
        <v>0.17</v>
      </c>
      <c r="N490" s="34" t="n">
        <v>30147</v>
      </c>
      <c r="O490" s="34" t="n">
        <v>1863</v>
      </c>
      <c r="P490" s="38"/>
      <c r="Q490" s="38"/>
    </row>
    <row r="491" customFormat="false" ht="15" hidden="false" customHeight="false" outlineLevel="0" collapsed="false">
      <c r="A491" s="34" t="n">
        <v>483</v>
      </c>
      <c r="B491" s="35" t="s">
        <v>1057</v>
      </c>
      <c r="C491" s="35" t="s">
        <v>1058</v>
      </c>
      <c r="D491" s="35" t="s">
        <v>116</v>
      </c>
      <c r="E491" s="34" t="n">
        <v>6290</v>
      </c>
      <c r="F491" s="34" t="n">
        <v>5700</v>
      </c>
      <c r="G491" s="34" t="n">
        <v>6840</v>
      </c>
      <c r="H491" s="34" t="n">
        <v>6640</v>
      </c>
      <c r="I491" s="36" t="n">
        <f aca="false">$E491/F491-1</f>
        <v>0.103508771929825</v>
      </c>
      <c r="J491" s="36" t="n">
        <f aca="false">$E491/G491-1</f>
        <v>-0.0804093567251462</v>
      </c>
      <c r="K491" s="36" t="n">
        <f aca="false">$E491/H491-1</f>
        <v>-0.052710843373494</v>
      </c>
      <c r="L491" s="37" t="n">
        <v>4.46</v>
      </c>
      <c r="M491" s="37" t="n">
        <v>0.47</v>
      </c>
      <c r="N491" s="34" t="n">
        <v>8580</v>
      </c>
      <c r="O491" s="34" t="n">
        <v>5450</v>
      </c>
      <c r="P491" s="38"/>
      <c r="Q491" s="38"/>
    </row>
    <row r="492" customFormat="false" ht="15" hidden="false" customHeight="false" outlineLevel="0" collapsed="false">
      <c r="A492" s="34" t="n">
        <v>484</v>
      </c>
      <c r="B492" s="35" t="s">
        <v>1059</v>
      </c>
      <c r="C492" s="35" t="s">
        <v>1060</v>
      </c>
      <c r="D492" s="35" t="s">
        <v>133</v>
      </c>
      <c r="E492" s="34" t="n">
        <v>3800</v>
      </c>
      <c r="F492" s="34" t="n">
        <v>3700</v>
      </c>
      <c r="G492" s="34" t="n">
        <v>4200</v>
      </c>
      <c r="H492" s="34" t="n">
        <v>5000</v>
      </c>
      <c r="I492" s="36" t="n">
        <f aca="false">$E492/F492-1</f>
        <v>0.027027027027027</v>
      </c>
      <c r="J492" s="36" t="n">
        <f aca="false">$E492/G492-1</f>
        <v>-0.0952380952380952</v>
      </c>
      <c r="K492" s="36" t="n">
        <f aca="false">$E492/H492-1</f>
        <v>-0.24</v>
      </c>
      <c r="L492" s="37" t="n">
        <v>-3.07</v>
      </c>
      <c r="M492" s="37" t="n">
        <v>0.35</v>
      </c>
      <c r="N492" s="34" t="n">
        <v>8400</v>
      </c>
      <c r="O492" s="34" t="n">
        <v>3700</v>
      </c>
      <c r="P492" s="38"/>
      <c r="Q492" s="38"/>
    </row>
    <row r="493" customFormat="false" ht="15" hidden="false" customHeight="false" outlineLevel="0" collapsed="false">
      <c r="A493" s="34" t="n">
        <v>485</v>
      </c>
      <c r="B493" s="35" t="s">
        <v>1061</v>
      </c>
      <c r="C493" s="35" t="s">
        <v>1062</v>
      </c>
      <c r="D493" s="35" t="s">
        <v>116</v>
      </c>
      <c r="E493" s="34" t="n">
        <v>10350</v>
      </c>
      <c r="F493" s="34" t="n">
        <v>10250</v>
      </c>
      <c r="G493" s="34" t="n">
        <v>11500</v>
      </c>
      <c r="H493" s="34" t="n">
        <v>13850</v>
      </c>
      <c r="I493" s="36" t="n">
        <f aca="false">$E493/F493-1</f>
        <v>0.00975609756097562</v>
      </c>
      <c r="J493" s="36" t="n">
        <f aca="false">$E493/G493-1</f>
        <v>-0.1</v>
      </c>
      <c r="K493" s="36" t="n">
        <f aca="false">$E493/H493-1</f>
        <v>-0.252707581227437</v>
      </c>
      <c r="L493" s="37" t="n">
        <v>14.25</v>
      </c>
      <c r="M493" s="37" t="n">
        <v>0.44</v>
      </c>
      <c r="N493" s="34" t="n">
        <v>18000</v>
      </c>
      <c r="O493" s="34" t="n">
        <v>9600</v>
      </c>
      <c r="P493" s="38"/>
      <c r="Q493" s="38"/>
    </row>
    <row r="494" customFormat="false" ht="15" hidden="false" customHeight="false" outlineLevel="0" collapsed="false">
      <c r="A494" s="34" t="n">
        <v>486</v>
      </c>
      <c r="B494" s="35" t="s">
        <v>1063</v>
      </c>
      <c r="C494" s="35" t="s">
        <v>1064</v>
      </c>
      <c r="D494" s="35" t="s">
        <v>116</v>
      </c>
      <c r="E494" s="34" t="n">
        <v>2820</v>
      </c>
      <c r="F494" s="34" t="n">
        <v>2680</v>
      </c>
      <c r="G494" s="34" t="n">
        <v>3090</v>
      </c>
      <c r="H494" s="34" t="n">
        <v>4320</v>
      </c>
      <c r="I494" s="36" t="n">
        <f aca="false">$E494/F494-1</f>
        <v>0.0522388059701493</v>
      </c>
      <c r="J494" s="36" t="n">
        <f aca="false">$E494/G494-1</f>
        <v>-0.087378640776699</v>
      </c>
      <c r="K494" s="36" t="n">
        <f aca="false">$E494/H494-1</f>
        <v>-0.347222222222222</v>
      </c>
      <c r="L494" s="37" t="n">
        <v>3.86</v>
      </c>
      <c r="M494" s="37" t="n">
        <v>0.57</v>
      </c>
      <c r="N494" s="34" t="n">
        <v>5300</v>
      </c>
      <c r="O494" s="34" t="n">
        <v>2550</v>
      </c>
      <c r="P494" s="38"/>
      <c r="Q494" s="38"/>
    </row>
    <row r="495" customFormat="false" ht="15" hidden="false" customHeight="false" outlineLevel="0" collapsed="false">
      <c r="A495" s="34" t="n">
        <v>487</v>
      </c>
      <c r="B495" s="35" t="s">
        <v>1065</v>
      </c>
      <c r="C495" s="35" t="s">
        <v>1066</v>
      </c>
      <c r="D495" s="35" t="s">
        <v>133</v>
      </c>
      <c r="E495" s="34" t="n">
        <v>10300</v>
      </c>
      <c r="F495" s="34" t="n">
        <v>10300</v>
      </c>
      <c r="G495" s="34" t="n">
        <v>9000</v>
      </c>
      <c r="H495" s="34" t="n">
        <v>6600</v>
      </c>
      <c r="I495" s="36" t="n">
        <f aca="false">$E495/F495-1</f>
        <v>0</v>
      </c>
      <c r="J495" s="36" t="n">
        <f aca="false">$E495/G495-1</f>
        <v>0.144444444444444</v>
      </c>
      <c r="K495" s="36" t="n">
        <f aca="false">$E495/H495-1</f>
        <v>0.560606060606061</v>
      </c>
      <c r="L495" s="37" t="n">
        <v>37.11</v>
      </c>
      <c r="M495" s="37" t="n">
        <v>0.99</v>
      </c>
      <c r="N495" s="34" t="n">
        <v>10400</v>
      </c>
      <c r="O495" s="34" t="n">
        <v>5400</v>
      </c>
      <c r="P495" s="38"/>
      <c r="Q495" s="38"/>
    </row>
    <row r="496" customFormat="false" ht="15" hidden="false" customHeight="false" outlineLevel="0" collapsed="false">
      <c r="A496" s="34" t="n">
        <v>488</v>
      </c>
      <c r="B496" s="35" t="s">
        <v>1067</v>
      </c>
      <c r="C496" s="35" t="s">
        <v>1068</v>
      </c>
      <c r="D496" s="35" t="s">
        <v>116</v>
      </c>
      <c r="E496" s="34" t="n">
        <v>11100</v>
      </c>
      <c r="F496" s="34" t="n">
        <v>11000</v>
      </c>
      <c r="G496" s="34" t="n">
        <v>11450</v>
      </c>
      <c r="H496" s="34" t="n">
        <v>11900.25</v>
      </c>
      <c r="I496" s="36" t="n">
        <f aca="false">$E496/F496-1</f>
        <v>0.00909090909090904</v>
      </c>
      <c r="J496" s="36" t="n">
        <f aca="false">$E496/G496-1</f>
        <v>-0.0305676855895196</v>
      </c>
      <c r="K496" s="36" t="n">
        <f aca="false">$E496/H496-1</f>
        <v>-0.0672464864183525</v>
      </c>
      <c r="L496" s="37" t="n">
        <v>14.36</v>
      </c>
      <c r="M496" s="37" t="n">
        <v>1.02</v>
      </c>
      <c r="N496" s="34" t="n">
        <v>15128.93</v>
      </c>
      <c r="O496" s="34" t="n">
        <v>10608.75</v>
      </c>
      <c r="P496" s="38"/>
      <c r="Q496" s="38"/>
    </row>
    <row r="497" customFormat="false" ht="15" hidden="false" customHeight="false" outlineLevel="0" collapsed="false">
      <c r="A497" s="34" t="n">
        <v>489</v>
      </c>
      <c r="B497" s="35" t="s">
        <v>1069</v>
      </c>
      <c r="C497" s="35" t="s">
        <v>1070</v>
      </c>
      <c r="D497" s="35" t="s">
        <v>111</v>
      </c>
      <c r="E497" s="34" t="n">
        <v>25856</v>
      </c>
      <c r="F497" s="34" t="n">
        <v>24158</v>
      </c>
      <c r="G497" s="34" t="n">
        <v>26024</v>
      </c>
      <c r="H497" s="34" t="n">
        <v>13937</v>
      </c>
      <c r="I497" s="36" t="n">
        <f aca="false">$E497/F497-1</f>
        <v>0.0702872754367083</v>
      </c>
      <c r="J497" s="36" t="n">
        <f aca="false">$E497/G497-1</f>
        <v>-0.00645557946510911</v>
      </c>
      <c r="K497" s="36" t="n">
        <f aca="false">$E497/H497-1</f>
        <v>0.85520556791275</v>
      </c>
      <c r="L497" s="37" t="n">
        <v>46.92</v>
      </c>
      <c r="M497" s="37" t="n">
        <v>2.36</v>
      </c>
      <c r="N497" s="34" t="n">
        <v>67015</v>
      </c>
      <c r="O497" s="34" t="n">
        <v>8233</v>
      </c>
      <c r="P497" s="38"/>
      <c r="Q497" s="38"/>
    </row>
    <row r="498" customFormat="false" ht="15" hidden="false" customHeight="false" outlineLevel="0" collapsed="false">
      <c r="A498" s="34" t="n">
        <v>490</v>
      </c>
      <c r="B498" s="35" t="s">
        <v>1071</v>
      </c>
      <c r="C498" s="35" t="s">
        <v>1072</v>
      </c>
      <c r="D498" s="35" t="s">
        <v>116</v>
      </c>
      <c r="E498" s="34" t="n">
        <v>101200</v>
      </c>
      <c r="F498" s="34" t="n">
        <v>101000</v>
      </c>
      <c r="G498" s="34" t="n">
        <v>83800</v>
      </c>
      <c r="H498" s="34" t="n">
        <v>39594.75</v>
      </c>
      <c r="I498" s="36" t="n">
        <f aca="false">$E498/F498-1</f>
        <v>0.00198019801980198</v>
      </c>
      <c r="J498" s="36" t="n">
        <f aca="false">$E498/G498-1</f>
        <v>0.20763723150358</v>
      </c>
      <c r="K498" s="36" t="n">
        <f aca="false">$E498/H498-1</f>
        <v>1.55589440519261</v>
      </c>
      <c r="L498" s="37" t="n">
        <v>3.44</v>
      </c>
      <c r="M498" s="37" t="n">
        <v>4.09</v>
      </c>
      <c r="N498" s="34" t="n">
        <v>108900</v>
      </c>
      <c r="O498" s="34" t="n">
        <v>20488.32</v>
      </c>
      <c r="P498" s="38"/>
      <c r="Q498" s="38"/>
    </row>
    <row r="499" customFormat="false" ht="15" hidden="false" customHeight="false" outlineLevel="0" collapsed="false">
      <c r="A499" s="34" t="n">
        <v>491</v>
      </c>
      <c r="B499" s="35" t="s">
        <v>1073</v>
      </c>
      <c r="C499" s="35" t="s">
        <v>1074</v>
      </c>
      <c r="D499" s="35" t="s">
        <v>111</v>
      </c>
      <c r="E499" s="34" t="n">
        <v>10000</v>
      </c>
      <c r="F499" s="34" t="n">
        <v>10200</v>
      </c>
      <c r="G499" s="34" t="n">
        <v>10000</v>
      </c>
      <c r="H499" s="34" t="n">
        <v>15400</v>
      </c>
      <c r="I499" s="36" t="n">
        <f aca="false">$E499/F499-1</f>
        <v>-0.0196078431372549</v>
      </c>
      <c r="J499" s="36" t="n">
        <f aca="false">$E499/G499-1</f>
        <v>0</v>
      </c>
      <c r="K499" s="36" t="n">
        <f aca="false">$E499/H499-1</f>
        <v>-0.350649350649351</v>
      </c>
      <c r="L499" s="37" t="n">
        <v>7.43</v>
      </c>
      <c r="M499" s="37" t="n">
        <v>0.74</v>
      </c>
      <c r="N499" s="34" t="n">
        <v>18306</v>
      </c>
      <c r="O499" s="34" t="n">
        <v>8077</v>
      </c>
      <c r="P499" s="38"/>
      <c r="Q499" s="38"/>
    </row>
    <row r="500" customFormat="false" ht="15" hidden="false" customHeight="false" outlineLevel="0" collapsed="false">
      <c r="A500" s="34" t="n">
        <v>492</v>
      </c>
      <c r="B500" s="35" t="s">
        <v>1075</v>
      </c>
      <c r="C500" s="35" t="s">
        <v>1076</v>
      </c>
      <c r="D500" s="35" t="s">
        <v>133</v>
      </c>
      <c r="E500" s="34" t="n">
        <v>11900</v>
      </c>
      <c r="F500" s="34" t="n">
        <v>12100</v>
      </c>
      <c r="G500" s="34" t="n">
        <v>13700</v>
      </c>
      <c r="H500" s="34" t="n">
        <v>14155.12</v>
      </c>
      <c r="I500" s="36" t="n">
        <f aca="false">$E500/F500-1</f>
        <v>-0.0165289256198347</v>
      </c>
      <c r="J500" s="36" t="n">
        <f aca="false">$E500/G500-1</f>
        <v>-0.131386861313869</v>
      </c>
      <c r="K500" s="36" t="n">
        <f aca="false">$E500/H500-1</f>
        <v>-0.159314792103493</v>
      </c>
      <c r="L500" s="37" t="n">
        <v>13.2</v>
      </c>
      <c r="M500" s="37" t="n">
        <v>0.64</v>
      </c>
      <c r="N500" s="34" t="n">
        <v>20397.44</v>
      </c>
      <c r="O500" s="34" t="n">
        <v>11900</v>
      </c>
      <c r="P500" s="38"/>
      <c r="Q500" s="38"/>
    </row>
    <row r="501" customFormat="false" ht="15" hidden="false" customHeight="false" outlineLevel="0" collapsed="false">
      <c r="A501" s="34" t="n">
        <v>493</v>
      </c>
      <c r="B501" s="35" t="s">
        <v>1077</v>
      </c>
      <c r="C501" s="35" t="s">
        <v>1078</v>
      </c>
      <c r="D501" s="35" t="s">
        <v>111</v>
      </c>
      <c r="E501" s="34" t="n">
        <v>32000</v>
      </c>
      <c r="F501" s="34" t="n">
        <v>31900</v>
      </c>
      <c r="G501" s="34" t="n">
        <v>33000</v>
      </c>
      <c r="H501" s="34" t="n">
        <v>32861.57</v>
      </c>
      <c r="I501" s="36" t="n">
        <f aca="false">$E501/F501-1</f>
        <v>0.00313479623824442</v>
      </c>
      <c r="J501" s="36" t="n">
        <f aca="false">$E501/G501-1</f>
        <v>-0.0303030303030303</v>
      </c>
      <c r="K501" s="36" t="n">
        <f aca="false">$E501/H501-1</f>
        <v>-0.0262181630396844</v>
      </c>
      <c r="L501" s="37" t="n">
        <v>9.76</v>
      </c>
      <c r="M501" s="37" t="n">
        <v>2.63</v>
      </c>
      <c r="N501" s="34" t="n">
        <v>34200.32</v>
      </c>
      <c r="O501" s="34" t="n">
        <v>30061.93</v>
      </c>
      <c r="P501" s="38"/>
      <c r="Q501" s="38"/>
    </row>
    <row r="502" customFormat="false" ht="15" hidden="false" customHeight="false" outlineLevel="0" collapsed="false">
      <c r="A502" s="34" t="n">
        <v>494</v>
      </c>
      <c r="B502" s="35" t="s">
        <v>1079</v>
      </c>
      <c r="C502" s="35" t="s">
        <v>1080</v>
      </c>
      <c r="D502" s="35" t="s">
        <v>111</v>
      </c>
      <c r="E502" s="34" t="n">
        <v>3100</v>
      </c>
      <c r="F502" s="34" t="n">
        <v>3068</v>
      </c>
      <c r="G502" s="34" t="n">
        <v>2900</v>
      </c>
      <c r="H502" s="34" t="n">
        <v>2500</v>
      </c>
      <c r="I502" s="36" t="n">
        <f aca="false">$E502/F502-1</f>
        <v>0.0104302477183833</v>
      </c>
      <c r="J502" s="36" t="n">
        <f aca="false">$E502/G502-1</f>
        <v>0.0689655172413792</v>
      </c>
      <c r="K502" s="36" t="n">
        <f aca="false">$E502/H502-1</f>
        <v>0.24</v>
      </c>
      <c r="L502" s="37" t="n">
        <v>-5.71</v>
      </c>
      <c r="M502" s="37" t="n">
        <v>0.4</v>
      </c>
      <c r="N502" s="34" t="n">
        <v>3428</v>
      </c>
      <c r="O502" s="34" t="n">
        <v>1900</v>
      </c>
      <c r="P502" s="38"/>
      <c r="Q502" s="38"/>
    </row>
    <row r="503" customFormat="false" ht="15" hidden="false" customHeight="false" outlineLevel="0" collapsed="false">
      <c r="A503" s="34" t="n">
        <v>495</v>
      </c>
      <c r="B503" s="35" t="s">
        <v>1081</v>
      </c>
      <c r="C503" s="35" t="s">
        <v>1082</v>
      </c>
      <c r="D503" s="35" t="s">
        <v>111</v>
      </c>
      <c r="E503" s="34" t="n">
        <v>11400</v>
      </c>
      <c r="F503" s="34" t="n">
        <v>11321</v>
      </c>
      <c r="G503" s="34" t="n">
        <v>13820</v>
      </c>
      <c r="H503" s="34" t="n">
        <v>15200</v>
      </c>
      <c r="I503" s="36" t="n">
        <f aca="false">$E503/F503-1</f>
        <v>0.00697818213938706</v>
      </c>
      <c r="J503" s="36" t="n">
        <f aca="false">$E503/G503-1</f>
        <v>-0.175108538350217</v>
      </c>
      <c r="K503" s="36" t="n">
        <f aca="false">$E503/H503-1</f>
        <v>-0.25</v>
      </c>
      <c r="L503" s="37" t="n">
        <v>11.05</v>
      </c>
      <c r="M503" s="37" t="n">
        <v>0.46</v>
      </c>
      <c r="N503" s="34" t="n">
        <v>20882</v>
      </c>
      <c r="O503" s="34" t="n">
        <v>11275</v>
      </c>
      <c r="P503" s="38"/>
      <c r="Q503" s="38"/>
    </row>
    <row r="504" customFormat="false" ht="15" hidden="false" customHeight="false" outlineLevel="0" collapsed="false">
      <c r="A504" s="34" t="n">
        <v>496</v>
      </c>
      <c r="B504" s="35" t="s">
        <v>1083</v>
      </c>
      <c r="C504" s="35" t="s">
        <v>1084</v>
      </c>
      <c r="D504" s="35" t="s">
        <v>111</v>
      </c>
      <c r="E504" s="34" t="n">
        <v>900</v>
      </c>
      <c r="F504" s="34" t="n">
        <v>903</v>
      </c>
      <c r="G504" s="34" t="n">
        <v>1000</v>
      </c>
      <c r="H504" s="34" t="n">
        <v>1100</v>
      </c>
      <c r="I504" s="36" t="n">
        <f aca="false">$E504/F504-1</f>
        <v>-0.00332225913621265</v>
      </c>
      <c r="J504" s="36" t="n">
        <f aca="false">$E504/G504-1</f>
        <v>-0.1</v>
      </c>
      <c r="K504" s="36" t="n">
        <f aca="false">$E504/H504-1</f>
        <v>-0.181818181818182</v>
      </c>
      <c r="L504" s="37" t="n">
        <v>-32.16</v>
      </c>
      <c r="M504" s="37" t="n">
        <v>0.1</v>
      </c>
      <c r="N504" s="34" t="n">
        <v>1300</v>
      </c>
      <c r="O504" s="34" t="n">
        <v>900</v>
      </c>
      <c r="P504" s="38"/>
      <c r="Q504" s="38"/>
    </row>
    <row r="505" customFormat="false" ht="15" hidden="false" customHeight="false" outlineLevel="0" collapsed="false">
      <c r="A505" s="34" t="n">
        <v>497</v>
      </c>
      <c r="B505" s="35" t="s">
        <v>1085</v>
      </c>
      <c r="C505" s="35" t="s">
        <v>1086</v>
      </c>
      <c r="D505" s="35" t="s">
        <v>111</v>
      </c>
      <c r="E505" s="34" t="n">
        <v>87522</v>
      </c>
      <c r="F505" s="34" t="n">
        <v>80681</v>
      </c>
      <c r="G505" s="34" t="n">
        <v>85742</v>
      </c>
      <c r="H505" s="34" t="n">
        <v>69892</v>
      </c>
      <c r="I505" s="36" t="n">
        <f aca="false">$E505/F505-1</f>
        <v>0.0847907190044743</v>
      </c>
      <c r="J505" s="36" t="n">
        <f aca="false">$E505/G505-1</f>
        <v>0.0207599542814489</v>
      </c>
      <c r="K505" s="36" t="n">
        <f aca="false">$E505/H505-1</f>
        <v>0.252246322898186</v>
      </c>
      <c r="L505" s="37" t="n">
        <v>21.78</v>
      </c>
      <c r="M505" s="37" t="n">
        <v>7.04</v>
      </c>
      <c r="N505" s="34" t="n">
        <v>136990</v>
      </c>
      <c r="O505" s="34" t="n">
        <v>64880</v>
      </c>
      <c r="P505" s="38"/>
      <c r="Q505" s="38"/>
    </row>
    <row r="506" customFormat="false" ht="15" hidden="false" customHeight="false" outlineLevel="0" collapsed="false">
      <c r="A506" s="34" t="n">
        <v>498</v>
      </c>
      <c r="B506" s="35" t="s">
        <v>1087</v>
      </c>
      <c r="C506" s="35" t="s">
        <v>1088</v>
      </c>
      <c r="D506" s="35" t="s">
        <v>116</v>
      </c>
      <c r="E506" s="34" t="n">
        <v>50900</v>
      </c>
      <c r="F506" s="34" t="n">
        <v>48100</v>
      </c>
      <c r="G506" s="34" t="n">
        <v>49700</v>
      </c>
      <c r="H506" s="34" t="n">
        <v>49033.72</v>
      </c>
      <c r="I506" s="36" t="n">
        <f aca="false">$E506/F506-1</f>
        <v>0.0582120582120582</v>
      </c>
      <c r="J506" s="36" t="n">
        <f aca="false">$E506/G506-1</f>
        <v>0.0241448692152917</v>
      </c>
      <c r="K506" s="36" t="n">
        <f aca="false">$E506/H506-1</f>
        <v>0.03806115465031</v>
      </c>
      <c r="L506" s="37" t="n">
        <v>8.59</v>
      </c>
      <c r="M506" s="37" t="n">
        <v>2.54</v>
      </c>
      <c r="N506" s="34" t="n">
        <v>61866.39</v>
      </c>
      <c r="O506" s="34" t="n">
        <v>45826.95</v>
      </c>
      <c r="P506" s="38" t="n">
        <v>11.99</v>
      </c>
      <c r="Q506" s="38" t="n">
        <v>3.3</v>
      </c>
    </row>
    <row r="507" customFormat="false" ht="15" hidden="false" customHeight="false" outlineLevel="0" collapsed="false">
      <c r="A507" s="34" t="n">
        <v>499</v>
      </c>
      <c r="B507" s="35" t="s">
        <v>1089</v>
      </c>
      <c r="C507" s="35" t="s">
        <v>1090</v>
      </c>
      <c r="D507" s="35" t="s">
        <v>111</v>
      </c>
      <c r="E507" s="34" t="n">
        <v>1700</v>
      </c>
      <c r="F507" s="34" t="n">
        <v>1700</v>
      </c>
      <c r="G507" s="34" t="n">
        <v>1700</v>
      </c>
      <c r="H507" s="34" t="n">
        <v>1700</v>
      </c>
      <c r="I507" s="36" t="n">
        <f aca="false">$E507/F507-1</f>
        <v>0</v>
      </c>
      <c r="J507" s="36" t="n">
        <f aca="false">$E507/G507-1</f>
        <v>0</v>
      </c>
      <c r="K507" s="36" t="n">
        <f aca="false">$E507/H507-1</f>
        <v>0</v>
      </c>
      <c r="L507" s="37" t="n">
        <v>-4.67</v>
      </c>
      <c r="M507" s="37" t="n">
        <v>0.31</v>
      </c>
      <c r="N507" s="34" t="n">
        <v>1700</v>
      </c>
      <c r="O507" s="34" t="n">
        <v>1700</v>
      </c>
      <c r="P507" s="38"/>
      <c r="Q507" s="38"/>
    </row>
    <row r="508" customFormat="false" ht="15" hidden="false" customHeight="false" outlineLevel="0" collapsed="false">
      <c r="A508" s="34" t="n">
        <v>500</v>
      </c>
      <c r="B508" s="35" t="s">
        <v>1091</v>
      </c>
      <c r="C508" s="35" t="s">
        <v>1092</v>
      </c>
      <c r="D508" s="35" t="s">
        <v>133</v>
      </c>
      <c r="E508" s="34" t="n">
        <v>8500</v>
      </c>
      <c r="F508" s="34" t="n">
        <v>6600</v>
      </c>
      <c r="G508" s="34" t="n">
        <v>12800</v>
      </c>
      <c r="H508" s="34" t="n">
        <v>9100</v>
      </c>
      <c r="I508" s="36" t="n">
        <f aca="false">$E508/F508-1</f>
        <v>0.287878787878788</v>
      </c>
      <c r="J508" s="36" t="n">
        <f aca="false">$E508/G508-1</f>
        <v>-0.3359375</v>
      </c>
      <c r="K508" s="36" t="n">
        <f aca="false">$E508/H508-1</f>
        <v>-0.0659340659340659</v>
      </c>
      <c r="L508" s="37" t="n">
        <v>100.49</v>
      </c>
      <c r="M508" s="37" t="n">
        <v>0.68</v>
      </c>
      <c r="N508" s="34" t="n">
        <v>13600</v>
      </c>
      <c r="O508" s="34" t="n">
        <v>4000</v>
      </c>
      <c r="P508" s="38"/>
      <c r="Q508" s="38"/>
    </row>
    <row r="509" customFormat="false" ht="15" hidden="false" customHeight="false" outlineLevel="0" collapsed="false">
      <c r="A509" s="34" t="n">
        <v>501</v>
      </c>
      <c r="B509" s="35" t="s">
        <v>1093</v>
      </c>
      <c r="C509" s="35" t="s">
        <v>1094</v>
      </c>
      <c r="D509" s="35" t="s">
        <v>111</v>
      </c>
      <c r="E509" s="34" t="n">
        <v>9211</v>
      </c>
      <c r="F509" s="34" t="n">
        <v>9850</v>
      </c>
      <c r="G509" s="34" t="n">
        <v>9065</v>
      </c>
      <c r="H509" s="34" t="n">
        <v>10823.99</v>
      </c>
      <c r="I509" s="36" t="n">
        <f aca="false">$E509/F509-1</f>
        <v>-0.0648730964467005</v>
      </c>
      <c r="J509" s="36" t="n">
        <f aca="false">$E509/G509-1</f>
        <v>0.0161059018201875</v>
      </c>
      <c r="K509" s="36" t="n">
        <f aca="false">$E509/H509-1</f>
        <v>-0.149019908554978</v>
      </c>
      <c r="L509" s="37" t="n">
        <v>-6.93</v>
      </c>
      <c r="M509" s="37" t="n">
        <v>0.36</v>
      </c>
      <c r="N509" s="34" t="n">
        <v>12509.26</v>
      </c>
      <c r="O509" s="34" t="n">
        <v>8679.74</v>
      </c>
      <c r="P509" s="38"/>
      <c r="Q509" s="38"/>
    </row>
    <row r="510" customFormat="false" ht="15" hidden="false" customHeight="false" outlineLevel="0" collapsed="false">
      <c r="A510" s="34" t="n">
        <v>502</v>
      </c>
      <c r="B510" s="35" t="s">
        <v>1095</v>
      </c>
      <c r="C510" s="35" t="s">
        <v>1096</v>
      </c>
      <c r="D510" s="35" t="s">
        <v>111</v>
      </c>
      <c r="E510" s="34" t="n">
        <v>1200</v>
      </c>
      <c r="F510" s="34" t="n">
        <v>1200</v>
      </c>
      <c r="G510" s="34" t="n">
        <v>1200</v>
      </c>
      <c r="H510" s="34" t="n">
        <v>1200</v>
      </c>
      <c r="I510" s="36" t="n">
        <f aca="false">$E510/F510-1</f>
        <v>0</v>
      </c>
      <c r="J510" s="36" t="n">
        <f aca="false">$E510/G510-1</f>
        <v>0</v>
      </c>
      <c r="K510" s="36" t="n">
        <f aca="false">$E510/H510-1</f>
        <v>0</v>
      </c>
      <c r="L510" s="37" t="n">
        <v>-39.8</v>
      </c>
      <c r="M510" s="37" t="n">
        <v>0.14</v>
      </c>
      <c r="N510" s="34" t="n">
        <v>1200</v>
      </c>
      <c r="O510" s="34" t="n">
        <v>1200</v>
      </c>
      <c r="P510" s="38"/>
      <c r="Q510" s="38"/>
    </row>
    <row r="511" customFormat="false" ht="15" hidden="false" customHeight="false" outlineLevel="0" collapsed="false">
      <c r="A511" s="34" t="n">
        <v>503</v>
      </c>
      <c r="B511" s="35" t="s">
        <v>1097</v>
      </c>
      <c r="C511" s="35" t="s">
        <v>1098</v>
      </c>
      <c r="D511" s="35" t="s">
        <v>116</v>
      </c>
      <c r="E511" s="34" t="n">
        <v>2410</v>
      </c>
      <c r="F511" s="34" t="n">
        <v>2640</v>
      </c>
      <c r="G511" s="34" t="n">
        <v>2370</v>
      </c>
      <c r="H511" s="34" t="n">
        <v>3020</v>
      </c>
      <c r="I511" s="36" t="n">
        <f aca="false">$E511/F511-1</f>
        <v>-0.0871212121212122</v>
      </c>
      <c r="J511" s="36" t="n">
        <f aca="false">$E511/G511-1</f>
        <v>0.0168776371308017</v>
      </c>
      <c r="K511" s="36" t="n">
        <f aca="false">$E511/H511-1</f>
        <v>-0.201986754966887</v>
      </c>
      <c r="L511" s="37" t="n">
        <v>13.47</v>
      </c>
      <c r="M511" s="37" t="n">
        <v>0.22</v>
      </c>
      <c r="N511" s="34" t="n">
        <v>3630</v>
      </c>
      <c r="O511" s="34" t="n">
        <v>2330</v>
      </c>
      <c r="P511" s="38"/>
      <c r="Q511" s="38"/>
    </row>
    <row r="512" customFormat="false" ht="15" hidden="false" customHeight="false" outlineLevel="0" collapsed="false">
      <c r="A512" s="34" t="n">
        <v>504</v>
      </c>
      <c r="B512" s="35" t="s">
        <v>1099</v>
      </c>
      <c r="C512" s="35" t="s">
        <v>1100</v>
      </c>
      <c r="D512" s="35" t="s">
        <v>116</v>
      </c>
      <c r="E512" s="34" t="n">
        <v>10750</v>
      </c>
      <c r="F512" s="34" t="n">
        <v>11000</v>
      </c>
      <c r="G512" s="34" t="n">
        <v>10600</v>
      </c>
      <c r="H512" s="34" t="n">
        <v>13150</v>
      </c>
      <c r="I512" s="36" t="n">
        <f aca="false">$E512/F512-1</f>
        <v>-0.0227272727272727</v>
      </c>
      <c r="J512" s="36" t="n">
        <f aca="false">$E512/G512-1</f>
        <v>0.0141509433962264</v>
      </c>
      <c r="K512" s="36" t="n">
        <f aca="false">$E512/H512-1</f>
        <v>-0.182509505703422</v>
      </c>
      <c r="L512" s="37" t="n">
        <v>2.44</v>
      </c>
      <c r="M512" s="37" t="n">
        <v>0.74</v>
      </c>
      <c r="N512" s="34" t="n">
        <v>16800</v>
      </c>
      <c r="O512" s="34" t="n">
        <v>9500</v>
      </c>
      <c r="P512" s="38"/>
      <c r="Q512" s="38"/>
    </row>
    <row r="513" customFormat="false" ht="15" hidden="false" customHeight="false" outlineLevel="0" collapsed="false">
      <c r="A513" s="34" t="n">
        <v>505</v>
      </c>
      <c r="B513" s="35" t="s">
        <v>1101</v>
      </c>
      <c r="C513" s="35" t="s">
        <v>1102</v>
      </c>
      <c r="D513" s="35" t="s">
        <v>116</v>
      </c>
      <c r="E513" s="34" t="n">
        <v>1850</v>
      </c>
      <c r="F513" s="34" t="n">
        <v>1870</v>
      </c>
      <c r="G513" s="34" t="n">
        <v>2430</v>
      </c>
      <c r="H513" s="34" t="n">
        <v>5020</v>
      </c>
      <c r="I513" s="36" t="n">
        <f aca="false">$E513/F513-1</f>
        <v>-0.0106951871657754</v>
      </c>
      <c r="J513" s="36" t="n">
        <f aca="false">$E513/G513-1</f>
        <v>-0.238683127572016</v>
      </c>
      <c r="K513" s="36" t="n">
        <f aca="false">$E513/H513-1</f>
        <v>-0.631474103585657</v>
      </c>
      <c r="L513" s="37" t="n">
        <v>-0.23</v>
      </c>
      <c r="M513" s="37" t="n">
        <v>0.18</v>
      </c>
      <c r="N513" s="34" t="n">
        <v>9950</v>
      </c>
      <c r="O513" s="34" t="n">
        <v>1810</v>
      </c>
      <c r="P513" s="38"/>
      <c r="Q513" s="38"/>
    </row>
    <row r="514" customFormat="false" ht="15" hidden="false" customHeight="false" outlineLevel="0" collapsed="false">
      <c r="A514" s="34" t="n">
        <v>506</v>
      </c>
      <c r="B514" s="35" t="s">
        <v>1103</v>
      </c>
      <c r="C514" s="35" t="s">
        <v>1104</v>
      </c>
      <c r="D514" s="35" t="s">
        <v>133</v>
      </c>
      <c r="E514" s="34" t="n">
        <v>8600</v>
      </c>
      <c r="F514" s="34" t="n">
        <v>8800</v>
      </c>
      <c r="G514" s="34" t="n">
        <v>6300</v>
      </c>
      <c r="H514" s="34" t="n">
        <v>4800</v>
      </c>
      <c r="I514" s="36" t="n">
        <f aca="false">$E514/F514-1</f>
        <v>-0.0227272727272727</v>
      </c>
      <c r="J514" s="36" t="n">
        <f aca="false">$E514/G514-1</f>
        <v>0.365079365079365</v>
      </c>
      <c r="K514" s="36" t="n">
        <f aca="false">$E514/H514-1</f>
        <v>0.791666666666667</v>
      </c>
      <c r="L514" s="37" t="n">
        <v>-142.09</v>
      </c>
      <c r="M514" s="37" t="n">
        <v>0.7</v>
      </c>
      <c r="N514" s="34" t="n">
        <v>10500</v>
      </c>
      <c r="O514" s="34" t="n">
        <v>3300</v>
      </c>
      <c r="P514" s="38"/>
      <c r="Q514" s="38"/>
    </row>
    <row r="515" customFormat="false" ht="15" hidden="false" customHeight="false" outlineLevel="0" collapsed="false">
      <c r="A515" s="34" t="n">
        <v>507</v>
      </c>
      <c r="B515" s="35" t="s">
        <v>1105</v>
      </c>
      <c r="C515" s="35" t="s">
        <v>1106</v>
      </c>
      <c r="D515" s="35" t="s">
        <v>116</v>
      </c>
      <c r="E515" s="34" t="n">
        <v>10350</v>
      </c>
      <c r="F515" s="34" t="n">
        <v>11800</v>
      </c>
      <c r="G515" s="34" t="n">
        <v>10150</v>
      </c>
      <c r="H515" s="34" t="n">
        <v>12181.94</v>
      </c>
      <c r="I515" s="36" t="n">
        <f aca="false">$E515/F515-1</f>
        <v>-0.122881355932203</v>
      </c>
      <c r="J515" s="36" t="n">
        <f aca="false">$E515/G515-1</f>
        <v>0.0197044334975369</v>
      </c>
      <c r="K515" s="36" t="n">
        <f aca="false">$E515/H515-1</f>
        <v>-0.150381630512053</v>
      </c>
      <c r="L515" s="37" t="n">
        <v>9.07</v>
      </c>
      <c r="M515" s="37" t="n">
        <v>0.95</v>
      </c>
      <c r="N515" s="34" t="n">
        <v>13500.14</v>
      </c>
      <c r="O515" s="34" t="n">
        <v>9970</v>
      </c>
      <c r="P515" s="38"/>
      <c r="Q515" s="38"/>
    </row>
    <row r="516" customFormat="false" ht="15" hidden="false" customHeight="false" outlineLevel="0" collapsed="false">
      <c r="A516" s="34" t="n">
        <v>508</v>
      </c>
      <c r="B516" s="35" t="s">
        <v>1107</v>
      </c>
      <c r="C516" s="35" t="s">
        <v>1108</v>
      </c>
      <c r="D516" s="35" t="s">
        <v>111</v>
      </c>
      <c r="E516" s="34" t="n">
        <v>41800</v>
      </c>
      <c r="F516" s="34" t="n">
        <v>41800</v>
      </c>
      <c r="G516" s="34" t="n">
        <v>42300</v>
      </c>
      <c r="H516" s="34" t="n">
        <v>48569</v>
      </c>
      <c r="I516" s="36" t="n">
        <f aca="false">$E516/F516-1</f>
        <v>0</v>
      </c>
      <c r="J516" s="36" t="n">
        <f aca="false">$E516/G516-1</f>
        <v>-0.0118203309692672</v>
      </c>
      <c r="K516" s="36" t="n">
        <f aca="false">$E516/H516-1</f>
        <v>-0.13936873314254</v>
      </c>
      <c r="L516" s="37" t="n">
        <v>-64.49</v>
      </c>
      <c r="M516" s="37" t="n">
        <v>6.11</v>
      </c>
      <c r="N516" s="34" t="n">
        <v>49000</v>
      </c>
      <c r="O516" s="34" t="n">
        <v>32266</v>
      </c>
      <c r="P516" s="38"/>
      <c r="Q516" s="38"/>
    </row>
    <row r="517" customFormat="false" ht="15" hidden="false" customHeight="false" outlineLevel="0" collapsed="false">
      <c r="A517" s="34" t="n">
        <v>509</v>
      </c>
      <c r="B517" s="35" t="s">
        <v>1109</v>
      </c>
      <c r="C517" s="35" t="s">
        <v>1110</v>
      </c>
      <c r="D517" s="35" t="s">
        <v>133</v>
      </c>
      <c r="E517" s="34" t="n">
        <v>6700</v>
      </c>
      <c r="F517" s="34" t="n">
        <v>7200</v>
      </c>
      <c r="G517" s="34" t="n">
        <v>7200</v>
      </c>
      <c r="H517" s="34" t="n">
        <v>8900</v>
      </c>
      <c r="I517" s="36" t="n">
        <f aca="false">$E517/F517-1</f>
        <v>-0.0694444444444444</v>
      </c>
      <c r="J517" s="36" t="n">
        <f aca="false">$E517/G517-1</f>
        <v>-0.0694444444444444</v>
      </c>
      <c r="K517" s="36" t="n">
        <f aca="false">$E517/H517-1</f>
        <v>-0.247191011235955</v>
      </c>
      <c r="L517" s="37" t="n">
        <v>-1966.93</v>
      </c>
      <c r="M517" s="37" t="n">
        <v>0.66</v>
      </c>
      <c r="N517" s="34" t="n">
        <v>11500</v>
      </c>
      <c r="O517" s="34" t="n">
        <v>6000</v>
      </c>
      <c r="P517" s="38"/>
      <c r="Q517" s="38"/>
    </row>
    <row r="518" customFormat="false" ht="15" hidden="false" customHeight="false" outlineLevel="0" collapsed="false">
      <c r="A518" s="34" t="n">
        <v>510</v>
      </c>
      <c r="B518" s="35" t="s">
        <v>1111</v>
      </c>
      <c r="C518" s="35" t="s">
        <v>1112</v>
      </c>
      <c r="D518" s="35" t="s">
        <v>133</v>
      </c>
      <c r="E518" s="34" t="n">
        <v>7000</v>
      </c>
      <c r="F518" s="34" t="n">
        <v>6800</v>
      </c>
      <c r="G518" s="34" t="n">
        <v>7100</v>
      </c>
      <c r="H518" s="34" t="n">
        <v>6347.58</v>
      </c>
      <c r="I518" s="36" t="n">
        <f aca="false">$E518/F518-1</f>
        <v>0.0294117647058823</v>
      </c>
      <c r="J518" s="36" t="n">
        <f aca="false">$E518/G518-1</f>
        <v>-0.0140845070422535</v>
      </c>
      <c r="K518" s="36" t="n">
        <f aca="false">$E518/H518-1</f>
        <v>0.102782477731671</v>
      </c>
      <c r="L518" s="37" t="n">
        <v>7.68</v>
      </c>
      <c r="M518" s="37" t="n">
        <v>0.59</v>
      </c>
      <c r="N518" s="34" t="n">
        <v>7579.2</v>
      </c>
      <c r="O518" s="34" t="n">
        <v>6101.04</v>
      </c>
      <c r="P518" s="38"/>
      <c r="Q518" s="38"/>
    </row>
    <row r="519" customFormat="false" ht="15" hidden="false" customHeight="false" outlineLevel="0" collapsed="false">
      <c r="A519" s="34" t="n">
        <v>511</v>
      </c>
      <c r="B519" s="35" t="s">
        <v>1113</v>
      </c>
      <c r="C519" s="35" t="s">
        <v>1114</v>
      </c>
      <c r="D519" s="35" t="s">
        <v>111</v>
      </c>
      <c r="E519" s="34" t="n">
        <v>1600</v>
      </c>
      <c r="F519" s="34" t="n">
        <v>1601</v>
      </c>
      <c r="G519" s="34" t="n">
        <v>1688</v>
      </c>
      <c r="H519" s="34" t="n">
        <v>1952</v>
      </c>
      <c r="I519" s="36" t="n">
        <f aca="false">$E519/F519-1</f>
        <v>-0.000624609618988137</v>
      </c>
      <c r="J519" s="36" t="n">
        <f aca="false">$E519/G519-1</f>
        <v>-0.0521327014218009</v>
      </c>
      <c r="K519" s="36" t="n">
        <f aca="false">$E519/H519-1</f>
        <v>-0.180327868852459</v>
      </c>
      <c r="L519" s="37" t="n">
        <v>-26.83</v>
      </c>
      <c r="M519" s="37" t="n">
        <v>1.83</v>
      </c>
      <c r="N519" s="34" t="n">
        <v>2499</v>
      </c>
      <c r="O519" s="34" t="n">
        <v>1500</v>
      </c>
      <c r="P519" s="38"/>
      <c r="Q519" s="38"/>
    </row>
    <row r="520" customFormat="false" ht="15" hidden="false" customHeight="false" outlineLevel="0" collapsed="false">
      <c r="A520" s="34" t="n">
        <v>512</v>
      </c>
      <c r="B520" s="35" t="s">
        <v>1115</v>
      </c>
      <c r="C520" s="35" t="s">
        <v>1116</v>
      </c>
      <c r="D520" s="35" t="s">
        <v>133</v>
      </c>
      <c r="E520" s="34" t="n">
        <v>1400</v>
      </c>
      <c r="F520" s="34" t="n">
        <v>1500</v>
      </c>
      <c r="G520" s="34" t="n">
        <v>1500</v>
      </c>
      <c r="H520" s="34" t="n">
        <v>1800</v>
      </c>
      <c r="I520" s="36" t="n">
        <f aca="false">$E520/F520-1</f>
        <v>-0.0666666666666667</v>
      </c>
      <c r="J520" s="36" t="n">
        <f aca="false">$E520/G520-1</f>
        <v>-0.0666666666666667</v>
      </c>
      <c r="K520" s="36" t="n">
        <f aca="false">$E520/H520-1</f>
        <v>-0.222222222222222</v>
      </c>
      <c r="L520" s="37" t="n">
        <v>-0.8</v>
      </c>
      <c r="M520" s="37" t="n">
        <v>0.22</v>
      </c>
      <c r="N520" s="34" t="n">
        <v>2500</v>
      </c>
      <c r="O520" s="34" t="n">
        <v>1400</v>
      </c>
      <c r="P520" s="38"/>
      <c r="Q520" s="38"/>
    </row>
    <row r="521" customFormat="false" ht="15" hidden="false" customHeight="false" outlineLevel="0" collapsed="false">
      <c r="A521" s="34" t="n">
        <v>513</v>
      </c>
      <c r="B521" s="35" t="s">
        <v>1117</v>
      </c>
      <c r="C521" s="35" t="s">
        <v>1118</v>
      </c>
      <c r="D521" s="35" t="s">
        <v>116</v>
      </c>
      <c r="E521" s="34" t="n">
        <v>4980</v>
      </c>
      <c r="F521" s="34" t="n">
        <v>4800</v>
      </c>
      <c r="G521" s="34" t="n">
        <v>5490</v>
      </c>
      <c r="H521" s="34" t="n">
        <v>6790</v>
      </c>
      <c r="I521" s="36" t="n">
        <f aca="false">$E521/F521-1</f>
        <v>0.0375000000000001</v>
      </c>
      <c r="J521" s="36" t="n">
        <f aca="false">$E521/G521-1</f>
        <v>-0.092896174863388</v>
      </c>
      <c r="K521" s="36" t="n">
        <f aca="false">$E521/H521-1</f>
        <v>-0.266568483063329</v>
      </c>
      <c r="L521" s="37" t="n">
        <v>8.19</v>
      </c>
      <c r="M521" s="37" t="n">
        <v>0.39</v>
      </c>
      <c r="N521" s="34" t="n">
        <v>9100</v>
      </c>
      <c r="O521" s="34" t="n">
        <v>4590</v>
      </c>
      <c r="P521" s="38"/>
      <c r="Q521" s="38"/>
    </row>
    <row r="522" customFormat="false" ht="15" hidden="false" customHeight="false" outlineLevel="0" collapsed="false">
      <c r="A522" s="34" t="n">
        <v>514</v>
      </c>
      <c r="B522" s="35" t="s">
        <v>1119</v>
      </c>
      <c r="C522" s="35" t="s">
        <v>1120</v>
      </c>
      <c r="D522" s="35" t="s">
        <v>111</v>
      </c>
      <c r="E522" s="34" t="n">
        <v>36500</v>
      </c>
      <c r="F522" s="34" t="n">
        <v>36500</v>
      </c>
      <c r="G522" s="34" t="n">
        <v>35000</v>
      </c>
      <c r="H522" s="34" t="n">
        <v>36508</v>
      </c>
      <c r="I522" s="36" t="n">
        <f aca="false">$E522/F522-1</f>
        <v>0</v>
      </c>
      <c r="J522" s="36" t="n">
        <f aca="false">$E522/G522-1</f>
        <v>0.0428571428571429</v>
      </c>
      <c r="K522" s="36" t="n">
        <f aca="false">$E522/H522-1</f>
        <v>-0.0002191300536869</v>
      </c>
      <c r="L522" s="37" t="n">
        <v>9.25</v>
      </c>
      <c r="M522" s="37" t="n">
        <v>2.3</v>
      </c>
      <c r="N522" s="34" t="n">
        <v>39900</v>
      </c>
      <c r="O522" s="34" t="n">
        <v>33459</v>
      </c>
      <c r="P522" s="38"/>
      <c r="Q522" s="38"/>
    </row>
    <row r="523" customFormat="false" ht="15" hidden="false" customHeight="false" outlineLevel="0" collapsed="false">
      <c r="A523" s="34" t="n">
        <v>515</v>
      </c>
      <c r="B523" s="35" t="s">
        <v>1121</v>
      </c>
      <c r="C523" s="35" t="s">
        <v>1122</v>
      </c>
      <c r="D523" s="35" t="s">
        <v>111</v>
      </c>
      <c r="E523" s="34" t="n">
        <v>674</v>
      </c>
      <c r="F523" s="34" t="n">
        <v>700</v>
      </c>
      <c r="G523" s="34" t="n">
        <v>800</v>
      </c>
      <c r="H523" s="34" t="n">
        <v>800</v>
      </c>
      <c r="I523" s="36" t="n">
        <f aca="false">$E523/F523-1</f>
        <v>-0.0371428571428571</v>
      </c>
      <c r="J523" s="36" t="n">
        <f aca="false">$E523/G523-1</f>
        <v>-0.1575</v>
      </c>
      <c r="K523" s="36" t="n">
        <f aca="false">$E523/H523-1</f>
        <v>-0.1575</v>
      </c>
      <c r="L523" s="37" t="n">
        <v>-2.02</v>
      </c>
      <c r="M523" s="37" t="n">
        <v>0.43</v>
      </c>
      <c r="N523" s="34" t="n">
        <v>1000</v>
      </c>
      <c r="O523" s="34" t="n">
        <v>674</v>
      </c>
      <c r="P523" s="38"/>
      <c r="Q523" s="38"/>
    </row>
    <row r="524" customFormat="false" ht="15" hidden="false" customHeight="false" outlineLevel="0" collapsed="false">
      <c r="A524" s="34" t="n">
        <v>516</v>
      </c>
      <c r="B524" s="35" t="s">
        <v>1123</v>
      </c>
      <c r="C524" s="35" t="s">
        <v>1124</v>
      </c>
      <c r="D524" s="35" t="s">
        <v>116</v>
      </c>
      <c r="E524" s="34" t="n">
        <v>6300</v>
      </c>
      <c r="F524" s="34" t="n">
        <v>6650</v>
      </c>
      <c r="G524" s="34" t="n">
        <v>6200</v>
      </c>
      <c r="H524" s="34" t="n">
        <v>5758.37</v>
      </c>
      <c r="I524" s="36" t="n">
        <f aca="false">$E524/F524-1</f>
        <v>-0.0526315789473685</v>
      </c>
      <c r="J524" s="36" t="n">
        <f aca="false">$E524/G524-1</f>
        <v>0.0161290322580645</v>
      </c>
      <c r="K524" s="36" t="n">
        <f aca="false">$E524/H524-1</f>
        <v>0.0940596036725672</v>
      </c>
      <c r="L524" s="37" t="n">
        <v>24.07</v>
      </c>
      <c r="M524" s="37" t="n">
        <v>0.63</v>
      </c>
      <c r="N524" s="34" t="n">
        <v>7280</v>
      </c>
      <c r="O524" s="34" t="n">
        <v>5375.1</v>
      </c>
      <c r="P524" s="38"/>
      <c r="Q524" s="38"/>
    </row>
    <row r="525" customFormat="false" ht="15" hidden="false" customHeight="false" outlineLevel="0" collapsed="false">
      <c r="A525" s="34" t="n">
        <v>517</v>
      </c>
      <c r="B525" s="35" t="s">
        <v>1125</v>
      </c>
      <c r="C525" s="35" t="s">
        <v>1126</v>
      </c>
      <c r="D525" s="35" t="s">
        <v>111</v>
      </c>
      <c r="E525" s="34" t="n">
        <v>9600</v>
      </c>
      <c r="F525" s="34" t="n">
        <v>9600</v>
      </c>
      <c r="G525" s="34" t="n">
        <v>7700</v>
      </c>
      <c r="H525" s="34" t="n">
        <v>6000</v>
      </c>
      <c r="I525" s="36" t="n">
        <f aca="false">$E525/F525-1</f>
        <v>0</v>
      </c>
      <c r="J525" s="36" t="n">
        <f aca="false">$E525/G525-1</f>
        <v>0.246753246753247</v>
      </c>
      <c r="K525" s="36" t="n">
        <f aca="false">$E525/H525-1</f>
        <v>0.6</v>
      </c>
      <c r="L525" s="37" t="n">
        <v>7.74</v>
      </c>
      <c r="M525" s="37" t="n">
        <v>0.48</v>
      </c>
      <c r="N525" s="34" t="n">
        <v>9600</v>
      </c>
      <c r="O525" s="34" t="n">
        <v>4646</v>
      </c>
      <c r="P525" s="38"/>
      <c r="Q525" s="38"/>
    </row>
    <row r="526" customFormat="false" ht="15" hidden="false" customHeight="false" outlineLevel="0" collapsed="false">
      <c r="A526" s="34" t="n">
        <v>518</v>
      </c>
      <c r="B526" s="35" t="s">
        <v>1127</v>
      </c>
      <c r="C526" s="35" t="s">
        <v>1128</v>
      </c>
      <c r="D526" s="35" t="s">
        <v>133</v>
      </c>
      <c r="E526" s="34" t="n">
        <v>17000</v>
      </c>
      <c r="F526" s="34" t="n">
        <v>16904.76</v>
      </c>
      <c r="G526" s="34" t="n">
        <v>17660.28</v>
      </c>
      <c r="H526" s="34" t="n">
        <v>16372.95</v>
      </c>
      <c r="I526" s="36" t="n">
        <f aca="false">$E526/F526-1</f>
        <v>0.0056339161277652</v>
      </c>
      <c r="J526" s="36" t="n">
        <f aca="false">$E526/G526-1</f>
        <v>-0.0373878556851872</v>
      </c>
      <c r="K526" s="36" t="n">
        <f aca="false">$E526/H526-1</f>
        <v>0.0382979243202966</v>
      </c>
      <c r="L526" s="37" t="n">
        <v>4.94</v>
      </c>
      <c r="M526" s="37" t="n">
        <v>1.09</v>
      </c>
      <c r="N526" s="34" t="n">
        <v>24715.14</v>
      </c>
      <c r="O526" s="34" t="n">
        <v>15677.04</v>
      </c>
      <c r="P526" s="38"/>
      <c r="Q526" s="38"/>
    </row>
    <row r="527" customFormat="false" ht="15" hidden="false" customHeight="false" outlineLevel="0" collapsed="false">
      <c r="A527" s="34" t="n">
        <v>519</v>
      </c>
      <c r="B527" s="35" t="s">
        <v>1129</v>
      </c>
      <c r="C527" s="35" t="s">
        <v>1130</v>
      </c>
      <c r="D527" s="35" t="s">
        <v>116</v>
      </c>
      <c r="E527" s="34" t="n">
        <v>15250</v>
      </c>
      <c r="F527" s="34" t="n">
        <v>15400</v>
      </c>
      <c r="G527" s="34" t="n">
        <v>15783.57</v>
      </c>
      <c r="H527" s="34" t="n">
        <v>10620.72</v>
      </c>
      <c r="I527" s="36" t="n">
        <f aca="false">$E527/F527-1</f>
        <v>-0.00974025974025972</v>
      </c>
      <c r="J527" s="36" t="n">
        <f aca="false">$E527/G527-1</f>
        <v>-0.03380540650816</v>
      </c>
      <c r="K527" s="36" t="n">
        <f aca="false">$E527/H527-1</f>
        <v>0.435872520883707</v>
      </c>
      <c r="L527" s="37" t="n">
        <v>9.95</v>
      </c>
      <c r="M527" s="37" t="n">
        <v>0.87</v>
      </c>
      <c r="N527" s="34" t="n">
        <v>19963.02</v>
      </c>
      <c r="O527" s="34" t="n">
        <v>8531</v>
      </c>
      <c r="P527" s="38"/>
      <c r="Q527" s="38"/>
    </row>
    <row r="528" customFormat="false" ht="15" hidden="false" customHeight="false" outlineLevel="0" collapsed="false">
      <c r="A528" s="34" t="n">
        <v>520</v>
      </c>
      <c r="B528" s="35" t="s">
        <v>1131</v>
      </c>
      <c r="C528" s="35" t="s">
        <v>1132</v>
      </c>
      <c r="D528" s="35" t="s">
        <v>133</v>
      </c>
      <c r="E528" s="34" t="n">
        <v>22900</v>
      </c>
      <c r="F528" s="34" t="n">
        <v>23500</v>
      </c>
      <c r="G528" s="34" t="n">
        <v>24300</v>
      </c>
      <c r="H528" s="34" t="n">
        <v>39541.5</v>
      </c>
      <c r="I528" s="36" t="n">
        <f aca="false">$E528/F528-1</f>
        <v>-0.0255319148936171</v>
      </c>
      <c r="J528" s="36" t="n">
        <f aca="false">$E528/G528-1</f>
        <v>-0.0576131687242798</v>
      </c>
      <c r="K528" s="36" t="n">
        <f aca="false">$E528/H528-1</f>
        <v>-0.420861626392524</v>
      </c>
      <c r="L528" s="37" t="n">
        <v>1.51</v>
      </c>
      <c r="M528" s="37" t="n">
        <v>1.1</v>
      </c>
      <c r="N528" s="34" t="n">
        <v>49765.23</v>
      </c>
      <c r="O528" s="34" t="n">
        <v>10757.61</v>
      </c>
      <c r="P528" s="38"/>
      <c r="Q528" s="38"/>
    </row>
    <row r="529" customFormat="false" ht="15" hidden="false" customHeight="false" outlineLevel="0" collapsed="false">
      <c r="A529" s="34" t="n">
        <v>521</v>
      </c>
      <c r="B529" s="35" t="s">
        <v>1133</v>
      </c>
      <c r="C529" s="35" t="s">
        <v>1134</v>
      </c>
      <c r="D529" s="35" t="s">
        <v>116</v>
      </c>
      <c r="E529" s="34" t="n">
        <v>19600</v>
      </c>
      <c r="F529" s="34" t="n">
        <v>17950</v>
      </c>
      <c r="G529" s="34" t="n">
        <v>21050</v>
      </c>
      <c r="H529" s="34" t="n">
        <v>24000</v>
      </c>
      <c r="I529" s="36" t="n">
        <f aca="false">$E529/F529-1</f>
        <v>0.0919220055710306</v>
      </c>
      <c r="J529" s="36" t="n">
        <f aca="false">$E529/G529-1</f>
        <v>-0.0688836104513064</v>
      </c>
      <c r="K529" s="36" t="n">
        <f aca="false">$E529/H529-1</f>
        <v>-0.183333333333333</v>
      </c>
      <c r="L529" s="37" t="n">
        <v>5.81</v>
      </c>
      <c r="M529" s="37" t="n">
        <v>1.16</v>
      </c>
      <c r="N529" s="34" t="n">
        <v>29950</v>
      </c>
      <c r="O529" s="34" t="n">
        <v>16750</v>
      </c>
      <c r="P529" s="38"/>
      <c r="Q529" s="38"/>
    </row>
    <row r="530" customFormat="false" ht="15" hidden="false" customHeight="false" outlineLevel="0" collapsed="false">
      <c r="A530" s="34" t="n">
        <v>522</v>
      </c>
      <c r="B530" s="35" t="s">
        <v>1135</v>
      </c>
      <c r="C530" s="35" t="s">
        <v>1136</v>
      </c>
      <c r="D530" s="35" t="s">
        <v>111</v>
      </c>
      <c r="E530" s="34" t="n">
        <v>9300</v>
      </c>
      <c r="F530" s="34" t="n">
        <v>9100</v>
      </c>
      <c r="G530" s="34" t="n">
        <v>9400</v>
      </c>
      <c r="H530" s="34" t="n">
        <v>11200.41</v>
      </c>
      <c r="I530" s="36" t="n">
        <f aca="false">$E530/F530-1</f>
        <v>0.0219780219780219</v>
      </c>
      <c r="J530" s="36" t="n">
        <f aca="false">$E530/G530-1</f>
        <v>-0.0106382978723404</v>
      </c>
      <c r="K530" s="36" t="n">
        <f aca="false">$E530/H530-1</f>
        <v>-0.169673253032701</v>
      </c>
      <c r="L530" s="37" t="n">
        <v>8.05</v>
      </c>
      <c r="M530" s="37" t="n">
        <v>0.67</v>
      </c>
      <c r="N530" s="34" t="n">
        <v>15340.73</v>
      </c>
      <c r="O530" s="34" t="n">
        <v>8750</v>
      </c>
      <c r="P530" s="38"/>
      <c r="Q530" s="38"/>
    </row>
    <row r="531" customFormat="false" ht="15" hidden="false" customHeight="false" outlineLevel="0" collapsed="false">
      <c r="A531" s="34" t="n">
        <v>523</v>
      </c>
      <c r="B531" s="35" t="s">
        <v>1137</v>
      </c>
      <c r="C531" s="35" t="s">
        <v>1138</v>
      </c>
      <c r="D531" s="35" t="s">
        <v>133</v>
      </c>
      <c r="E531" s="34" t="n">
        <v>3800</v>
      </c>
      <c r="F531" s="34" t="n">
        <v>3700</v>
      </c>
      <c r="G531" s="34" t="n">
        <v>4300</v>
      </c>
      <c r="H531" s="34" t="n">
        <v>6300</v>
      </c>
      <c r="I531" s="36" t="n">
        <f aca="false">$E531/F531-1</f>
        <v>0.027027027027027</v>
      </c>
      <c r="J531" s="36" t="n">
        <f aca="false">$E531/G531-1</f>
        <v>-0.116279069767442</v>
      </c>
      <c r="K531" s="36" t="n">
        <f aca="false">$E531/H531-1</f>
        <v>-0.396825396825397</v>
      </c>
      <c r="L531" s="37" t="n">
        <v>18.5</v>
      </c>
      <c r="M531" s="37" t="n">
        <v>0.31</v>
      </c>
      <c r="N531" s="34" t="n">
        <v>9272.82</v>
      </c>
      <c r="O531" s="34" t="n">
        <v>3600</v>
      </c>
      <c r="P531" s="38"/>
      <c r="Q531" s="38"/>
    </row>
    <row r="532" customFormat="false" ht="15" hidden="false" customHeight="false" outlineLevel="0" collapsed="false">
      <c r="A532" s="34" t="n">
        <v>524</v>
      </c>
      <c r="B532" s="35" t="s">
        <v>1139</v>
      </c>
      <c r="C532" s="35" t="s">
        <v>1140</v>
      </c>
      <c r="D532" s="35" t="s">
        <v>111</v>
      </c>
      <c r="E532" s="34" t="n">
        <v>9200</v>
      </c>
      <c r="F532" s="34" t="n">
        <v>7700</v>
      </c>
      <c r="G532" s="34" t="n">
        <v>7700</v>
      </c>
      <c r="H532" s="34" t="n">
        <v>4720.66</v>
      </c>
      <c r="I532" s="36" t="n">
        <f aca="false">$E532/F532-1</f>
        <v>0.194805194805195</v>
      </c>
      <c r="J532" s="36" t="n">
        <f aca="false">$E532/G532-1</f>
        <v>0.194805194805195</v>
      </c>
      <c r="K532" s="36" t="n">
        <f aca="false">$E532/H532-1</f>
        <v>0.948880029487402</v>
      </c>
      <c r="L532" s="37" t="n">
        <v>20.57</v>
      </c>
      <c r="M532" s="37" t="n">
        <v>0.78</v>
      </c>
      <c r="N532" s="34" t="n">
        <v>9200</v>
      </c>
      <c r="O532" s="34" t="n">
        <v>4002.93</v>
      </c>
      <c r="P532" s="38"/>
      <c r="Q532" s="38"/>
    </row>
    <row r="533" customFormat="false" ht="15" hidden="false" customHeight="false" outlineLevel="0" collapsed="false">
      <c r="A533" s="34" t="n">
        <v>525</v>
      </c>
      <c r="B533" s="35" t="s">
        <v>1141</v>
      </c>
      <c r="C533" s="35" t="s">
        <v>1142</v>
      </c>
      <c r="D533" s="35" t="s">
        <v>116</v>
      </c>
      <c r="E533" s="34" t="n">
        <v>15550</v>
      </c>
      <c r="F533" s="34" t="n">
        <v>15500</v>
      </c>
      <c r="G533" s="34" t="n">
        <v>15400</v>
      </c>
      <c r="H533" s="34"/>
      <c r="I533" s="36" t="n">
        <f aca="false">$E533/F533-1</f>
        <v>0.00322580645161286</v>
      </c>
      <c r="J533" s="36" t="n">
        <f aca="false">$E533/G533-1</f>
        <v>0.00974025974025983</v>
      </c>
      <c r="K533" s="36" t="e">
        <f aca="false">$E533/H533-1</f>
        <v>#DIV/0!</v>
      </c>
      <c r="L533" s="37" t="n">
        <v>21.59</v>
      </c>
      <c r="M533" s="37" t="n">
        <v>1.45</v>
      </c>
      <c r="N533" s="34" t="n">
        <v>16250</v>
      </c>
      <c r="O533" s="34" t="n">
        <v>11526.34</v>
      </c>
      <c r="P533" s="38"/>
      <c r="Q533" s="38"/>
    </row>
    <row r="534" customFormat="false" ht="15" hidden="false" customHeight="false" outlineLevel="0" collapsed="false">
      <c r="A534" s="34" t="n">
        <v>526</v>
      </c>
      <c r="B534" s="35" t="s">
        <v>1143</v>
      </c>
      <c r="C534" s="35" t="s">
        <v>1144</v>
      </c>
      <c r="D534" s="35" t="s">
        <v>116</v>
      </c>
      <c r="E534" s="34" t="n">
        <v>4850</v>
      </c>
      <c r="F534" s="34" t="n">
        <v>4500</v>
      </c>
      <c r="G534" s="34" t="n">
        <v>10900</v>
      </c>
      <c r="H534" s="34" t="n">
        <v>13850</v>
      </c>
      <c r="I534" s="36" t="n">
        <f aca="false">$E534/F534-1</f>
        <v>0.0777777777777777</v>
      </c>
      <c r="J534" s="36" t="n">
        <f aca="false">$E534/G534-1</f>
        <v>-0.555045871559633</v>
      </c>
      <c r="K534" s="36" t="n">
        <f aca="false">$E534/H534-1</f>
        <v>-0.649819494584838</v>
      </c>
      <c r="L534" s="37" t="n">
        <v>12.15</v>
      </c>
      <c r="M534" s="37" t="n">
        <v>0.37</v>
      </c>
      <c r="N534" s="34" t="n">
        <v>14000</v>
      </c>
      <c r="O534" s="34" t="n">
        <v>4190</v>
      </c>
      <c r="P534" s="38"/>
      <c r="Q534" s="38"/>
    </row>
    <row r="535" customFormat="false" ht="15" hidden="false" customHeight="false" outlineLevel="0" collapsed="false">
      <c r="A535" s="34" t="n">
        <v>527</v>
      </c>
      <c r="B535" s="35" t="s">
        <v>1145</v>
      </c>
      <c r="C535" s="35" t="s">
        <v>1146</v>
      </c>
      <c r="D535" s="35" t="s">
        <v>111</v>
      </c>
      <c r="E535" s="34" t="n">
        <v>10000</v>
      </c>
      <c r="F535" s="34" t="n">
        <v>10000</v>
      </c>
      <c r="G535" s="34" t="n">
        <v>9000</v>
      </c>
      <c r="H535" s="34" t="n">
        <v>10300</v>
      </c>
      <c r="I535" s="36" t="n">
        <f aca="false">$E535/F535-1</f>
        <v>0</v>
      </c>
      <c r="J535" s="36" t="n">
        <f aca="false">$E535/G535-1</f>
        <v>0.111111111111111</v>
      </c>
      <c r="K535" s="36" t="n">
        <f aca="false">$E535/H535-1</f>
        <v>-0.029126213592233</v>
      </c>
      <c r="L535" s="37" t="n">
        <v>131.5</v>
      </c>
      <c r="M535" s="37" t="n">
        <v>0.8</v>
      </c>
      <c r="N535" s="34" t="n">
        <v>10500</v>
      </c>
      <c r="O535" s="34" t="n">
        <v>8500</v>
      </c>
      <c r="P535" s="38"/>
      <c r="Q535" s="38"/>
    </row>
    <row r="536" customFormat="false" ht="15" hidden="false" customHeight="false" outlineLevel="0" collapsed="false">
      <c r="A536" s="34" t="n">
        <v>528</v>
      </c>
      <c r="B536" s="35" t="s">
        <v>1147</v>
      </c>
      <c r="C536" s="35" t="s">
        <v>1148</v>
      </c>
      <c r="D536" s="35" t="s">
        <v>116</v>
      </c>
      <c r="E536" s="34" t="n">
        <v>62200</v>
      </c>
      <c r="F536" s="34" t="n">
        <v>63900</v>
      </c>
      <c r="G536" s="34" t="n">
        <v>61600</v>
      </c>
      <c r="H536" s="34" t="n">
        <v>57900</v>
      </c>
      <c r="I536" s="36" t="n">
        <f aca="false">$E536/F536-1</f>
        <v>-0.02660406885759</v>
      </c>
      <c r="J536" s="36" t="n">
        <f aca="false">$E536/G536-1</f>
        <v>0.00974025974025983</v>
      </c>
      <c r="K536" s="36" t="n">
        <f aca="false">$E536/H536-1</f>
        <v>0.0742659758203799</v>
      </c>
      <c r="L536" s="37" t="n">
        <v>49.78</v>
      </c>
      <c r="M536" s="37" t="n">
        <v>3.68</v>
      </c>
      <c r="N536" s="34" t="n">
        <v>65000</v>
      </c>
      <c r="O536" s="34" t="n">
        <v>52000</v>
      </c>
      <c r="P536" s="38" t="n">
        <v>40.98</v>
      </c>
      <c r="Q536" s="38" t="n">
        <v>3.72</v>
      </c>
    </row>
    <row r="537" customFormat="false" ht="15" hidden="false" customHeight="false" outlineLevel="0" collapsed="false">
      <c r="A537" s="34" t="n">
        <v>529</v>
      </c>
      <c r="B537" s="35" t="s">
        <v>1149</v>
      </c>
      <c r="C537" s="35" t="s">
        <v>1150</v>
      </c>
      <c r="D537" s="35" t="s">
        <v>111</v>
      </c>
      <c r="E537" s="34" t="n">
        <v>804</v>
      </c>
      <c r="F537" s="34" t="n">
        <v>814</v>
      </c>
      <c r="G537" s="34" t="n">
        <v>1000</v>
      </c>
      <c r="H537" s="34" t="n">
        <v>1000</v>
      </c>
      <c r="I537" s="36" t="n">
        <f aca="false">$E537/F537-1</f>
        <v>-0.0122850122850123</v>
      </c>
      <c r="J537" s="36" t="n">
        <f aca="false">$E537/G537-1</f>
        <v>-0.196</v>
      </c>
      <c r="K537" s="36" t="n">
        <f aca="false">$E537/H537-1</f>
        <v>-0.196</v>
      </c>
      <c r="L537" s="37" t="n">
        <v>2.95</v>
      </c>
      <c r="M537" s="37" t="n">
        <v>0.78</v>
      </c>
      <c r="N537" s="34" t="n">
        <v>1819</v>
      </c>
      <c r="O537" s="34" t="n">
        <v>800</v>
      </c>
      <c r="P537" s="38"/>
      <c r="Q537" s="38"/>
    </row>
    <row r="538" customFormat="false" ht="15" hidden="false" customHeight="false" outlineLevel="0" collapsed="false">
      <c r="A538" s="34" t="n">
        <v>530</v>
      </c>
      <c r="B538" s="35" t="s">
        <v>1151</v>
      </c>
      <c r="C538" s="35" t="s">
        <v>1152</v>
      </c>
      <c r="D538" s="35" t="s">
        <v>111</v>
      </c>
      <c r="E538" s="34" t="n">
        <v>500</v>
      </c>
      <c r="F538" s="34" t="n">
        <v>500</v>
      </c>
      <c r="G538" s="34" t="n">
        <v>500</v>
      </c>
      <c r="H538" s="34" t="n">
        <v>600</v>
      </c>
      <c r="I538" s="36" t="n">
        <f aca="false">$E538/F538-1</f>
        <v>0</v>
      </c>
      <c r="J538" s="36" t="n">
        <f aca="false">$E538/G538-1</f>
        <v>0</v>
      </c>
      <c r="K538" s="36" t="n">
        <f aca="false">$E538/H538-1</f>
        <v>-0.166666666666667</v>
      </c>
      <c r="L538" s="37" t="n">
        <v>-3.11</v>
      </c>
      <c r="M538" s="37" t="n">
        <v>0.07</v>
      </c>
      <c r="N538" s="34" t="n">
        <v>800</v>
      </c>
      <c r="O538" s="34" t="n">
        <v>400</v>
      </c>
      <c r="P538" s="38"/>
      <c r="Q538" s="38"/>
    </row>
    <row r="539" customFormat="false" ht="15" hidden="false" customHeight="false" outlineLevel="0" collapsed="false">
      <c r="A539" s="34" t="n">
        <v>531</v>
      </c>
      <c r="B539" s="35" t="s">
        <v>1153</v>
      </c>
      <c r="C539" s="35" t="s">
        <v>1154</v>
      </c>
      <c r="D539" s="35" t="s">
        <v>111</v>
      </c>
      <c r="E539" s="34" t="n">
        <v>3500</v>
      </c>
      <c r="F539" s="34" t="n">
        <v>3500</v>
      </c>
      <c r="G539" s="34" t="n">
        <v>3200</v>
      </c>
      <c r="H539" s="34" t="n">
        <v>5800</v>
      </c>
      <c r="I539" s="36" t="n">
        <f aca="false">$E539/F539-1</f>
        <v>0</v>
      </c>
      <c r="J539" s="36" t="n">
        <f aca="false">$E539/G539-1</f>
        <v>0.09375</v>
      </c>
      <c r="K539" s="36" t="n">
        <f aca="false">$E539/H539-1</f>
        <v>-0.396551724137931</v>
      </c>
      <c r="L539" s="37" t="n">
        <v>21.76</v>
      </c>
      <c r="M539" s="37" t="n">
        <v>0.26</v>
      </c>
      <c r="N539" s="34" t="n">
        <v>7500</v>
      </c>
      <c r="O539" s="34" t="n">
        <v>3029</v>
      </c>
      <c r="P539" s="38"/>
      <c r="Q539" s="38"/>
    </row>
    <row r="540" customFormat="false" ht="15" hidden="false" customHeight="false" outlineLevel="0" collapsed="false">
      <c r="A540" s="34" t="n">
        <v>532</v>
      </c>
      <c r="B540" s="35" t="s">
        <v>1155</v>
      </c>
      <c r="C540" s="35" t="s">
        <v>1156</v>
      </c>
      <c r="D540" s="35" t="s">
        <v>111</v>
      </c>
      <c r="E540" s="34" t="n">
        <v>2785</v>
      </c>
      <c r="F540" s="34" t="n">
        <v>2658</v>
      </c>
      <c r="G540" s="34" t="n">
        <v>2852</v>
      </c>
      <c r="H540" s="34" t="n">
        <v>3908</v>
      </c>
      <c r="I540" s="36" t="n">
        <f aca="false">$E540/F540-1</f>
        <v>0.0477802859292702</v>
      </c>
      <c r="J540" s="36" t="n">
        <f aca="false">$E540/G540-1</f>
        <v>-0.023492286115007</v>
      </c>
      <c r="K540" s="36" t="n">
        <f aca="false">$E540/H540-1</f>
        <v>-0.287359263050154</v>
      </c>
      <c r="L540" s="37" t="n">
        <v>-1.59</v>
      </c>
      <c r="M540" s="37" t="n">
        <v>1</v>
      </c>
      <c r="N540" s="34" t="n">
        <v>4672</v>
      </c>
      <c r="O540" s="34" t="n">
        <v>2656</v>
      </c>
      <c r="P540" s="38"/>
      <c r="Q540" s="38"/>
    </row>
    <row r="541" customFormat="false" ht="15" hidden="false" customHeight="false" outlineLevel="0" collapsed="false">
      <c r="A541" s="34" t="n">
        <v>533</v>
      </c>
      <c r="B541" s="35" t="s">
        <v>1157</v>
      </c>
      <c r="C541" s="35" t="s">
        <v>1158</v>
      </c>
      <c r="D541" s="35" t="s">
        <v>111</v>
      </c>
      <c r="E541" s="34" t="n">
        <v>16200</v>
      </c>
      <c r="F541" s="34" t="n">
        <v>16200</v>
      </c>
      <c r="G541" s="34" t="n">
        <v>16200</v>
      </c>
      <c r="H541" s="34" t="n">
        <v>18300</v>
      </c>
      <c r="I541" s="36" t="n">
        <f aca="false">$E541/F541-1</f>
        <v>0</v>
      </c>
      <c r="J541" s="36" t="n">
        <f aca="false">$E541/G541-1</f>
        <v>0</v>
      </c>
      <c r="K541" s="36" t="n">
        <f aca="false">$E541/H541-1</f>
        <v>-0.114754098360656</v>
      </c>
      <c r="L541" s="37" t="n">
        <v>10</v>
      </c>
      <c r="M541" s="37" t="n">
        <v>0.8</v>
      </c>
      <c r="N541" s="34" t="n">
        <v>18300.8</v>
      </c>
      <c r="O541" s="34" t="n">
        <v>15600</v>
      </c>
      <c r="P541" s="38"/>
      <c r="Q541" s="38"/>
    </row>
    <row r="542" customFormat="false" ht="15" hidden="false" customHeight="false" outlineLevel="0" collapsed="false">
      <c r="A542" s="34" t="n">
        <v>534</v>
      </c>
      <c r="B542" s="35" t="s">
        <v>1159</v>
      </c>
      <c r="C542" s="35" t="s">
        <v>1160</v>
      </c>
      <c r="D542" s="35" t="s">
        <v>111</v>
      </c>
      <c r="E542" s="34"/>
      <c r="F542" s="34"/>
      <c r="G542" s="34"/>
      <c r="H542" s="34"/>
      <c r="I542" s="36" t="e">
        <f aca="false">$E542/F542-1</f>
        <v>#DIV/0!</v>
      </c>
      <c r="J542" s="36" t="e">
        <f aca="false">$E542/G542-1</f>
        <v>#DIV/0!</v>
      </c>
      <c r="K542" s="36" t="e">
        <f aca="false">$E542/H542-1</f>
        <v>#DIV/0!</v>
      </c>
      <c r="L542" s="37"/>
      <c r="M542" s="37"/>
      <c r="N542" s="34"/>
      <c r="O542" s="34"/>
      <c r="P542" s="38"/>
      <c r="Q542" s="38"/>
    </row>
    <row r="543" customFormat="false" ht="15" hidden="false" customHeight="false" outlineLevel="0" collapsed="false">
      <c r="A543" s="34" t="n">
        <v>535</v>
      </c>
      <c r="B543" s="35" t="s">
        <v>1161</v>
      </c>
      <c r="C543" s="35" t="s">
        <v>1162</v>
      </c>
      <c r="D543" s="35" t="s">
        <v>111</v>
      </c>
      <c r="E543" s="34" t="n">
        <v>8900</v>
      </c>
      <c r="F543" s="34" t="n">
        <v>9000</v>
      </c>
      <c r="G543" s="34" t="n">
        <v>9000</v>
      </c>
      <c r="H543" s="34" t="n">
        <v>8700</v>
      </c>
      <c r="I543" s="36" t="n">
        <f aca="false">$E543/F543-1</f>
        <v>-0.0111111111111111</v>
      </c>
      <c r="J543" s="36" t="n">
        <f aca="false">$E543/G543-1</f>
        <v>-0.0111111111111111</v>
      </c>
      <c r="K543" s="36" t="n">
        <f aca="false">$E543/H543-1</f>
        <v>0.0229885057471264</v>
      </c>
      <c r="L543" s="37" t="n">
        <v>14.03</v>
      </c>
      <c r="M543" s="37" t="n">
        <v>0.83</v>
      </c>
      <c r="N543" s="34" t="n">
        <v>9500</v>
      </c>
      <c r="O543" s="34" t="n">
        <v>8310.72</v>
      </c>
      <c r="P543" s="38"/>
      <c r="Q543" s="38"/>
    </row>
    <row r="544" customFormat="false" ht="15" hidden="false" customHeight="false" outlineLevel="0" collapsed="false">
      <c r="A544" s="34" t="n">
        <v>536</v>
      </c>
      <c r="B544" s="35" t="s">
        <v>1163</v>
      </c>
      <c r="C544" s="35" t="s">
        <v>1164</v>
      </c>
      <c r="D544" s="35" t="s">
        <v>111</v>
      </c>
      <c r="E544" s="34" t="n">
        <v>14500</v>
      </c>
      <c r="F544" s="34" t="n">
        <v>13400</v>
      </c>
      <c r="G544" s="34" t="n">
        <v>14392.27</v>
      </c>
      <c r="H544" s="34" t="n">
        <v>28633.11</v>
      </c>
      <c r="I544" s="36" t="n">
        <f aca="false">$E544/F544-1</f>
        <v>0.0820895522388059</v>
      </c>
      <c r="J544" s="36" t="n">
        <f aca="false">$E544/G544-1</f>
        <v>0.00748526813351891</v>
      </c>
      <c r="K544" s="36" t="n">
        <f aca="false">$E544/H544-1</f>
        <v>-0.493593256198855</v>
      </c>
      <c r="L544" s="37" t="n">
        <v>18</v>
      </c>
      <c r="M544" s="37" t="n">
        <v>0.91</v>
      </c>
      <c r="N544" s="34" t="n">
        <v>29127.9</v>
      </c>
      <c r="O544" s="34" t="n">
        <v>11665.63</v>
      </c>
      <c r="P544" s="38"/>
      <c r="Q544" s="38"/>
    </row>
    <row r="545" customFormat="false" ht="15" hidden="false" customHeight="false" outlineLevel="0" collapsed="false">
      <c r="A545" s="34" t="n">
        <v>537</v>
      </c>
      <c r="B545" s="35" t="s">
        <v>1165</v>
      </c>
      <c r="C545" s="35" t="s">
        <v>1166</v>
      </c>
      <c r="D545" s="35" t="s">
        <v>116</v>
      </c>
      <c r="E545" s="34" t="n">
        <v>3050</v>
      </c>
      <c r="F545" s="34" t="n">
        <v>2970</v>
      </c>
      <c r="G545" s="34" t="n">
        <v>3380</v>
      </c>
      <c r="H545" s="34" t="n">
        <v>6090</v>
      </c>
      <c r="I545" s="36" t="n">
        <f aca="false">$E545/F545-1</f>
        <v>0.026936026936027</v>
      </c>
      <c r="J545" s="36" t="n">
        <f aca="false">$E545/G545-1</f>
        <v>-0.0976331360946746</v>
      </c>
      <c r="K545" s="36" t="n">
        <f aca="false">$E545/H545-1</f>
        <v>-0.499178981937603</v>
      </c>
      <c r="L545" s="37" t="n">
        <v>6.76</v>
      </c>
      <c r="M545" s="37" t="n">
        <v>0.56</v>
      </c>
      <c r="N545" s="34" t="n">
        <v>9000</v>
      </c>
      <c r="O545" s="34" t="n">
        <v>2970</v>
      </c>
      <c r="P545" s="38"/>
      <c r="Q545" s="38"/>
    </row>
    <row r="546" customFormat="false" ht="15" hidden="false" customHeight="false" outlineLevel="0" collapsed="false">
      <c r="A546" s="34" t="n">
        <v>538</v>
      </c>
      <c r="B546" s="35" t="s">
        <v>1167</v>
      </c>
      <c r="C546" s="35" t="s">
        <v>1168</v>
      </c>
      <c r="D546" s="35" t="s">
        <v>111</v>
      </c>
      <c r="E546" s="34" t="n">
        <v>10450</v>
      </c>
      <c r="F546" s="34" t="n">
        <v>9572</v>
      </c>
      <c r="G546" s="34" t="n">
        <v>10900</v>
      </c>
      <c r="H546" s="34" t="n">
        <v>10886.6</v>
      </c>
      <c r="I546" s="36" t="n">
        <f aca="false">$E546/F546-1</f>
        <v>0.0917258671124113</v>
      </c>
      <c r="J546" s="36" t="n">
        <f aca="false">$E546/G546-1</f>
        <v>-0.0412844036697247</v>
      </c>
      <c r="K546" s="36" t="n">
        <f aca="false">$E546/H546-1</f>
        <v>-0.0401043484650856</v>
      </c>
      <c r="L546" s="37" t="n">
        <v>15.45</v>
      </c>
      <c r="M546" s="37" t="n">
        <v>0.98</v>
      </c>
      <c r="N546" s="34" t="n">
        <v>15747.69</v>
      </c>
      <c r="O546" s="34" t="n">
        <v>9300</v>
      </c>
      <c r="P546" s="38"/>
      <c r="Q546" s="38"/>
    </row>
    <row r="547" customFormat="false" ht="15" hidden="false" customHeight="false" outlineLevel="0" collapsed="false">
      <c r="A547" s="34" t="n">
        <v>539</v>
      </c>
      <c r="B547" s="35" t="s">
        <v>1169</v>
      </c>
      <c r="C547" s="35" t="s">
        <v>1170</v>
      </c>
      <c r="D547" s="35" t="s">
        <v>111</v>
      </c>
      <c r="E547" s="34" t="n">
        <v>4300</v>
      </c>
      <c r="F547" s="34" t="n">
        <v>5000</v>
      </c>
      <c r="G547" s="34" t="n">
        <v>5000</v>
      </c>
      <c r="H547" s="34" t="n">
        <v>4656</v>
      </c>
      <c r="I547" s="36" t="n">
        <f aca="false">$E547/F547-1</f>
        <v>-0.14</v>
      </c>
      <c r="J547" s="36" t="n">
        <f aca="false">$E547/G547-1</f>
        <v>-0.14</v>
      </c>
      <c r="K547" s="36" t="n">
        <f aca="false">$E547/H547-1</f>
        <v>-0.0764604810996563</v>
      </c>
      <c r="L547" s="37" t="n">
        <v>12.01</v>
      </c>
      <c r="M547" s="37" t="n">
        <v>0.41</v>
      </c>
      <c r="N547" s="34" t="n">
        <v>5000</v>
      </c>
      <c r="O547" s="34" t="n">
        <v>4300</v>
      </c>
      <c r="P547" s="38"/>
      <c r="Q547" s="38"/>
    </row>
    <row r="548" customFormat="false" ht="15" hidden="false" customHeight="false" outlineLevel="0" collapsed="false">
      <c r="A548" s="34" t="n">
        <v>540</v>
      </c>
      <c r="B548" s="35" t="s">
        <v>1171</v>
      </c>
      <c r="C548" s="35" t="s">
        <v>1172</v>
      </c>
      <c r="D548" s="35" t="s">
        <v>111</v>
      </c>
      <c r="E548" s="34" t="n">
        <v>10000</v>
      </c>
      <c r="F548" s="34" t="n">
        <v>10000</v>
      </c>
      <c r="G548" s="34" t="n">
        <v>10000</v>
      </c>
      <c r="H548" s="34" t="n">
        <v>9200</v>
      </c>
      <c r="I548" s="36" t="n">
        <f aca="false">$E548/F548-1</f>
        <v>0</v>
      </c>
      <c r="J548" s="36" t="n">
        <f aca="false">$E548/G548-1</f>
        <v>0</v>
      </c>
      <c r="K548" s="36" t="n">
        <f aca="false">$E548/H548-1</f>
        <v>0.0869565217391304</v>
      </c>
      <c r="L548" s="37" t="n">
        <v>47.5</v>
      </c>
      <c r="M548" s="37" t="n">
        <v>0.89</v>
      </c>
      <c r="N548" s="34" t="n">
        <v>10000</v>
      </c>
      <c r="O548" s="34" t="n">
        <v>8000</v>
      </c>
      <c r="P548" s="38"/>
      <c r="Q548" s="38"/>
    </row>
    <row r="549" customFormat="false" ht="15" hidden="false" customHeight="false" outlineLevel="0" collapsed="false">
      <c r="A549" s="34" t="n">
        <v>541</v>
      </c>
      <c r="B549" s="35" t="s">
        <v>1173</v>
      </c>
      <c r="C549" s="35" t="s">
        <v>1174</v>
      </c>
      <c r="D549" s="35" t="s">
        <v>133</v>
      </c>
      <c r="E549" s="34" t="n">
        <v>11800</v>
      </c>
      <c r="F549" s="34" t="n">
        <v>12600</v>
      </c>
      <c r="G549" s="34" t="n">
        <v>12300</v>
      </c>
      <c r="H549" s="34" t="n">
        <v>11000</v>
      </c>
      <c r="I549" s="36" t="n">
        <f aca="false">$E549/F549-1</f>
        <v>-0.0634920634920635</v>
      </c>
      <c r="J549" s="36" t="n">
        <f aca="false">$E549/G549-1</f>
        <v>-0.040650406504065</v>
      </c>
      <c r="K549" s="36" t="n">
        <f aca="false">$E549/H549-1</f>
        <v>0.0727272727272728</v>
      </c>
      <c r="L549" s="37" t="n">
        <v>11.7</v>
      </c>
      <c r="M549" s="37" t="n">
        <v>0.5</v>
      </c>
      <c r="N549" s="34" t="n">
        <v>13400</v>
      </c>
      <c r="O549" s="34" t="n">
        <v>9286.16</v>
      </c>
      <c r="P549" s="38"/>
      <c r="Q549" s="38"/>
    </row>
    <row r="550" customFormat="false" ht="15" hidden="false" customHeight="false" outlineLevel="0" collapsed="false">
      <c r="A550" s="34" t="n">
        <v>542</v>
      </c>
      <c r="B550" s="35" t="s">
        <v>1175</v>
      </c>
      <c r="C550" s="35" t="s">
        <v>1176</v>
      </c>
      <c r="D550" s="35" t="s">
        <v>133</v>
      </c>
      <c r="E550" s="34" t="n">
        <v>11100</v>
      </c>
      <c r="F550" s="34" t="n">
        <v>11100</v>
      </c>
      <c r="G550" s="34" t="n">
        <v>11300</v>
      </c>
      <c r="H550" s="34" t="n">
        <v>12156.96</v>
      </c>
      <c r="I550" s="36" t="n">
        <f aca="false">$E550/F550-1</f>
        <v>0</v>
      </c>
      <c r="J550" s="36" t="n">
        <f aca="false">$E550/G550-1</f>
        <v>-0.0176991150442478</v>
      </c>
      <c r="K550" s="36" t="n">
        <f aca="false">$E550/H550-1</f>
        <v>-0.0869427883286611</v>
      </c>
      <c r="L550" s="37" t="n">
        <v>15.98</v>
      </c>
      <c r="M550" s="37" t="n">
        <v>0.54</v>
      </c>
      <c r="N550" s="34" t="n">
        <v>13823.64</v>
      </c>
      <c r="O550" s="34" t="n">
        <v>10784.4</v>
      </c>
      <c r="P550" s="38"/>
      <c r="Q550" s="38"/>
    </row>
    <row r="551" customFormat="false" ht="15" hidden="false" customHeight="false" outlineLevel="0" collapsed="false">
      <c r="A551" s="34" t="n">
        <v>543</v>
      </c>
      <c r="B551" s="35" t="s">
        <v>1177</v>
      </c>
      <c r="C551" s="35" t="s">
        <v>1178</v>
      </c>
      <c r="D551" s="35" t="s">
        <v>111</v>
      </c>
      <c r="E551" s="34" t="n">
        <v>2579</v>
      </c>
      <c r="F551" s="34" t="n">
        <v>2656</v>
      </c>
      <c r="G551" s="34" t="n">
        <v>2700</v>
      </c>
      <c r="H551" s="34" t="n">
        <v>3700</v>
      </c>
      <c r="I551" s="36" t="n">
        <f aca="false">$E551/F551-1</f>
        <v>-0.0289909638554217</v>
      </c>
      <c r="J551" s="36" t="n">
        <f aca="false">$E551/G551-1</f>
        <v>-0.0448148148148149</v>
      </c>
      <c r="K551" s="36" t="n">
        <f aca="false">$E551/H551-1</f>
        <v>-0.302972972972973</v>
      </c>
      <c r="L551" s="37" t="n">
        <v>-4972.34</v>
      </c>
      <c r="M551" s="37" t="n">
        <v>0.89</v>
      </c>
      <c r="N551" s="34" t="n">
        <v>4600</v>
      </c>
      <c r="O551" s="34" t="n">
        <v>2300</v>
      </c>
      <c r="P551" s="38"/>
      <c r="Q551" s="38"/>
    </row>
    <row r="552" customFormat="false" ht="15" hidden="false" customHeight="false" outlineLevel="0" collapsed="false">
      <c r="A552" s="34" t="n">
        <v>544</v>
      </c>
      <c r="B552" s="35" t="s">
        <v>1179</v>
      </c>
      <c r="C552" s="35" t="s">
        <v>1180</v>
      </c>
      <c r="D552" s="35" t="s">
        <v>111</v>
      </c>
      <c r="E552" s="34" t="n">
        <v>12000</v>
      </c>
      <c r="F552" s="34" t="n">
        <v>12000</v>
      </c>
      <c r="G552" s="34" t="n">
        <v>12000</v>
      </c>
      <c r="H552" s="34" t="n">
        <v>15900</v>
      </c>
      <c r="I552" s="36" t="n">
        <f aca="false">$E552/F552-1</f>
        <v>0</v>
      </c>
      <c r="J552" s="36" t="n">
        <f aca="false">$E552/G552-1</f>
        <v>0</v>
      </c>
      <c r="K552" s="36" t="n">
        <f aca="false">$E552/H552-1</f>
        <v>-0.245283018867924</v>
      </c>
      <c r="L552" s="37" t="n">
        <v>2.17</v>
      </c>
      <c r="M552" s="37" t="n">
        <v>3.05</v>
      </c>
      <c r="N552" s="34" t="n">
        <v>18600</v>
      </c>
      <c r="O552" s="34" t="n">
        <v>12000</v>
      </c>
      <c r="P552" s="38"/>
      <c r="Q552" s="38"/>
    </row>
    <row r="553" customFormat="false" ht="15" hidden="false" customHeight="false" outlineLevel="0" collapsed="false">
      <c r="A553" s="34" t="n">
        <v>545</v>
      </c>
      <c r="B553" s="35" t="s">
        <v>1181</v>
      </c>
      <c r="C553" s="35" t="s">
        <v>1182</v>
      </c>
      <c r="D553" s="35" t="s">
        <v>116</v>
      </c>
      <c r="E553" s="34" t="n">
        <v>4520</v>
      </c>
      <c r="F553" s="34" t="n">
        <v>4610</v>
      </c>
      <c r="G553" s="34" t="n">
        <v>5160</v>
      </c>
      <c r="H553" s="34" t="n">
        <v>7190</v>
      </c>
      <c r="I553" s="36" t="n">
        <f aca="false">$E553/F553-1</f>
        <v>-0.0195227765726681</v>
      </c>
      <c r="J553" s="36" t="n">
        <f aca="false">$E553/G553-1</f>
        <v>-0.124031007751938</v>
      </c>
      <c r="K553" s="36" t="n">
        <f aca="false">$E553/H553-1</f>
        <v>-0.37134909596662</v>
      </c>
      <c r="L553" s="37" t="n">
        <v>-24.59</v>
      </c>
      <c r="M553" s="37" t="n">
        <v>0.43</v>
      </c>
      <c r="N553" s="34" t="n">
        <v>9300</v>
      </c>
      <c r="O553" s="34" t="n">
        <v>4400</v>
      </c>
      <c r="P553" s="38"/>
      <c r="Q553" s="38"/>
    </row>
    <row r="554" customFormat="false" ht="15" hidden="false" customHeight="false" outlineLevel="0" collapsed="false">
      <c r="A554" s="34" t="n">
        <v>546</v>
      </c>
      <c r="B554" s="35" t="s">
        <v>1183</v>
      </c>
      <c r="C554" s="35" t="s">
        <v>1184</v>
      </c>
      <c r="D554" s="35" t="s">
        <v>116</v>
      </c>
      <c r="E554" s="34" t="n">
        <v>2170</v>
      </c>
      <c r="F554" s="34" t="n">
        <v>2130</v>
      </c>
      <c r="G554" s="34" t="n">
        <v>2460</v>
      </c>
      <c r="H554" s="34" t="n">
        <v>3010</v>
      </c>
      <c r="I554" s="36" t="n">
        <f aca="false">$E554/F554-1</f>
        <v>0.0187793427230047</v>
      </c>
      <c r="J554" s="36" t="n">
        <f aca="false">$E554/G554-1</f>
        <v>-0.117886178861789</v>
      </c>
      <c r="K554" s="36" t="n">
        <f aca="false">$E554/H554-1</f>
        <v>-0.279069767441861</v>
      </c>
      <c r="L554" s="37" t="n">
        <v>17.35</v>
      </c>
      <c r="M554" s="37" t="n">
        <v>0.23</v>
      </c>
      <c r="N554" s="34" t="n">
        <v>4200</v>
      </c>
      <c r="O554" s="34" t="n">
        <v>2090</v>
      </c>
      <c r="P554" s="38"/>
      <c r="Q554" s="38"/>
    </row>
    <row r="555" customFormat="false" ht="15" hidden="false" customHeight="false" outlineLevel="0" collapsed="false">
      <c r="A555" s="34" t="n">
        <v>547</v>
      </c>
      <c r="B555" s="35" t="s">
        <v>1185</v>
      </c>
      <c r="C555" s="35" t="s">
        <v>1186</v>
      </c>
      <c r="D555" s="35" t="s">
        <v>111</v>
      </c>
      <c r="E555" s="34" t="n">
        <v>10200</v>
      </c>
      <c r="F555" s="34" t="n">
        <v>10200</v>
      </c>
      <c r="G555" s="34" t="n">
        <v>10800</v>
      </c>
      <c r="H555" s="34" t="n">
        <v>11000</v>
      </c>
      <c r="I555" s="36" t="n">
        <f aca="false">$E555/F555-1</f>
        <v>0</v>
      </c>
      <c r="J555" s="36" t="n">
        <f aca="false">$E555/G555-1</f>
        <v>-0.0555555555555556</v>
      </c>
      <c r="K555" s="36" t="n">
        <f aca="false">$E555/H555-1</f>
        <v>-0.0727272727272728</v>
      </c>
      <c r="L555" s="37" t="n">
        <v>830.64</v>
      </c>
      <c r="M555" s="37" t="n">
        <v>1.08</v>
      </c>
      <c r="N555" s="34"/>
      <c r="O555" s="34"/>
      <c r="P555" s="38"/>
      <c r="Q555" s="38"/>
    </row>
    <row r="556" customFormat="false" ht="15" hidden="false" customHeight="false" outlineLevel="0" collapsed="false">
      <c r="A556" s="34" t="n">
        <v>548</v>
      </c>
      <c r="B556" s="35" t="s">
        <v>1187</v>
      </c>
      <c r="C556" s="35" t="s">
        <v>1188</v>
      </c>
      <c r="D556" s="35" t="s">
        <v>116</v>
      </c>
      <c r="E556" s="34" t="n">
        <v>11900</v>
      </c>
      <c r="F556" s="34" t="n">
        <v>11800</v>
      </c>
      <c r="G556" s="34" t="n">
        <v>13400</v>
      </c>
      <c r="H556" s="34" t="n">
        <v>18600</v>
      </c>
      <c r="I556" s="36" t="n">
        <f aca="false">$E556/F556-1</f>
        <v>0.00847457627118642</v>
      </c>
      <c r="J556" s="36" t="n">
        <f aca="false">$E556/G556-1</f>
        <v>-0.111940298507463</v>
      </c>
      <c r="K556" s="36" t="n">
        <f aca="false">$E556/H556-1</f>
        <v>-0.360215053763441</v>
      </c>
      <c r="L556" s="37" t="n">
        <v>27.87</v>
      </c>
      <c r="M556" s="37" t="n">
        <v>0.58</v>
      </c>
      <c r="N556" s="34" t="n">
        <v>33000</v>
      </c>
      <c r="O556" s="34" t="n">
        <v>11700</v>
      </c>
      <c r="P556" s="38"/>
      <c r="Q556" s="38"/>
    </row>
    <row r="557" customFormat="false" ht="15" hidden="false" customHeight="false" outlineLevel="0" collapsed="false">
      <c r="A557" s="34" t="n">
        <v>549</v>
      </c>
      <c r="B557" s="35" t="s">
        <v>1189</v>
      </c>
      <c r="C557" s="35" t="s">
        <v>1190</v>
      </c>
      <c r="D557" s="35" t="s">
        <v>111</v>
      </c>
      <c r="E557" s="34" t="n">
        <v>6800</v>
      </c>
      <c r="F557" s="34" t="n">
        <v>7900</v>
      </c>
      <c r="G557" s="34" t="n">
        <v>7900</v>
      </c>
      <c r="H557" s="34" t="n">
        <v>6500</v>
      </c>
      <c r="I557" s="36" t="n">
        <f aca="false">$E557/F557-1</f>
        <v>-0.139240506329114</v>
      </c>
      <c r="J557" s="36" t="n">
        <f aca="false">$E557/G557-1</f>
        <v>-0.139240506329114</v>
      </c>
      <c r="K557" s="36" t="n">
        <f aca="false">$E557/H557-1</f>
        <v>0.0461538461538462</v>
      </c>
      <c r="L557" s="37" t="n">
        <v>16.41</v>
      </c>
      <c r="M557" s="37" t="n">
        <v>0.33</v>
      </c>
      <c r="N557" s="34" t="n">
        <v>9200</v>
      </c>
      <c r="O557" s="34" t="n">
        <v>5940</v>
      </c>
      <c r="P557" s="38"/>
      <c r="Q557" s="38"/>
    </row>
    <row r="558" customFormat="false" ht="15" hidden="false" customHeight="false" outlineLevel="0" collapsed="false">
      <c r="A558" s="34" t="n">
        <v>550</v>
      </c>
      <c r="B558" s="35" t="s">
        <v>1191</v>
      </c>
      <c r="C558" s="35" t="s">
        <v>1192</v>
      </c>
      <c r="D558" s="35" t="s">
        <v>111</v>
      </c>
      <c r="E558" s="34" t="n">
        <v>25100</v>
      </c>
      <c r="F558" s="34" t="n">
        <v>25100</v>
      </c>
      <c r="G558" s="34" t="n">
        <v>29500</v>
      </c>
      <c r="H558" s="34" t="n">
        <v>24300</v>
      </c>
      <c r="I558" s="36" t="n">
        <f aca="false">$E558/F558-1</f>
        <v>0</v>
      </c>
      <c r="J558" s="36" t="n">
        <f aca="false">$E558/G558-1</f>
        <v>-0.149152542372881</v>
      </c>
      <c r="K558" s="36" t="n">
        <f aca="false">$E558/H558-1</f>
        <v>0.0329218106995886</v>
      </c>
      <c r="L558" s="37" t="n">
        <v>20.84</v>
      </c>
      <c r="M558" s="37" t="n">
        <v>1.15</v>
      </c>
      <c r="N558" s="34" t="n">
        <v>31000</v>
      </c>
      <c r="O558" s="34" t="n">
        <v>17500</v>
      </c>
      <c r="P558" s="38"/>
      <c r="Q558" s="38"/>
    </row>
    <row r="559" customFormat="false" ht="15" hidden="false" customHeight="false" outlineLevel="0" collapsed="false">
      <c r="A559" s="34" t="n">
        <v>551</v>
      </c>
      <c r="B559" s="35" t="s">
        <v>1193</v>
      </c>
      <c r="C559" s="35" t="s">
        <v>1194</v>
      </c>
      <c r="D559" s="35" t="s">
        <v>133</v>
      </c>
      <c r="E559" s="34" t="n">
        <v>10300</v>
      </c>
      <c r="F559" s="34" t="n">
        <v>10300</v>
      </c>
      <c r="G559" s="34" t="n">
        <v>9800</v>
      </c>
      <c r="H559" s="34" t="n">
        <v>10991.32</v>
      </c>
      <c r="I559" s="36" t="n">
        <f aca="false">$E559/F559-1</f>
        <v>0</v>
      </c>
      <c r="J559" s="36" t="n">
        <f aca="false">$E559/G559-1</f>
        <v>0.0510204081632653</v>
      </c>
      <c r="K559" s="36" t="n">
        <f aca="false">$E559/H559-1</f>
        <v>-0.0628969041025099</v>
      </c>
      <c r="L559" s="37" t="n">
        <v>7.57</v>
      </c>
      <c r="M559" s="37" t="n">
        <v>0.56</v>
      </c>
      <c r="N559" s="34" t="n">
        <v>11449.29</v>
      </c>
      <c r="O559" s="34" t="n">
        <v>9800</v>
      </c>
      <c r="P559" s="38"/>
      <c r="Q559" s="38"/>
    </row>
    <row r="560" customFormat="false" ht="15" hidden="false" customHeight="false" outlineLevel="0" collapsed="false">
      <c r="A560" s="34" t="n">
        <v>552</v>
      </c>
      <c r="B560" s="35" t="s">
        <v>1195</v>
      </c>
      <c r="C560" s="35" t="s">
        <v>1196</v>
      </c>
      <c r="D560" s="35" t="s">
        <v>116</v>
      </c>
      <c r="E560" s="34" t="n">
        <v>12100</v>
      </c>
      <c r="F560" s="34" t="n">
        <v>12100</v>
      </c>
      <c r="G560" s="34" t="n">
        <v>13400</v>
      </c>
      <c r="H560" s="34" t="n">
        <v>14666.96</v>
      </c>
      <c r="I560" s="36" t="n">
        <f aca="false">$E560/F560-1</f>
        <v>0</v>
      </c>
      <c r="J560" s="36" t="n">
        <f aca="false">$E560/G560-1</f>
        <v>-0.0970149253731343</v>
      </c>
      <c r="K560" s="36" t="n">
        <f aca="false">$E560/H560-1</f>
        <v>-0.175016499670007</v>
      </c>
      <c r="L560" s="37" t="n">
        <v>13.22</v>
      </c>
      <c r="M560" s="37" t="n">
        <v>0.99</v>
      </c>
      <c r="N560" s="34" t="n">
        <v>16571.76</v>
      </c>
      <c r="O560" s="34" t="n">
        <v>11700</v>
      </c>
      <c r="P560" s="38"/>
      <c r="Q560" s="38"/>
    </row>
    <row r="561" customFormat="false" ht="15" hidden="false" customHeight="false" outlineLevel="0" collapsed="false">
      <c r="A561" s="34" t="n">
        <v>553</v>
      </c>
      <c r="B561" s="35" t="s">
        <v>83</v>
      </c>
      <c r="C561" s="35" t="s">
        <v>1197</v>
      </c>
      <c r="D561" s="35" t="s">
        <v>116</v>
      </c>
      <c r="E561" s="34" t="n">
        <v>13600</v>
      </c>
      <c r="F561" s="34" t="n">
        <v>13600</v>
      </c>
      <c r="G561" s="34" t="n">
        <v>14700</v>
      </c>
      <c r="H561" s="34" t="n">
        <v>12700</v>
      </c>
      <c r="I561" s="36" t="n">
        <f aca="false">$E561/F561-1</f>
        <v>0</v>
      </c>
      <c r="J561" s="36" t="n">
        <f aca="false">$E561/G561-1</f>
        <v>-0.0748299319727891</v>
      </c>
      <c r="K561" s="36" t="n">
        <f aca="false">$E561/H561-1</f>
        <v>0.0708661417322836</v>
      </c>
      <c r="L561" s="37" t="n">
        <v>6.48</v>
      </c>
      <c r="M561" s="37" t="n">
        <v>1.01</v>
      </c>
      <c r="N561" s="34" t="n">
        <v>16550</v>
      </c>
      <c r="O561" s="34" t="n">
        <v>10909.8</v>
      </c>
      <c r="P561" s="38" t="n">
        <v>19.51</v>
      </c>
      <c r="Q561" s="38" t="n">
        <v>1</v>
      </c>
    </row>
    <row r="562" customFormat="false" ht="15" hidden="false" customHeight="false" outlineLevel="0" collapsed="false">
      <c r="A562" s="34" t="n">
        <v>554</v>
      </c>
      <c r="B562" s="35" t="s">
        <v>1198</v>
      </c>
      <c r="C562" s="35" t="s">
        <v>1199</v>
      </c>
      <c r="D562" s="35" t="s">
        <v>116</v>
      </c>
      <c r="E562" s="34" t="n">
        <v>67100</v>
      </c>
      <c r="F562" s="34" t="n">
        <v>66800</v>
      </c>
      <c r="G562" s="34" t="n">
        <v>86000</v>
      </c>
      <c r="H562" s="34" t="n">
        <v>137442.06</v>
      </c>
      <c r="I562" s="36" t="n">
        <f aca="false">$E562/F562-1</f>
        <v>0.00449101796407181</v>
      </c>
      <c r="J562" s="36" t="n">
        <f aca="false">$E562/G562-1</f>
        <v>-0.219767441860465</v>
      </c>
      <c r="K562" s="36" t="n">
        <f aca="false">$E562/H562-1</f>
        <v>-0.511794278985632</v>
      </c>
      <c r="L562" s="37" t="n">
        <v>12.07</v>
      </c>
      <c r="M562" s="37" t="n">
        <v>5.34</v>
      </c>
      <c r="N562" s="34" t="n">
        <v>137442.06</v>
      </c>
      <c r="O562" s="34" t="n">
        <v>57999.99</v>
      </c>
      <c r="P562" s="38" t="n">
        <v>12.725</v>
      </c>
      <c r="Q562" s="38" t="n">
        <v>1.8</v>
      </c>
    </row>
    <row r="563" customFormat="false" ht="15" hidden="false" customHeight="false" outlineLevel="0" collapsed="false">
      <c r="A563" s="34" t="n">
        <v>555</v>
      </c>
      <c r="B563" s="35" t="s">
        <v>1200</v>
      </c>
      <c r="C563" s="35" t="s">
        <v>1201</v>
      </c>
      <c r="D563" s="35" t="s">
        <v>116</v>
      </c>
      <c r="E563" s="34" t="n">
        <v>9670</v>
      </c>
      <c r="F563" s="34" t="n">
        <v>9410</v>
      </c>
      <c r="G563" s="34" t="n">
        <v>9854.64</v>
      </c>
      <c r="H563" s="34" t="n">
        <v>11350.94</v>
      </c>
      <c r="I563" s="36" t="n">
        <f aca="false">$E563/F563-1</f>
        <v>0.0276301806588735</v>
      </c>
      <c r="J563" s="36" t="n">
        <f aca="false">$E563/G563-1</f>
        <v>-0.0187363516069587</v>
      </c>
      <c r="K563" s="36" t="n">
        <f aca="false">$E563/H563-1</f>
        <v>-0.148088175957234</v>
      </c>
      <c r="L563" s="37" t="n">
        <v>13.28</v>
      </c>
      <c r="M563" s="37" t="n">
        <v>0.92</v>
      </c>
      <c r="N563" s="34" t="n">
        <v>12366.06</v>
      </c>
      <c r="O563" s="34" t="n">
        <v>9182.26</v>
      </c>
      <c r="P563" s="38"/>
      <c r="Q563" s="38"/>
    </row>
    <row r="564" customFormat="false" ht="15" hidden="false" customHeight="false" outlineLevel="0" collapsed="false">
      <c r="A564" s="34" t="n">
        <v>556</v>
      </c>
      <c r="B564" s="35" t="s">
        <v>1202</v>
      </c>
      <c r="C564" s="35" t="s">
        <v>1203</v>
      </c>
      <c r="D564" s="35" t="s">
        <v>116</v>
      </c>
      <c r="E564" s="34" t="n">
        <v>21350</v>
      </c>
      <c r="F564" s="34" t="n">
        <v>21000</v>
      </c>
      <c r="G564" s="34" t="n">
        <v>22000</v>
      </c>
      <c r="H564" s="34" t="n">
        <v>24350</v>
      </c>
      <c r="I564" s="36" t="n">
        <f aca="false">$E564/F564-1</f>
        <v>0.0166666666666666</v>
      </c>
      <c r="J564" s="36" t="n">
        <f aca="false">$E564/G564-1</f>
        <v>-0.0295454545454545</v>
      </c>
      <c r="K564" s="36" t="n">
        <f aca="false">$E564/H564-1</f>
        <v>-0.123203285420945</v>
      </c>
      <c r="L564" s="37" t="n">
        <v>4.55</v>
      </c>
      <c r="M564" s="37" t="n">
        <v>1.14</v>
      </c>
      <c r="N564" s="34" t="n">
        <v>28900</v>
      </c>
      <c r="O564" s="34" t="n">
        <v>20500</v>
      </c>
      <c r="P564" s="38" t="n">
        <v>12.29</v>
      </c>
      <c r="Q564" s="38" t="n">
        <v>1.57</v>
      </c>
    </row>
    <row r="565" customFormat="false" ht="15" hidden="false" customHeight="false" outlineLevel="0" collapsed="false">
      <c r="A565" s="34" t="n">
        <v>557</v>
      </c>
      <c r="B565" s="35" t="s">
        <v>1204</v>
      </c>
      <c r="C565" s="35" t="s">
        <v>1205</v>
      </c>
      <c r="D565" s="35" t="s">
        <v>133</v>
      </c>
      <c r="E565" s="34" t="n">
        <v>43900</v>
      </c>
      <c r="F565" s="34" t="n">
        <v>45000</v>
      </c>
      <c r="G565" s="34" t="n">
        <v>42600</v>
      </c>
      <c r="H565" s="34" t="n">
        <v>45003.55</v>
      </c>
      <c r="I565" s="36" t="n">
        <f aca="false">$E565/F565-1</f>
        <v>-0.0244444444444445</v>
      </c>
      <c r="J565" s="36" t="n">
        <f aca="false">$E565/G565-1</f>
        <v>0.0305164319248827</v>
      </c>
      <c r="K565" s="36" t="n">
        <f aca="false">$E565/H565-1</f>
        <v>-0.0245213988674228</v>
      </c>
      <c r="L565" s="37" t="n">
        <v>9.69</v>
      </c>
      <c r="M565" s="37" t="n">
        <v>2.72</v>
      </c>
      <c r="N565" s="34" t="n">
        <v>49398.8</v>
      </c>
      <c r="O565" s="34" t="n">
        <v>37900</v>
      </c>
      <c r="P565" s="38"/>
      <c r="Q565" s="38"/>
    </row>
    <row r="566" customFormat="false" ht="15" hidden="false" customHeight="false" outlineLevel="0" collapsed="false">
      <c r="A566" s="34" t="n">
        <v>558</v>
      </c>
      <c r="B566" s="35" t="s">
        <v>1206</v>
      </c>
      <c r="C566" s="35" t="s">
        <v>1207</v>
      </c>
      <c r="D566" s="35" t="s">
        <v>111</v>
      </c>
      <c r="E566" s="34" t="n">
        <v>1290</v>
      </c>
      <c r="F566" s="34" t="n">
        <v>1299</v>
      </c>
      <c r="G566" s="34" t="n">
        <v>1300</v>
      </c>
      <c r="H566" s="34" t="n">
        <v>2300</v>
      </c>
      <c r="I566" s="36" t="n">
        <f aca="false">$E566/F566-1</f>
        <v>-0.00692840646651272</v>
      </c>
      <c r="J566" s="36" t="n">
        <f aca="false">$E566/G566-1</f>
        <v>-0.00769230769230767</v>
      </c>
      <c r="K566" s="36" t="n">
        <f aca="false">$E566/H566-1</f>
        <v>-0.439130434782609</v>
      </c>
      <c r="L566" s="37" t="n">
        <v>-2.49</v>
      </c>
      <c r="M566" s="37" t="n">
        <v>0.16</v>
      </c>
      <c r="N566" s="34" t="n">
        <v>3100</v>
      </c>
      <c r="O566" s="34" t="n">
        <v>1200</v>
      </c>
      <c r="P566" s="38"/>
      <c r="Q566" s="38"/>
    </row>
    <row r="567" customFormat="false" ht="15" hidden="false" customHeight="false" outlineLevel="0" collapsed="false">
      <c r="A567" s="34" t="n">
        <v>559</v>
      </c>
      <c r="B567" s="35" t="s">
        <v>1208</v>
      </c>
      <c r="C567" s="35" t="s">
        <v>1209</v>
      </c>
      <c r="D567" s="35" t="s">
        <v>111</v>
      </c>
      <c r="E567" s="34" t="n">
        <v>20100</v>
      </c>
      <c r="F567" s="34" t="n">
        <v>20400</v>
      </c>
      <c r="G567" s="34" t="n">
        <v>22600</v>
      </c>
      <c r="H567" s="34" t="n">
        <v>24800</v>
      </c>
      <c r="I567" s="36" t="n">
        <f aca="false">$E567/F567-1</f>
        <v>-0.0147058823529411</v>
      </c>
      <c r="J567" s="36" t="n">
        <f aca="false">$E567/G567-1</f>
        <v>-0.110619469026549</v>
      </c>
      <c r="K567" s="36" t="n">
        <f aca="false">$E567/H567-1</f>
        <v>-0.189516129032258</v>
      </c>
      <c r="L567" s="37" t="n">
        <v>6.74</v>
      </c>
      <c r="M567" s="37" t="n">
        <v>1.32</v>
      </c>
      <c r="N567" s="34" t="n">
        <v>30900</v>
      </c>
      <c r="O567" s="34" t="n">
        <v>17500</v>
      </c>
      <c r="P567" s="38"/>
      <c r="Q567" s="38"/>
    </row>
    <row r="568" customFormat="false" ht="15" hidden="false" customHeight="false" outlineLevel="0" collapsed="false">
      <c r="A568" s="34" t="n">
        <v>560</v>
      </c>
      <c r="B568" s="35" t="s">
        <v>1210</v>
      </c>
      <c r="C568" s="35" t="s">
        <v>1211</v>
      </c>
      <c r="D568" s="35" t="s">
        <v>133</v>
      </c>
      <c r="E568" s="34" t="n">
        <v>50000</v>
      </c>
      <c r="F568" s="34" t="n">
        <v>50000</v>
      </c>
      <c r="G568" s="34" t="n">
        <v>50000</v>
      </c>
      <c r="H568" s="34" t="n">
        <v>48817.44</v>
      </c>
      <c r="I568" s="36" t="n">
        <f aca="false">$E568/F568-1</f>
        <v>0</v>
      </c>
      <c r="J568" s="36" t="n">
        <f aca="false">$E568/G568-1</f>
        <v>0</v>
      </c>
      <c r="K568" s="36" t="n">
        <f aca="false">$E568/H568-1</f>
        <v>0.0242241297372414</v>
      </c>
      <c r="L568" s="37" t="n">
        <v>9.08</v>
      </c>
      <c r="M568" s="37" t="n">
        <v>3.04</v>
      </c>
      <c r="N568" s="34" t="n">
        <v>61484.64</v>
      </c>
      <c r="O568" s="34" t="n">
        <v>47258.4</v>
      </c>
      <c r="P568" s="38"/>
      <c r="Q568" s="38"/>
    </row>
    <row r="569" customFormat="false" ht="15" hidden="false" customHeight="false" outlineLevel="0" collapsed="false">
      <c r="A569" s="34" t="n">
        <v>561</v>
      </c>
      <c r="B569" s="35" t="s">
        <v>1212</v>
      </c>
      <c r="C569" s="35" t="s">
        <v>1213</v>
      </c>
      <c r="D569" s="35" t="s">
        <v>111</v>
      </c>
      <c r="E569" s="34" t="n">
        <v>23800</v>
      </c>
      <c r="F569" s="34" t="n">
        <v>23800</v>
      </c>
      <c r="G569" s="34" t="n">
        <v>23800</v>
      </c>
      <c r="H569" s="34" t="n">
        <v>18481.3</v>
      </c>
      <c r="I569" s="36" t="n">
        <f aca="false">$E569/F569-1</f>
        <v>0</v>
      </c>
      <c r="J569" s="36" t="n">
        <f aca="false">$E569/G569-1</f>
        <v>0</v>
      </c>
      <c r="K569" s="36" t="n">
        <f aca="false">$E569/H569-1</f>
        <v>0.287788196717763</v>
      </c>
      <c r="L569" s="37" t="n">
        <v>42.19</v>
      </c>
      <c r="M569" s="37" t="n">
        <v>2.24</v>
      </c>
      <c r="N569" s="34" t="n">
        <v>28019</v>
      </c>
      <c r="O569" s="34" t="n">
        <v>10796.97</v>
      </c>
      <c r="P569" s="38"/>
      <c r="Q569" s="38"/>
    </row>
    <row r="570" customFormat="false" ht="15" hidden="false" customHeight="false" outlineLevel="0" collapsed="false">
      <c r="A570" s="34" t="n">
        <v>562</v>
      </c>
      <c r="B570" s="35" t="s">
        <v>1214</v>
      </c>
      <c r="C570" s="35" t="s">
        <v>1215</v>
      </c>
      <c r="D570" s="35" t="s">
        <v>111</v>
      </c>
      <c r="E570" s="34" t="n">
        <v>16400</v>
      </c>
      <c r="F570" s="34" t="n">
        <v>19200</v>
      </c>
      <c r="G570" s="34" t="n">
        <v>19000</v>
      </c>
      <c r="H570" s="34" t="n">
        <v>17000</v>
      </c>
      <c r="I570" s="36" t="n">
        <f aca="false">$E570/F570-1</f>
        <v>-0.145833333333333</v>
      </c>
      <c r="J570" s="36" t="n">
        <f aca="false">$E570/G570-1</f>
        <v>-0.136842105263158</v>
      </c>
      <c r="K570" s="36" t="n">
        <f aca="false">$E570/H570-1</f>
        <v>-0.0352941176470588</v>
      </c>
      <c r="L570" s="37" t="n">
        <v>11.25</v>
      </c>
      <c r="M570" s="37" t="n">
        <v>1.56</v>
      </c>
      <c r="N570" s="34" t="n">
        <v>19200</v>
      </c>
      <c r="O570" s="34" t="n">
        <v>5900</v>
      </c>
      <c r="P570" s="38"/>
      <c r="Q570" s="38"/>
    </row>
    <row r="571" customFormat="false" ht="15" hidden="false" customHeight="false" outlineLevel="0" collapsed="false">
      <c r="A571" s="34" t="n">
        <v>563</v>
      </c>
      <c r="B571" s="35" t="s">
        <v>1216</v>
      </c>
      <c r="C571" s="35" t="s">
        <v>1217</v>
      </c>
      <c r="D571" s="35" t="s">
        <v>111</v>
      </c>
      <c r="E571" s="34" t="n">
        <v>3200</v>
      </c>
      <c r="F571" s="34" t="n">
        <v>3200</v>
      </c>
      <c r="G571" s="34" t="n">
        <v>3100</v>
      </c>
      <c r="H571" s="34" t="n">
        <v>3400</v>
      </c>
      <c r="I571" s="36" t="n">
        <f aca="false">$E571/F571-1</f>
        <v>0</v>
      </c>
      <c r="J571" s="36" t="n">
        <f aca="false">$E571/G571-1</f>
        <v>0.032258064516129</v>
      </c>
      <c r="K571" s="36" t="n">
        <f aca="false">$E571/H571-1</f>
        <v>-0.0588235294117647</v>
      </c>
      <c r="L571" s="37" t="n">
        <v>-3.89</v>
      </c>
      <c r="M571" s="37" t="n">
        <v>0.45</v>
      </c>
      <c r="N571" s="34" t="n">
        <v>4300</v>
      </c>
      <c r="O571" s="34" t="n">
        <v>2975</v>
      </c>
      <c r="P571" s="38"/>
      <c r="Q571" s="38"/>
    </row>
    <row r="572" customFormat="false" ht="15" hidden="false" customHeight="false" outlineLevel="0" collapsed="false">
      <c r="A572" s="34" t="n">
        <v>564</v>
      </c>
      <c r="B572" s="35" t="s">
        <v>1218</v>
      </c>
      <c r="C572" s="35" t="s">
        <v>1219</v>
      </c>
      <c r="D572" s="35" t="s">
        <v>111</v>
      </c>
      <c r="E572" s="34" t="n">
        <v>30973</v>
      </c>
      <c r="F572" s="34" t="n">
        <v>28900</v>
      </c>
      <c r="G572" s="34" t="n">
        <v>29272</v>
      </c>
      <c r="H572" s="34" t="n">
        <v>53713</v>
      </c>
      <c r="I572" s="36" t="n">
        <f aca="false">$E572/F572-1</f>
        <v>0.0717301038062284</v>
      </c>
      <c r="J572" s="36" t="n">
        <f aca="false">$E572/G572-1</f>
        <v>0.0581101393823449</v>
      </c>
      <c r="K572" s="36" t="n">
        <f aca="false">$E572/H572-1</f>
        <v>-0.423361197475472</v>
      </c>
      <c r="L572" s="37" t="n">
        <v>19.92</v>
      </c>
      <c r="M572" s="37" t="n">
        <v>2.86</v>
      </c>
      <c r="N572" s="34" t="n">
        <v>61897</v>
      </c>
      <c r="O572" s="34" t="n">
        <v>10563</v>
      </c>
      <c r="P572" s="38"/>
      <c r="Q572" s="38"/>
    </row>
    <row r="573" customFormat="false" ht="15" hidden="false" customHeight="false" outlineLevel="0" collapsed="false">
      <c r="A573" s="34" t="n">
        <v>565</v>
      </c>
      <c r="B573" s="35" t="s">
        <v>1220</v>
      </c>
      <c r="C573" s="35" t="s">
        <v>1221</v>
      </c>
      <c r="D573" s="35" t="s">
        <v>111</v>
      </c>
      <c r="E573" s="34" t="n">
        <v>7000</v>
      </c>
      <c r="F573" s="34" t="n">
        <v>7000</v>
      </c>
      <c r="G573" s="34" t="n">
        <v>7000</v>
      </c>
      <c r="H573" s="34" t="n">
        <v>6485.6</v>
      </c>
      <c r="I573" s="36" t="n">
        <f aca="false">$E573/F573-1</f>
        <v>0</v>
      </c>
      <c r="J573" s="36" t="n">
        <f aca="false">$E573/G573-1</f>
        <v>0</v>
      </c>
      <c r="K573" s="36" t="n">
        <f aca="false">$E573/H573-1</f>
        <v>0.079314172936968</v>
      </c>
      <c r="L573" s="37" t="n">
        <v>11.69</v>
      </c>
      <c r="M573" s="37" t="n">
        <v>0.66</v>
      </c>
      <c r="N573" s="34" t="n">
        <v>12100</v>
      </c>
      <c r="O573" s="34" t="n">
        <v>4888.4</v>
      </c>
      <c r="P573" s="38"/>
      <c r="Q573" s="38"/>
    </row>
    <row r="574" customFormat="false" ht="15" hidden="false" customHeight="false" outlineLevel="0" collapsed="false">
      <c r="A574" s="34" t="n">
        <v>566</v>
      </c>
      <c r="B574" s="35" t="s">
        <v>1222</v>
      </c>
      <c r="C574" s="35" t="s">
        <v>1223</v>
      </c>
      <c r="D574" s="35" t="s">
        <v>133</v>
      </c>
      <c r="E574" s="34" t="n">
        <v>22800</v>
      </c>
      <c r="F574" s="34" t="n">
        <v>22800</v>
      </c>
      <c r="G574" s="34" t="n">
        <v>23100</v>
      </c>
      <c r="H574" s="34" t="n">
        <v>31400</v>
      </c>
      <c r="I574" s="36" t="n">
        <f aca="false">$E574/F574-1</f>
        <v>0</v>
      </c>
      <c r="J574" s="36" t="n">
        <f aca="false">$E574/G574-1</f>
        <v>-0.012987012987013</v>
      </c>
      <c r="K574" s="36" t="n">
        <f aca="false">$E574/H574-1</f>
        <v>-0.273885350318471</v>
      </c>
      <c r="L574" s="37" t="n">
        <v>-6.42</v>
      </c>
      <c r="M574" s="37" t="n">
        <v>0.86</v>
      </c>
      <c r="N574" s="34" t="n">
        <v>40400</v>
      </c>
      <c r="O574" s="34" t="n">
        <v>21000</v>
      </c>
      <c r="P574" s="38"/>
      <c r="Q574" s="38"/>
    </row>
    <row r="575" customFormat="false" ht="15" hidden="false" customHeight="false" outlineLevel="0" collapsed="false">
      <c r="A575" s="34" t="n">
        <v>567</v>
      </c>
      <c r="B575" s="35" t="s">
        <v>1224</v>
      </c>
      <c r="C575" s="35" t="s">
        <v>1225</v>
      </c>
      <c r="D575" s="35" t="s">
        <v>111</v>
      </c>
      <c r="E575" s="34" t="n">
        <v>7000</v>
      </c>
      <c r="F575" s="34" t="n">
        <v>7000</v>
      </c>
      <c r="G575" s="34" t="n">
        <v>7000</v>
      </c>
      <c r="H575" s="34" t="n">
        <v>7000</v>
      </c>
      <c r="I575" s="36" t="n">
        <f aca="false">$E575/F575-1</f>
        <v>0</v>
      </c>
      <c r="J575" s="36" t="n">
        <f aca="false">$E575/G575-1</f>
        <v>0</v>
      </c>
      <c r="K575" s="36" t="n">
        <f aca="false">$E575/H575-1</f>
        <v>0</v>
      </c>
      <c r="L575" s="37" t="n">
        <v>10.01</v>
      </c>
      <c r="M575" s="37" t="n">
        <v>1.12</v>
      </c>
      <c r="N575" s="34" t="n">
        <v>7500</v>
      </c>
      <c r="O575" s="34" t="n">
        <v>6400</v>
      </c>
      <c r="P575" s="38"/>
      <c r="Q575" s="38"/>
    </row>
    <row r="576" customFormat="false" ht="15" hidden="false" customHeight="false" outlineLevel="0" collapsed="false">
      <c r="A576" s="34" t="n">
        <v>568</v>
      </c>
      <c r="B576" s="35" t="s">
        <v>1226</v>
      </c>
      <c r="C576" s="35" t="s">
        <v>1227</v>
      </c>
      <c r="D576" s="35" t="s">
        <v>133</v>
      </c>
      <c r="E576" s="34" t="n">
        <v>6500</v>
      </c>
      <c r="F576" s="34" t="n">
        <v>6600</v>
      </c>
      <c r="G576" s="34" t="n">
        <v>6600</v>
      </c>
      <c r="H576" s="34" t="n">
        <v>17000</v>
      </c>
      <c r="I576" s="36" t="n">
        <f aca="false">$E576/F576-1</f>
        <v>-0.0151515151515151</v>
      </c>
      <c r="J576" s="36" t="n">
        <f aca="false">$E576/G576-1</f>
        <v>-0.0151515151515151</v>
      </c>
      <c r="K576" s="36" t="n">
        <f aca="false">$E576/H576-1</f>
        <v>-0.617647058823529</v>
      </c>
      <c r="L576" s="37" t="n">
        <v>-9.1</v>
      </c>
      <c r="M576" s="37" t="n">
        <v>0.32</v>
      </c>
      <c r="N576" s="34" t="n">
        <v>27100</v>
      </c>
      <c r="O576" s="34" t="n">
        <v>6500</v>
      </c>
      <c r="P576" s="38"/>
      <c r="Q576" s="38"/>
    </row>
    <row r="577" customFormat="false" ht="15" hidden="false" customHeight="false" outlineLevel="0" collapsed="false">
      <c r="A577" s="34" t="n">
        <v>569</v>
      </c>
      <c r="B577" s="35" t="s">
        <v>1228</v>
      </c>
      <c r="C577" s="35" t="s">
        <v>1229</v>
      </c>
      <c r="D577" s="35" t="s">
        <v>116</v>
      </c>
      <c r="E577" s="34" t="n">
        <v>13600</v>
      </c>
      <c r="F577" s="34" t="n">
        <v>13700</v>
      </c>
      <c r="G577" s="34" t="n">
        <v>15000</v>
      </c>
      <c r="H577" s="34" t="n">
        <v>18350</v>
      </c>
      <c r="I577" s="36" t="n">
        <f aca="false">$E577/F577-1</f>
        <v>-0.00729927007299269</v>
      </c>
      <c r="J577" s="36" t="n">
        <f aca="false">$E577/G577-1</f>
        <v>-0.0933333333333334</v>
      </c>
      <c r="K577" s="36" t="n">
        <f aca="false">$E577/H577-1</f>
        <v>-0.258855585831063</v>
      </c>
      <c r="L577" s="37" t="n">
        <v>57.31</v>
      </c>
      <c r="M577" s="37" t="n">
        <v>1.01</v>
      </c>
      <c r="N577" s="34" t="n">
        <v>20876.38</v>
      </c>
      <c r="O577" s="34" t="n">
        <v>13600</v>
      </c>
      <c r="P577" s="38"/>
      <c r="Q577" s="38"/>
    </row>
    <row r="578" customFormat="false" ht="15" hidden="false" customHeight="false" outlineLevel="0" collapsed="false">
      <c r="A578" s="34" t="n">
        <v>570</v>
      </c>
      <c r="B578" s="35" t="s">
        <v>1230</v>
      </c>
      <c r="C578" s="35" t="s">
        <v>1231</v>
      </c>
      <c r="D578" s="35" t="s">
        <v>111</v>
      </c>
      <c r="E578" s="34" t="n">
        <v>38400</v>
      </c>
      <c r="F578" s="34" t="n">
        <v>38400</v>
      </c>
      <c r="G578" s="34" t="n">
        <v>34507.2</v>
      </c>
      <c r="H578" s="34" t="n">
        <v>14422.24</v>
      </c>
      <c r="I578" s="36" t="n">
        <f aca="false">$E578/F578-1</f>
        <v>0</v>
      </c>
      <c r="J578" s="36" t="n">
        <f aca="false">$E578/G578-1</f>
        <v>0.112811239393518</v>
      </c>
      <c r="K578" s="36" t="n">
        <f aca="false">$E578/H578-1</f>
        <v>1.6625544991624</v>
      </c>
      <c r="L578" s="37" t="n">
        <v>8.05</v>
      </c>
      <c r="M578" s="37" t="n">
        <v>1.99</v>
      </c>
      <c r="N578" s="34" t="n">
        <v>38400.32</v>
      </c>
      <c r="O578" s="34" t="n">
        <v>11546.64</v>
      </c>
      <c r="P578" s="38"/>
      <c r="Q578" s="38"/>
    </row>
    <row r="579" customFormat="false" ht="15" hidden="false" customHeight="false" outlineLevel="0" collapsed="false">
      <c r="A579" s="34" t="n">
        <v>571</v>
      </c>
      <c r="B579" s="35" t="s">
        <v>1232</v>
      </c>
      <c r="C579" s="35" t="s">
        <v>1233</v>
      </c>
      <c r="D579" s="35" t="s">
        <v>111</v>
      </c>
      <c r="E579" s="34" t="n">
        <v>20000</v>
      </c>
      <c r="F579" s="34" t="n">
        <v>21500</v>
      </c>
      <c r="G579" s="34" t="n">
        <v>22600</v>
      </c>
      <c r="H579" s="34" t="n">
        <v>21543.75</v>
      </c>
      <c r="I579" s="36" t="n">
        <f aca="false">$E579/F579-1</f>
        <v>-0.0697674418604651</v>
      </c>
      <c r="J579" s="36" t="n">
        <f aca="false">$E579/G579-1</f>
        <v>-0.115044247787611</v>
      </c>
      <c r="K579" s="36" t="n">
        <f aca="false">$E579/H579-1</f>
        <v>-0.0716565129097766</v>
      </c>
      <c r="L579" s="37" t="n">
        <v>5.21</v>
      </c>
      <c r="M579" s="37" t="n">
        <v>1.13</v>
      </c>
      <c r="N579" s="34" t="n">
        <v>31310.25</v>
      </c>
      <c r="O579" s="34" t="n">
        <v>18385</v>
      </c>
      <c r="P579" s="38"/>
      <c r="Q579" s="38"/>
    </row>
    <row r="580" customFormat="false" ht="15" hidden="false" customHeight="false" outlineLevel="0" collapsed="false">
      <c r="A580" s="34" t="n">
        <v>572</v>
      </c>
      <c r="B580" s="35" t="s">
        <v>1234</v>
      </c>
      <c r="C580" s="35" t="s">
        <v>1235</v>
      </c>
      <c r="D580" s="35" t="s">
        <v>116</v>
      </c>
      <c r="E580" s="34" t="n">
        <v>35200</v>
      </c>
      <c r="F580" s="34" t="n">
        <v>32900</v>
      </c>
      <c r="G580" s="34" t="n">
        <v>33000</v>
      </c>
      <c r="H580" s="34" t="n">
        <v>29521.42</v>
      </c>
      <c r="I580" s="36" t="n">
        <f aca="false">$E580/F580-1</f>
        <v>0.0699088145896656</v>
      </c>
      <c r="J580" s="36" t="n">
        <f aca="false">$E580/G580-1</f>
        <v>0.0666666666666667</v>
      </c>
      <c r="K580" s="36" t="n">
        <f aca="false">$E580/H580-1</f>
        <v>0.192354568310061</v>
      </c>
      <c r="L580" s="37" t="n">
        <v>6.81</v>
      </c>
      <c r="M580" s="37" t="n">
        <v>1.49</v>
      </c>
      <c r="N580" s="34" t="n">
        <v>35200</v>
      </c>
      <c r="O580" s="34" t="n">
        <v>26312.43</v>
      </c>
      <c r="P580" s="38"/>
      <c r="Q580" s="38"/>
    </row>
    <row r="581" customFormat="false" ht="15" hidden="false" customHeight="false" outlineLevel="0" collapsed="false">
      <c r="A581" s="34" t="n">
        <v>573</v>
      </c>
      <c r="B581" s="35" t="s">
        <v>1236</v>
      </c>
      <c r="C581" s="35" t="s">
        <v>1237</v>
      </c>
      <c r="D581" s="35" t="s">
        <v>111</v>
      </c>
      <c r="E581" s="34" t="n">
        <v>12748</v>
      </c>
      <c r="F581" s="34" t="n">
        <v>13264</v>
      </c>
      <c r="G581" s="34" t="n">
        <v>14016</v>
      </c>
      <c r="H581" s="34" t="n">
        <v>11746</v>
      </c>
      <c r="I581" s="36" t="n">
        <f aca="false">$E581/F581-1</f>
        <v>-0.0389022919179735</v>
      </c>
      <c r="J581" s="36" t="n">
        <f aca="false">$E581/G581-1</f>
        <v>-0.0904680365296804</v>
      </c>
      <c r="K581" s="36" t="n">
        <f aca="false">$E581/H581-1</f>
        <v>0.0853056359611784</v>
      </c>
      <c r="L581" s="37" t="n">
        <v>0.87</v>
      </c>
      <c r="M581" s="37" t="n">
        <v>0.65</v>
      </c>
      <c r="N581" s="34" t="n">
        <v>18243</v>
      </c>
      <c r="O581" s="34" t="n">
        <v>10300</v>
      </c>
      <c r="P581" s="38"/>
      <c r="Q581" s="38"/>
    </row>
    <row r="582" customFormat="false" ht="15" hidden="false" customHeight="false" outlineLevel="0" collapsed="false">
      <c r="A582" s="34" t="n">
        <v>574</v>
      </c>
      <c r="B582" s="35" t="s">
        <v>1238</v>
      </c>
      <c r="C582" s="35" t="s">
        <v>1239</v>
      </c>
      <c r="D582" s="35" t="s">
        <v>111</v>
      </c>
      <c r="E582" s="34" t="n">
        <v>11100</v>
      </c>
      <c r="F582" s="34" t="n">
        <v>11100</v>
      </c>
      <c r="G582" s="34" t="n">
        <v>11100</v>
      </c>
      <c r="H582" s="34" t="n">
        <v>13200</v>
      </c>
      <c r="I582" s="36" t="n">
        <f aca="false">$E582/F582-1</f>
        <v>0</v>
      </c>
      <c r="J582" s="36" t="n">
        <f aca="false">$E582/G582-1</f>
        <v>0</v>
      </c>
      <c r="K582" s="36" t="n">
        <f aca="false">$E582/H582-1</f>
        <v>-0.159090909090909</v>
      </c>
      <c r="L582" s="37"/>
      <c r="M582" s="37" t="n">
        <v>0.22</v>
      </c>
      <c r="N582" s="34" t="n">
        <v>13500</v>
      </c>
      <c r="O582" s="34" t="n">
        <v>6100</v>
      </c>
      <c r="P582" s="38"/>
      <c r="Q582" s="38"/>
    </row>
    <row r="583" customFormat="false" ht="15" hidden="false" customHeight="false" outlineLevel="0" collapsed="false">
      <c r="A583" s="34" t="n">
        <v>575</v>
      </c>
      <c r="B583" s="35" t="s">
        <v>1240</v>
      </c>
      <c r="C583" s="35" t="s">
        <v>1241</v>
      </c>
      <c r="D583" s="35" t="s">
        <v>116</v>
      </c>
      <c r="E583" s="34" t="n">
        <v>3620</v>
      </c>
      <c r="F583" s="34" t="n">
        <v>3620</v>
      </c>
      <c r="G583" s="34" t="n">
        <v>4200</v>
      </c>
      <c r="H583" s="34" t="n">
        <v>5609.15</v>
      </c>
      <c r="I583" s="36" t="n">
        <f aca="false">$E583/F583-1</f>
        <v>0</v>
      </c>
      <c r="J583" s="36" t="n">
        <f aca="false">$E583/G583-1</f>
        <v>-0.138095238095238</v>
      </c>
      <c r="K583" s="36" t="n">
        <f aca="false">$E583/H583-1</f>
        <v>-0.354625923713932</v>
      </c>
      <c r="L583" s="37" t="n">
        <v>21.53</v>
      </c>
      <c r="M583" s="37" t="n">
        <v>0.33</v>
      </c>
      <c r="N583" s="34" t="n">
        <v>7072.8</v>
      </c>
      <c r="O583" s="34" t="n">
        <v>3500</v>
      </c>
      <c r="P583" s="38"/>
      <c r="Q583" s="38"/>
    </row>
    <row r="584" customFormat="false" ht="15" hidden="false" customHeight="false" outlineLevel="0" collapsed="false">
      <c r="A584" s="34" t="n">
        <v>576</v>
      </c>
      <c r="B584" s="35" t="s">
        <v>1242</v>
      </c>
      <c r="C584" s="35" t="s">
        <v>1243</v>
      </c>
      <c r="D584" s="35" t="s">
        <v>111</v>
      </c>
      <c r="E584" s="34" t="n">
        <v>5900</v>
      </c>
      <c r="F584" s="34" t="n">
        <v>5500</v>
      </c>
      <c r="G584" s="34" t="n">
        <v>6200</v>
      </c>
      <c r="H584" s="34" t="n">
        <v>7200</v>
      </c>
      <c r="I584" s="36" t="n">
        <f aca="false">$E584/F584-1</f>
        <v>0.0727272727272728</v>
      </c>
      <c r="J584" s="36" t="n">
        <f aca="false">$E584/G584-1</f>
        <v>-0.0483870967741935</v>
      </c>
      <c r="K584" s="36" t="n">
        <f aca="false">$E584/H584-1</f>
        <v>-0.180555555555556</v>
      </c>
      <c r="L584" s="37" t="n">
        <v>-30.69</v>
      </c>
      <c r="M584" s="37" t="n">
        <v>0.51</v>
      </c>
      <c r="N584" s="34" t="n">
        <v>9422</v>
      </c>
      <c r="O584" s="34" t="n">
        <v>5500</v>
      </c>
      <c r="P584" s="38"/>
      <c r="Q584" s="38"/>
    </row>
    <row r="585" customFormat="false" ht="15" hidden="false" customHeight="false" outlineLevel="0" collapsed="false">
      <c r="A585" s="34" t="n">
        <v>577</v>
      </c>
      <c r="B585" s="35" t="s">
        <v>1244</v>
      </c>
      <c r="C585" s="35" t="s">
        <v>1245</v>
      </c>
      <c r="D585" s="35" t="s">
        <v>133</v>
      </c>
      <c r="E585" s="34" t="n">
        <v>11500</v>
      </c>
      <c r="F585" s="34" t="n">
        <v>11400</v>
      </c>
      <c r="G585" s="34" t="n">
        <v>12300</v>
      </c>
      <c r="H585" s="34" t="n">
        <v>10811.24</v>
      </c>
      <c r="I585" s="36" t="n">
        <f aca="false">$E585/F585-1</f>
        <v>0.00877192982456143</v>
      </c>
      <c r="J585" s="36" t="n">
        <f aca="false">$E585/G585-1</f>
        <v>-0.0650406504065041</v>
      </c>
      <c r="K585" s="36" t="n">
        <f aca="false">$E585/H585-1</f>
        <v>0.0637077708014993</v>
      </c>
      <c r="L585" s="37" t="n">
        <v>12.72</v>
      </c>
      <c r="M585" s="37" t="n">
        <v>0.8</v>
      </c>
      <c r="N585" s="34" t="n">
        <v>13600</v>
      </c>
      <c r="O585" s="34" t="n">
        <v>9612</v>
      </c>
      <c r="P585" s="38"/>
      <c r="Q585" s="38"/>
    </row>
    <row r="586" customFormat="false" ht="15" hidden="false" customHeight="false" outlineLevel="0" collapsed="false">
      <c r="A586" s="34" t="n">
        <v>578</v>
      </c>
      <c r="B586" s="35" t="s">
        <v>1246</v>
      </c>
      <c r="C586" s="35" t="s">
        <v>1247</v>
      </c>
      <c r="D586" s="35" t="s">
        <v>116</v>
      </c>
      <c r="E586" s="34" t="n">
        <v>8220</v>
      </c>
      <c r="F586" s="34" t="n">
        <v>8440</v>
      </c>
      <c r="G586" s="34" t="n">
        <v>8180</v>
      </c>
      <c r="H586" s="34" t="n">
        <v>10700</v>
      </c>
      <c r="I586" s="36" t="n">
        <f aca="false">$E586/F586-1</f>
        <v>-0.0260663507109005</v>
      </c>
      <c r="J586" s="36" t="n">
        <f aca="false">$E586/G586-1</f>
        <v>0.00488997555012216</v>
      </c>
      <c r="K586" s="36" t="n">
        <f aca="false">$E586/H586-1</f>
        <v>-0.231775700934579</v>
      </c>
      <c r="L586" s="37" t="n">
        <v>5.67</v>
      </c>
      <c r="M586" s="37" t="n">
        <v>0.56</v>
      </c>
      <c r="N586" s="34" t="n">
        <v>15400</v>
      </c>
      <c r="O586" s="34" t="n">
        <v>7230</v>
      </c>
      <c r="P586" s="38"/>
      <c r="Q586" s="38"/>
    </row>
    <row r="587" customFormat="false" ht="15" hidden="false" customHeight="false" outlineLevel="0" collapsed="false">
      <c r="A587" s="34" t="n">
        <v>579</v>
      </c>
      <c r="B587" s="35" t="s">
        <v>42</v>
      </c>
      <c r="C587" s="35" t="s">
        <v>1248</v>
      </c>
      <c r="D587" s="35" t="s">
        <v>116</v>
      </c>
      <c r="E587" s="34" t="n">
        <v>11800</v>
      </c>
      <c r="F587" s="34" t="n">
        <v>11400</v>
      </c>
      <c r="G587" s="34" t="n">
        <v>13900</v>
      </c>
      <c r="H587" s="34" t="n">
        <v>18300</v>
      </c>
      <c r="I587" s="36" t="n">
        <f aca="false">$E587/F587-1</f>
        <v>0.0350877192982457</v>
      </c>
      <c r="J587" s="36" t="n">
        <f aca="false">$E587/G587-1</f>
        <v>-0.151079136690647</v>
      </c>
      <c r="K587" s="36" t="n">
        <f aca="false">$E587/H587-1</f>
        <v>-0.355191256830601</v>
      </c>
      <c r="L587" s="37" t="n">
        <v>34.18</v>
      </c>
      <c r="M587" s="37" t="n">
        <v>0.93</v>
      </c>
      <c r="N587" s="34" t="n">
        <v>24619.54</v>
      </c>
      <c r="O587" s="34" t="n">
        <v>11000</v>
      </c>
      <c r="P587" s="38" t="n">
        <v>18.995</v>
      </c>
      <c r="Q587" s="38" t="n">
        <v>1.18</v>
      </c>
    </row>
    <row r="588" customFormat="false" ht="15" hidden="false" customHeight="false" outlineLevel="0" collapsed="false">
      <c r="A588" s="34" t="n">
        <v>580</v>
      </c>
      <c r="B588" s="35" t="s">
        <v>1249</v>
      </c>
      <c r="C588" s="35" t="s">
        <v>1250</v>
      </c>
      <c r="D588" s="35" t="s">
        <v>116</v>
      </c>
      <c r="E588" s="34" t="n">
        <v>33950</v>
      </c>
      <c r="F588" s="34" t="n">
        <v>33950</v>
      </c>
      <c r="G588" s="34" t="n">
        <v>33950</v>
      </c>
      <c r="H588" s="34" t="n">
        <v>39100</v>
      </c>
      <c r="I588" s="36" t="n">
        <f aca="false">$E588/F588-1</f>
        <v>0</v>
      </c>
      <c r="J588" s="36" t="n">
        <f aca="false">$E588/G588-1</f>
        <v>0</v>
      </c>
      <c r="K588" s="36" t="n">
        <f aca="false">$E588/H588-1</f>
        <v>-0.131713554987212</v>
      </c>
      <c r="L588" s="37" t="n">
        <v>9.54</v>
      </c>
      <c r="M588" s="37" t="n">
        <v>2.53</v>
      </c>
      <c r="N588" s="34" t="n">
        <v>42600</v>
      </c>
      <c r="O588" s="34" t="n">
        <v>33900</v>
      </c>
      <c r="P588" s="38"/>
      <c r="Q588" s="38"/>
    </row>
    <row r="589" customFormat="false" ht="15" hidden="false" customHeight="false" outlineLevel="0" collapsed="false">
      <c r="A589" s="34" t="n">
        <v>581</v>
      </c>
      <c r="B589" s="35" t="s">
        <v>1251</v>
      </c>
      <c r="C589" s="35" t="s">
        <v>1252</v>
      </c>
      <c r="D589" s="35" t="s">
        <v>111</v>
      </c>
      <c r="E589" s="34" t="n">
        <v>2071</v>
      </c>
      <c r="F589" s="34" t="n">
        <v>2278</v>
      </c>
      <c r="G589" s="34" t="n">
        <v>2171</v>
      </c>
      <c r="H589" s="34" t="n">
        <v>3000</v>
      </c>
      <c r="I589" s="36" t="n">
        <f aca="false">$E589/F589-1</f>
        <v>-0.0908691834942933</v>
      </c>
      <c r="J589" s="36" t="n">
        <f aca="false">$E589/G589-1</f>
        <v>-0.0460617227084293</v>
      </c>
      <c r="K589" s="36" t="n">
        <f aca="false">$E589/H589-1</f>
        <v>-0.309666666666667</v>
      </c>
      <c r="L589" s="37" t="n">
        <v>-5.25</v>
      </c>
      <c r="M589" s="37" t="n">
        <v>0.34</v>
      </c>
      <c r="N589" s="34" t="n">
        <v>3740</v>
      </c>
      <c r="O589" s="34" t="n">
        <v>1495</v>
      </c>
      <c r="P589" s="38"/>
      <c r="Q589" s="38"/>
    </row>
    <row r="590" customFormat="false" ht="15" hidden="false" customHeight="false" outlineLevel="0" collapsed="false">
      <c r="A590" s="34" t="n">
        <v>582</v>
      </c>
      <c r="B590" s="35" t="s">
        <v>1253</v>
      </c>
      <c r="C590" s="35" t="s">
        <v>1254</v>
      </c>
      <c r="D590" s="35" t="s">
        <v>116</v>
      </c>
      <c r="E590" s="34" t="n">
        <v>78800</v>
      </c>
      <c r="F590" s="34" t="n">
        <v>75500</v>
      </c>
      <c r="G590" s="34" t="n">
        <v>71300</v>
      </c>
      <c r="H590" s="34" t="n">
        <v>63045.96</v>
      </c>
      <c r="I590" s="36" t="n">
        <f aca="false">$E590/F590-1</f>
        <v>0.0437086092715231</v>
      </c>
      <c r="J590" s="36" t="n">
        <f aca="false">$E590/G590-1</f>
        <v>0.105189340813464</v>
      </c>
      <c r="K590" s="36" t="n">
        <f aca="false">$E590/H590-1</f>
        <v>0.249881832237942</v>
      </c>
      <c r="L590" s="37" t="n">
        <v>8.65</v>
      </c>
      <c r="M590" s="37" t="n">
        <v>2.49</v>
      </c>
      <c r="N590" s="34" t="n">
        <v>78800</v>
      </c>
      <c r="O590" s="34" t="n">
        <v>62391.18</v>
      </c>
      <c r="P590" s="38"/>
      <c r="Q590" s="38"/>
    </row>
    <row r="591" customFormat="false" ht="15" hidden="false" customHeight="false" outlineLevel="0" collapsed="false">
      <c r="A591" s="34" t="n">
        <v>583</v>
      </c>
      <c r="B591" s="35" t="s">
        <v>1255</v>
      </c>
      <c r="C591" s="35" t="s">
        <v>1256</v>
      </c>
      <c r="D591" s="35" t="s">
        <v>116</v>
      </c>
      <c r="E591" s="34" t="n">
        <v>5990</v>
      </c>
      <c r="F591" s="34" t="n">
        <v>6140</v>
      </c>
      <c r="G591" s="34" t="n">
        <v>6500</v>
      </c>
      <c r="H591" s="34" t="n">
        <v>6890</v>
      </c>
      <c r="I591" s="36" t="n">
        <f aca="false">$E591/F591-1</f>
        <v>-0.0244299674267101</v>
      </c>
      <c r="J591" s="36" t="n">
        <f aca="false">$E591/G591-1</f>
        <v>-0.0784615384615385</v>
      </c>
      <c r="K591" s="36" t="n">
        <f aca="false">$E591/H591-1</f>
        <v>-0.130624092888244</v>
      </c>
      <c r="L591" s="37" t="n">
        <v>6.33</v>
      </c>
      <c r="M591" s="37" t="n">
        <v>0.59</v>
      </c>
      <c r="N591" s="34" t="n">
        <v>12900</v>
      </c>
      <c r="O591" s="34" t="n">
        <v>5860</v>
      </c>
      <c r="P591" s="38"/>
      <c r="Q591" s="38"/>
    </row>
    <row r="592" customFormat="false" ht="15" hidden="false" customHeight="false" outlineLevel="0" collapsed="false">
      <c r="A592" s="34" t="n">
        <v>584</v>
      </c>
      <c r="B592" s="35" t="s">
        <v>1257</v>
      </c>
      <c r="C592" s="35" t="s">
        <v>1258</v>
      </c>
      <c r="D592" s="35" t="s">
        <v>111</v>
      </c>
      <c r="E592" s="34" t="n">
        <v>700</v>
      </c>
      <c r="F592" s="34" t="n">
        <v>729</v>
      </c>
      <c r="G592" s="34" t="n">
        <v>1000</v>
      </c>
      <c r="H592" s="34" t="n">
        <v>1100</v>
      </c>
      <c r="I592" s="36" t="n">
        <f aca="false">$E592/F592-1</f>
        <v>-0.0397805212620027</v>
      </c>
      <c r="J592" s="36" t="n">
        <f aca="false">$E592/G592-1</f>
        <v>-0.3</v>
      </c>
      <c r="K592" s="36" t="n">
        <f aca="false">$E592/H592-1</f>
        <v>-0.363636363636364</v>
      </c>
      <c r="L592" s="37" t="n">
        <v>14.48</v>
      </c>
      <c r="M592" s="37" t="n">
        <v>-0.3</v>
      </c>
      <c r="N592" s="34" t="n">
        <v>1200</v>
      </c>
      <c r="O592" s="34" t="n">
        <v>700</v>
      </c>
      <c r="P592" s="38"/>
      <c r="Q592" s="38"/>
    </row>
    <row r="593" customFormat="false" ht="15" hidden="false" customHeight="false" outlineLevel="0" collapsed="false">
      <c r="A593" s="34" t="n">
        <v>585</v>
      </c>
      <c r="B593" s="35" t="s">
        <v>1259</v>
      </c>
      <c r="C593" s="35" t="s">
        <v>1260</v>
      </c>
      <c r="D593" s="35" t="s">
        <v>116</v>
      </c>
      <c r="E593" s="34" t="n">
        <v>8350</v>
      </c>
      <c r="F593" s="34" t="n">
        <v>8380</v>
      </c>
      <c r="G593" s="34" t="n">
        <v>8500</v>
      </c>
      <c r="H593" s="34" t="n">
        <v>8250</v>
      </c>
      <c r="I593" s="36" t="n">
        <f aca="false">$E593/F593-1</f>
        <v>-0.00357995226730312</v>
      </c>
      <c r="J593" s="36" t="n">
        <f aca="false">$E593/G593-1</f>
        <v>-0.0176470588235295</v>
      </c>
      <c r="K593" s="36" t="n">
        <f aca="false">$E593/H593-1</f>
        <v>0.0121212121212122</v>
      </c>
      <c r="L593" s="37" t="n">
        <v>6.65</v>
      </c>
      <c r="M593" s="37" t="n">
        <v>0.71</v>
      </c>
      <c r="N593" s="34" t="n">
        <v>8630</v>
      </c>
      <c r="O593" s="34" t="n">
        <v>7600</v>
      </c>
      <c r="P593" s="38"/>
      <c r="Q593" s="38"/>
    </row>
    <row r="594" customFormat="false" ht="15" hidden="false" customHeight="false" outlineLevel="0" collapsed="false">
      <c r="A594" s="34" t="n">
        <v>586</v>
      </c>
      <c r="B594" s="35" t="s">
        <v>1261</v>
      </c>
      <c r="C594" s="35" t="s">
        <v>1262</v>
      </c>
      <c r="D594" s="35" t="s">
        <v>111</v>
      </c>
      <c r="E594" s="34" t="n">
        <v>6100</v>
      </c>
      <c r="F594" s="34" t="n">
        <v>6100</v>
      </c>
      <c r="G594" s="34" t="n">
        <v>6100</v>
      </c>
      <c r="H594" s="34" t="n">
        <v>4800</v>
      </c>
      <c r="I594" s="36" t="n">
        <f aca="false">$E594/F594-1</f>
        <v>0</v>
      </c>
      <c r="J594" s="36" t="n">
        <f aca="false">$E594/G594-1</f>
        <v>0</v>
      </c>
      <c r="K594" s="36" t="n">
        <f aca="false">$E594/H594-1</f>
        <v>0.270833333333333</v>
      </c>
      <c r="L594" s="37" t="n">
        <v>200.31</v>
      </c>
      <c r="M594" s="37" t="n">
        <v>0.62</v>
      </c>
      <c r="N594" s="34" t="n">
        <v>7420</v>
      </c>
      <c r="O594" s="34" t="n">
        <v>4000</v>
      </c>
      <c r="P594" s="38"/>
      <c r="Q594" s="38"/>
    </row>
    <row r="595" customFormat="false" ht="15" hidden="false" customHeight="false" outlineLevel="0" collapsed="false">
      <c r="A595" s="34" t="n">
        <v>587</v>
      </c>
      <c r="B595" s="35" t="s">
        <v>1263</v>
      </c>
      <c r="C595" s="35" t="s">
        <v>1264</v>
      </c>
      <c r="D595" s="35" t="s">
        <v>111</v>
      </c>
      <c r="E595" s="34" t="n">
        <v>21800</v>
      </c>
      <c r="F595" s="34" t="n">
        <v>21800</v>
      </c>
      <c r="G595" s="34" t="n">
        <v>21800</v>
      </c>
      <c r="H595" s="34" t="n">
        <v>21800</v>
      </c>
      <c r="I595" s="36" t="n">
        <f aca="false">$E595/F595-1</f>
        <v>0</v>
      </c>
      <c r="J595" s="36" t="n">
        <f aca="false">$E595/G595-1</f>
        <v>0</v>
      </c>
      <c r="K595" s="36" t="n">
        <f aca="false">$E595/H595-1</f>
        <v>0</v>
      </c>
      <c r="L595" s="37" t="n">
        <v>-207.37</v>
      </c>
      <c r="M595" s="37" t="n">
        <v>1.97</v>
      </c>
      <c r="N595" s="34" t="n">
        <v>21800</v>
      </c>
      <c r="O595" s="34" t="n">
        <v>21800</v>
      </c>
      <c r="P595" s="38"/>
      <c r="Q595" s="38"/>
    </row>
    <row r="596" customFormat="false" ht="15" hidden="false" customHeight="false" outlineLevel="0" collapsed="false">
      <c r="A596" s="34" t="n">
        <v>588</v>
      </c>
      <c r="B596" s="35" t="s">
        <v>1265</v>
      </c>
      <c r="C596" s="35" t="s">
        <v>1266</v>
      </c>
      <c r="D596" s="35" t="s">
        <v>116</v>
      </c>
      <c r="E596" s="34" t="n">
        <v>2290</v>
      </c>
      <c r="F596" s="34" t="n">
        <v>2240</v>
      </c>
      <c r="G596" s="34" t="n">
        <v>2520</v>
      </c>
      <c r="H596" s="34" t="n">
        <v>2660</v>
      </c>
      <c r="I596" s="36" t="n">
        <f aca="false">$E596/F596-1</f>
        <v>0.0223214285714286</v>
      </c>
      <c r="J596" s="36" t="n">
        <f aca="false">$E596/G596-1</f>
        <v>-0.0912698412698413</v>
      </c>
      <c r="K596" s="36" t="n">
        <f aca="false">$E596/H596-1</f>
        <v>-0.139097744360902</v>
      </c>
      <c r="L596" s="37" t="n">
        <v>1.59</v>
      </c>
      <c r="M596" s="37" t="n">
        <v>0.64</v>
      </c>
      <c r="N596" s="34" t="n">
        <v>3560</v>
      </c>
      <c r="O596" s="34" t="n">
        <v>2120</v>
      </c>
      <c r="P596" s="38"/>
      <c r="Q596" s="38"/>
    </row>
    <row r="597" customFormat="false" ht="15" hidden="false" customHeight="false" outlineLevel="0" collapsed="false">
      <c r="A597" s="34" t="n">
        <v>589</v>
      </c>
      <c r="B597" s="35" t="s">
        <v>1267</v>
      </c>
      <c r="C597" s="35" t="s">
        <v>1268</v>
      </c>
      <c r="D597" s="35" t="s">
        <v>133</v>
      </c>
      <c r="E597" s="34" t="n">
        <v>18700</v>
      </c>
      <c r="F597" s="34" t="n">
        <v>18800</v>
      </c>
      <c r="G597" s="34" t="n">
        <v>22400</v>
      </c>
      <c r="H597" s="34" t="n">
        <v>35704.3</v>
      </c>
      <c r="I597" s="36" t="n">
        <f aca="false">$E597/F597-1</f>
        <v>-0.00531914893617025</v>
      </c>
      <c r="J597" s="36" t="n">
        <f aca="false">$E597/G597-1</f>
        <v>-0.165178571428571</v>
      </c>
      <c r="K597" s="36" t="n">
        <f aca="false">$E597/H597-1</f>
        <v>-0.476253560495515</v>
      </c>
      <c r="L597" s="37" t="n">
        <v>17.02</v>
      </c>
      <c r="M597" s="37" t="n">
        <v>0.37</v>
      </c>
      <c r="N597" s="34" t="n">
        <v>44019</v>
      </c>
      <c r="O597" s="34" t="n">
        <v>18400</v>
      </c>
      <c r="P597" s="38"/>
      <c r="Q597" s="38"/>
    </row>
    <row r="598" customFormat="false" ht="15" hidden="false" customHeight="false" outlineLevel="0" collapsed="false">
      <c r="A598" s="34" t="n">
        <v>590</v>
      </c>
      <c r="B598" s="35" t="s">
        <v>1269</v>
      </c>
      <c r="C598" s="35" t="s">
        <v>1270</v>
      </c>
      <c r="D598" s="35" t="s">
        <v>111</v>
      </c>
      <c r="E598" s="34" t="n">
        <v>47008</v>
      </c>
      <c r="F598" s="34" t="n">
        <v>47110</v>
      </c>
      <c r="G598" s="34" t="n">
        <v>48980</v>
      </c>
      <c r="H598" s="34" t="n">
        <v>43931.52</v>
      </c>
      <c r="I598" s="36" t="n">
        <f aca="false">$E598/F598-1</f>
        <v>-0.00216514540437274</v>
      </c>
      <c r="J598" s="36" t="n">
        <f aca="false">$E598/G598-1</f>
        <v>-0.0402613311555737</v>
      </c>
      <c r="K598" s="36" t="n">
        <f aca="false">$E598/H598-1</f>
        <v>0.0700289905744214</v>
      </c>
      <c r="L598" s="37" t="n">
        <v>8.92</v>
      </c>
      <c r="M598" s="37" t="n">
        <v>1.62</v>
      </c>
      <c r="N598" s="34" t="n">
        <v>49447</v>
      </c>
      <c r="O598" s="34" t="n">
        <v>41202.91</v>
      </c>
      <c r="P598" s="38"/>
      <c r="Q598" s="38"/>
    </row>
    <row r="599" customFormat="false" ht="15" hidden="false" customHeight="false" outlineLevel="0" collapsed="false">
      <c r="A599" s="34" t="n">
        <v>591</v>
      </c>
      <c r="B599" s="35" t="s">
        <v>1271</v>
      </c>
      <c r="C599" s="35" t="s">
        <v>1272</v>
      </c>
      <c r="D599" s="35" t="s">
        <v>111</v>
      </c>
      <c r="E599" s="34" t="n">
        <v>24275</v>
      </c>
      <c r="F599" s="34" t="n">
        <v>23774</v>
      </c>
      <c r="G599" s="34" t="n">
        <v>24622</v>
      </c>
      <c r="H599" s="34" t="n">
        <v>31609</v>
      </c>
      <c r="I599" s="36" t="n">
        <f aca="false">$E599/F599-1</f>
        <v>0.0210734415748297</v>
      </c>
      <c r="J599" s="36" t="n">
        <f aca="false">$E599/G599-1</f>
        <v>-0.014093087482739</v>
      </c>
      <c r="K599" s="36" t="n">
        <f aca="false">$E599/H599-1</f>
        <v>-0.232022525230156</v>
      </c>
      <c r="L599" s="37" t="n">
        <v>5.24</v>
      </c>
      <c r="M599" s="37" t="n">
        <v>0.83</v>
      </c>
      <c r="N599" s="34" t="n">
        <v>35486</v>
      </c>
      <c r="O599" s="34" t="n">
        <v>23429</v>
      </c>
      <c r="P599" s="38"/>
      <c r="Q599" s="38"/>
    </row>
    <row r="600" customFormat="false" ht="15" hidden="false" customHeight="false" outlineLevel="0" collapsed="false">
      <c r="A600" s="34" t="n">
        <v>592</v>
      </c>
      <c r="B600" s="35" t="s">
        <v>1273</v>
      </c>
      <c r="C600" s="35" t="s">
        <v>1274</v>
      </c>
      <c r="D600" s="35" t="s">
        <v>111</v>
      </c>
      <c r="E600" s="34" t="n">
        <v>21700</v>
      </c>
      <c r="F600" s="34" t="n">
        <v>21100</v>
      </c>
      <c r="G600" s="34" t="n">
        <v>22577</v>
      </c>
      <c r="H600" s="34" t="n">
        <v>38453</v>
      </c>
      <c r="I600" s="36" t="n">
        <f aca="false">$E600/F600-1</f>
        <v>0.028436018957346</v>
      </c>
      <c r="J600" s="36" t="n">
        <f aca="false">$E600/G600-1</f>
        <v>-0.0388448420959383</v>
      </c>
      <c r="K600" s="36" t="n">
        <f aca="false">$E600/H600-1</f>
        <v>-0.435674719787793</v>
      </c>
      <c r="L600" s="37" t="n">
        <v>27.38</v>
      </c>
      <c r="M600" s="37" t="n">
        <v>1.86</v>
      </c>
      <c r="N600" s="34" t="n">
        <v>40698</v>
      </c>
      <c r="O600" s="34" t="n">
        <v>16483.43</v>
      </c>
      <c r="P600" s="38"/>
      <c r="Q600" s="38"/>
    </row>
    <row r="601" customFormat="false" ht="15" hidden="false" customHeight="false" outlineLevel="0" collapsed="false">
      <c r="A601" s="34" t="n">
        <v>593</v>
      </c>
      <c r="B601" s="35" t="s">
        <v>1275</v>
      </c>
      <c r="C601" s="35" t="s">
        <v>1276</v>
      </c>
      <c r="D601" s="35" t="s">
        <v>116</v>
      </c>
      <c r="E601" s="34" t="n">
        <v>16000</v>
      </c>
      <c r="F601" s="34" t="n">
        <v>14800</v>
      </c>
      <c r="G601" s="34" t="n">
        <v>16800</v>
      </c>
      <c r="H601" s="34" t="n">
        <v>24600</v>
      </c>
      <c r="I601" s="36" t="n">
        <f aca="false">$E601/F601-1</f>
        <v>0.0810810810810811</v>
      </c>
      <c r="J601" s="36" t="n">
        <f aca="false">$E601/G601-1</f>
        <v>-0.0476190476190477</v>
      </c>
      <c r="K601" s="36" t="n">
        <f aca="false">$E601/H601-1</f>
        <v>-0.349593495934959</v>
      </c>
      <c r="L601" s="37" t="n">
        <v>13.23</v>
      </c>
      <c r="M601" s="37" t="n">
        <v>1.31</v>
      </c>
      <c r="N601" s="34" t="n">
        <v>26750</v>
      </c>
      <c r="O601" s="34" t="n">
        <v>14300</v>
      </c>
      <c r="P601" s="38"/>
      <c r="Q601" s="38"/>
    </row>
    <row r="602" customFormat="false" ht="15" hidden="false" customHeight="false" outlineLevel="0" collapsed="false">
      <c r="A602" s="34" t="n">
        <v>594</v>
      </c>
      <c r="B602" s="35" t="s">
        <v>1277</v>
      </c>
      <c r="C602" s="35" t="s">
        <v>1278</v>
      </c>
      <c r="D602" s="35" t="s">
        <v>116</v>
      </c>
      <c r="E602" s="34" t="n">
        <v>10150</v>
      </c>
      <c r="F602" s="34" t="n">
        <v>10150</v>
      </c>
      <c r="G602" s="34" t="n">
        <v>10920</v>
      </c>
      <c r="H602" s="34" t="n">
        <v>11800</v>
      </c>
      <c r="I602" s="36" t="n">
        <f aca="false">$E602/F602-1</f>
        <v>0</v>
      </c>
      <c r="J602" s="36" t="n">
        <f aca="false">$E602/G602-1</f>
        <v>-0.0705128205128205</v>
      </c>
      <c r="K602" s="36" t="n">
        <f aca="false">$E602/H602-1</f>
        <v>-0.139830508474576</v>
      </c>
      <c r="L602" s="37"/>
      <c r="M602" s="37"/>
      <c r="N602" s="34"/>
      <c r="O602" s="34"/>
      <c r="P602" s="38"/>
      <c r="Q602" s="38"/>
    </row>
    <row r="603" customFormat="false" ht="15" hidden="false" customHeight="false" outlineLevel="0" collapsed="false">
      <c r="A603" s="34" t="n">
        <v>595</v>
      </c>
      <c r="B603" s="35" t="s">
        <v>1279</v>
      </c>
      <c r="C603" s="35" t="s">
        <v>1280</v>
      </c>
      <c r="D603" s="35" t="s">
        <v>116</v>
      </c>
      <c r="E603" s="34" t="n">
        <v>8450</v>
      </c>
      <c r="F603" s="34" t="n">
        <v>8420</v>
      </c>
      <c r="G603" s="34" t="n">
        <v>8980</v>
      </c>
      <c r="H603" s="34" t="n">
        <v>9610.56</v>
      </c>
      <c r="I603" s="36" t="n">
        <f aca="false">$E603/F603-1</f>
        <v>0.00356294536817092</v>
      </c>
      <c r="J603" s="36" t="n">
        <f aca="false">$E603/G603-1</f>
        <v>-0.0590200445434298</v>
      </c>
      <c r="K603" s="36" t="n">
        <f aca="false">$E603/H603-1</f>
        <v>-0.12075883195152</v>
      </c>
      <c r="L603" s="37" t="n">
        <v>9.26</v>
      </c>
      <c r="M603" s="37" t="n">
        <v>0.39</v>
      </c>
      <c r="N603" s="34" t="n">
        <v>10422.72</v>
      </c>
      <c r="O603" s="34" t="n">
        <v>8250</v>
      </c>
      <c r="P603" s="38"/>
      <c r="Q603" s="38"/>
    </row>
    <row r="604" customFormat="false" ht="15" hidden="false" customHeight="false" outlineLevel="0" collapsed="false">
      <c r="A604" s="34" t="n">
        <v>596</v>
      </c>
      <c r="B604" s="35" t="s">
        <v>1281</v>
      </c>
      <c r="C604" s="35" t="s">
        <v>1282</v>
      </c>
      <c r="D604" s="35" t="s">
        <v>111</v>
      </c>
      <c r="E604" s="34" t="n">
        <v>18900</v>
      </c>
      <c r="F604" s="34" t="n">
        <v>20000</v>
      </c>
      <c r="G604" s="34" t="n">
        <v>18900</v>
      </c>
      <c r="H604" s="34" t="n">
        <v>25048.12</v>
      </c>
      <c r="I604" s="36" t="n">
        <f aca="false">$E604/F604-1</f>
        <v>-0.0550000000000001</v>
      </c>
      <c r="J604" s="36" t="n">
        <f aca="false">$E604/G604-1</f>
        <v>0</v>
      </c>
      <c r="K604" s="36" t="n">
        <f aca="false">$E604/H604-1</f>
        <v>-0.245452353310348</v>
      </c>
      <c r="L604" s="37" t="n">
        <v>22.11</v>
      </c>
      <c r="M604" s="37" t="n">
        <v>1.65</v>
      </c>
      <c r="N604" s="34" t="n">
        <v>25429.08</v>
      </c>
      <c r="O604" s="34" t="n">
        <v>17918</v>
      </c>
      <c r="P604" s="38"/>
      <c r="Q604" s="38"/>
    </row>
    <row r="605" customFormat="false" ht="15" hidden="false" customHeight="false" outlineLevel="0" collapsed="false">
      <c r="A605" s="34" t="n">
        <v>597</v>
      </c>
      <c r="B605" s="35" t="s">
        <v>66</v>
      </c>
      <c r="C605" s="35" t="s">
        <v>1283</v>
      </c>
      <c r="D605" s="35" t="s">
        <v>116</v>
      </c>
      <c r="E605" s="34" t="n">
        <v>18000</v>
      </c>
      <c r="F605" s="34" t="n">
        <v>17800</v>
      </c>
      <c r="G605" s="34" t="n">
        <v>20200</v>
      </c>
      <c r="H605" s="34" t="n">
        <v>21300</v>
      </c>
      <c r="I605" s="36" t="n">
        <f aca="false">$E605/F605-1</f>
        <v>0.0112359550561798</v>
      </c>
      <c r="J605" s="36" t="n">
        <f aca="false">$E605/G605-1</f>
        <v>-0.108910891089109</v>
      </c>
      <c r="K605" s="36" t="n">
        <f aca="false">$E605/H605-1</f>
        <v>-0.154929577464789</v>
      </c>
      <c r="L605" s="37" t="n">
        <v>68.17</v>
      </c>
      <c r="M605" s="37" t="n">
        <v>1.27</v>
      </c>
      <c r="N605" s="34" t="n">
        <v>31100</v>
      </c>
      <c r="O605" s="34" t="n">
        <v>16500</v>
      </c>
      <c r="P605" s="38" t="n">
        <v>15.075</v>
      </c>
      <c r="Q605" s="38" t="n">
        <v>1.54</v>
      </c>
    </row>
    <row r="606" customFormat="false" ht="15" hidden="false" customHeight="false" outlineLevel="0" collapsed="false">
      <c r="A606" s="34" t="n">
        <v>598</v>
      </c>
      <c r="B606" s="35" t="s">
        <v>1284</v>
      </c>
      <c r="C606" s="35" t="s">
        <v>1285</v>
      </c>
      <c r="D606" s="35" t="s">
        <v>111</v>
      </c>
      <c r="E606" s="34" t="n">
        <v>14200</v>
      </c>
      <c r="F606" s="34" t="n">
        <v>14800</v>
      </c>
      <c r="G606" s="34" t="n">
        <v>17800</v>
      </c>
      <c r="H606" s="34"/>
      <c r="I606" s="36" t="n">
        <f aca="false">$E606/F606-1</f>
        <v>-0.0405405405405406</v>
      </c>
      <c r="J606" s="36" t="n">
        <f aca="false">$E606/G606-1</f>
        <v>-0.202247191011236</v>
      </c>
      <c r="K606" s="36" t="e">
        <f aca="false">$E606/H606-1</f>
        <v>#DIV/0!</v>
      </c>
      <c r="L606" s="37"/>
      <c r="M606" s="37"/>
      <c r="N606" s="34"/>
      <c r="O606" s="34"/>
      <c r="P606" s="38"/>
      <c r="Q606" s="38"/>
    </row>
    <row r="607" customFormat="false" ht="15" hidden="false" customHeight="false" outlineLevel="0" collapsed="false">
      <c r="A607" s="34" t="n">
        <v>599</v>
      </c>
      <c r="B607" s="35" t="s">
        <v>1286</v>
      </c>
      <c r="C607" s="35" t="s">
        <v>1287</v>
      </c>
      <c r="D607" s="35" t="s">
        <v>116</v>
      </c>
      <c r="E607" s="34" t="n">
        <v>10950</v>
      </c>
      <c r="F607" s="34" t="n">
        <v>10650</v>
      </c>
      <c r="G607" s="34" t="n">
        <v>11650</v>
      </c>
      <c r="H607" s="34" t="n">
        <v>14600</v>
      </c>
      <c r="I607" s="36" t="n">
        <f aca="false">$E607/F607-1</f>
        <v>0.028169014084507</v>
      </c>
      <c r="J607" s="36" t="n">
        <f aca="false">$E607/G607-1</f>
        <v>-0.0600858369098712</v>
      </c>
      <c r="K607" s="36" t="n">
        <f aca="false">$E607/H607-1</f>
        <v>-0.25</v>
      </c>
      <c r="L607" s="37" t="n">
        <v>21.93</v>
      </c>
      <c r="M607" s="37" t="n">
        <v>0.67</v>
      </c>
      <c r="N607" s="34" t="n">
        <v>19217.35</v>
      </c>
      <c r="O607" s="34" t="n">
        <v>10400</v>
      </c>
      <c r="P607" s="38"/>
      <c r="Q607" s="38"/>
    </row>
    <row r="608" customFormat="false" ht="15" hidden="false" customHeight="false" outlineLevel="0" collapsed="false">
      <c r="A608" s="34" t="n">
        <v>600</v>
      </c>
      <c r="B608" s="35" t="s">
        <v>1288</v>
      </c>
      <c r="C608" s="35" t="s">
        <v>1289</v>
      </c>
      <c r="D608" s="35" t="s">
        <v>116</v>
      </c>
      <c r="E608" s="34" t="n">
        <v>25100</v>
      </c>
      <c r="F608" s="34" t="n">
        <v>24200</v>
      </c>
      <c r="G608" s="34" t="n">
        <v>22000</v>
      </c>
      <c r="H608" s="34" t="n">
        <v>16300</v>
      </c>
      <c r="I608" s="36" t="n">
        <f aca="false">$E608/F608-1</f>
        <v>0.0371900826446281</v>
      </c>
      <c r="J608" s="36" t="n">
        <f aca="false">$E608/G608-1</f>
        <v>0.140909090909091</v>
      </c>
      <c r="K608" s="36" t="n">
        <f aca="false">$E608/H608-1</f>
        <v>0.539877300613497</v>
      </c>
      <c r="L608" s="37" t="n">
        <v>4.78</v>
      </c>
      <c r="M608" s="37" t="n">
        <v>1.44</v>
      </c>
      <c r="N608" s="34" t="n">
        <v>25100</v>
      </c>
      <c r="O608" s="34" t="n">
        <v>14200</v>
      </c>
      <c r="P608" s="38"/>
      <c r="Q608" s="38"/>
    </row>
    <row r="609" customFormat="false" ht="15" hidden="false" customHeight="false" outlineLevel="0" collapsed="false">
      <c r="A609" s="34" t="n">
        <v>601</v>
      </c>
      <c r="B609" s="35" t="s">
        <v>1290</v>
      </c>
      <c r="C609" s="35" t="s">
        <v>1291</v>
      </c>
      <c r="D609" s="35" t="s">
        <v>111</v>
      </c>
      <c r="E609" s="34"/>
      <c r="F609" s="34"/>
      <c r="G609" s="34"/>
      <c r="H609" s="34"/>
      <c r="I609" s="36" t="e">
        <f aca="false">$E609/F609-1</f>
        <v>#DIV/0!</v>
      </c>
      <c r="J609" s="36" t="e">
        <f aca="false">$E609/G609-1</f>
        <v>#DIV/0!</v>
      </c>
      <c r="K609" s="36" t="e">
        <f aca="false">$E609/H609-1</f>
        <v>#DIV/0!</v>
      </c>
      <c r="L609" s="37"/>
      <c r="M609" s="37"/>
      <c r="N609" s="34"/>
      <c r="O609" s="34"/>
      <c r="P609" s="38"/>
      <c r="Q609" s="38"/>
    </row>
    <row r="610" customFormat="false" ht="15" hidden="false" customHeight="false" outlineLevel="0" collapsed="false">
      <c r="A610" s="34" t="n">
        <v>602</v>
      </c>
      <c r="B610" s="35" t="s">
        <v>32</v>
      </c>
      <c r="C610" s="35" t="s">
        <v>1292</v>
      </c>
      <c r="D610" s="35" t="s">
        <v>116</v>
      </c>
      <c r="E610" s="34" t="n">
        <v>70800</v>
      </c>
      <c r="F610" s="34" t="n">
        <v>67100</v>
      </c>
      <c r="G610" s="34" t="n">
        <v>73200</v>
      </c>
      <c r="H610" s="34" t="n">
        <v>94497.12</v>
      </c>
      <c r="I610" s="36" t="n">
        <f aca="false">$E610/F610-1</f>
        <v>0.0551415797317436</v>
      </c>
      <c r="J610" s="36" t="n">
        <f aca="false">$E610/G610-1</f>
        <v>-0.0327868852459017</v>
      </c>
      <c r="K610" s="36" t="n">
        <f aca="false">$E610/H610-1</f>
        <v>-0.250770817142364</v>
      </c>
      <c r="L610" s="37" t="n">
        <v>12.07</v>
      </c>
      <c r="M610" s="37" t="n">
        <v>3.05</v>
      </c>
      <c r="N610" s="34" t="n">
        <v>104945.81</v>
      </c>
      <c r="O610" s="34" t="n">
        <v>62200</v>
      </c>
      <c r="P610" s="38" t="n">
        <v>19.91</v>
      </c>
      <c r="Q610" s="38" t="n">
        <v>4.98</v>
      </c>
    </row>
    <row r="611" customFormat="false" ht="15" hidden="false" customHeight="false" outlineLevel="0" collapsed="false">
      <c r="A611" s="34" t="n">
        <v>603</v>
      </c>
      <c r="B611" s="35" t="s">
        <v>1293</v>
      </c>
      <c r="C611" s="35" t="s">
        <v>1294</v>
      </c>
      <c r="D611" s="35" t="s">
        <v>111</v>
      </c>
      <c r="E611" s="34" t="n">
        <v>74508</v>
      </c>
      <c r="F611" s="34" t="n">
        <v>72079</v>
      </c>
      <c r="G611" s="34" t="n">
        <v>73289</v>
      </c>
      <c r="H611" s="34" t="n">
        <v>63744</v>
      </c>
      <c r="I611" s="36" t="n">
        <f aca="false">$E611/F611-1</f>
        <v>0.0336991356705836</v>
      </c>
      <c r="J611" s="36" t="n">
        <f aca="false">$E611/G611-1</f>
        <v>0.0166327825458117</v>
      </c>
      <c r="K611" s="36" t="n">
        <f aca="false">$E611/H611-1</f>
        <v>0.168862951807229</v>
      </c>
      <c r="L611" s="37" t="n">
        <v>7.97</v>
      </c>
      <c r="M611" s="37" t="n">
        <v>1.62</v>
      </c>
      <c r="N611" s="34" t="n">
        <v>75272</v>
      </c>
      <c r="O611" s="34" t="n">
        <v>61609</v>
      </c>
      <c r="P611" s="38"/>
      <c r="Q611" s="38"/>
    </row>
    <row r="612" customFormat="false" ht="15" hidden="false" customHeight="false" outlineLevel="0" collapsed="false">
      <c r="A612" s="34" t="n">
        <v>604</v>
      </c>
      <c r="B612" s="35" t="s">
        <v>1295</v>
      </c>
      <c r="C612" s="35" t="s">
        <v>1296</v>
      </c>
      <c r="D612" s="35" t="s">
        <v>111</v>
      </c>
      <c r="E612" s="34" t="n">
        <v>65772</v>
      </c>
      <c r="F612" s="34" t="n">
        <v>63932</v>
      </c>
      <c r="G612" s="34" t="n">
        <v>71267</v>
      </c>
      <c r="H612" s="34" t="n">
        <v>63942</v>
      </c>
      <c r="I612" s="36" t="n">
        <f aca="false">$E612/F612-1</f>
        <v>0.028780579365576</v>
      </c>
      <c r="J612" s="36" t="n">
        <f aca="false">$E612/G612-1</f>
        <v>-0.0771044101758177</v>
      </c>
      <c r="K612" s="36" t="n">
        <f aca="false">$E612/H612-1</f>
        <v>0.0286196865909731</v>
      </c>
      <c r="L612" s="37" t="n">
        <v>13.32</v>
      </c>
      <c r="M612" s="37" t="n">
        <v>3.8</v>
      </c>
      <c r="N612" s="34" t="n">
        <v>100838</v>
      </c>
      <c r="O612" s="34" t="n">
        <v>60163</v>
      </c>
      <c r="P612" s="38"/>
      <c r="Q612" s="38"/>
    </row>
    <row r="613" customFormat="false" ht="15" hidden="false" customHeight="false" outlineLevel="0" collapsed="false">
      <c r="A613" s="34" t="n">
        <v>605</v>
      </c>
      <c r="B613" s="35" t="s">
        <v>1297</v>
      </c>
      <c r="C613" s="35" t="s">
        <v>1298</v>
      </c>
      <c r="D613" s="35" t="s">
        <v>111</v>
      </c>
      <c r="E613" s="34" t="n">
        <v>32800</v>
      </c>
      <c r="F613" s="34" t="n">
        <v>33000</v>
      </c>
      <c r="G613" s="34" t="n">
        <v>33000</v>
      </c>
      <c r="H613" s="34" t="n">
        <v>18000</v>
      </c>
      <c r="I613" s="36" t="n">
        <f aca="false">$E613/F613-1</f>
        <v>-0.0060606060606061</v>
      </c>
      <c r="J613" s="36" t="n">
        <f aca="false">$E613/G613-1</f>
        <v>-0.0060606060606061</v>
      </c>
      <c r="K613" s="36" t="n">
        <f aca="false">$E613/H613-1</f>
        <v>0.822222222222222</v>
      </c>
      <c r="L613" s="37" t="n">
        <v>39.75</v>
      </c>
      <c r="M613" s="37" t="n">
        <v>2.6</v>
      </c>
      <c r="N613" s="34" t="n">
        <v>33153</v>
      </c>
      <c r="O613" s="34" t="n">
        <v>9800</v>
      </c>
      <c r="P613" s="38"/>
      <c r="Q613" s="38"/>
    </row>
    <row r="614" customFormat="false" ht="15" hidden="false" customHeight="false" outlineLevel="0" collapsed="false">
      <c r="A614" s="34" t="n">
        <v>606</v>
      </c>
      <c r="B614" s="35" t="s">
        <v>1299</v>
      </c>
      <c r="C614" s="35" t="s">
        <v>1300</v>
      </c>
      <c r="D614" s="35" t="s">
        <v>133</v>
      </c>
      <c r="E614" s="34" t="n">
        <v>57000</v>
      </c>
      <c r="F614" s="34" t="n">
        <v>57000</v>
      </c>
      <c r="G614" s="34" t="n">
        <v>57000</v>
      </c>
      <c r="H614" s="34" t="n">
        <v>57000</v>
      </c>
      <c r="I614" s="36" t="n">
        <f aca="false">$E614/F614-1</f>
        <v>0</v>
      </c>
      <c r="J614" s="36" t="n">
        <f aca="false">$E614/G614-1</f>
        <v>0</v>
      </c>
      <c r="K614" s="36" t="n">
        <f aca="false">$E614/H614-1</f>
        <v>0</v>
      </c>
      <c r="L614" s="37" t="n">
        <v>64.84</v>
      </c>
      <c r="M614" s="37" t="n">
        <v>3.55</v>
      </c>
      <c r="N614" s="34" t="n">
        <v>57000</v>
      </c>
      <c r="O614" s="34" t="n">
        <v>31700</v>
      </c>
      <c r="P614" s="38"/>
      <c r="Q614" s="38"/>
    </row>
    <row r="615" customFormat="false" ht="15" hidden="false" customHeight="false" outlineLevel="0" collapsed="false">
      <c r="A615" s="34" t="n">
        <v>607</v>
      </c>
      <c r="B615" s="35" t="s">
        <v>1301</v>
      </c>
      <c r="C615" s="35" t="s">
        <v>1302</v>
      </c>
      <c r="D615" s="35" t="s">
        <v>337</v>
      </c>
      <c r="E615" s="34"/>
      <c r="F615" s="34"/>
      <c r="G615" s="34" t="n">
        <v>1200</v>
      </c>
      <c r="H615" s="34" t="n">
        <v>1400</v>
      </c>
      <c r="I615" s="36" t="e">
        <f aca="false">$E615/F615-1</f>
        <v>#DIV/0!</v>
      </c>
      <c r="J615" s="36" t="n">
        <f aca="false">$E615/G615-1</f>
        <v>-1</v>
      </c>
      <c r="K615" s="36" t="n">
        <f aca="false">$E615/H615-1</f>
        <v>-1</v>
      </c>
      <c r="L615" s="37"/>
      <c r="M615" s="37"/>
      <c r="N615" s="34"/>
      <c r="O615" s="34"/>
      <c r="P615" s="38"/>
      <c r="Q615" s="38"/>
    </row>
    <row r="616" customFormat="false" ht="15" hidden="false" customHeight="false" outlineLevel="0" collapsed="false">
      <c r="A616" s="34" t="n">
        <v>608</v>
      </c>
      <c r="B616" s="35" t="s">
        <v>1303</v>
      </c>
      <c r="C616" s="35" t="s">
        <v>1304</v>
      </c>
      <c r="D616" s="35" t="s">
        <v>111</v>
      </c>
      <c r="E616" s="34" t="n">
        <v>4800</v>
      </c>
      <c r="F616" s="34" t="n">
        <v>6600</v>
      </c>
      <c r="G616" s="34" t="n">
        <v>5800</v>
      </c>
      <c r="H616" s="34" t="n">
        <v>4200</v>
      </c>
      <c r="I616" s="36" t="n">
        <f aca="false">$E616/F616-1</f>
        <v>-0.272727272727273</v>
      </c>
      <c r="J616" s="36" t="n">
        <f aca="false">$E616/G616-1</f>
        <v>-0.172413793103448</v>
      </c>
      <c r="K616" s="36" t="n">
        <f aca="false">$E616/H616-1</f>
        <v>0.142857142857143</v>
      </c>
      <c r="L616" s="37" t="n">
        <v>64.15</v>
      </c>
      <c r="M616" s="37" t="n">
        <v>0.41</v>
      </c>
      <c r="N616" s="34" t="n">
        <v>6600</v>
      </c>
      <c r="O616" s="34" t="n">
        <v>3484</v>
      </c>
      <c r="P616" s="38"/>
      <c r="Q616" s="38"/>
    </row>
    <row r="617" customFormat="false" ht="15" hidden="false" customHeight="false" outlineLevel="0" collapsed="false">
      <c r="A617" s="34" t="n">
        <v>609</v>
      </c>
      <c r="B617" s="35" t="s">
        <v>1305</v>
      </c>
      <c r="C617" s="35" t="s">
        <v>1306</v>
      </c>
      <c r="D617" s="35" t="s">
        <v>133</v>
      </c>
      <c r="E617" s="34" t="n">
        <v>8400</v>
      </c>
      <c r="F617" s="34" t="n">
        <v>9100</v>
      </c>
      <c r="G617" s="34" t="n">
        <v>9000</v>
      </c>
      <c r="H617" s="34" t="n">
        <v>8100</v>
      </c>
      <c r="I617" s="36" t="n">
        <f aca="false">$E617/F617-1</f>
        <v>-0.0769230769230769</v>
      </c>
      <c r="J617" s="36" t="n">
        <f aca="false">$E617/G617-1</f>
        <v>-0.0666666666666667</v>
      </c>
      <c r="K617" s="36" t="n">
        <f aca="false">$E617/H617-1</f>
        <v>0.037037037037037</v>
      </c>
      <c r="L617" s="37" t="n">
        <v>2.81</v>
      </c>
      <c r="M617" s="37" t="n">
        <v>0.4</v>
      </c>
      <c r="N617" s="34" t="n">
        <v>10600</v>
      </c>
      <c r="O617" s="34" t="n">
        <v>5220</v>
      </c>
      <c r="P617" s="38"/>
      <c r="Q617" s="38"/>
    </row>
    <row r="618" customFormat="false" ht="15" hidden="false" customHeight="false" outlineLevel="0" collapsed="false">
      <c r="A618" s="34" t="n">
        <v>610</v>
      </c>
      <c r="B618" s="35" t="s">
        <v>1307</v>
      </c>
      <c r="C618" s="35" t="s">
        <v>1308</v>
      </c>
      <c r="D618" s="35" t="s">
        <v>111</v>
      </c>
      <c r="E618" s="34" t="n">
        <v>1801</v>
      </c>
      <c r="F618" s="34" t="n">
        <v>1850</v>
      </c>
      <c r="G618" s="34" t="n">
        <v>1800</v>
      </c>
      <c r="H618" s="34" t="n">
        <v>2290</v>
      </c>
      <c r="I618" s="36" t="n">
        <f aca="false">$E618/F618-1</f>
        <v>-0.0264864864864864</v>
      </c>
      <c r="J618" s="36" t="n">
        <f aca="false">$E618/G618-1</f>
        <v>0.000555555555555642</v>
      </c>
      <c r="K618" s="36" t="n">
        <f aca="false">$E618/H618-1</f>
        <v>-0.21353711790393</v>
      </c>
      <c r="L618" s="37" t="n">
        <v>-0.84</v>
      </c>
      <c r="M618" s="37" t="n">
        <v>-1.26</v>
      </c>
      <c r="N618" s="34" t="n">
        <v>3699</v>
      </c>
      <c r="O618" s="34" t="n">
        <v>1357</v>
      </c>
      <c r="P618" s="38"/>
      <c r="Q618" s="38"/>
    </row>
    <row r="619" customFormat="false" ht="15" hidden="false" customHeight="false" outlineLevel="0" collapsed="false">
      <c r="A619" s="34" t="n">
        <v>611</v>
      </c>
      <c r="B619" s="35" t="s">
        <v>1309</v>
      </c>
      <c r="C619" s="35" t="s">
        <v>1310</v>
      </c>
      <c r="D619" s="35" t="s">
        <v>111</v>
      </c>
      <c r="E619" s="34"/>
      <c r="F619" s="34"/>
      <c r="G619" s="34"/>
      <c r="H619" s="34"/>
      <c r="I619" s="36" t="e">
        <f aca="false">$E619/F619-1</f>
        <v>#DIV/0!</v>
      </c>
      <c r="J619" s="36" t="e">
        <f aca="false">$E619/G619-1</f>
        <v>#DIV/0!</v>
      </c>
      <c r="K619" s="36" t="e">
        <f aca="false">$E619/H619-1</f>
        <v>#DIV/0!</v>
      </c>
      <c r="L619" s="37"/>
      <c r="M619" s="37"/>
      <c r="N619" s="34"/>
      <c r="O619" s="34"/>
      <c r="P619" s="38"/>
      <c r="Q619" s="38"/>
    </row>
    <row r="620" customFormat="false" ht="15" hidden="false" customHeight="false" outlineLevel="0" collapsed="false">
      <c r="A620" s="34" t="n">
        <v>612</v>
      </c>
      <c r="B620" s="35" t="s">
        <v>1311</v>
      </c>
      <c r="C620" s="35" t="s">
        <v>1312</v>
      </c>
      <c r="D620" s="35" t="s">
        <v>133</v>
      </c>
      <c r="E620" s="34" t="n">
        <v>13200</v>
      </c>
      <c r="F620" s="34" t="n">
        <v>13200</v>
      </c>
      <c r="G620" s="34" t="n">
        <v>13200</v>
      </c>
      <c r="H620" s="34" t="n">
        <v>13199.95</v>
      </c>
      <c r="I620" s="36" t="n">
        <f aca="false">$E620/F620-1</f>
        <v>0</v>
      </c>
      <c r="J620" s="36" t="n">
        <f aca="false">$E620/G620-1</f>
        <v>0</v>
      </c>
      <c r="K620" s="36" t="n">
        <f aca="false">$E620/H620-1</f>
        <v>3.7878931358204E-006</v>
      </c>
      <c r="L620" s="37" t="n">
        <v>14.04</v>
      </c>
      <c r="M620" s="37" t="n">
        <v>0.9</v>
      </c>
      <c r="N620" s="34" t="n">
        <v>13200</v>
      </c>
      <c r="O620" s="34" t="n">
        <v>12043.75</v>
      </c>
      <c r="P620" s="38"/>
      <c r="Q620" s="38"/>
    </row>
    <row r="621" customFormat="false" ht="15" hidden="false" customHeight="false" outlineLevel="0" collapsed="false">
      <c r="A621" s="34" t="n">
        <v>613</v>
      </c>
      <c r="B621" s="35" t="s">
        <v>1313</v>
      </c>
      <c r="C621" s="35" t="s">
        <v>1314</v>
      </c>
      <c r="D621" s="35" t="s">
        <v>111</v>
      </c>
      <c r="E621" s="34" t="n">
        <v>23000</v>
      </c>
      <c r="F621" s="34" t="n">
        <v>23000</v>
      </c>
      <c r="G621" s="34" t="n">
        <v>26900</v>
      </c>
      <c r="H621" s="34" t="n">
        <v>24080</v>
      </c>
      <c r="I621" s="36" t="n">
        <f aca="false">$E621/F621-1</f>
        <v>0</v>
      </c>
      <c r="J621" s="36" t="n">
        <f aca="false">$E621/G621-1</f>
        <v>-0.144981412639405</v>
      </c>
      <c r="K621" s="36" t="n">
        <f aca="false">$E621/H621-1</f>
        <v>-0.0448504983388705</v>
      </c>
      <c r="L621" s="37" t="n">
        <v>8.32</v>
      </c>
      <c r="M621" s="37" t="n">
        <v>0.59</v>
      </c>
      <c r="N621" s="34" t="n">
        <v>34482.56</v>
      </c>
      <c r="O621" s="34" t="n">
        <v>20227.2</v>
      </c>
      <c r="P621" s="38"/>
      <c r="Q621" s="38"/>
    </row>
    <row r="622" customFormat="false" ht="15" hidden="false" customHeight="false" outlineLevel="0" collapsed="false">
      <c r="A622" s="34" t="n">
        <v>614</v>
      </c>
      <c r="B622" s="35" t="s">
        <v>1315</v>
      </c>
      <c r="C622" s="35" t="s">
        <v>1316</v>
      </c>
      <c r="D622" s="35" t="s">
        <v>133</v>
      </c>
      <c r="E622" s="34" t="n">
        <v>15500</v>
      </c>
      <c r="F622" s="34" t="n">
        <v>16400</v>
      </c>
      <c r="G622" s="34" t="n">
        <v>16300</v>
      </c>
      <c r="H622" s="34" t="n">
        <v>13784.72</v>
      </c>
      <c r="I622" s="36" t="n">
        <f aca="false">$E622/F622-1</f>
        <v>-0.0548780487804879</v>
      </c>
      <c r="J622" s="36" t="n">
        <f aca="false">$E622/G622-1</f>
        <v>-0.049079754601227</v>
      </c>
      <c r="K622" s="36" t="n">
        <f aca="false">$E622/H622-1</f>
        <v>0.124433430639143</v>
      </c>
      <c r="L622" s="37" t="n">
        <v>6.2</v>
      </c>
      <c r="M622" s="37" t="n">
        <v>1.25</v>
      </c>
      <c r="N622" s="34" t="n">
        <v>17000</v>
      </c>
      <c r="O622" s="34" t="n">
        <v>13225.88</v>
      </c>
      <c r="P622" s="38"/>
      <c r="Q622" s="38"/>
    </row>
    <row r="623" customFormat="false" ht="15" hidden="false" customHeight="false" outlineLevel="0" collapsed="false">
      <c r="A623" s="34" t="n">
        <v>615</v>
      </c>
      <c r="B623" s="35" t="s">
        <v>1317</v>
      </c>
      <c r="C623" s="35" t="s">
        <v>1318</v>
      </c>
      <c r="D623" s="35" t="s">
        <v>133</v>
      </c>
      <c r="E623" s="34" t="n">
        <v>23700</v>
      </c>
      <c r="F623" s="34" t="n">
        <v>23700</v>
      </c>
      <c r="G623" s="34" t="n">
        <v>23700</v>
      </c>
      <c r="H623" s="34" t="n">
        <v>22000</v>
      </c>
      <c r="I623" s="36" t="n">
        <f aca="false">$E623/F623-1</f>
        <v>0</v>
      </c>
      <c r="J623" s="36" t="n">
        <f aca="false">$E623/G623-1</f>
        <v>0</v>
      </c>
      <c r="K623" s="36" t="n">
        <f aca="false">$E623/H623-1</f>
        <v>0.0772727272727274</v>
      </c>
      <c r="L623" s="37" t="n">
        <v>13.48</v>
      </c>
      <c r="M623" s="37" t="n">
        <v>1.19</v>
      </c>
      <c r="N623" s="34" t="n">
        <v>26500</v>
      </c>
      <c r="O623" s="34" t="n">
        <v>18100</v>
      </c>
      <c r="P623" s="38"/>
      <c r="Q623" s="38"/>
    </row>
    <row r="624" customFormat="false" ht="15" hidden="false" customHeight="false" outlineLevel="0" collapsed="false">
      <c r="A624" s="34" t="n">
        <v>616</v>
      </c>
      <c r="B624" s="35" t="s">
        <v>1319</v>
      </c>
      <c r="C624" s="35" t="s">
        <v>1320</v>
      </c>
      <c r="D624" s="35" t="s">
        <v>111</v>
      </c>
      <c r="E624" s="34" t="n">
        <v>3000</v>
      </c>
      <c r="F624" s="34" t="n">
        <v>4200</v>
      </c>
      <c r="G624" s="34" t="n">
        <v>4200</v>
      </c>
      <c r="H624" s="34" t="n">
        <v>4900</v>
      </c>
      <c r="I624" s="36" t="n">
        <f aca="false">$E624/F624-1</f>
        <v>-0.285714285714286</v>
      </c>
      <c r="J624" s="36" t="n">
        <f aca="false">$E624/G624-1</f>
        <v>-0.285714285714286</v>
      </c>
      <c r="K624" s="36" t="n">
        <f aca="false">$E624/H624-1</f>
        <v>-0.387755102040816</v>
      </c>
      <c r="L624" s="37" t="n">
        <v>4.26</v>
      </c>
      <c r="M624" s="37" t="n">
        <v>0.51</v>
      </c>
      <c r="N624" s="34" t="n">
        <v>10600</v>
      </c>
      <c r="O624" s="34" t="n">
        <v>3000</v>
      </c>
      <c r="P624" s="38"/>
      <c r="Q624" s="38"/>
    </row>
    <row r="625" customFormat="false" ht="15" hidden="false" customHeight="false" outlineLevel="0" collapsed="false">
      <c r="A625" s="34" t="n">
        <v>617</v>
      </c>
      <c r="B625" s="35" t="s">
        <v>1321</v>
      </c>
      <c r="C625" s="35" t="s">
        <v>1322</v>
      </c>
      <c r="D625" s="35" t="s">
        <v>111</v>
      </c>
      <c r="E625" s="34" t="n">
        <v>2900</v>
      </c>
      <c r="F625" s="34" t="n">
        <v>2600</v>
      </c>
      <c r="G625" s="34" t="n">
        <v>2600</v>
      </c>
      <c r="H625" s="34" t="n">
        <v>3500</v>
      </c>
      <c r="I625" s="36" t="n">
        <f aca="false">$E625/F625-1</f>
        <v>0.115384615384615</v>
      </c>
      <c r="J625" s="36" t="n">
        <f aca="false">$E625/G625-1</f>
        <v>0.115384615384615</v>
      </c>
      <c r="K625" s="36" t="n">
        <f aca="false">$E625/H625-1</f>
        <v>-0.171428571428571</v>
      </c>
      <c r="L625" s="37" t="n">
        <v>-2.1</v>
      </c>
      <c r="M625" s="37" t="n">
        <v>1.91</v>
      </c>
      <c r="N625" s="34" t="n">
        <v>3566</v>
      </c>
      <c r="O625" s="34" t="n">
        <v>2500</v>
      </c>
      <c r="P625" s="38"/>
      <c r="Q625" s="38"/>
    </row>
    <row r="626" customFormat="false" ht="15" hidden="false" customHeight="false" outlineLevel="0" collapsed="false">
      <c r="A626" s="34" t="n">
        <v>618</v>
      </c>
      <c r="B626" s="35" t="s">
        <v>1323</v>
      </c>
      <c r="C626" s="35" t="s">
        <v>1324</v>
      </c>
      <c r="D626" s="35" t="s">
        <v>111</v>
      </c>
      <c r="E626" s="34" t="n">
        <v>17700</v>
      </c>
      <c r="F626" s="34" t="n">
        <v>15500</v>
      </c>
      <c r="G626" s="34" t="n">
        <v>13500</v>
      </c>
      <c r="H626" s="34" t="n">
        <v>13200</v>
      </c>
      <c r="I626" s="36" t="n">
        <f aca="false">$E626/F626-1</f>
        <v>0.141935483870968</v>
      </c>
      <c r="J626" s="36" t="n">
        <f aca="false">$E626/G626-1</f>
        <v>0.311111111111111</v>
      </c>
      <c r="K626" s="36" t="n">
        <f aca="false">$E626/H626-1</f>
        <v>0.340909090909091</v>
      </c>
      <c r="L626" s="37" t="n">
        <v>-17.71</v>
      </c>
      <c r="M626" s="37" t="n">
        <v>14.84</v>
      </c>
      <c r="N626" s="34" t="n">
        <v>18400</v>
      </c>
      <c r="O626" s="34" t="n">
        <v>11600</v>
      </c>
      <c r="P626" s="38"/>
      <c r="Q626" s="38"/>
    </row>
    <row r="627" customFormat="false" ht="15" hidden="false" customHeight="false" outlineLevel="0" collapsed="false">
      <c r="A627" s="34" t="n">
        <v>619</v>
      </c>
      <c r="B627" s="35" t="s">
        <v>1325</v>
      </c>
      <c r="C627" s="35" t="s">
        <v>1326</v>
      </c>
      <c r="D627" s="35" t="s">
        <v>111</v>
      </c>
      <c r="E627" s="34" t="n">
        <v>4018</v>
      </c>
      <c r="F627" s="34" t="n">
        <v>4000</v>
      </c>
      <c r="G627" s="34" t="n">
        <v>4409</v>
      </c>
      <c r="H627" s="34" t="n">
        <v>5296</v>
      </c>
      <c r="I627" s="36" t="n">
        <f aca="false">$E627/F627-1</f>
        <v>0.00449999999999995</v>
      </c>
      <c r="J627" s="36" t="n">
        <f aca="false">$E627/G627-1</f>
        <v>-0.0886822408709458</v>
      </c>
      <c r="K627" s="36" t="n">
        <f aca="false">$E627/H627-1</f>
        <v>-0.24131419939577</v>
      </c>
      <c r="L627" s="37" t="n">
        <v>38.79</v>
      </c>
      <c r="M627" s="37" t="n">
        <v>0.5</v>
      </c>
      <c r="N627" s="34" t="n">
        <v>5728</v>
      </c>
      <c r="O627" s="34" t="n">
        <v>3842</v>
      </c>
      <c r="P627" s="38"/>
      <c r="Q627" s="38"/>
    </row>
    <row r="628" customFormat="false" ht="15" hidden="false" customHeight="false" outlineLevel="0" collapsed="false">
      <c r="A628" s="34" t="n">
        <v>620</v>
      </c>
      <c r="B628" s="35" t="s">
        <v>1327</v>
      </c>
      <c r="C628" s="35" t="s">
        <v>1328</v>
      </c>
      <c r="D628" s="35" t="s">
        <v>111</v>
      </c>
      <c r="E628" s="34" t="n">
        <v>4400</v>
      </c>
      <c r="F628" s="34" t="n">
        <v>4330</v>
      </c>
      <c r="G628" s="34" t="n">
        <v>4400</v>
      </c>
      <c r="H628" s="34" t="n">
        <v>5400</v>
      </c>
      <c r="I628" s="36" t="n">
        <f aca="false">$E628/F628-1</f>
        <v>0.0161662817551964</v>
      </c>
      <c r="J628" s="36" t="n">
        <f aca="false">$E628/G628-1</f>
        <v>0</v>
      </c>
      <c r="K628" s="36" t="n">
        <f aca="false">$E628/H628-1</f>
        <v>-0.185185185185185</v>
      </c>
      <c r="L628" s="37" t="n">
        <v>-4.02</v>
      </c>
      <c r="M628" s="37" t="n">
        <v>0.46</v>
      </c>
      <c r="N628" s="34" t="n">
        <v>5900</v>
      </c>
      <c r="O628" s="34" t="n">
        <v>3998</v>
      </c>
      <c r="P628" s="38"/>
      <c r="Q628" s="38"/>
    </row>
    <row r="629" customFormat="false" ht="15" hidden="false" customHeight="false" outlineLevel="0" collapsed="false">
      <c r="A629" s="34" t="n">
        <v>621</v>
      </c>
      <c r="B629" s="35" t="s">
        <v>1329</v>
      </c>
      <c r="C629" s="35" t="s">
        <v>1330</v>
      </c>
      <c r="D629" s="35" t="s">
        <v>116</v>
      </c>
      <c r="E629" s="34" t="n">
        <v>12800</v>
      </c>
      <c r="F629" s="34" t="n">
        <v>12600</v>
      </c>
      <c r="G629" s="34" t="n">
        <v>12400</v>
      </c>
      <c r="H629" s="34" t="n">
        <v>12279.85</v>
      </c>
      <c r="I629" s="36" t="n">
        <f aca="false">$E629/F629-1</f>
        <v>0.0158730158730158</v>
      </c>
      <c r="J629" s="36" t="n">
        <f aca="false">$E629/G629-1</f>
        <v>0.032258064516129</v>
      </c>
      <c r="K629" s="36" t="n">
        <f aca="false">$E629/H629-1</f>
        <v>0.0423580092590707</v>
      </c>
      <c r="L629" s="37" t="n">
        <v>5.1</v>
      </c>
      <c r="M629" s="37" t="n">
        <v>0.9</v>
      </c>
      <c r="N629" s="34" t="n">
        <v>16342.7</v>
      </c>
      <c r="O629" s="34" t="n">
        <v>11800</v>
      </c>
      <c r="P629" s="38"/>
      <c r="Q629" s="38"/>
    </row>
    <row r="630" customFormat="false" ht="15" hidden="false" customHeight="false" outlineLevel="0" collapsed="false">
      <c r="A630" s="34" t="n">
        <v>622</v>
      </c>
      <c r="B630" s="35" t="s">
        <v>1331</v>
      </c>
      <c r="C630" s="35" t="s">
        <v>1332</v>
      </c>
      <c r="D630" s="35" t="s">
        <v>133</v>
      </c>
      <c r="E630" s="34" t="n">
        <v>1800</v>
      </c>
      <c r="F630" s="34" t="n">
        <v>1800</v>
      </c>
      <c r="G630" s="34" t="n">
        <v>2000</v>
      </c>
      <c r="H630" s="34" t="n">
        <v>2700</v>
      </c>
      <c r="I630" s="36" t="n">
        <f aca="false">$E630/F630-1</f>
        <v>0</v>
      </c>
      <c r="J630" s="36" t="n">
        <f aca="false">$E630/G630-1</f>
        <v>-0.1</v>
      </c>
      <c r="K630" s="36" t="n">
        <f aca="false">$E630/H630-1</f>
        <v>-0.333333333333333</v>
      </c>
      <c r="L630" s="37" t="n">
        <v>37.14</v>
      </c>
      <c r="M630" s="37" t="n">
        <v>0.29</v>
      </c>
      <c r="N630" s="34" t="n">
        <v>3200</v>
      </c>
      <c r="O630" s="34" t="n">
        <v>1800</v>
      </c>
      <c r="P630" s="38"/>
      <c r="Q630" s="38"/>
    </row>
    <row r="631" customFormat="false" ht="15" hidden="false" customHeight="false" outlineLevel="0" collapsed="false">
      <c r="A631" s="34" t="n">
        <v>623</v>
      </c>
      <c r="B631" s="35" t="s">
        <v>1333</v>
      </c>
      <c r="C631" s="35" t="s">
        <v>1334</v>
      </c>
      <c r="D631" s="35" t="s">
        <v>111</v>
      </c>
      <c r="E631" s="34" t="n">
        <v>12800</v>
      </c>
      <c r="F631" s="34" t="n">
        <v>11300</v>
      </c>
      <c r="G631" s="34" t="n">
        <v>11800</v>
      </c>
      <c r="H631" s="34" t="n">
        <v>9800</v>
      </c>
      <c r="I631" s="36" t="n">
        <f aca="false">$E631/F631-1</f>
        <v>0.132743362831858</v>
      </c>
      <c r="J631" s="36" t="n">
        <f aca="false">$E631/G631-1</f>
        <v>0.0847457627118644</v>
      </c>
      <c r="K631" s="36" t="n">
        <f aca="false">$E631/H631-1</f>
        <v>0.306122448979592</v>
      </c>
      <c r="L631" s="37" t="n">
        <v>-2.15</v>
      </c>
      <c r="M631" s="37" t="n">
        <v>-0.62</v>
      </c>
      <c r="N631" s="34" t="n">
        <v>19700</v>
      </c>
      <c r="O631" s="34" t="n">
        <v>9787</v>
      </c>
      <c r="P631" s="38"/>
      <c r="Q631" s="38"/>
    </row>
    <row r="632" customFormat="false" ht="15" hidden="false" customHeight="false" outlineLevel="0" collapsed="false">
      <c r="A632" s="34" t="n">
        <v>624</v>
      </c>
      <c r="B632" s="35" t="s">
        <v>1335</v>
      </c>
      <c r="C632" s="35" t="s">
        <v>1336</v>
      </c>
      <c r="D632" s="35" t="s">
        <v>111</v>
      </c>
      <c r="E632" s="34" t="n">
        <v>12500</v>
      </c>
      <c r="F632" s="34" t="n">
        <v>12500</v>
      </c>
      <c r="G632" s="34" t="n">
        <v>11700</v>
      </c>
      <c r="H632" s="34" t="n">
        <v>11988.6</v>
      </c>
      <c r="I632" s="36" t="n">
        <f aca="false">$E632/F632-1</f>
        <v>0</v>
      </c>
      <c r="J632" s="36" t="n">
        <f aca="false">$E632/G632-1</f>
        <v>0.0683760683760684</v>
      </c>
      <c r="K632" s="36" t="n">
        <f aca="false">$E632/H632-1</f>
        <v>0.0426571909981148</v>
      </c>
      <c r="L632" s="37" t="n">
        <v>4.53</v>
      </c>
      <c r="M632" s="37" t="n">
        <v>0.51</v>
      </c>
      <c r="N632" s="34" t="n">
        <v>19089.54</v>
      </c>
      <c r="O632" s="34" t="n">
        <v>11619.72</v>
      </c>
      <c r="P632" s="38"/>
      <c r="Q632" s="38"/>
    </row>
    <row r="633" customFormat="false" ht="15" hidden="false" customHeight="false" outlineLevel="0" collapsed="false">
      <c r="A633" s="34" t="n">
        <v>625</v>
      </c>
      <c r="B633" s="35" t="s">
        <v>1337</v>
      </c>
      <c r="C633" s="35" t="s">
        <v>1338</v>
      </c>
      <c r="D633" s="35" t="s">
        <v>337</v>
      </c>
      <c r="E633" s="34"/>
      <c r="F633" s="34"/>
      <c r="G633" s="34"/>
      <c r="H633" s="34" t="n">
        <v>20100</v>
      </c>
      <c r="I633" s="36" t="e">
        <f aca="false">$E633/F633-1</f>
        <v>#DIV/0!</v>
      </c>
      <c r="J633" s="36" t="e">
        <f aca="false">$E633/G633-1</f>
        <v>#DIV/0!</v>
      </c>
      <c r="K633" s="36" t="n">
        <f aca="false">$E633/H633-1</f>
        <v>-1</v>
      </c>
      <c r="L633" s="37"/>
      <c r="M633" s="37"/>
      <c r="N633" s="34"/>
      <c r="O633" s="34"/>
      <c r="P633" s="38"/>
      <c r="Q633" s="38"/>
    </row>
    <row r="634" customFormat="false" ht="15" hidden="false" customHeight="false" outlineLevel="0" collapsed="false">
      <c r="A634" s="34" t="n">
        <v>626</v>
      </c>
      <c r="B634" s="35" t="s">
        <v>1339</v>
      </c>
      <c r="C634" s="35" t="s">
        <v>1340</v>
      </c>
      <c r="D634" s="35" t="s">
        <v>111</v>
      </c>
      <c r="E634" s="34" t="n">
        <v>16600</v>
      </c>
      <c r="F634" s="34" t="n">
        <v>16600</v>
      </c>
      <c r="G634" s="34" t="n">
        <v>16600</v>
      </c>
      <c r="H634" s="34" t="n">
        <v>19500</v>
      </c>
      <c r="I634" s="36" t="n">
        <f aca="false">$E634/F634-1</f>
        <v>0</v>
      </c>
      <c r="J634" s="36" t="n">
        <f aca="false">$E634/G634-1</f>
        <v>0</v>
      </c>
      <c r="K634" s="36" t="n">
        <f aca="false">$E634/H634-1</f>
        <v>-0.148717948717949</v>
      </c>
      <c r="L634" s="37" t="n">
        <v>159.05</v>
      </c>
      <c r="M634" s="37" t="n">
        <v>1.15</v>
      </c>
      <c r="N634" s="34" t="n">
        <v>19500</v>
      </c>
      <c r="O634" s="34" t="n">
        <v>13000</v>
      </c>
      <c r="P634" s="38"/>
      <c r="Q634" s="38"/>
    </row>
    <row r="635" customFormat="false" ht="15" hidden="false" customHeight="false" outlineLevel="0" collapsed="false">
      <c r="A635" s="34" t="n">
        <v>627</v>
      </c>
      <c r="B635" s="35" t="s">
        <v>1341</v>
      </c>
      <c r="C635" s="35" t="s">
        <v>1342</v>
      </c>
      <c r="D635" s="35" t="s">
        <v>111</v>
      </c>
      <c r="E635" s="34" t="n">
        <v>108800</v>
      </c>
      <c r="F635" s="34" t="n">
        <v>128000</v>
      </c>
      <c r="G635" s="34" t="n">
        <v>177000</v>
      </c>
      <c r="H635" s="34" t="n">
        <v>86175</v>
      </c>
      <c r="I635" s="36" t="n">
        <f aca="false">$E635/F635-1</f>
        <v>-0.15</v>
      </c>
      <c r="J635" s="36" t="n">
        <f aca="false">$E635/G635-1</f>
        <v>-0.385310734463277</v>
      </c>
      <c r="K635" s="36" t="n">
        <f aca="false">$E635/H635-1</f>
        <v>0.262547142442704</v>
      </c>
      <c r="L635" s="37" t="n">
        <v>-26.12</v>
      </c>
      <c r="M635" s="37" t="n">
        <v>-81.44</v>
      </c>
      <c r="N635" s="34" t="n">
        <v>207000</v>
      </c>
      <c r="O635" s="34" t="n">
        <v>11800</v>
      </c>
      <c r="P635" s="38"/>
      <c r="Q635" s="38"/>
    </row>
    <row r="636" customFormat="false" ht="15" hidden="false" customHeight="false" outlineLevel="0" collapsed="false">
      <c r="A636" s="34" t="n">
        <v>628</v>
      </c>
      <c r="B636" s="35" t="s">
        <v>1343</v>
      </c>
      <c r="C636" s="35" t="s">
        <v>1344</v>
      </c>
      <c r="D636" s="35" t="s">
        <v>111</v>
      </c>
      <c r="E636" s="34" t="n">
        <v>64200</v>
      </c>
      <c r="F636" s="34" t="n">
        <v>82900</v>
      </c>
      <c r="G636" s="34" t="n">
        <v>79929</v>
      </c>
      <c r="H636" s="34" t="n">
        <v>78591.89</v>
      </c>
      <c r="I636" s="36" t="n">
        <f aca="false">$E636/F636-1</f>
        <v>-0.225572979493366</v>
      </c>
      <c r="J636" s="36" t="n">
        <f aca="false">$E636/G636-1</f>
        <v>-0.196787148594378</v>
      </c>
      <c r="K636" s="36" t="n">
        <f aca="false">$E636/H636-1</f>
        <v>-0.183121820839275</v>
      </c>
      <c r="L636" s="37" t="n">
        <v>3.77</v>
      </c>
      <c r="M636" s="37" t="n">
        <v>0.98</v>
      </c>
      <c r="N636" s="34" t="n">
        <v>98611.2</v>
      </c>
      <c r="O636" s="34" t="n">
        <v>56239.2</v>
      </c>
      <c r="P636" s="38"/>
      <c r="Q636" s="38"/>
    </row>
    <row r="637" customFormat="false" ht="15" hidden="false" customHeight="false" outlineLevel="0" collapsed="false">
      <c r="A637" s="34" t="n">
        <v>629</v>
      </c>
      <c r="B637" s="35" t="s">
        <v>1345</v>
      </c>
      <c r="C637" s="35" t="s">
        <v>1346</v>
      </c>
      <c r="D637" s="35" t="s">
        <v>116</v>
      </c>
      <c r="E637" s="34" t="n">
        <v>26500</v>
      </c>
      <c r="F637" s="34" t="n">
        <v>26400</v>
      </c>
      <c r="G637" s="34" t="n">
        <v>28700</v>
      </c>
      <c r="H637" s="34" t="n">
        <v>25433.02</v>
      </c>
      <c r="I637" s="36" t="n">
        <f aca="false">$E637/F637-1</f>
        <v>0.0037878787878789</v>
      </c>
      <c r="J637" s="36" t="n">
        <f aca="false">$E637/G637-1</f>
        <v>-0.0766550522648084</v>
      </c>
      <c r="K637" s="36" t="n">
        <f aca="false">$E637/H637-1</f>
        <v>0.0419525483013814</v>
      </c>
      <c r="L637" s="37" t="n">
        <v>11.18</v>
      </c>
      <c r="M637" s="37" t="n">
        <v>1.26</v>
      </c>
      <c r="N637" s="34" t="n">
        <v>29400</v>
      </c>
      <c r="O637" s="34" t="n">
        <v>23743.92</v>
      </c>
      <c r="P637" s="38"/>
      <c r="Q637" s="38"/>
    </row>
    <row r="638" customFormat="false" ht="15" hidden="false" customHeight="false" outlineLevel="0" collapsed="false">
      <c r="A638" s="34" t="n">
        <v>630</v>
      </c>
      <c r="B638" s="35" t="s">
        <v>1347</v>
      </c>
      <c r="C638" s="35" t="s">
        <v>1348</v>
      </c>
      <c r="D638" s="35" t="s">
        <v>116</v>
      </c>
      <c r="E638" s="34" t="n">
        <v>20300</v>
      </c>
      <c r="F638" s="34" t="n">
        <v>22000</v>
      </c>
      <c r="G638" s="34" t="n">
        <v>29300</v>
      </c>
      <c r="H638" s="34" t="n">
        <v>29919.36</v>
      </c>
      <c r="I638" s="36" t="n">
        <f aca="false">$E638/F638-1</f>
        <v>-0.0772727272727273</v>
      </c>
      <c r="J638" s="36" t="n">
        <f aca="false">$E638/G638-1</f>
        <v>-0.307167235494881</v>
      </c>
      <c r="K638" s="36" t="n">
        <f aca="false">$E638/H638-1</f>
        <v>-0.321509551006439</v>
      </c>
      <c r="L638" s="37" t="n">
        <v>292.57</v>
      </c>
      <c r="M638" s="37" t="n">
        <v>0.76</v>
      </c>
      <c r="N638" s="34" t="n">
        <v>33834.5</v>
      </c>
      <c r="O638" s="34" t="n">
        <v>20300</v>
      </c>
      <c r="P638" s="38"/>
      <c r="Q638" s="38"/>
    </row>
    <row r="639" customFormat="false" ht="15" hidden="false" customHeight="false" outlineLevel="0" collapsed="false">
      <c r="A639" s="34" t="n">
        <v>631</v>
      </c>
      <c r="B639" s="35" t="s">
        <v>1349</v>
      </c>
      <c r="C639" s="35" t="s">
        <v>1350</v>
      </c>
      <c r="D639" s="35" t="s">
        <v>133</v>
      </c>
      <c r="E639" s="34" t="n">
        <v>1200</v>
      </c>
      <c r="F639" s="34" t="n">
        <v>1300</v>
      </c>
      <c r="G639" s="34" t="n">
        <v>1400</v>
      </c>
      <c r="H639" s="34" t="n">
        <v>1700</v>
      </c>
      <c r="I639" s="36" t="n">
        <f aca="false">$E639/F639-1</f>
        <v>-0.0769230769230769</v>
      </c>
      <c r="J639" s="36" t="n">
        <f aca="false">$E639/G639-1</f>
        <v>-0.142857142857143</v>
      </c>
      <c r="K639" s="36" t="n">
        <f aca="false">$E639/H639-1</f>
        <v>-0.294117647058824</v>
      </c>
      <c r="L639" s="37" t="n">
        <v>-0.91</v>
      </c>
      <c r="M639" s="37" t="n">
        <v>0.13</v>
      </c>
      <c r="N639" s="34" t="n">
        <v>6600</v>
      </c>
      <c r="O639" s="34" t="n">
        <v>1200</v>
      </c>
      <c r="P639" s="38"/>
      <c r="Q639" s="38"/>
    </row>
    <row r="640" customFormat="false" ht="15" hidden="false" customHeight="false" outlineLevel="0" collapsed="false">
      <c r="A640" s="34" t="n">
        <v>632</v>
      </c>
      <c r="B640" s="35" t="s">
        <v>1351</v>
      </c>
      <c r="C640" s="35" t="s">
        <v>1352</v>
      </c>
      <c r="D640" s="35" t="s">
        <v>111</v>
      </c>
      <c r="E640" s="34"/>
      <c r="F640" s="34"/>
      <c r="G640" s="34"/>
      <c r="H640" s="34"/>
      <c r="I640" s="36" t="e">
        <f aca="false">$E640/F640-1</f>
        <v>#DIV/0!</v>
      </c>
      <c r="J640" s="36" t="e">
        <f aca="false">$E640/G640-1</f>
        <v>#DIV/0!</v>
      </c>
      <c r="K640" s="36" t="e">
        <f aca="false">$E640/H640-1</f>
        <v>#DIV/0!</v>
      </c>
      <c r="L640" s="37"/>
      <c r="M640" s="37"/>
      <c r="N640" s="34"/>
      <c r="O640" s="34"/>
      <c r="P640" s="38"/>
      <c r="Q640" s="38"/>
    </row>
    <row r="641" customFormat="false" ht="15" hidden="false" customHeight="false" outlineLevel="0" collapsed="false">
      <c r="A641" s="34" t="n">
        <v>633</v>
      </c>
      <c r="B641" s="35" t="s">
        <v>1353</v>
      </c>
      <c r="C641" s="35" t="s">
        <v>1354</v>
      </c>
      <c r="D641" s="35" t="s">
        <v>116</v>
      </c>
      <c r="E641" s="34" t="n">
        <v>31350</v>
      </c>
      <c r="F641" s="34" t="n">
        <v>31950</v>
      </c>
      <c r="G641" s="34" t="n">
        <v>32600</v>
      </c>
      <c r="H641" s="34" t="n">
        <v>35550</v>
      </c>
      <c r="I641" s="36" t="n">
        <f aca="false">$E641/F641-1</f>
        <v>-0.0187793427230047</v>
      </c>
      <c r="J641" s="36" t="n">
        <f aca="false">$E641/G641-1</f>
        <v>-0.0383435582822086</v>
      </c>
      <c r="K641" s="36" t="n">
        <f aca="false">$E641/H641-1</f>
        <v>-0.118143459915612</v>
      </c>
      <c r="L641" s="37" t="n">
        <v>9</v>
      </c>
      <c r="M641" s="37" t="n">
        <v>1.04</v>
      </c>
      <c r="N641" s="34" t="n">
        <v>37500</v>
      </c>
      <c r="O641" s="34" t="n">
        <v>30400</v>
      </c>
      <c r="P641" s="38"/>
      <c r="Q641" s="38"/>
    </row>
    <row r="642" customFormat="false" ht="15" hidden="false" customHeight="false" outlineLevel="0" collapsed="false">
      <c r="A642" s="34" t="n">
        <v>634</v>
      </c>
      <c r="B642" s="35" t="s">
        <v>1355</v>
      </c>
      <c r="C642" s="35" t="s">
        <v>1356</v>
      </c>
      <c r="D642" s="35" t="s">
        <v>116</v>
      </c>
      <c r="E642" s="34" t="n">
        <v>16000</v>
      </c>
      <c r="F642" s="34" t="n">
        <v>15750</v>
      </c>
      <c r="G642" s="34" t="n">
        <v>16550</v>
      </c>
      <c r="H642" s="34" t="n">
        <v>18169</v>
      </c>
      <c r="I642" s="36" t="n">
        <f aca="false">$E642/F642-1</f>
        <v>0.0158730158730158</v>
      </c>
      <c r="J642" s="36" t="n">
        <f aca="false">$E642/G642-1</f>
        <v>-0.0332326283987915</v>
      </c>
      <c r="K642" s="36" t="n">
        <f aca="false">$E642/H642-1</f>
        <v>-0.119379162309428</v>
      </c>
      <c r="L642" s="37" t="n">
        <v>5.63</v>
      </c>
      <c r="M642" s="37" t="n">
        <v>1.21</v>
      </c>
      <c r="N642" s="34" t="n">
        <v>18428.56</v>
      </c>
      <c r="O642" s="34" t="n">
        <v>15450</v>
      </c>
      <c r="P642" s="38"/>
      <c r="Q642" s="38"/>
    </row>
    <row r="643" customFormat="false" ht="15" hidden="false" customHeight="false" outlineLevel="0" collapsed="false">
      <c r="A643" s="34" t="n">
        <v>635</v>
      </c>
      <c r="B643" s="35" t="s">
        <v>1357</v>
      </c>
      <c r="C643" s="35" t="s">
        <v>1358</v>
      </c>
      <c r="D643" s="35" t="s">
        <v>111</v>
      </c>
      <c r="E643" s="34" t="n">
        <v>5000</v>
      </c>
      <c r="F643" s="34" t="n">
        <v>5500</v>
      </c>
      <c r="G643" s="34" t="n">
        <v>4900</v>
      </c>
      <c r="H643" s="34" t="n">
        <v>5615</v>
      </c>
      <c r="I643" s="36" t="n">
        <f aca="false">$E643/F643-1</f>
        <v>-0.0909090909090909</v>
      </c>
      <c r="J643" s="36" t="n">
        <f aca="false">$E643/G643-1</f>
        <v>0.0204081632653061</v>
      </c>
      <c r="K643" s="36" t="n">
        <f aca="false">$E643/H643-1</f>
        <v>-0.109528049866429</v>
      </c>
      <c r="L643" s="37" t="n">
        <v>21.05</v>
      </c>
      <c r="M643" s="37" t="n">
        <v>0.42</v>
      </c>
      <c r="N643" s="34" t="n">
        <v>6630</v>
      </c>
      <c r="O643" s="34" t="n">
        <v>4182</v>
      </c>
      <c r="P643" s="38"/>
      <c r="Q643" s="38"/>
    </row>
    <row r="644" customFormat="false" ht="15" hidden="false" customHeight="false" outlineLevel="0" collapsed="false">
      <c r="A644" s="34" t="n">
        <v>636</v>
      </c>
      <c r="B644" s="35" t="s">
        <v>1359</v>
      </c>
      <c r="C644" s="35" t="s">
        <v>1360</v>
      </c>
      <c r="D644" s="35" t="s">
        <v>111</v>
      </c>
      <c r="E644" s="34" t="n">
        <v>24000</v>
      </c>
      <c r="F644" s="34" t="n">
        <v>24000</v>
      </c>
      <c r="G644" s="34" t="n">
        <v>24000</v>
      </c>
      <c r="H644" s="34" t="n">
        <v>23500</v>
      </c>
      <c r="I644" s="36" t="n">
        <f aca="false">$E644/F644-1</f>
        <v>0</v>
      </c>
      <c r="J644" s="36" t="n">
        <f aca="false">$E644/G644-1</f>
        <v>0</v>
      </c>
      <c r="K644" s="36" t="n">
        <f aca="false">$E644/H644-1</f>
        <v>0.0212765957446808</v>
      </c>
      <c r="L644" s="37" t="n">
        <v>33.5</v>
      </c>
      <c r="M644" s="37" t="n">
        <v>0.9</v>
      </c>
      <c r="N644" s="34" t="n">
        <v>45000</v>
      </c>
      <c r="O644" s="34" t="n">
        <v>23238</v>
      </c>
      <c r="P644" s="38"/>
      <c r="Q644" s="38"/>
    </row>
    <row r="645" customFormat="false" ht="15" hidden="false" customHeight="false" outlineLevel="0" collapsed="false">
      <c r="A645" s="34" t="n">
        <v>637</v>
      </c>
      <c r="B645" s="35" t="s">
        <v>1361</v>
      </c>
      <c r="C645" s="35" t="s">
        <v>1362</v>
      </c>
      <c r="D645" s="35" t="s">
        <v>116</v>
      </c>
      <c r="E645" s="34" t="n">
        <v>8200</v>
      </c>
      <c r="F645" s="34" t="n">
        <v>7730</v>
      </c>
      <c r="G645" s="34" t="n">
        <v>8770</v>
      </c>
      <c r="H645" s="34" t="n">
        <v>9590</v>
      </c>
      <c r="I645" s="36" t="n">
        <f aca="false">$E645/F645-1</f>
        <v>0.0608020698576972</v>
      </c>
      <c r="J645" s="36" t="n">
        <f aca="false">$E645/G645-1</f>
        <v>-0.064994298745724</v>
      </c>
      <c r="K645" s="36" t="n">
        <f aca="false">$E645/H645-1</f>
        <v>-0.144942648592284</v>
      </c>
      <c r="L645" s="37" t="n">
        <v>10.02</v>
      </c>
      <c r="M645" s="37" t="n">
        <v>0.49</v>
      </c>
      <c r="N645" s="34" t="n">
        <v>10500</v>
      </c>
      <c r="O645" s="34" t="n">
        <v>7210</v>
      </c>
      <c r="P645" s="38"/>
      <c r="Q645" s="38"/>
    </row>
    <row r="646" customFormat="false" ht="15" hidden="false" customHeight="false" outlineLevel="0" collapsed="false">
      <c r="A646" s="34" t="n">
        <v>638</v>
      </c>
      <c r="B646" s="35" t="s">
        <v>1363</v>
      </c>
      <c r="C646" s="35" t="s">
        <v>1364</v>
      </c>
      <c r="D646" s="35" t="s">
        <v>116</v>
      </c>
      <c r="E646" s="34" t="n">
        <v>1810</v>
      </c>
      <c r="F646" s="34" t="n">
        <v>1810</v>
      </c>
      <c r="G646" s="34" t="n">
        <v>2060</v>
      </c>
      <c r="H646" s="34" t="n">
        <v>3100</v>
      </c>
      <c r="I646" s="36" t="n">
        <f aca="false">$E646/F646-1</f>
        <v>0</v>
      </c>
      <c r="J646" s="36" t="n">
        <f aca="false">$E646/G646-1</f>
        <v>-0.121359223300971</v>
      </c>
      <c r="K646" s="36" t="n">
        <f aca="false">$E646/H646-1</f>
        <v>-0.416129032258065</v>
      </c>
      <c r="L646" s="37" t="n">
        <v>-2.81</v>
      </c>
      <c r="M646" s="37" t="n">
        <v>-7.38</v>
      </c>
      <c r="N646" s="34" t="n">
        <v>4060</v>
      </c>
      <c r="O646" s="34" t="n">
        <v>1800</v>
      </c>
      <c r="P646" s="38"/>
      <c r="Q646" s="38"/>
    </row>
    <row r="647" customFormat="false" ht="15" hidden="false" customHeight="false" outlineLevel="0" collapsed="false">
      <c r="A647" s="34" t="n">
        <v>639</v>
      </c>
      <c r="B647" s="35" t="s">
        <v>1365</v>
      </c>
      <c r="C647" s="35" t="s">
        <v>1366</v>
      </c>
      <c r="D647" s="35" t="s">
        <v>116</v>
      </c>
      <c r="E647" s="34" t="n">
        <v>2200</v>
      </c>
      <c r="F647" s="34" t="n">
        <v>2300</v>
      </c>
      <c r="G647" s="34" t="n">
        <v>2290</v>
      </c>
      <c r="H647" s="34" t="n">
        <v>2830</v>
      </c>
      <c r="I647" s="36" t="n">
        <f aca="false">$E647/F647-1</f>
        <v>-0.0434782608695652</v>
      </c>
      <c r="J647" s="36" t="n">
        <f aca="false">$E647/G647-1</f>
        <v>-0.0393013100436681</v>
      </c>
      <c r="K647" s="36" t="n">
        <f aca="false">$E647/H647-1</f>
        <v>-0.222614840989399</v>
      </c>
      <c r="L647" s="37" t="n">
        <v>5.53</v>
      </c>
      <c r="M647" s="37" t="n">
        <v>0.3</v>
      </c>
      <c r="N647" s="34" t="n">
        <v>3560</v>
      </c>
      <c r="O647" s="34" t="n">
        <v>2100</v>
      </c>
      <c r="P647" s="38"/>
      <c r="Q647" s="38"/>
    </row>
    <row r="648" customFormat="false" ht="15" hidden="false" customHeight="false" outlineLevel="0" collapsed="false">
      <c r="A648" s="34" t="n">
        <v>640</v>
      </c>
      <c r="B648" s="35" t="s">
        <v>1367</v>
      </c>
      <c r="C648" s="35" t="s">
        <v>1368</v>
      </c>
      <c r="D648" s="35" t="s">
        <v>111</v>
      </c>
      <c r="E648" s="34" t="n">
        <v>9900</v>
      </c>
      <c r="F648" s="34" t="n">
        <v>9900</v>
      </c>
      <c r="G648" s="34" t="n">
        <v>9900</v>
      </c>
      <c r="H648" s="34" t="n">
        <v>11000</v>
      </c>
      <c r="I648" s="36" t="n">
        <f aca="false">$E648/F648-1</f>
        <v>0</v>
      </c>
      <c r="J648" s="36" t="n">
        <f aca="false">$E648/G648-1</f>
        <v>0</v>
      </c>
      <c r="K648" s="36" t="n">
        <f aca="false">$E648/H648-1</f>
        <v>-0.1</v>
      </c>
      <c r="L648" s="37" t="n">
        <v>-1.02</v>
      </c>
      <c r="M648" s="37" t="n">
        <v>-0.19</v>
      </c>
      <c r="N648" s="34" t="n">
        <v>11914</v>
      </c>
      <c r="O648" s="34" t="n">
        <v>9400</v>
      </c>
      <c r="P648" s="38"/>
      <c r="Q648" s="38"/>
    </row>
    <row r="649" customFormat="false" ht="15" hidden="false" customHeight="false" outlineLevel="0" collapsed="false">
      <c r="A649" s="34" t="n">
        <v>641</v>
      </c>
      <c r="B649" s="35" t="s">
        <v>1369</v>
      </c>
      <c r="C649" s="35" t="s">
        <v>1370</v>
      </c>
      <c r="D649" s="35" t="s">
        <v>111</v>
      </c>
      <c r="E649" s="34" t="n">
        <v>2804</v>
      </c>
      <c r="F649" s="34" t="n">
        <v>2800</v>
      </c>
      <c r="G649" s="34" t="n">
        <v>2800</v>
      </c>
      <c r="H649" s="34" t="n">
        <v>2600</v>
      </c>
      <c r="I649" s="36" t="n">
        <f aca="false">$E649/F649-1</f>
        <v>0.00142857142857133</v>
      </c>
      <c r="J649" s="36" t="n">
        <f aca="false">$E649/G649-1</f>
        <v>0.00142857142857133</v>
      </c>
      <c r="K649" s="36" t="n">
        <f aca="false">$E649/H649-1</f>
        <v>0.0784615384615384</v>
      </c>
      <c r="L649" s="37" t="n">
        <v>8.46</v>
      </c>
      <c r="M649" s="37" t="n">
        <v>0.57</v>
      </c>
      <c r="N649" s="34" t="n">
        <v>2838</v>
      </c>
      <c r="O649" s="34" t="n">
        <v>2400</v>
      </c>
      <c r="P649" s="38"/>
      <c r="Q649" s="38"/>
    </row>
    <row r="650" customFormat="false" ht="15" hidden="false" customHeight="false" outlineLevel="0" collapsed="false">
      <c r="A650" s="34" t="n">
        <v>642</v>
      </c>
      <c r="B650" s="35" t="s">
        <v>1371</v>
      </c>
      <c r="C650" s="35" t="s">
        <v>1372</v>
      </c>
      <c r="D650" s="35" t="s">
        <v>133</v>
      </c>
      <c r="E650" s="34" t="n">
        <v>31500</v>
      </c>
      <c r="F650" s="34" t="n">
        <v>31500</v>
      </c>
      <c r="G650" s="34" t="n">
        <v>34433.1</v>
      </c>
      <c r="H650" s="34" t="n">
        <v>25604.1</v>
      </c>
      <c r="I650" s="36" t="n">
        <f aca="false">$E650/F650-1</f>
        <v>0</v>
      </c>
      <c r="J650" s="36" t="n">
        <f aca="false">$E650/G650-1</f>
        <v>-0.0851825714211035</v>
      </c>
      <c r="K650" s="36" t="n">
        <f aca="false">$E650/H650-1</f>
        <v>0.230271714295757</v>
      </c>
      <c r="L650" s="37" t="n">
        <v>14.94</v>
      </c>
      <c r="M650" s="37" t="n">
        <v>2.17</v>
      </c>
      <c r="N650" s="34" t="n">
        <v>34433.1</v>
      </c>
      <c r="O650" s="34" t="n">
        <v>14236.97</v>
      </c>
      <c r="P650" s="38"/>
      <c r="Q650" s="38"/>
    </row>
    <row r="651" customFormat="false" ht="15" hidden="false" customHeight="false" outlineLevel="0" collapsed="false">
      <c r="A651" s="34" t="n">
        <v>643</v>
      </c>
      <c r="B651" s="35" t="s">
        <v>1373</v>
      </c>
      <c r="C651" s="35" t="s">
        <v>1374</v>
      </c>
      <c r="D651" s="35" t="s">
        <v>116</v>
      </c>
      <c r="E651" s="34" t="n">
        <v>30750</v>
      </c>
      <c r="F651" s="34" t="n">
        <v>25900</v>
      </c>
      <c r="G651" s="34" t="n">
        <v>29650</v>
      </c>
      <c r="H651" s="34"/>
      <c r="I651" s="36" t="n">
        <f aca="false">$E651/F651-1</f>
        <v>0.187258687258687</v>
      </c>
      <c r="J651" s="36" t="n">
        <f aca="false">$E651/G651-1</f>
        <v>0.0370994940978078</v>
      </c>
      <c r="K651" s="36" t="e">
        <f aca="false">$E651/H651-1</f>
        <v>#DIV/0!</v>
      </c>
      <c r="L651" s="37" t="n">
        <v>134.41</v>
      </c>
      <c r="M651" s="37" t="n">
        <v>2.17</v>
      </c>
      <c r="N651" s="34"/>
      <c r="O651" s="34"/>
      <c r="P651" s="38"/>
      <c r="Q651" s="38"/>
    </row>
    <row r="652" customFormat="false" ht="15" hidden="false" customHeight="false" outlineLevel="0" collapsed="false">
      <c r="A652" s="34" t="n">
        <v>644</v>
      </c>
      <c r="B652" s="35" t="s">
        <v>34</v>
      </c>
      <c r="C652" s="35" t="s">
        <v>1375</v>
      </c>
      <c r="D652" s="35" t="s">
        <v>116</v>
      </c>
      <c r="E652" s="34" t="n">
        <v>13750</v>
      </c>
      <c r="F652" s="34" t="n">
        <v>13100</v>
      </c>
      <c r="G652" s="34" t="n">
        <v>16750</v>
      </c>
      <c r="H652" s="34" t="n">
        <v>20900</v>
      </c>
      <c r="I652" s="36" t="n">
        <f aca="false">$E652/F652-1</f>
        <v>0.0496183206106871</v>
      </c>
      <c r="J652" s="36" t="n">
        <f aca="false">$E652/G652-1</f>
        <v>-0.17910447761194</v>
      </c>
      <c r="K652" s="36" t="n">
        <f aca="false">$E652/H652-1</f>
        <v>-0.342105263157895</v>
      </c>
      <c r="L652" s="37" t="n">
        <v>100.33</v>
      </c>
      <c r="M652" s="37" t="n">
        <v>0.95</v>
      </c>
      <c r="N652" s="34" t="n">
        <v>30350</v>
      </c>
      <c r="O652" s="34" t="n">
        <v>12650</v>
      </c>
      <c r="P652" s="38" t="n">
        <v>41.8</v>
      </c>
      <c r="Q652" s="38" t="n">
        <v>0.96</v>
      </c>
    </row>
    <row r="653" customFormat="false" ht="15" hidden="false" customHeight="false" outlineLevel="0" collapsed="false">
      <c r="A653" s="34" t="n">
        <v>645</v>
      </c>
      <c r="B653" s="35" t="s">
        <v>1376</v>
      </c>
      <c r="C653" s="35" t="s">
        <v>1377</v>
      </c>
      <c r="D653" s="35" t="s">
        <v>111</v>
      </c>
      <c r="E653" s="34" t="n">
        <v>16000</v>
      </c>
      <c r="F653" s="34" t="n">
        <v>16000</v>
      </c>
      <c r="G653" s="34" t="n">
        <v>16000</v>
      </c>
      <c r="H653" s="34" t="n">
        <v>17700</v>
      </c>
      <c r="I653" s="36" t="n">
        <f aca="false">$E653/F653-1</f>
        <v>0</v>
      </c>
      <c r="J653" s="36" t="n">
        <f aca="false">$E653/G653-1</f>
        <v>0</v>
      </c>
      <c r="K653" s="36" t="n">
        <f aca="false">$E653/H653-1</f>
        <v>-0.096045197740113</v>
      </c>
      <c r="L653" s="37" t="n">
        <v>68.4</v>
      </c>
      <c r="M653" s="37" t="n">
        <v>0.76</v>
      </c>
      <c r="N653" s="34" t="n">
        <v>20047</v>
      </c>
      <c r="O653" s="34" t="n">
        <v>14700</v>
      </c>
      <c r="P653" s="38"/>
      <c r="Q653" s="38"/>
    </row>
    <row r="654" customFormat="false" ht="15" hidden="false" customHeight="false" outlineLevel="0" collapsed="false">
      <c r="A654" s="34" t="n">
        <v>646</v>
      </c>
      <c r="B654" s="35" t="s">
        <v>1378</v>
      </c>
      <c r="C654" s="35" t="s">
        <v>1379</v>
      </c>
      <c r="D654" s="35" t="s">
        <v>116</v>
      </c>
      <c r="E654" s="34" t="n">
        <v>30750</v>
      </c>
      <c r="F654" s="34" t="n">
        <v>29500</v>
      </c>
      <c r="G654" s="34" t="n">
        <v>28800</v>
      </c>
      <c r="H654" s="34" t="n">
        <v>31200</v>
      </c>
      <c r="I654" s="36" t="n">
        <f aca="false">$E654/F654-1</f>
        <v>0.0423728813559323</v>
      </c>
      <c r="J654" s="36" t="n">
        <f aca="false">$E654/G654-1</f>
        <v>0.0677083333333333</v>
      </c>
      <c r="K654" s="36" t="n">
        <f aca="false">$E654/H654-1</f>
        <v>-0.0144230769230769</v>
      </c>
      <c r="L654" s="37" t="n">
        <v>12.03</v>
      </c>
      <c r="M654" s="37" t="n">
        <v>1.47</v>
      </c>
      <c r="N654" s="34" t="n">
        <v>34700</v>
      </c>
      <c r="O654" s="34" t="n">
        <v>28700</v>
      </c>
      <c r="P654" s="38"/>
      <c r="Q654" s="38"/>
    </row>
    <row r="655" customFormat="false" ht="15" hidden="false" customHeight="false" outlineLevel="0" collapsed="false">
      <c r="A655" s="34" t="n">
        <v>647</v>
      </c>
      <c r="B655" s="35" t="s">
        <v>1380</v>
      </c>
      <c r="C655" s="35" t="s">
        <v>1381</v>
      </c>
      <c r="D655" s="35" t="s">
        <v>111</v>
      </c>
      <c r="E655" s="34" t="n">
        <v>6200</v>
      </c>
      <c r="F655" s="34" t="n">
        <v>6100</v>
      </c>
      <c r="G655" s="34" t="n">
        <v>6000</v>
      </c>
      <c r="H655" s="34" t="n">
        <v>5600</v>
      </c>
      <c r="I655" s="36" t="n">
        <f aca="false">$E655/F655-1</f>
        <v>0.0163934426229508</v>
      </c>
      <c r="J655" s="36" t="n">
        <f aca="false">$E655/G655-1</f>
        <v>0.0333333333333334</v>
      </c>
      <c r="K655" s="36" t="n">
        <f aca="false">$E655/H655-1</f>
        <v>0.107142857142857</v>
      </c>
      <c r="L655" s="37" t="n">
        <v>10.04</v>
      </c>
      <c r="M655" s="37" t="n">
        <v>0.58</v>
      </c>
      <c r="N655" s="34" t="n">
        <v>6500</v>
      </c>
      <c r="O655" s="34" t="n">
        <v>4705.92</v>
      </c>
      <c r="P655" s="38"/>
      <c r="Q655" s="38"/>
    </row>
    <row r="656" customFormat="false" ht="15" hidden="false" customHeight="false" outlineLevel="0" collapsed="false">
      <c r="A656" s="34" t="n">
        <v>648</v>
      </c>
      <c r="B656" s="35" t="s">
        <v>1382</v>
      </c>
      <c r="C656" s="35" t="s">
        <v>1383</v>
      </c>
      <c r="D656" s="35" t="s">
        <v>111</v>
      </c>
      <c r="E656" s="34" t="n">
        <v>17900</v>
      </c>
      <c r="F656" s="34" t="n">
        <v>17900</v>
      </c>
      <c r="G656" s="34" t="n">
        <v>18100</v>
      </c>
      <c r="H656" s="34" t="n">
        <v>16941.76</v>
      </c>
      <c r="I656" s="36" t="n">
        <f aca="false">$E656/F656-1</f>
        <v>0</v>
      </c>
      <c r="J656" s="36" t="n">
        <f aca="false">$E656/G656-1</f>
        <v>-0.011049723756906</v>
      </c>
      <c r="K656" s="36" t="n">
        <f aca="false">$E656/H656-1</f>
        <v>0.0565608295714259</v>
      </c>
      <c r="L656" s="37"/>
      <c r="M656" s="37"/>
      <c r="N656" s="34" t="n">
        <v>23968.74</v>
      </c>
      <c r="O656" s="34" t="n">
        <v>16210.18</v>
      </c>
      <c r="P656" s="38"/>
      <c r="Q656" s="38"/>
    </row>
    <row r="657" customFormat="false" ht="15" hidden="false" customHeight="false" outlineLevel="0" collapsed="false">
      <c r="A657" s="34" t="n">
        <v>649</v>
      </c>
      <c r="B657" s="35" t="s">
        <v>1384</v>
      </c>
      <c r="C657" s="35" t="s">
        <v>1385</v>
      </c>
      <c r="D657" s="35" t="s">
        <v>116</v>
      </c>
      <c r="E657" s="34" t="n">
        <v>9000</v>
      </c>
      <c r="F657" s="34" t="n">
        <v>9170</v>
      </c>
      <c r="G657" s="34" t="n">
        <v>8300</v>
      </c>
      <c r="H657" s="34" t="n">
        <v>8200</v>
      </c>
      <c r="I657" s="36" t="n">
        <f aca="false">$E657/F657-1</f>
        <v>-0.0185387131952017</v>
      </c>
      <c r="J657" s="36" t="n">
        <f aca="false">$E657/G657-1</f>
        <v>0.0843373493975903</v>
      </c>
      <c r="K657" s="36" t="n">
        <f aca="false">$E657/H657-1</f>
        <v>0.0975609756097562</v>
      </c>
      <c r="L657" s="37" t="n">
        <v>-20.9</v>
      </c>
      <c r="M657" s="37" t="n">
        <v>0.57</v>
      </c>
      <c r="N657" s="34" t="n">
        <v>9840</v>
      </c>
      <c r="O657" s="34" t="n">
        <v>7410</v>
      </c>
      <c r="P657" s="38"/>
      <c r="Q657" s="38"/>
    </row>
    <row r="658" customFormat="false" ht="15" hidden="false" customHeight="false" outlineLevel="0" collapsed="false">
      <c r="A658" s="34" t="n">
        <v>650</v>
      </c>
      <c r="B658" s="35" t="s">
        <v>1386</v>
      </c>
      <c r="C658" s="35" t="s">
        <v>1387</v>
      </c>
      <c r="D658" s="35" t="s">
        <v>116</v>
      </c>
      <c r="E658" s="34" t="n">
        <v>3370</v>
      </c>
      <c r="F658" s="34" t="n">
        <v>3490</v>
      </c>
      <c r="G658" s="34" t="n">
        <v>4140</v>
      </c>
      <c r="H658" s="34" t="n">
        <v>6280</v>
      </c>
      <c r="I658" s="36" t="n">
        <f aca="false">$E658/F658-1</f>
        <v>-0.0343839541547278</v>
      </c>
      <c r="J658" s="36" t="n">
        <f aca="false">$E658/G658-1</f>
        <v>-0.185990338164251</v>
      </c>
      <c r="K658" s="36" t="n">
        <f aca="false">$E658/H658-1</f>
        <v>-0.463375796178344</v>
      </c>
      <c r="L658" s="37" t="n">
        <v>-8.6</v>
      </c>
      <c r="M658" s="37" t="n">
        <v>0.34</v>
      </c>
      <c r="N658" s="34" t="n">
        <v>11150</v>
      </c>
      <c r="O658" s="34" t="n">
        <v>2920</v>
      </c>
      <c r="P658" s="38"/>
      <c r="Q658" s="38"/>
    </row>
    <row r="659" customFormat="false" ht="15" hidden="false" customHeight="false" outlineLevel="0" collapsed="false">
      <c r="A659" s="34" t="n">
        <v>651</v>
      </c>
      <c r="B659" s="35" t="s">
        <v>1388</v>
      </c>
      <c r="C659" s="35" t="s">
        <v>1389</v>
      </c>
      <c r="D659" s="35" t="s">
        <v>111</v>
      </c>
      <c r="E659" s="34" t="n">
        <v>25000</v>
      </c>
      <c r="F659" s="34" t="n">
        <v>18000</v>
      </c>
      <c r="G659" s="34" t="n">
        <v>18000</v>
      </c>
      <c r="H659" s="34" t="n">
        <v>11232</v>
      </c>
      <c r="I659" s="36" t="n">
        <f aca="false">$E659/F659-1</f>
        <v>0.388888888888889</v>
      </c>
      <c r="J659" s="36" t="n">
        <f aca="false">$E659/G659-1</f>
        <v>0.388888888888889</v>
      </c>
      <c r="K659" s="36" t="n">
        <f aca="false">$E659/H659-1</f>
        <v>1.22578347578348</v>
      </c>
      <c r="L659" s="37" t="n">
        <v>18.68</v>
      </c>
      <c r="M659" s="37" t="n">
        <v>0.93</v>
      </c>
      <c r="N659" s="34" t="n">
        <v>30000</v>
      </c>
      <c r="O659" s="34" t="n">
        <v>10015.2</v>
      </c>
      <c r="P659" s="38"/>
      <c r="Q659" s="38"/>
    </row>
    <row r="660" customFormat="false" ht="15" hidden="false" customHeight="false" outlineLevel="0" collapsed="false">
      <c r="A660" s="34" t="n">
        <v>652</v>
      </c>
      <c r="B660" s="35" t="s">
        <v>1390</v>
      </c>
      <c r="C660" s="35" t="s">
        <v>1391</v>
      </c>
      <c r="D660" s="35" t="s">
        <v>111</v>
      </c>
      <c r="E660" s="34" t="n">
        <v>1650</v>
      </c>
      <c r="F660" s="34" t="n">
        <v>1600</v>
      </c>
      <c r="G660" s="34" t="n">
        <v>1900</v>
      </c>
      <c r="H660" s="34" t="n">
        <v>2000</v>
      </c>
      <c r="I660" s="36" t="n">
        <f aca="false">$E660/F660-1</f>
        <v>0.03125</v>
      </c>
      <c r="J660" s="36" t="n">
        <f aca="false">$E660/G660-1</f>
        <v>-0.131578947368421</v>
      </c>
      <c r="K660" s="36" t="n">
        <f aca="false">$E660/H660-1</f>
        <v>-0.175</v>
      </c>
      <c r="L660" s="37" t="n">
        <v>0.26</v>
      </c>
      <c r="M660" s="37" t="n">
        <v>-0.03</v>
      </c>
      <c r="N660" s="34" t="n">
        <v>2200</v>
      </c>
      <c r="O660" s="34" t="n">
        <v>1600</v>
      </c>
      <c r="P660" s="38"/>
      <c r="Q660" s="38"/>
    </row>
    <row r="661" customFormat="false" ht="15" hidden="false" customHeight="false" outlineLevel="0" collapsed="false">
      <c r="A661" s="34" t="n">
        <v>653</v>
      </c>
      <c r="B661" s="35" t="s">
        <v>1392</v>
      </c>
      <c r="C661" s="35" t="s">
        <v>1393</v>
      </c>
      <c r="D661" s="35" t="s">
        <v>111</v>
      </c>
      <c r="E661" s="34" t="n">
        <v>10600</v>
      </c>
      <c r="F661" s="34" t="n">
        <v>10600</v>
      </c>
      <c r="G661" s="34" t="n">
        <v>12400</v>
      </c>
      <c r="H661" s="34" t="n">
        <v>11200</v>
      </c>
      <c r="I661" s="36" t="n">
        <f aca="false">$E661/F661-1</f>
        <v>0</v>
      </c>
      <c r="J661" s="36" t="n">
        <f aca="false">$E661/G661-1</f>
        <v>-0.145161290322581</v>
      </c>
      <c r="K661" s="36" t="n">
        <f aca="false">$E661/H661-1</f>
        <v>-0.0535714285714286</v>
      </c>
      <c r="L661" s="37" t="n">
        <v>5.51</v>
      </c>
      <c r="M661" s="37" t="n">
        <v>0.53</v>
      </c>
      <c r="N661" s="34" t="n">
        <v>12923</v>
      </c>
      <c r="O661" s="34" t="n">
        <v>9214</v>
      </c>
      <c r="P661" s="38"/>
      <c r="Q661" s="38"/>
    </row>
    <row r="662" customFormat="false" ht="15" hidden="false" customHeight="false" outlineLevel="0" collapsed="false">
      <c r="A662" s="34" t="n">
        <v>654</v>
      </c>
      <c r="B662" s="35" t="s">
        <v>1394</v>
      </c>
      <c r="C662" s="35" t="s">
        <v>1395</v>
      </c>
      <c r="D662" s="35" t="s">
        <v>133</v>
      </c>
      <c r="E662" s="34" t="n">
        <v>6400</v>
      </c>
      <c r="F662" s="34" t="n">
        <v>6500</v>
      </c>
      <c r="G662" s="34" t="n">
        <v>7100</v>
      </c>
      <c r="H662" s="34" t="n">
        <v>5545.51</v>
      </c>
      <c r="I662" s="36" t="n">
        <f aca="false">$E662/F662-1</f>
        <v>-0.0153846153846153</v>
      </c>
      <c r="J662" s="36" t="n">
        <f aca="false">$E662/G662-1</f>
        <v>-0.0985915492957746</v>
      </c>
      <c r="K662" s="36" t="n">
        <f aca="false">$E662/H662-1</f>
        <v>0.15408681978754</v>
      </c>
      <c r="L662" s="37" t="n">
        <v>7.47</v>
      </c>
      <c r="M662" s="37" t="n">
        <v>0.57</v>
      </c>
      <c r="N662" s="34" t="n">
        <v>7700</v>
      </c>
      <c r="O662" s="34" t="n">
        <v>4636.41</v>
      </c>
      <c r="P662" s="38"/>
      <c r="Q662" s="38"/>
    </row>
    <row r="663" customFormat="false" ht="15" hidden="false" customHeight="false" outlineLevel="0" collapsed="false">
      <c r="A663" s="34" t="n">
        <v>655</v>
      </c>
      <c r="B663" s="35" t="s">
        <v>88</v>
      </c>
      <c r="C663" s="35" t="s">
        <v>1396</v>
      </c>
      <c r="D663" s="35" t="s">
        <v>116</v>
      </c>
      <c r="E663" s="34" t="n">
        <v>136900</v>
      </c>
      <c r="F663" s="34" t="n">
        <v>141000</v>
      </c>
      <c r="G663" s="34" t="n">
        <v>137600</v>
      </c>
      <c r="H663" s="34" t="n">
        <v>180641.4</v>
      </c>
      <c r="I663" s="36" t="n">
        <f aca="false">$E663/F663-1</f>
        <v>-0.0290780141843972</v>
      </c>
      <c r="J663" s="36" t="n">
        <f aca="false">$E663/G663-1</f>
        <v>-0.00508720930232554</v>
      </c>
      <c r="K663" s="36" t="n">
        <f aca="false">$E663/H663-1</f>
        <v>-0.242144934660604</v>
      </c>
      <c r="L663" s="37" t="n">
        <v>25.2</v>
      </c>
      <c r="M663" s="37" t="n">
        <v>9.59</v>
      </c>
      <c r="N663" s="34" t="n">
        <v>181861.95</v>
      </c>
      <c r="O663" s="34" t="n">
        <v>91529.04</v>
      </c>
      <c r="P663" s="38" t="n">
        <v>14.09</v>
      </c>
      <c r="Q663" s="38" t="n">
        <v>5.11</v>
      </c>
    </row>
    <row r="664" customFormat="false" ht="15" hidden="false" customHeight="false" outlineLevel="0" collapsed="false">
      <c r="A664" s="34" t="n">
        <v>656</v>
      </c>
      <c r="B664" s="35" t="s">
        <v>1397</v>
      </c>
      <c r="C664" s="35" t="s">
        <v>1398</v>
      </c>
      <c r="D664" s="35" t="s">
        <v>111</v>
      </c>
      <c r="E664" s="34" t="n">
        <v>21100</v>
      </c>
      <c r="F664" s="34" t="n">
        <v>21100</v>
      </c>
      <c r="G664" s="34" t="n">
        <v>24500</v>
      </c>
      <c r="H664" s="34" t="n">
        <v>37063</v>
      </c>
      <c r="I664" s="36" t="n">
        <f aca="false">$E664/F664-1</f>
        <v>0</v>
      </c>
      <c r="J664" s="36" t="n">
        <f aca="false">$E664/G664-1</f>
        <v>-0.138775510204082</v>
      </c>
      <c r="K664" s="36" t="n">
        <f aca="false">$E664/H664-1</f>
        <v>-0.430699079944959</v>
      </c>
      <c r="L664" s="37" t="n">
        <v>5.4</v>
      </c>
      <c r="M664" s="37" t="n">
        <v>1.51</v>
      </c>
      <c r="N664" s="34" t="n">
        <v>49049</v>
      </c>
      <c r="O664" s="34" t="n">
        <v>18000</v>
      </c>
      <c r="P664" s="38"/>
      <c r="Q664" s="38"/>
    </row>
    <row r="665" customFormat="false" ht="15" hidden="false" customHeight="false" outlineLevel="0" collapsed="false">
      <c r="A665" s="34" t="n">
        <v>657</v>
      </c>
      <c r="B665" s="35" t="s">
        <v>1399</v>
      </c>
      <c r="C665" s="35" t="s">
        <v>1400</v>
      </c>
      <c r="D665" s="35" t="s">
        <v>111</v>
      </c>
      <c r="E665" s="34" t="n">
        <v>8021</v>
      </c>
      <c r="F665" s="34" t="n">
        <v>7890</v>
      </c>
      <c r="G665" s="34" t="n">
        <v>8499</v>
      </c>
      <c r="H665" s="34" t="n">
        <v>8000</v>
      </c>
      <c r="I665" s="36" t="n">
        <f aca="false">$E665/F665-1</f>
        <v>0.0166032953105197</v>
      </c>
      <c r="J665" s="36" t="n">
        <f aca="false">$E665/G665-1</f>
        <v>-0.0562419108130369</v>
      </c>
      <c r="K665" s="36" t="n">
        <f aca="false">$E665/H665-1</f>
        <v>0.0026250000000001</v>
      </c>
      <c r="L665" s="37" t="n">
        <v>22.35</v>
      </c>
      <c r="M665" s="37" t="n">
        <v>0.74</v>
      </c>
      <c r="N665" s="34" t="n">
        <v>8628</v>
      </c>
      <c r="O665" s="34" t="n">
        <v>7297</v>
      </c>
      <c r="P665" s="38"/>
      <c r="Q665" s="38"/>
    </row>
    <row r="666" customFormat="false" ht="15" hidden="false" customHeight="false" outlineLevel="0" collapsed="false">
      <c r="A666" s="34" t="n">
        <v>658</v>
      </c>
      <c r="B666" s="35" t="s">
        <v>1401</v>
      </c>
      <c r="C666" s="35" t="s">
        <v>1402</v>
      </c>
      <c r="D666" s="35" t="s">
        <v>111</v>
      </c>
      <c r="E666" s="34" t="n">
        <v>6600</v>
      </c>
      <c r="F666" s="34" t="n">
        <v>6600</v>
      </c>
      <c r="G666" s="34" t="n">
        <v>6000</v>
      </c>
      <c r="H666" s="34" t="n">
        <v>6900</v>
      </c>
      <c r="I666" s="36" t="n">
        <f aca="false">$E666/F666-1</f>
        <v>0</v>
      </c>
      <c r="J666" s="36" t="n">
        <f aca="false">$E666/G666-1</f>
        <v>0.1</v>
      </c>
      <c r="K666" s="36" t="n">
        <f aca="false">$E666/H666-1</f>
        <v>-0.0434782608695652</v>
      </c>
      <c r="L666" s="37" t="n">
        <v>7.12</v>
      </c>
      <c r="M666" s="37" t="n">
        <v>0.4</v>
      </c>
      <c r="N666" s="34" t="n">
        <v>8000</v>
      </c>
      <c r="O666" s="34" t="n">
        <v>5594</v>
      </c>
      <c r="P666" s="38"/>
      <c r="Q666" s="38"/>
    </row>
    <row r="667" customFormat="false" ht="15" hidden="false" customHeight="false" outlineLevel="0" collapsed="false">
      <c r="A667" s="34" t="n">
        <v>659</v>
      </c>
      <c r="B667" s="35" t="s">
        <v>1403</v>
      </c>
      <c r="C667" s="35" t="s">
        <v>1404</v>
      </c>
      <c r="D667" s="35" t="s">
        <v>111</v>
      </c>
      <c r="E667" s="34" t="n">
        <v>33000</v>
      </c>
      <c r="F667" s="34" t="n">
        <v>33000</v>
      </c>
      <c r="G667" s="34" t="n">
        <v>40000</v>
      </c>
      <c r="H667" s="34" t="n">
        <v>39998.6</v>
      </c>
      <c r="I667" s="36" t="n">
        <f aca="false">$E667/F667-1</f>
        <v>0</v>
      </c>
      <c r="J667" s="36" t="n">
        <f aca="false">$E667/G667-1</f>
        <v>-0.175</v>
      </c>
      <c r="K667" s="36" t="n">
        <f aca="false">$E667/H667-1</f>
        <v>-0.17497112398934</v>
      </c>
      <c r="L667" s="37" t="n">
        <v>9.39</v>
      </c>
      <c r="M667" s="37" t="n">
        <v>1.57</v>
      </c>
      <c r="N667" s="34" t="n">
        <v>40000</v>
      </c>
      <c r="O667" s="34" t="n">
        <v>28900</v>
      </c>
      <c r="P667" s="38"/>
      <c r="Q667" s="38"/>
    </row>
    <row r="668" customFormat="false" ht="15" hidden="false" customHeight="false" outlineLevel="0" collapsed="false">
      <c r="A668" s="34" t="n">
        <v>660</v>
      </c>
      <c r="B668" s="35" t="s">
        <v>33</v>
      </c>
      <c r="C668" s="35" t="s">
        <v>1405</v>
      </c>
      <c r="D668" s="35" t="s">
        <v>116</v>
      </c>
      <c r="E668" s="34" t="n">
        <v>26550</v>
      </c>
      <c r="F668" s="34" t="n">
        <v>25200</v>
      </c>
      <c r="G668" s="34" t="n">
        <v>27700</v>
      </c>
      <c r="H668" s="34" t="n">
        <v>29700</v>
      </c>
      <c r="I668" s="36" t="n">
        <f aca="false">$E668/F668-1</f>
        <v>0.0535714285714286</v>
      </c>
      <c r="J668" s="36" t="n">
        <f aca="false">$E668/G668-1</f>
        <v>-0.0415162454873647</v>
      </c>
      <c r="K668" s="36" t="n">
        <f aca="false">$E668/H668-1</f>
        <v>-0.106060606060606</v>
      </c>
      <c r="L668" s="37" t="n">
        <v>6.93</v>
      </c>
      <c r="M668" s="37" t="n">
        <v>1.55</v>
      </c>
      <c r="N668" s="34" t="n">
        <v>29700</v>
      </c>
      <c r="O668" s="34" t="n">
        <v>21513.69</v>
      </c>
      <c r="P668" s="38" t="n">
        <v>6.605</v>
      </c>
      <c r="Q668" s="38" t="n">
        <v>1.53</v>
      </c>
    </row>
    <row r="669" customFormat="false" ht="15" hidden="false" customHeight="false" outlineLevel="0" collapsed="false">
      <c r="A669" s="34" t="n">
        <v>661</v>
      </c>
      <c r="B669" s="35" t="s">
        <v>1406</v>
      </c>
      <c r="C669" s="35" t="s">
        <v>1407</v>
      </c>
      <c r="D669" s="35" t="s">
        <v>111</v>
      </c>
      <c r="E669" s="34" t="n">
        <v>7200</v>
      </c>
      <c r="F669" s="34" t="n">
        <v>7112</v>
      </c>
      <c r="G669" s="34" t="n">
        <v>7648</v>
      </c>
      <c r="H669" s="34" t="n">
        <v>8276</v>
      </c>
      <c r="I669" s="36" t="n">
        <f aca="false">$E669/F669-1</f>
        <v>0.0123734533183353</v>
      </c>
      <c r="J669" s="36" t="n">
        <f aca="false">$E669/G669-1</f>
        <v>-0.0585774058577406</v>
      </c>
      <c r="K669" s="36" t="n">
        <f aca="false">$E669/H669-1</f>
        <v>-0.130014499758337</v>
      </c>
      <c r="L669" s="37" t="n">
        <v>1.95</v>
      </c>
      <c r="M669" s="37" t="n">
        <v>0.53</v>
      </c>
      <c r="N669" s="34" t="n">
        <v>9362</v>
      </c>
      <c r="O669" s="34" t="n">
        <v>6642</v>
      </c>
      <c r="P669" s="38"/>
      <c r="Q669" s="38"/>
    </row>
    <row r="670" customFormat="false" ht="15" hidden="false" customHeight="false" outlineLevel="0" collapsed="false">
      <c r="A670" s="34" t="n">
        <v>662</v>
      </c>
      <c r="B670" s="35" t="s">
        <v>1408</v>
      </c>
      <c r="C670" s="35" t="s">
        <v>1409</v>
      </c>
      <c r="D670" s="35" t="s">
        <v>111</v>
      </c>
      <c r="E670" s="34" t="n">
        <v>33000</v>
      </c>
      <c r="F670" s="34" t="n">
        <v>33000</v>
      </c>
      <c r="G670" s="34" t="n">
        <v>33000</v>
      </c>
      <c r="H670" s="34" t="n">
        <v>33000</v>
      </c>
      <c r="I670" s="36" t="n">
        <f aca="false">$E670/F670-1</f>
        <v>0</v>
      </c>
      <c r="J670" s="36" t="n">
        <f aca="false">$E670/G670-1</f>
        <v>0</v>
      </c>
      <c r="K670" s="36" t="n">
        <f aca="false">$E670/H670-1</f>
        <v>0</v>
      </c>
      <c r="L670" s="37" t="n">
        <v>-3.02</v>
      </c>
      <c r="M670" s="37" t="n">
        <v>1.28</v>
      </c>
      <c r="N670" s="34" t="n">
        <v>33000</v>
      </c>
      <c r="O670" s="34" t="n">
        <v>33000</v>
      </c>
      <c r="P670" s="38"/>
      <c r="Q670" s="38"/>
    </row>
    <row r="671" customFormat="false" ht="15" hidden="false" customHeight="false" outlineLevel="0" collapsed="false">
      <c r="A671" s="34" t="n">
        <v>663</v>
      </c>
      <c r="B671" s="35" t="s">
        <v>1410</v>
      </c>
      <c r="C671" s="35" t="s">
        <v>1411</v>
      </c>
      <c r="D671" s="35" t="s">
        <v>116</v>
      </c>
      <c r="E671" s="34" t="n">
        <v>15350</v>
      </c>
      <c r="F671" s="34" t="n">
        <v>15250</v>
      </c>
      <c r="G671" s="34" t="n">
        <v>15000</v>
      </c>
      <c r="H671" s="34" t="n">
        <v>11100</v>
      </c>
      <c r="I671" s="36" t="n">
        <f aca="false">$E671/F671-1</f>
        <v>0.00655737704918025</v>
      </c>
      <c r="J671" s="36" t="n">
        <f aca="false">$E671/G671-1</f>
        <v>0.0233333333333334</v>
      </c>
      <c r="K671" s="36" t="n">
        <f aca="false">$E671/H671-1</f>
        <v>0.382882882882883</v>
      </c>
      <c r="L671" s="37" t="n">
        <v>26.68</v>
      </c>
      <c r="M671" s="37" t="n">
        <v>1.33</v>
      </c>
      <c r="N671" s="34" t="n">
        <v>15500</v>
      </c>
      <c r="O671" s="34" t="n">
        <v>8790</v>
      </c>
      <c r="P671" s="38"/>
      <c r="Q671" s="38"/>
    </row>
    <row r="672" customFormat="false" ht="15" hidden="false" customHeight="false" outlineLevel="0" collapsed="false">
      <c r="A672" s="34" t="n">
        <v>664</v>
      </c>
      <c r="B672" s="35" t="s">
        <v>1412</v>
      </c>
      <c r="C672" s="35" t="s">
        <v>1413</v>
      </c>
      <c r="D672" s="35" t="s">
        <v>116</v>
      </c>
      <c r="E672" s="34" t="n">
        <v>49000</v>
      </c>
      <c r="F672" s="34" t="n">
        <v>48350</v>
      </c>
      <c r="G672" s="34" t="n">
        <v>48660.04</v>
      </c>
      <c r="H672" s="34" t="n">
        <v>63060.4</v>
      </c>
      <c r="I672" s="36" t="n">
        <f aca="false">$E672/F672-1</f>
        <v>0.0134436401240952</v>
      </c>
      <c r="J672" s="36" t="n">
        <f aca="false">$E672/G672-1</f>
        <v>0.00698643075509176</v>
      </c>
      <c r="K672" s="36" t="n">
        <f aca="false">$E672/H672-1</f>
        <v>-0.222967187014354</v>
      </c>
      <c r="L672" s="37" t="n">
        <v>6.79</v>
      </c>
      <c r="M672" s="37" t="n">
        <v>1.36</v>
      </c>
      <c r="N672" s="34" t="n">
        <v>65131.04</v>
      </c>
      <c r="O672" s="34" t="n">
        <v>41977.52</v>
      </c>
      <c r="P672" s="38"/>
      <c r="Q672" s="38"/>
    </row>
    <row r="673" customFormat="false" ht="15" hidden="false" customHeight="false" outlineLevel="0" collapsed="false">
      <c r="A673" s="34" t="n">
        <v>665</v>
      </c>
      <c r="B673" s="35" t="s">
        <v>1414</v>
      </c>
      <c r="C673" s="35" t="s">
        <v>1415</v>
      </c>
      <c r="D673" s="35" t="s">
        <v>116</v>
      </c>
      <c r="E673" s="34" t="n">
        <v>22000</v>
      </c>
      <c r="F673" s="34" t="n">
        <v>21200</v>
      </c>
      <c r="G673" s="34" t="n">
        <v>22500</v>
      </c>
      <c r="H673" s="34" t="n">
        <v>27300</v>
      </c>
      <c r="I673" s="36" t="n">
        <f aca="false">$E673/F673-1</f>
        <v>0.0377358490566038</v>
      </c>
      <c r="J673" s="36" t="n">
        <f aca="false">$E673/G673-1</f>
        <v>-0.0222222222222223</v>
      </c>
      <c r="K673" s="36" t="n">
        <f aca="false">$E673/H673-1</f>
        <v>-0.194139194139194</v>
      </c>
      <c r="L673" s="37" t="n">
        <v>9.11</v>
      </c>
      <c r="M673" s="37" t="n">
        <v>1.4</v>
      </c>
      <c r="N673" s="34" t="n">
        <v>37050</v>
      </c>
      <c r="O673" s="34" t="n">
        <v>20000</v>
      </c>
      <c r="P673" s="38"/>
      <c r="Q673" s="38"/>
    </row>
    <row r="674" customFormat="false" ht="15" hidden="false" customHeight="false" outlineLevel="0" collapsed="false">
      <c r="A674" s="34" t="n">
        <v>666</v>
      </c>
      <c r="B674" s="35" t="s">
        <v>21</v>
      </c>
      <c r="C674" s="35" t="s">
        <v>1416</v>
      </c>
      <c r="D674" s="35" t="s">
        <v>116</v>
      </c>
      <c r="E674" s="34" t="n">
        <v>44200</v>
      </c>
      <c r="F674" s="34" t="n">
        <v>39100</v>
      </c>
      <c r="G674" s="34" t="n">
        <v>45850</v>
      </c>
      <c r="H674" s="34" t="n">
        <v>68500</v>
      </c>
      <c r="I674" s="36" t="n">
        <f aca="false">$E674/F674-1</f>
        <v>0.130434782608696</v>
      </c>
      <c r="J674" s="36" t="n">
        <f aca="false">$E674/G674-1</f>
        <v>-0.0359869138495093</v>
      </c>
      <c r="K674" s="36" t="n">
        <f aca="false">$E674/H674-1</f>
        <v>-0.354744525547445</v>
      </c>
      <c r="L674" s="37" t="n">
        <v>7.86</v>
      </c>
      <c r="M674" s="37" t="n">
        <v>1.06</v>
      </c>
      <c r="N674" s="34" t="n">
        <v>103378.99</v>
      </c>
      <c r="O674" s="34" t="n">
        <v>36000</v>
      </c>
      <c r="P674" s="38" t="n">
        <v>11.125</v>
      </c>
      <c r="Q674" s="38" t="n">
        <v>2.97</v>
      </c>
    </row>
    <row r="675" customFormat="false" ht="15" hidden="false" customHeight="false" outlineLevel="0" collapsed="false">
      <c r="A675" s="34" t="n">
        <v>667</v>
      </c>
      <c r="B675" s="35" t="s">
        <v>1417</v>
      </c>
      <c r="C675" s="35" t="s">
        <v>1418</v>
      </c>
      <c r="D675" s="35" t="s">
        <v>111</v>
      </c>
      <c r="E675" s="34" t="n">
        <v>15000</v>
      </c>
      <c r="F675" s="34" t="n">
        <v>15000</v>
      </c>
      <c r="G675" s="34" t="n">
        <v>13700</v>
      </c>
      <c r="H675" s="34" t="n">
        <v>10500</v>
      </c>
      <c r="I675" s="36" t="n">
        <f aca="false">$E675/F675-1</f>
        <v>0</v>
      </c>
      <c r="J675" s="36" t="n">
        <f aca="false">$E675/G675-1</f>
        <v>0.0948905109489051</v>
      </c>
      <c r="K675" s="36" t="n">
        <f aca="false">$E675/H675-1</f>
        <v>0.428571428571429</v>
      </c>
      <c r="L675" s="37" t="n">
        <v>23.49</v>
      </c>
      <c r="M675" s="37" t="n">
        <v>1.24</v>
      </c>
      <c r="N675" s="34" t="n">
        <v>15000</v>
      </c>
      <c r="O675" s="34" t="n">
        <v>10500</v>
      </c>
      <c r="P675" s="38"/>
      <c r="Q675" s="38"/>
    </row>
    <row r="676" customFormat="false" ht="15" hidden="false" customHeight="false" outlineLevel="0" collapsed="false">
      <c r="A676" s="34" t="n">
        <v>668</v>
      </c>
      <c r="B676" s="35" t="s">
        <v>1419</v>
      </c>
      <c r="C676" s="35" t="s">
        <v>1420</v>
      </c>
      <c r="D676" s="35" t="s">
        <v>133</v>
      </c>
      <c r="E676" s="34" t="n">
        <v>12300</v>
      </c>
      <c r="F676" s="34" t="n">
        <v>11600</v>
      </c>
      <c r="G676" s="34" t="n">
        <v>13700</v>
      </c>
      <c r="H676" s="34" t="n">
        <v>15700</v>
      </c>
      <c r="I676" s="36" t="n">
        <f aca="false">$E676/F676-1</f>
        <v>0.0603448275862069</v>
      </c>
      <c r="J676" s="36" t="n">
        <f aca="false">$E676/G676-1</f>
        <v>-0.102189781021898</v>
      </c>
      <c r="K676" s="36" t="n">
        <f aca="false">$E676/H676-1</f>
        <v>-0.21656050955414</v>
      </c>
      <c r="L676" s="37" t="n">
        <v>16.32</v>
      </c>
      <c r="M676" s="37" t="n">
        <v>1</v>
      </c>
      <c r="N676" s="34" t="n">
        <v>20900</v>
      </c>
      <c r="O676" s="34" t="n">
        <v>11500</v>
      </c>
      <c r="P676" s="38"/>
      <c r="Q676" s="38"/>
    </row>
    <row r="677" customFormat="false" ht="15" hidden="false" customHeight="false" outlineLevel="0" collapsed="false">
      <c r="A677" s="34" t="n">
        <v>669</v>
      </c>
      <c r="B677" s="35" t="s">
        <v>1421</v>
      </c>
      <c r="C677" s="35" t="s">
        <v>1422</v>
      </c>
      <c r="D677" s="35" t="s">
        <v>111</v>
      </c>
      <c r="E677" s="34" t="n">
        <v>12500</v>
      </c>
      <c r="F677" s="34" t="n">
        <v>12500</v>
      </c>
      <c r="G677" s="34" t="n">
        <v>15000</v>
      </c>
      <c r="H677" s="34" t="n">
        <v>19000.8</v>
      </c>
      <c r="I677" s="36" t="n">
        <f aca="false">$E677/F677-1</f>
        <v>0</v>
      </c>
      <c r="J677" s="36" t="n">
        <f aca="false">$E677/G677-1</f>
        <v>-0.166666666666667</v>
      </c>
      <c r="K677" s="36" t="n">
        <f aca="false">$E677/H677-1</f>
        <v>-0.342132962822618</v>
      </c>
      <c r="L677" s="37" t="n">
        <v>-11.48</v>
      </c>
      <c r="M677" s="37" t="n">
        <v>1.37</v>
      </c>
      <c r="N677" s="34" t="n">
        <v>24360</v>
      </c>
      <c r="O677" s="34" t="n">
        <v>10100</v>
      </c>
      <c r="P677" s="38"/>
      <c r="Q677" s="38"/>
    </row>
    <row r="678" customFormat="false" ht="15" hidden="false" customHeight="false" outlineLevel="0" collapsed="false">
      <c r="A678" s="34" t="n">
        <v>670</v>
      </c>
      <c r="B678" s="35" t="s">
        <v>1423</v>
      </c>
      <c r="C678" s="35" t="s">
        <v>1424</v>
      </c>
      <c r="D678" s="35" t="s">
        <v>133</v>
      </c>
      <c r="E678" s="34" t="n">
        <v>12100</v>
      </c>
      <c r="F678" s="34" t="n">
        <v>11800</v>
      </c>
      <c r="G678" s="34" t="n">
        <v>12300</v>
      </c>
      <c r="H678" s="34" t="n">
        <v>11300</v>
      </c>
      <c r="I678" s="36" t="n">
        <f aca="false">$E678/F678-1</f>
        <v>0.0254237288135593</v>
      </c>
      <c r="J678" s="36" t="n">
        <f aca="false">$E678/G678-1</f>
        <v>-0.016260162601626</v>
      </c>
      <c r="K678" s="36" t="n">
        <f aca="false">$E678/H678-1</f>
        <v>0.0707964601769913</v>
      </c>
      <c r="L678" s="37" t="n">
        <v>31.49</v>
      </c>
      <c r="M678" s="37" t="n">
        <v>1.03</v>
      </c>
      <c r="N678" s="34" t="n">
        <v>21800</v>
      </c>
      <c r="O678" s="34" t="n">
        <v>9500</v>
      </c>
      <c r="P678" s="38"/>
      <c r="Q678" s="38"/>
    </row>
    <row r="679" customFormat="false" ht="15" hidden="false" customHeight="false" outlineLevel="0" collapsed="false">
      <c r="A679" s="34" t="n">
        <v>671</v>
      </c>
      <c r="B679" s="35" t="s">
        <v>1425</v>
      </c>
      <c r="C679" s="35" t="s">
        <v>1426</v>
      </c>
      <c r="D679" s="35" t="s">
        <v>133</v>
      </c>
      <c r="E679" s="34" t="n">
        <v>23300</v>
      </c>
      <c r="F679" s="34" t="n">
        <v>24000</v>
      </c>
      <c r="G679" s="34" t="n">
        <v>24702.84</v>
      </c>
      <c r="H679" s="34" t="n">
        <v>27298.08</v>
      </c>
      <c r="I679" s="36" t="n">
        <f aca="false">$E679/F679-1</f>
        <v>-0.0291666666666667</v>
      </c>
      <c r="J679" s="36" t="n">
        <f aca="false">$E679/G679-1</f>
        <v>-0.0567886121595735</v>
      </c>
      <c r="K679" s="36" t="n">
        <f aca="false">$E679/H679-1</f>
        <v>-0.146460117341586</v>
      </c>
      <c r="L679" s="37" t="n">
        <v>5.07</v>
      </c>
      <c r="M679" s="37" t="n">
        <v>1.2</v>
      </c>
      <c r="N679" s="34" t="n">
        <v>32488.56</v>
      </c>
      <c r="O679" s="34" t="n">
        <v>23300</v>
      </c>
      <c r="P679" s="38"/>
      <c r="Q679" s="38"/>
    </row>
    <row r="680" customFormat="false" ht="15" hidden="false" customHeight="false" outlineLevel="0" collapsed="false">
      <c r="A680" s="34" t="n">
        <v>672</v>
      </c>
      <c r="B680" s="35" t="s">
        <v>1427</v>
      </c>
      <c r="C680" s="35" t="s">
        <v>1428</v>
      </c>
      <c r="D680" s="35" t="s">
        <v>133</v>
      </c>
      <c r="E680" s="34" t="n">
        <v>20200</v>
      </c>
      <c r="F680" s="34" t="n">
        <v>18800</v>
      </c>
      <c r="G680" s="34" t="n">
        <v>20500</v>
      </c>
      <c r="H680" s="34" t="n">
        <v>24200</v>
      </c>
      <c r="I680" s="36" t="n">
        <f aca="false">$E680/F680-1</f>
        <v>0.074468085106383</v>
      </c>
      <c r="J680" s="36" t="n">
        <f aca="false">$E680/G680-1</f>
        <v>-0.0146341463414634</v>
      </c>
      <c r="K680" s="36" t="n">
        <f aca="false">$E680/H680-1</f>
        <v>-0.165289256198347</v>
      </c>
      <c r="L680" s="37" t="n">
        <v>11.62</v>
      </c>
      <c r="M680" s="37" t="n">
        <v>1.14</v>
      </c>
      <c r="N680" s="34" t="n">
        <v>37100</v>
      </c>
      <c r="O680" s="34" t="n">
        <v>17700</v>
      </c>
      <c r="P680" s="38"/>
      <c r="Q680" s="38"/>
    </row>
    <row r="681" customFormat="false" ht="15" hidden="false" customHeight="false" outlineLevel="0" collapsed="false">
      <c r="A681" s="34" t="n">
        <v>673</v>
      </c>
      <c r="B681" s="35" t="s">
        <v>64</v>
      </c>
      <c r="C681" s="35" t="s">
        <v>1429</v>
      </c>
      <c r="D681" s="35" t="s">
        <v>116</v>
      </c>
      <c r="E681" s="34" t="n">
        <v>22000</v>
      </c>
      <c r="F681" s="34" t="n">
        <v>21700</v>
      </c>
      <c r="G681" s="34" t="n">
        <v>23100</v>
      </c>
      <c r="H681" s="34" t="n">
        <v>23568.24</v>
      </c>
      <c r="I681" s="36" t="n">
        <f aca="false">$E681/F681-1</f>
        <v>0.0138248847926268</v>
      </c>
      <c r="J681" s="36" t="n">
        <f aca="false">$E681/G681-1</f>
        <v>-0.0476190476190477</v>
      </c>
      <c r="K681" s="36" t="n">
        <f aca="false">$E681/H681-1</f>
        <v>-0.0665403950401049</v>
      </c>
      <c r="L681" s="37" t="n">
        <v>8</v>
      </c>
      <c r="M681" s="37" t="n">
        <v>1.32</v>
      </c>
      <c r="N681" s="34" t="n">
        <v>27094.54</v>
      </c>
      <c r="O681" s="34" t="n">
        <v>20350</v>
      </c>
      <c r="P681" s="38" t="n">
        <v>13.825</v>
      </c>
      <c r="Q681" s="38" t="n">
        <v>1.58</v>
      </c>
    </row>
    <row r="682" customFormat="false" ht="15" hidden="false" customHeight="false" outlineLevel="0" collapsed="false">
      <c r="A682" s="34" t="n">
        <v>674</v>
      </c>
      <c r="B682" s="35" t="s">
        <v>1430</v>
      </c>
      <c r="C682" s="35" t="s">
        <v>1431</v>
      </c>
      <c r="D682" s="35" t="s">
        <v>116</v>
      </c>
      <c r="E682" s="34" t="n">
        <v>14050</v>
      </c>
      <c r="F682" s="34" t="n">
        <v>14000</v>
      </c>
      <c r="G682" s="34" t="n">
        <v>14800</v>
      </c>
      <c r="H682" s="34" t="n">
        <v>17550</v>
      </c>
      <c r="I682" s="36" t="n">
        <f aca="false">$E682/F682-1</f>
        <v>0.00357142857142856</v>
      </c>
      <c r="J682" s="36" t="n">
        <f aca="false">$E682/G682-1</f>
        <v>-0.0506756756756757</v>
      </c>
      <c r="K682" s="36" t="n">
        <f aca="false">$E682/H682-1</f>
        <v>-0.199430199430199</v>
      </c>
      <c r="L682" s="37" t="n">
        <v>5.02</v>
      </c>
      <c r="M682" s="37" t="n">
        <v>1.13</v>
      </c>
      <c r="N682" s="34" t="n">
        <v>18850</v>
      </c>
      <c r="O682" s="34" t="n">
        <v>13700</v>
      </c>
      <c r="P682" s="38"/>
      <c r="Q682" s="38"/>
    </row>
    <row r="683" customFormat="false" ht="15" hidden="false" customHeight="false" outlineLevel="0" collapsed="false">
      <c r="A683" s="34" t="n">
        <v>675</v>
      </c>
      <c r="B683" s="35" t="s">
        <v>1432</v>
      </c>
      <c r="C683" s="35" t="s">
        <v>1433</v>
      </c>
      <c r="D683" s="35" t="s">
        <v>111</v>
      </c>
      <c r="E683" s="34"/>
      <c r="F683" s="34"/>
      <c r="G683" s="34"/>
      <c r="H683" s="34"/>
      <c r="I683" s="36" t="e">
        <f aca="false">$E683/F683-1</f>
        <v>#DIV/0!</v>
      </c>
      <c r="J683" s="36" t="e">
        <f aca="false">$E683/G683-1</f>
        <v>#DIV/0!</v>
      </c>
      <c r="K683" s="36" t="e">
        <f aca="false">$E683/H683-1</f>
        <v>#DIV/0!</v>
      </c>
      <c r="L683" s="37"/>
      <c r="M683" s="37"/>
      <c r="N683" s="34"/>
      <c r="O683" s="34"/>
      <c r="P683" s="38"/>
      <c r="Q683" s="38"/>
    </row>
    <row r="684" customFormat="false" ht="15" hidden="false" customHeight="false" outlineLevel="0" collapsed="false">
      <c r="A684" s="34" t="n">
        <v>676</v>
      </c>
      <c r="B684" s="35" t="s">
        <v>1434</v>
      </c>
      <c r="C684" s="35" t="s">
        <v>1435</v>
      </c>
      <c r="D684" s="35" t="s">
        <v>111</v>
      </c>
      <c r="E684" s="34" t="n">
        <v>79123</v>
      </c>
      <c r="F684" s="34" t="n">
        <v>74473</v>
      </c>
      <c r="G684" s="34" t="n">
        <v>82550</v>
      </c>
      <c r="H684" s="34" t="n">
        <v>130675</v>
      </c>
      <c r="I684" s="36" t="n">
        <f aca="false">$E684/F684-1</f>
        <v>0.0624387361862688</v>
      </c>
      <c r="J684" s="36" t="n">
        <f aca="false">$E684/G684-1</f>
        <v>-0.0415142337976984</v>
      </c>
      <c r="K684" s="36" t="n">
        <f aca="false">$E684/H684-1</f>
        <v>-0.394505452458389</v>
      </c>
      <c r="L684" s="37" t="n">
        <v>19.02</v>
      </c>
      <c r="M684" s="37" t="n">
        <v>1.83</v>
      </c>
      <c r="N684" s="34" t="n">
        <v>160673.8</v>
      </c>
      <c r="O684" s="34" t="n">
        <v>69355</v>
      </c>
      <c r="P684" s="38"/>
      <c r="Q684" s="38"/>
    </row>
    <row r="685" customFormat="false" ht="15" hidden="false" customHeight="false" outlineLevel="0" collapsed="false">
      <c r="A685" s="34" t="n">
        <v>677</v>
      </c>
      <c r="B685" s="35" t="s">
        <v>1436</v>
      </c>
      <c r="C685" s="35" t="s">
        <v>1437</v>
      </c>
      <c r="D685" s="35" t="s">
        <v>111</v>
      </c>
      <c r="E685" s="34" t="n">
        <v>3900</v>
      </c>
      <c r="F685" s="34" t="n">
        <v>3900</v>
      </c>
      <c r="G685" s="34" t="n">
        <v>4600</v>
      </c>
      <c r="H685" s="34" t="n">
        <v>5300</v>
      </c>
      <c r="I685" s="36" t="n">
        <f aca="false">$E685/F685-1</f>
        <v>0</v>
      </c>
      <c r="J685" s="36" t="n">
        <f aca="false">$E685/G685-1</f>
        <v>-0.152173913043478</v>
      </c>
      <c r="K685" s="36" t="n">
        <f aca="false">$E685/H685-1</f>
        <v>-0.264150943396226</v>
      </c>
      <c r="L685" s="37" t="n">
        <v>1.85</v>
      </c>
      <c r="M685" s="37" t="n">
        <v>0.27</v>
      </c>
      <c r="N685" s="34" t="n">
        <v>7100</v>
      </c>
      <c r="O685" s="34" t="n">
        <v>3900</v>
      </c>
      <c r="P685" s="38"/>
      <c r="Q685" s="38"/>
    </row>
    <row r="686" customFormat="false" ht="15" hidden="false" customHeight="false" outlineLevel="0" collapsed="false">
      <c r="A686" s="34" t="n">
        <v>678</v>
      </c>
      <c r="B686" s="35" t="s">
        <v>1438</v>
      </c>
      <c r="C686" s="35" t="s">
        <v>1439</v>
      </c>
      <c r="D686" s="35" t="s">
        <v>111</v>
      </c>
      <c r="E686" s="34" t="n">
        <v>6500</v>
      </c>
      <c r="F686" s="34" t="n">
        <v>6600</v>
      </c>
      <c r="G686" s="34" t="n">
        <v>4700</v>
      </c>
      <c r="H686" s="34" t="n">
        <v>7000</v>
      </c>
      <c r="I686" s="36" t="n">
        <f aca="false">$E686/F686-1</f>
        <v>-0.0151515151515151</v>
      </c>
      <c r="J686" s="36" t="n">
        <f aca="false">$E686/G686-1</f>
        <v>0.382978723404255</v>
      </c>
      <c r="K686" s="36" t="n">
        <f aca="false">$E686/H686-1</f>
        <v>-0.0714285714285714</v>
      </c>
      <c r="L686" s="37" t="n">
        <v>-16.73</v>
      </c>
      <c r="M686" s="37" t="n">
        <v>0.66</v>
      </c>
      <c r="N686" s="34" t="n">
        <v>8100</v>
      </c>
      <c r="O686" s="34" t="n">
        <v>3600</v>
      </c>
      <c r="P686" s="38"/>
      <c r="Q686" s="38"/>
    </row>
    <row r="687" customFormat="false" ht="15" hidden="false" customHeight="false" outlineLevel="0" collapsed="false">
      <c r="A687" s="34" t="n">
        <v>679</v>
      </c>
      <c r="B687" s="35" t="s">
        <v>1440</v>
      </c>
      <c r="C687" s="35" t="s">
        <v>1441</v>
      </c>
      <c r="D687" s="35" t="s">
        <v>111</v>
      </c>
      <c r="E687" s="34" t="n">
        <v>7400</v>
      </c>
      <c r="F687" s="34" t="n">
        <v>5566</v>
      </c>
      <c r="G687" s="34" t="n">
        <v>5600</v>
      </c>
      <c r="H687" s="34" t="n">
        <v>6840</v>
      </c>
      <c r="I687" s="36" t="n">
        <f aca="false">$E687/F687-1</f>
        <v>0.329500538986705</v>
      </c>
      <c r="J687" s="36" t="n">
        <f aca="false">$E687/G687-1</f>
        <v>0.321428571428571</v>
      </c>
      <c r="K687" s="36" t="n">
        <f aca="false">$E687/H687-1</f>
        <v>0.0818713450292399</v>
      </c>
      <c r="L687" s="37" t="n">
        <v>11.18</v>
      </c>
      <c r="M687" s="37" t="n">
        <v>0.73</v>
      </c>
      <c r="N687" s="34" t="n">
        <v>7700</v>
      </c>
      <c r="O687" s="34" t="n">
        <v>5000</v>
      </c>
      <c r="P687" s="38"/>
      <c r="Q687" s="38"/>
    </row>
    <row r="688" customFormat="false" ht="15" hidden="false" customHeight="false" outlineLevel="0" collapsed="false">
      <c r="A688" s="34" t="n">
        <v>680</v>
      </c>
      <c r="B688" s="35" t="s">
        <v>1442</v>
      </c>
      <c r="C688" s="35" t="s">
        <v>1443</v>
      </c>
      <c r="D688" s="35" t="s">
        <v>133</v>
      </c>
      <c r="E688" s="34" t="n">
        <v>3500</v>
      </c>
      <c r="F688" s="34" t="n">
        <v>3800</v>
      </c>
      <c r="G688" s="34" t="n">
        <v>4300</v>
      </c>
      <c r="H688" s="34" t="n">
        <v>9700</v>
      </c>
      <c r="I688" s="36" t="n">
        <f aca="false">$E688/F688-1</f>
        <v>-0.0789473684210527</v>
      </c>
      <c r="J688" s="36" t="n">
        <f aca="false">$E688/G688-1</f>
        <v>-0.186046511627907</v>
      </c>
      <c r="K688" s="36" t="n">
        <f aca="false">$E688/H688-1</f>
        <v>-0.639175257731959</v>
      </c>
      <c r="L688" s="37" t="n">
        <v>-9.38</v>
      </c>
      <c r="M688" s="37" t="n">
        <v>0.33</v>
      </c>
      <c r="N688" s="34" t="n">
        <v>13600</v>
      </c>
      <c r="O688" s="34" t="n">
        <v>3500</v>
      </c>
      <c r="P688" s="38"/>
      <c r="Q688" s="38"/>
    </row>
    <row r="689" customFormat="false" ht="15" hidden="false" customHeight="false" outlineLevel="0" collapsed="false">
      <c r="A689" s="34" t="n">
        <v>681</v>
      </c>
      <c r="B689" s="35" t="s">
        <v>1444</v>
      </c>
      <c r="C689" s="35" t="s">
        <v>1445</v>
      </c>
      <c r="D689" s="35" t="s">
        <v>116</v>
      </c>
      <c r="E689" s="34" t="n">
        <v>7270</v>
      </c>
      <c r="F689" s="34" t="n">
        <v>6860</v>
      </c>
      <c r="G689" s="34" t="n">
        <v>6950</v>
      </c>
      <c r="H689" s="34" t="n">
        <v>8700</v>
      </c>
      <c r="I689" s="36" t="n">
        <f aca="false">$E689/F689-1</f>
        <v>0.0597667638483965</v>
      </c>
      <c r="J689" s="36" t="n">
        <f aca="false">$E689/G689-1</f>
        <v>0.0460431654676259</v>
      </c>
      <c r="K689" s="36" t="n">
        <f aca="false">$E689/H689-1</f>
        <v>-0.164367816091954</v>
      </c>
      <c r="L689" s="37" t="n">
        <v>-89.5</v>
      </c>
      <c r="M689" s="37" t="n">
        <v>0.42</v>
      </c>
      <c r="N689" s="34" t="n">
        <v>13900</v>
      </c>
      <c r="O689" s="34" t="n">
        <v>6140</v>
      </c>
      <c r="P689" s="38"/>
      <c r="Q689" s="38"/>
    </row>
    <row r="690" customFormat="false" ht="15" hidden="false" customHeight="false" outlineLevel="0" collapsed="false">
      <c r="A690" s="34" t="n">
        <v>682</v>
      </c>
      <c r="B690" s="35" t="s">
        <v>1446</v>
      </c>
      <c r="C690" s="35" t="s">
        <v>1447</v>
      </c>
      <c r="D690" s="35" t="s">
        <v>111</v>
      </c>
      <c r="E690" s="34" t="n">
        <v>400</v>
      </c>
      <c r="F690" s="34" t="n">
        <v>400</v>
      </c>
      <c r="G690" s="34" t="n">
        <v>400</v>
      </c>
      <c r="H690" s="34" t="n">
        <v>400</v>
      </c>
      <c r="I690" s="36" t="n">
        <f aca="false">$E690/F690-1</f>
        <v>0</v>
      </c>
      <c r="J690" s="36" t="n">
        <f aca="false">$E690/G690-1</f>
        <v>0</v>
      </c>
      <c r="K690" s="36" t="n">
        <f aca="false">$E690/H690-1</f>
        <v>0</v>
      </c>
      <c r="L690" s="37" t="n">
        <v>-0.1</v>
      </c>
      <c r="M690" s="37" t="n">
        <v>-0.01</v>
      </c>
      <c r="N690" s="34" t="n">
        <v>400</v>
      </c>
      <c r="O690" s="34" t="n">
        <v>400</v>
      </c>
      <c r="P690" s="38"/>
      <c r="Q690" s="38"/>
    </row>
    <row r="691" customFormat="false" ht="15" hidden="false" customHeight="false" outlineLevel="0" collapsed="false">
      <c r="A691" s="34" t="n">
        <v>683</v>
      </c>
      <c r="B691" s="35" t="s">
        <v>1448</v>
      </c>
      <c r="C691" s="35" t="s">
        <v>1449</v>
      </c>
      <c r="D691" s="35" t="s">
        <v>116</v>
      </c>
      <c r="E691" s="34" t="n">
        <v>19700</v>
      </c>
      <c r="F691" s="34" t="n">
        <v>19800</v>
      </c>
      <c r="G691" s="34" t="n">
        <v>21850</v>
      </c>
      <c r="H691" s="34" t="n">
        <v>22500</v>
      </c>
      <c r="I691" s="36" t="n">
        <f aca="false">$E691/F691-1</f>
        <v>-0.00505050505050508</v>
      </c>
      <c r="J691" s="36" t="n">
        <f aca="false">$E691/G691-1</f>
        <v>-0.0983981693363845</v>
      </c>
      <c r="K691" s="36" t="n">
        <f aca="false">$E691/H691-1</f>
        <v>-0.124444444444444</v>
      </c>
      <c r="L691" s="37" t="n">
        <v>6.47</v>
      </c>
      <c r="M691" s="37" t="n">
        <v>0.93</v>
      </c>
      <c r="N691" s="34" t="n">
        <v>28007.3</v>
      </c>
      <c r="O691" s="34" t="n">
        <v>19650</v>
      </c>
      <c r="P691" s="38"/>
      <c r="Q691" s="38"/>
    </row>
    <row r="692" customFormat="false" ht="15" hidden="false" customHeight="false" outlineLevel="0" collapsed="false">
      <c r="A692" s="34" t="n">
        <v>684</v>
      </c>
      <c r="B692" s="35" t="s">
        <v>1450</v>
      </c>
      <c r="C692" s="35" t="s">
        <v>1451</v>
      </c>
      <c r="D692" s="35" t="s">
        <v>111</v>
      </c>
      <c r="E692" s="34" t="n">
        <v>33292</v>
      </c>
      <c r="F692" s="34" t="n">
        <v>33167</v>
      </c>
      <c r="G692" s="34" t="n">
        <v>36700</v>
      </c>
      <c r="H692" s="34" t="n">
        <v>37550</v>
      </c>
      <c r="I692" s="36" t="n">
        <f aca="false">$E692/F692-1</f>
        <v>0.00376880634365473</v>
      </c>
      <c r="J692" s="36" t="n">
        <f aca="false">$E692/G692-1</f>
        <v>-0.0928610354223434</v>
      </c>
      <c r="K692" s="36" t="n">
        <f aca="false">$E692/H692-1</f>
        <v>-0.113395472703063</v>
      </c>
      <c r="L692" s="37" t="n">
        <v>6.06</v>
      </c>
      <c r="M692" s="37" t="n">
        <v>1.88</v>
      </c>
      <c r="N692" s="34" t="n">
        <v>46400</v>
      </c>
      <c r="O692" s="34" t="n">
        <v>31200</v>
      </c>
      <c r="P692" s="38"/>
      <c r="Q692" s="38"/>
    </row>
    <row r="693" customFormat="false" ht="15" hidden="false" customHeight="false" outlineLevel="0" collapsed="false">
      <c r="A693" s="34" t="n">
        <v>685</v>
      </c>
      <c r="B693" s="35" t="s">
        <v>45</v>
      </c>
      <c r="C693" s="35" t="s">
        <v>1452</v>
      </c>
      <c r="D693" s="35" t="s">
        <v>133</v>
      </c>
      <c r="E693" s="34" t="n">
        <v>33600</v>
      </c>
      <c r="F693" s="34" t="n">
        <v>32600</v>
      </c>
      <c r="G693" s="34" t="n">
        <v>35514.82</v>
      </c>
      <c r="H693" s="34" t="n">
        <v>31762.64</v>
      </c>
      <c r="I693" s="36" t="n">
        <f aca="false">$E693/F693-1</f>
        <v>0.0306748466257669</v>
      </c>
      <c r="J693" s="36" t="n">
        <f aca="false">$E693/G693-1</f>
        <v>-0.0539160834828953</v>
      </c>
      <c r="K693" s="36" t="n">
        <f aca="false">$E693/H693-1</f>
        <v>0.0578465769847847</v>
      </c>
      <c r="L693" s="37" t="n">
        <v>6.46</v>
      </c>
      <c r="M693" s="37" t="n">
        <v>2.07</v>
      </c>
      <c r="N693" s="34" t="n">
        <v>45200.68</v>
      </c>
      <c r="O693" s="34" t="n">
        <v>28127.13</v>
      </c>
      <c r="P693" s="38" t="n">
        <v>9.915</v>
      </c>
      <c r="Q693" s="38" t="n">
        <v>3.21</v>
      </c>
    </row>
    <row r="694" customFormat="false" ht="15" hidden="false" customHeight="false" outlineLevel="0" collapsed="false">
      <c r="A694" s="34" t="n">
        <v>686</v>
      </c>
      <c r="B694" s="35" t="s">
        <v>1453</v>
      </c>
      <c r="C694" s="35" t="s">
        <v>1454</v>
      </c>
      <c r="D694" s="35" t="s">
        <v>111</v>
      </c>
      <c r="E694" s="34" t="n">
        <v>900</v>
      </c>
      <c r="F694" s="34" t="n">
        <v>900</v>
      </c>
      <c r="G694" s="34" t="n">
        <v>900</v>
      </c>
      <c r="H694" s="34" t="n">
        <v>1400</v>
      </c>
      <c r="I694" s="36" t="n">
        <f aca="false">$E694/F694-1</f>
        <v>0</v>
      </c>
      <c r="J694" s="36" t="n">
        <f aca="false">$E694/G694-1</f>
        <v>0</v>
      </c>
      <c r="K694" s="36" t="n">
        <f aca="false">$E694/H694-1</f>
        <v>-0.357142857142857</v>
      </c>
      <c r="L694" s="37" t="n">
        <v>-0.74</v>
      </c>
      <c r="M694" s="37" t="n">
        <v>0.1</v>
      </c>
      <c r="N694" s="34" t="n">
        <v>2407</v>
      </c>
      <c r="O694" s="34" t="n">
        <v>900</v>
      </c>
      <c r="P694" s="38"/>
      <c r="Q694" s="38"/>
    </row>
    <row r="695" customFormat="false" ht="15" hidden="false" customHeight="false" outlineLevel="0" collapsed="false">
      <c r="A695" s="34" t="n">
        <v>687</v>
      </c>
      <c r="B695" s="35" t="s">
        <v>1455</v>
      </c>
      <c r="C695" s="35" t="s">
        <v>1456</v>
      </c>
      <c r="D695" s="35" t="s">
        <v>111</v>
      </c>
      <c r="E695" s="34" t="n">
        <v>39700</v>
      </c>
      <c r="F695" s="34" t="n">
        <v>39701.45</v>
      </c>
      <c r="G695" s="34" t="n">
        <v>39701.45</v>
      </c>
      <c r="H695" s="34" t="n">
        <v>34523</v>
      </c>
      <c r="I695" s="36" t="n">
        <f aca="false">$E695/F695-1</f>
        <v>-3.65225955222259E-005</v>
      </c>
      <c r="J695" s="36" t="n">
        <f aca="false">$E695/G695-1</f>
        <v>-3.65225955222259E-005</v>
      </c>
      <c r="K695" s="36" t="n">
        <f aca="false">$E695/H695-1</f>
        <v>0.149957999015149</v>
      </c>
      <c r="L695" s="37" t="n">
        <v>3.1</v>
      </c>
      <c r="M695" s="37" t="n">
        <v>0.68</v>
      </c>
      <c r="N695" s="34" t="n">
        <v>47853.81</v>
      </c>
      <c r="O695" s="34" t="n">
        <v>34223.29</v>
      </c>
      <c r="P695" s="38"/>
      <c r="Q695" s="38"/>
    </row>
    <row r="696" customFormat="false" ht="15" hidden="false" customHeight="false" outlineLevel="0" collapsed="false">
      <c r="A696" s="34" t="n">
        <v>688</v>
      </c>
      <c r="B696" s="35" t="s">
        <v>1457</v>
      </c>
      <c r="C696" s="35" t="s">
        <v>1458</v>
      </c>
      <c r="D696" s="35" t="s">
        <v>111</v>
      </c>
      <c r="E696" s="34" t="n">
        <v>4900</v>
      </c>
      <c r="F696" s="34" t="n">
        <v>4900</v>
      </c>
      <c r="G696" s="34" t="n">
        <v>4899.96</v>
      </c>
      <c r="H696" s="34" t="n">
        <v>9436.96</v>
      </c>
      <c r="I696" s="36" t="n">
        <f aca="false">$E696/F696-1</f>
        <v>0</v>
      </c>
      <c r="J696" s="36" t="n">
        <f aca="false">$E696/G696-1</f>
        <v>8.16333194553209E-006</v>
      </c>
      <c r="K696" s="36" t="n">
        <f aca="false">$E696/H696-1</f>
        <v>-0.480764992116105</v>
      </c>
      <c r="L696" s="37" t="n">
        <v>5.18</v>
      </c>
      <c r="M696" s="37" t="n">
        <v>0.39</v>
      </c>
      <c r="N696" s="34" t="n">
        <v>9436.96</v>
      </c>
      <c r="O696" s="34" t="n">
        <v>4899.96</v>
      </c>
      <c r="P696" s="38"/>
      <c r="Q696" s="38"/>
    </row>
    <row r="697" customFormat="false" ht="15" hidden="false" customHeight="false" outlineLevel="0" collapsed="false">
      <c r="A697" s="34" t="n">
        <v>689</v>
      </c>
      <c r="B697" s="35" t="s">
        <v>1459</v>
      </c>
      <c r="C697" s="35" t="s">
        <v>1460</v>
      </c>
      <c r="D697" s="35" t="s">
        <v>116</v>
      </c>
      <c r="E697" s="34" t="n">
        <v>27450</v>
      </c>
      <c r="F697" s="34" t="n">
        <v>27350</v>
      </c>
      <c r="G697" s="34" t="n">
        <v>27900</v>
      </c>
      <c r="H697" s="34" t="n">
        <v>28300</v>
      </c>
      <c r="I697" s="36" t="n">
        <f aca="false">$E697/F697-1</f>
        <v>0.00365630712979881</v>
      </c>
      <c r="J697" s="36" t="n">
        <f aca="false">$E697/G697-1</f>
        <v>-0.0161290322580645</v>
      </c>
      <c r="K697" s="36" t="n">
        <f aca="false">$E697/H697-1</f>
        <v>-0.0300353356890459</v>
      </c>
      <c r="L697" s="37" t="n">
        <v>79.44</v>
      </c>
      <c r="M697" s="37" t="n">
        <v>2.04</v>
      </c>
      <c r="N697" s="34" t="n">
        <v>30500</v>
      </c>
      <c r="O697" s="34" t="n">
        <v>26800</v>
      </c>
      <c r="P697" s="38"/>
      <c r="Q697" s="38"/>
    </row>
    <row r="698" customFormat="false" ht="15" hidden="false" customHeight="false" outlineLevel="0" collapsed="false">
      <c r="A698" s="34" t="n">
        <v>690</v>
      </c>
      <c r="B698" s="35" t="s">
        <v>1461</v>
      </c>
      <c r="C698" s="35" t="s">
        <v>1462</v>
      </c>
      <c r="D698" s="35" t="s">
        <v>116</v>
      </c>
      <c r="E698" s="34" t="n">
        <v>10700</v>
      </c>
      <c r="F698" s="34" t="n">
        <v>10700</v>
      </c>
      <c r="G698" s="34" t="n">
        <v>10800</v>
      </c>
      <c r="H698" s="34" t="n">
        <v>9000</v>
      </c>
      <c r="I698" s="36" t="n">
        <f aca="false">$E698/F698-1</f>
        <v>0</v>
      </c>
      <c r="J698" s="36" t="n">
        <f aca="false">$E698/G698-1</f>
        <v>-0.0092592592592593</v>
      </c>
      <c r="K698" s="36" t="n">
        <f aca="false">$E698/H698-1</f>
        <v>0.188888888888889</v>
      </c>
      <c r="L698" s="37" t="n">
        <v>10.91</v>
      </c>
      <c r="M698" s="37" t="n">
        <v>1.51</v>
      </c>
      <c r="N698" s="34" t="n">
        <v>16600</v>
      </c>
      <c r="O698" s="34" t="n">
        <v>8280</v>
      </c>
      <c r="P698" s="38"/>
      <c r="Q698" s="38"/>
    </row>
    <row r="699" customFormat="false" ht="15" hidden="false" customHeight="false" outlineLevel="0" collapsed="false">
      <c r="A699" s="34" t="n">
        <v>691</v>
      </c>
      <c r="B699" s="35" t="s">
        <v>1463</v>
      </c>
      <c r="C699" s="35" t="s">
        <v>1464</v>
      </c>
      <c r="D699" s="35" t="s">
        <v>111</v>
      </c>
      <c r="E699" s="34" t="n">
        <v>14500</v>
      </c>
      <c r="F699" s="34" t="n">
        <v>15100</v>
      </c>
      <c r="G699" s="34" t="n">
        <v>12800</v>
      </c>
      <c r="H699" s="34" t="n">
        <v>12606.74</v>
      </c>
      <c r="I699" s="36" t="n">
        <f aca="false">$E699/F699-1</f>
        <v>-0.0397350993377483</v>
      </c>
      <c r="J699" s="36" t="n">
        <f aca="false">$E699/G699-1</f>
        <v>0.1328125</v>
      </c>
      <c r="K699" s="36" t="n">
        <f aca="false">$E699/H699-1</f>
        <v>0.150178396635451</v>
      </c>
      <c r="L699" s="37" t="n">
        <v>9.17</v>
      </c>
      <c r="M699" s="37" t="n">
        <v>0.75</v>
      </c>
      <c r="N699" s="34" t="n">
        <v>15600</v>
      </c>
      <c r="O699" s="34" t="n">
        <v>8741.9</v>
      </c>
      <c r="P699" s="38"/>
      <c r="Q699" s="38"/>
    </row>
    <row r="700" customFormat="false" ht="15" hidden="false" customHeight="false" outlineLevel="0" collapsed="false">
      <c r="A700" s="34" t="n">
        <v>692</v>
      </c>
      <c r="B700" s="35" t="s">
        <v>1465</v>
      </c>
      <c r="C700" s="35" t="s">
        <v>1466</v>
      </c>
      <c r="D700" s="35" t="s">
        <v>133</v>
      </c>
      <c r="E700" s="34" t="n">
        <v>16000</v>
      </c>
      <c r="F700" s="34" t="n">
        <v>15000</v>
      </c>
      <c r="G700" s="34" t="n">
        <v>13900</v>
      </c>
      <c r="H700" s="34" t="n">
        <v>13200</v>
      </c>
      <c r="I700" s="36" t="n">
        <f aca="false">$E700/F700-1</f>
        <v>0.0666666666666667</v>
      </c>
      <c r="J700" s="36" t="n">
        <f aca="false">$E700/G700-1</f>
        <v>0.151079136690647</v>
      </c>
      <c r="K700" s="36" t="n">
        <f aca="false">$E700/H700-1</f>
        <v>0.212121212121212</v>
      </c>
      <c r="L700" s="37" t="n">
        <v>6.53</v>
      </c>
      <c r="M700" s="37" t="n">
        <v>1.23</v>
      </c>
      <c r="N700" s="34" t="n">
        <v>16400</v>
      </c>
      <c r="O700" s="34" t="n">
        <v>10300</v>
      </c>
      <c r="P700" s="38"/>
      <c r="Q700" s="38"/>
    </row>
    <row r="701" customFormat="false" ht="15" hidden="false" customHeight="false" outlineLevel="0" collapsed="false">
      <c r="A701" s="34" t="n">
        <v>693</v>
      </c>
      <c r="B701" s="35" t="s">
        <v>1467</v>
      </c>
      <c r="C701" s="35" t="s">
        <v>1468</v>
      </c>
      <c r="D701" s="35" t="s">
        <v>111</v>
      </c>
      <c r="E701" s="34" t="n">
        <v>27400</v>
      </c>
      <c r="F701" s="34" t="n">
        <v>27400</v>
      </c>
      <c r="G701" s="34" t="n">
        <v>27450</v>
      </c>
      <c r="H701" s="34" t="n">
        <v>30800</v>
      </c>
      <c r="I701" s="36" t="n">
        <f aca="false">$E701/F701-1</f>
        <v>0</v>
      </c>
      <c r="J701" s="36" t="n">
        <f aca="false">$E701/G701-1</f>
        <v>-0.00182149362477235</v>
      </c>
      <c r="K701" s="36" t="n">
        <f aca="false">$E701/H701-1</f>
        <v>-0.11038961038961</v>
      </c>
      <c r="L701" s="37" t="n">
        <v>13.75</v>
      </c>
      <c r="M701" s="37" t="n">
        <v>1.2</v>
      </c>
      <c r="N701" s="34" t="n">
        <v>32000</v>
      </c>
      <c r="O701" s="34" t="n">
        <v>26000</v>
      </c>
      <c r="P701" s="38"/>
      <c r="Q701" s="38"/>
    </row>
    <row r="702" customFormat="false" ht="15" hidden="false" customHeight="false" outlineLevel="0" collapsed="false">
      <c r="A702" s="34" t="n">
        <v>694</v>
      </c>
      <c r="B702" s="35" t="s">
        <v>1469</v>
      </c>
      <c r="C702" s="35" t="s">
        <v>1470</v>
      </c>
      <c r="D702" s="35" t="s">
        <v>111</v>
      </c>
      <c r="E702" s="34" t="n">
        <v>11462</v>
      </c>
      <c r="F702" s="34" t="n">
        <v>10367</v>
      </c>
      <c r="G702" s="34" t="n">
        <v>12139</v>
      </c>
      <c r="H702" s="34" t="n">
        <v>15540</v>
      </c>
      <c r="I702" s="36" t="n">
        <f aca="false">$E702/F702-1</f>
        <v>0.105623613388637</v>
      </c>
      <c r="J702" s="36" t="n">
        <f aca="false">$E702/G702-1</f>
        <v>-0.055770656561496</v>
      </c>
      <c r="K702" s="36" t="n">
        <f aca="false">$E702/H702-1</f>
        <v>-0.262419562419562</v>
      </c>
      <c r="L702" s="37" t="n">
        <v>1294.35</v>
      </c>
      <c r="M702" s="37" t="n">
        <v>1.15</v>
      </c>
      <c r="N702" s="34" t="n">
        <v>20681</v>
      </c>
      <c r="O702" s="34" t="n">
        <v>10135</v>
      </c>
      <c r="P702" s="38"/>
      <c r="Q702" s="38"/>
    </row>
    <row r="703" customFormat="false" ht="15" hidden="false" customHeight="false" outlineLevel="0" collapsed="false">
      <c r="A703" s="34" t="n">
        <v>695</v>
      </c>
      <c r="B703" s="35" t="s">
        <v>1471</v>
      </c>
      <c r="C703" s="35" t="s">
        <v>1472</v>
      </c>
      <c r="D703" s="35" t="s">
        <v>116</v>
      </c>
      <c r="E703" s="34" t="n">
        <v>28000</v>
      </c>
      <c r="F703" s="34" t="n">
        <v>27400</v>
      </c>
      <c r="G703" s="34" t="n">
        <v>28650</v>
      </c>
      <c r="H703" s="34" t="n">
        <v>28850</v>
      </c>
      <c r="I703" s="36" t="n">
        <f aca="false">$E703/F703-1</f>
        <v>0.0218978102189782</v>
      </c>
      <c r="J703" s="36" t="n">
        <f aca="false">$E703/G703-1</f>
        <v>-0.0226876090750436</v>
      </c>
      <c r="K703" s="36" t="n">
        <f aca="false">$E703/H703-1</f>
        <v>-0.0294627383015598</v>
      </c>
      <c r="L703" s="37" t="n">
        <v>5</v>
      </c>
      <c r="M703" s="37" t="n">
        <v>0.74</v>
      </c>
      <c r="N703" s="34" t="n">
        <v>33900</v>
      </c>
      <c r="O703" s="34" t="n">
        <v>26800</v>
      </c>
      <c r="P703" s="38"/>
      <c r="Q703" s="38"/>
    </row>
    <row r="704" customFormat="false" ht="15" hidden="false" customHeight="false" outlineLevel="0" collapsed="false">
      <c r="A704" s="34" t="n">
        <v>696</v>
      </c>
      <c r="B704" s="35" t="s">
        <v>1473</v>
      </c>
      <c r="C704" s="35" t="s">
        <v>1474</v>
      </c>
      <c r="D704" s="35" t="s">
        <v>116</v>
      </c>
      <c r="E704" s="34" t="n">
        <v>127500</v>
      </c>
      <c r="F704" s="34" t="n">
        <v>127500</v>
      </c>
      <c r="G704" s="34" t="n">
        <v>131600</v>
      </c>
      <c r="H704" s="34" t="n">
        <v>156400</v>
      </c>
      <c r="I704" s="36" t="n">
        <f aca="false">$E704/F704-1</f>
        <v>0</v>
      </c>
      <c r="J704" s="36" t="n">
        <f aca="false">$E704/G704-1</f>
        <v>-0.0311550151975684</v>
      </c>
      <c r="K704" s="36" t="n">
        <f aca="false">$E704/H704-1</f>
        <v>-0.184782608695652</v>
      </c>
      <c r="L704" s="37" t="n">
        <v>9.44</v>
      </c>
      <c r="M704" s="37" t="n">
        <v>2.11</v>
      </c>
      <c r="N704" s="34" t="n">
        <v>169736.74</v>
      </c>
      <c r="O704" s="34" t="n">
        <v>126000</v>
      </c>
      <c r="P704" s="38"/>
      <c r="Q704" s="38"/>
    </row>
    <row r="705" customFormat="false" ht="15" hidden="false" customHeight="false" outlineLevel="0" collapsed="false">
      <c r="A705" s="34" t="n">
        <v>697</v>
      </c>
      <c r="B705" s="35" t="s">
        <v>1475</v>
      </c>
      <c r="C705" s="35" t="s">
        <v>1476</v>
      </c>
      <c r="D705" s="35" t="s">
        <v>133</v>
      </c>
      <c r="E705" s="34" t="n">
        <v>4500</v>
      </c>
      <c r="F705" s="34" t="n">
        <v>4500</v>
      </c>
      <c r="G705" s="34" t="n">
        <v>4600</v>
      </c>
      <c r="H705" s="34" t="n">
        <v>5500</v>
      </c>
      <c r="I705" s="36" t="n">
        <f aca="false">$E705/F705-1</f>
        <v>0</v>
      </c>
      <c r="J705" s="36" t="n">
        <f aca="false">$E705/G705-1</f>
        <v>-0.0217391304347826</v>
      </c>
      <c r="K705" s="36" t="n">
        <f aca="false">$E705/H705-1</f>
        <v>-0.181818181818182</v>
      </c>
      <c r="L705" s="37" t="n">
        <v>-2.26</v>
      </c>
      <c r="M705" s="37" t="n">
        <v>0.43</v>
      </c>
      <c r="N705" s="34" t="n">
        <v>6100</v>
      </c>
      <c r="O705" s="34" t="n">
        <v>4200</v>
      </c>
      <c r="P705" s="38"/>
      <c r="Q705" s="38"/>
    </row>
    <row r="706" customFormat="false" ht="15" hidden="false" customHeight="false" outlineLevel="0" collapsed="false">
      <c r="A706" s="34" t="n">
        <v>698</v>
      </c>
      <c r="B706" s="35" t="s">
        <v>1477</v>
      </c>
      <c r="C706" s="35" t="s">
        <v>1478</v>
      </c>
      <c r="D706" s="35" t="s">
        <v>133</v>
      </c>
      <c r="E706" s="34" t="n">
        <v>18000</v>
      </c>
      <c r="F706" s="34" t="n">
        <v>18000</v>
      </c>
      <c r="G706" s="34" t="n">
        <v>19399.15</v>
      </c>
      <c r="H706" s="34" t="n">
        <v>25550.1</v>
      </c>
      <c r="I706" s="36" t="n">
        <f aca="false">$E706/F706-1</f>
        <v>0</v>
      </c>
      <c r="J706" s="36" t="n">
        <f aca="false">$E706/G706-1</f>
        <v>-0.0721242941056697</v>
      </c>
      <c r="K706" s="36" t="n">
        <f aca="false">$E706/H706-1</f>
        <v>-0.295501778858008</v>
      </c>
      <c r="L706" s="37" t="n">
        <v>12.96</v>
      </c>
      <c r="M706" s="37" t="n">
        <v>1.61</v>
      </c>
      <c r="N706" s="34" t="n">
        <v>28578.26</v>
      </c>
      <c r="O706" s="34" t="n">
        <v>17033.4</v>
      </c>
      <c r="P706" s="38"/>
      <c r="Q706" s="38"/>
    </row>
    <row r="707" customFormat="false" ht="15" hidden="false" customHeight="false" outlineLevel="0" collapsed="false">
      <c r="A707" s="34" t="n">
        <v>699</v>
      </c>
      <c r="B707" s="35" t="s">
        <v>1479</v>
      </c>
      <c r="C707" s="35" t="s">
        <v>1480</v>
      </c>
      <c r="D707" s="35" t="s">
        <v>133</v>
      </c>
      <c r="E707" s="34" t="n">
        <v>6500</v>
      </c>
      <c r="F707" s="34" t="n">
        <v>6400</v>
      </c>
      <c r="G707" s="34" t="n">
        <v>7900</v>
      </c>
      <c r="H707" s="34" t="n">
        <v>6100</v>
      </c>
      <c r="I707" s="36" t="n">
        <f aca="false">$E707/F707-1</f>
        <v>0.015625</v>
      </c>
      <c r="J707" s="36" t="n">
        <f aca="false">$E707/G707-1</f>
        <v>-0.177215189873418</v>
      </c>
      <c r="K707" s="36" t="n">
        <f aca="false">$E707/H707-1</f>
        <v>0.0655737704918034</v>
      </c>
      <c r="L707" s="37" t="n">
        <v>12.05</v>
      </c>
      <c r="M707" s="37" t="n">
        <v>0.79</v>
      </c>
      <c r="N707" s="34" t="n">
        <v>9600</v>
      </c>
      <c r="O707" s="34" t="n">
        <v>5400</v>
      </c>
      <c r="P707" s="38"/>
      <c r="Q707" s="38"/>
    </row>
    <row r="708" customFormat="false" ht="15" hidden="false" customHeight="false" outlineLevel="0" collapsed="false">
      <c r="A708" s="34" t="n">
        <v>700</v>
      </c>
      <c r="B708" s="35" t="s">
        <v>1481</v>
      </c>
      <c r="C708" s="35" t="s">
        <v>1482</v>
      </c>
      <c r="D708" s="35" t="s">
        <v>111</v>
      </c>
      <c r="E708" s="34" t="n">
        <v>9300</v>
      </c>
      <c r="F708" s="34" t="n">
        <v>9300</v>
      </c>
      <c r="G708" s="34" t="n">
        <v>10400</v>
      </c>
      <c r="H708" s="34" t="n">
        <v>11700</v>
      </c>
      <c r="I708" s="36" t="n">
        <f aca="false">$E708/F708-1</f>
        <v>0</v>
      </c>
      <c r="J708" s="36" t="n">
        <f aca="false">$E708/G708-1</f>
        <v>-0.105769230769231</v>
      </c>
      <c r="K708" s="36" t="n">
        <f aca="false">$E708/H708-1</f>
        <v>-0.205128205128205</v>
      </c>
      <c r="L708" s="37" t="n">
        <v>38.42</v>
      </c>
      <c r="M708" s="37" t="n">
        <v>0.88</v>
      </c>
      <c r="N708" s="34" t="n">
        <v>13000</v>
      </c>
      <c r="O708" s="34" t="n">
        <v>8613.87</v>
      </c>
      <c r="P708" s="38"/>
      <c r="Q708" s="38"/>
    </row>
    <row r="709" customFormat="false" ht="15" hidden="false" customHeight="false" outlineLevel="0" collapsed="false">
      <c r="A709" s="34" t="n">
        <v>701</v>
      </c>
      <c r="B709" s="35" t="s">
        <v>1483</v>
      </c>
      <c r="C709" s="35" t="s">
        <v>1484</v>
      </c>
      <c r="D709" s="35" t="s">
        <v>133</v>
      </c>
      <c r="E709" s="34" t="n">
        <v>62900</v>
      </c>
      <c r="F709" s="34" t="n">
        <v>56700</v>
      </c>
      <c r="G709" s="34" t="n">
        <v>51800</v>
      </c>
      <c r="H709" s="34" t="n">
        <v>50863.35</v>
      </c>
      <c r="I709" s="36" t="n">
        <f aca="false">$E709/F709-1</f>
        <v>0.109347442680776</v>
      </c>
      <c r="J709" s="36" t="n">
        <f aca="false">$E709/G709-1</f>
        <v>0.214285714285714</v>
      </c>
      <c r="K709" s="36" t="n">
        <f aca="false">$E709/H709-1</f>
        <v>0.236646819369939</v>
      </c>
      <c r="L709" s="37" t="n">
        <v>23.14</v>
      </c>
      <c r="M709" s="37" t="n">
        <v>3.14</v>
      </c>
      <c r="N709" s="34" t="n">
        <v>64500</v>
      </c>
      <c r="O709" s="34" t="n">
        <v>40959.9</v>
      </c>
      <c r="P709" s="38"/>
      <c r="Q709" s="38"/>
    </row>
    <row r="710" customFormat="false" ht="15" hidden="false" customHeight="false" outlineLevel="0" collapsed="false">
      <c r="A710" s="34" t="n">
        <v>702</v>
      </c>
      <c r="B710" s="35" t="s">
        <v>1485</v>
      </c>
      <c r="C710" s="35" t="s">
        <v>1486</v>
      </c>
      <c r="D710" s="35" t="s">
        <v>116</v>
      </c>
      <c r="E710" s="34" t="n">
        <v>37850</v>
      </c>
      <c r="F710" s="34" t="n">
        <v>38850</v>
      </c>
      <c r="G710" s="34" t="n">
        <v>33850</v>
      </c>
      <c r="H710" s="34" t="n">
        <v>38900</v>
      </c>
      <c r="I710" s="36" t="n">
        <f aca="false">$E710/F710-1</f>
        <v>-0.0257400257400258</v>
      </c>
      <c r="J710" s="36" t="n">
        <f aca="false">$E710/G710-1</f>
        <v>0.118168389955687</v>
      </c>
      <c r="K710" s="36" t="n">
        <f aca="false">$E710/H710-1</f>
        <v>-0.0269922879177378</v>
      </c>
      <c r="L710" s="37" t="n">
        <v>10.64</v>
      </c>
      <c r="M710" s="37" t="n">
        <v>1.36</v>
      </c>
      <c r="N710" s="34" t="n">
        <v>44450</v>
      </c>
      <c r="O710" s="34" t="n">
        <v>24250</v>
      </c>
      <c r="P710" s="38"/>
      <c r="Q710" s="38"/>
    </row>
    <row r="711" customFormat="false" ht="15" hidden="false" customHeight="false" outlineLevel="0" collapsed="false">
      <c r="A711" s="34" t="n">
        <v>703</v>
      </c>
      <c r="B711" s="35" t="s">
        <v>1487</v>
      </c>
      <c r="C711" s="35" t="s">
        <v>1488</v>
      </c>
      <c r="D711" s="35" t="s">
        <v>111</v>
      </c>
      <c r="E711" s="34" t="n">
        <v>14000</v>
      </c>
      <c r="F711" s="34" t="n">
        <v>14000</v>
      </c>
      <c r="G711" s="34" t="n">
        <v>15900</v>
      </c>
      <c r="H711" s="34" t="n">
        <v>16217.92</v>
      </c>
      <c r="I711" s="36" t="n">
        <f aca="false">$E711/F711-1</f>
        <v>0</v>
      </c>
      <c r="J711" s="36" t="n">
        <f aca="false">$E711/G711-1</f>
        <v>-0.119496855345912</v>
      </c>
      <c r="K711" s="36" t="n">
        <f aca="false">$E711/H711-1</f>
        <v>-0.136757364692883</v>
      </c>
      <c r="L711" s="37" t="n">
        <v>37.24</v>
      </c>
      <c r="M711" s="37" t="n">
        <v>0.67</v>
      </c>
      <c r="N711" s="34" t="n">
        <v>18036.66</v>
      </c>
      <c r="O711" s="34" t="n">
        <v>12726.66</v>
      </c>
      <c r="P711" s="38"/>
      <c r="Q711" s="38"/>
    </row>
    <row r="712" customFormat="false" ht="15" hidden="false" customHeight="false" outlineLevel="0" collapsed="false">
      <c r="A712" s="34" t="n">
        <v>704</v>
      </c>
      <c r="B712" s="35" t="s">
        <v>1489</v>
      </c>
      <c r="C712" s="35" t="s">
        <v>1490</v>
      </c>
      <c r="D712" s="35" t="s">
        <v>111</v>
      </c>
      <c r="E712" s="34" t="n">
        <v>4000</v>
      </c>
      <c r="F712" s="34" t="n">
        <v>4200</v>
      </c>
      <c r="G712" s="34" t="n">
        <v>4100</v>
      </c>
      <c r="H712" s="34" t="n">
        <v>3300</v>
      </c>
      <c r="I712" s="36" t="n">
        <f aca="false">$E712/F712-1</f>
        <v>-0.0476190476190477</v>
      </c>
      <c r="J712" s="36" t="n">
        <f aca="false">$E712/G712-1</f>
        <v>-0.024390243902439</v>
      </c>
      <c r="K712" s="36" t="n">
        <f aca="false">$E712/H712-1</f>
        <v>0.212121212121212</v>
      </c>
      <c r="L712" s="37"/>
      <c r="M712" s="37"/>
      <c r="N712" s="34" t="n">
        <v>4600</v>
      </c>
      <c r="O712" s="34" t="n">
        <v>3100</v>
      </c>
      <c r="P712" s="38"/>
      <c r="Q712" s="38"/>
    </row>
    <row r="713" customFormat="false" ht="15" hidden="false" customHeight="false" outlineLevel="0" collapsed="false">
      <c r="A713" s="34" t="n">
        <v>705</v>
      </c>
      <c r="B713" s="35" t="s">
        <v>1491</v>
      </c>
      <c r="C713" s="35" t="s">
        <v>1492</v>
      </c>
      <c r="D713" s="35" t="s">
        <v>111</v>
      </c>
      <c r="E713" s="34" t="n">
        <v>29058</v>
      </c>
      <c r="F713" s="34" t="n">
        <v>28688</v>
      </c>
      <c r="G713" s="34" t="n">
        <v>29120</v>
      </c>
      <c r="H713" s="34" t="n">
        <v>29348.03</v>
      </c>
      <c r="I713" s="36" t="n">
        <f aca="false">$E713/F713-1</f>
        <v>0.0128973786949247</v>
      </c>
      <c r="J713" s="36" t="n">
        <f aca="false">$E713/G713-1</f>
        <v>-0.00212912087912087</v>
      </c>
      <c r="K713" s="36" t="n">
        <f aca="false">$E713/H713-1</f>
        <v>-0.00988243503908093</v>
      </c>
      <c r="L713" s="37" t="n">
        <v>4.4</v>
      </c>
      <c r="M713" s="37" t="n">
        <v>1.51</v>
      </c>
      <c r="N713" s="34" t="n">
        <v>30608</v>
      </c>
      <c r="O713" s="34" t="n">
        <v>28397.24</v>
      </c>
      <c r="P713" s="38"/>
      <c r="Q713" s="38"/>
    </row>
    <row r="714" customFormat="false" ht="15" hidden="false" customHeight="false" outlineLevel="0" collapsed="false">
      <c r="A714" s="34" t="n">
        <v>706</v>
      </c>
      <c r="B714" s="35" t="s">
        <v>1493</v>
      </c>
      <c r="C714" s="35" t="s">
        <v>1494</v>
      </c>
      <c r="D714" s="35" t="s">
        <v>111</v>
      </c>
      <c r="E714" s="34" t="n">
        <v>49100</v>
      </c>
      <c r="F714" s="34" t="n">
        <v>49100</v>
      </c>
      <c r="G714" s="34" t="n">
        <v>49100</v>
      </c>
      <c r="H714" s="34" t="n">
        <v>10000</v>
      </c>
      <c r="I714" s="36" t="n">
        <f aca="false">$E714/F714-1</f>
        <v>0</v>
      </c>
      <c r="J714" s="36" t="n">
        <f aca="false">$E714/G714-1</f>
        <v>0</v>
      </c>
      <c r="K714" s="36" t="n">
        <f aca="false">$E714/H714-1</f>
        <v>3.91</v>
      </c>
      <c r="L714" s="37" t="n">
        <v>67.44</v>
      </c>
      <c r="M714" s="37" t="n">
        <v>4.49</v>
      </c>
      <c r="N714" s="34" t="n">
        <v>67816</v>
      </c>
      <c r="O714" s="34" t="n">
        <v>10000</v>
      </c>
      <c r="P714" s="38"/>
      <c r="Q714" s="38"/>
    </row>
    <row r="715" customFormat="false" ht="15" hidden="false" customHeight="false" outlineLevel="0" collapsed="false">
      <c r="A715" s="34" t="n">
        <v>707</v>
      </c>
      <c r="B715" s="35" t="s">
        <v>84</v>
      </c>
      <c r="C715" s="35" t="s">
        <v>1495</v>
      </c>
      <c r="D715" s="35" t="s">
        <v>116</v>
      </c>
      <c r="E715" s="34" t="n">
        <v>18050</v>
      </c>
      <c r="F715" s="34" t="n">
        <v>18150</v>
      </c>
      <c r="G715" s="34" t="n">
        <v>19533.92</v>
      </c>
      <c r="H715" s="34" t="n">
        <v>16987.32</v>
      </c>
      <c r="I715" s="36" t="n">
        <f aca="false">$E715/F715-1</f>
        <v>-0.00550964187327818</v>
      </c>
      <c r="J715" s="36" t="n">
        <f aca="false">$E715/G715-1</f>
        <v>-0.0759663191003136</v>
      </c>
      <c r="K715" s="36" t="n">
        <f aca="false">$E715/H715-1</f>
        <v>0.0625572485830608</v>
      </c>
      <c r="L715" s="37" t="n">
        <v>15.06</v>
      </c>
      <c r="M715" s="37" t="n">
        <v>0.97</v>
      </c>
      <c r="N715" s="34" t="n">
        <v>26964</v>
      </c>
      <c r="O715" s="34" t="n">
        <v>11324.88</v>
      </c>
      <c r="P715" s="38" t="n">
        <v>24.06</v>
      </c>
      <c r="Q715" s="38" t="n">
        <v>0.9</v>
      </c>
    </row>
    <row r="716" customFormat="false" ht="15" hidden="false" customHeight="false" outlineLevel="0" collapsed="false">
      <c r="A716" s="34" t="n">
        <v>708</v>
      </c>
      <c r="B716" s="35" t="s">
        <v>1496</v>
      </c>
      <c r="C716" s="35" t="s">
        <v>1497</v>
      </c>
      <c r="D716" s="35" t="s">
        <v>133</v>
      </c>
      <c r="E716" s="34" t="n">
        <v>11900</v>
      </c>
      <c r="F716" s="34" t="n">
        <v>12400</v>
      </c>
      <c r="G716" s="34" t="n">
        <v>12400</v>
      </c>
      <c r="H716" s="34" t="n">
        <v>12119.9</v>
      </c>
      <c r="I716" s="36" t="n">
        <f aca="false">$E716/F716-1</f>
        <v>-0.0403225806451613</v>
      </c>
      <c r="J716" s="36" t="n">
        <f aca="false">$E716/G716-1</f>
        <v>-0.0403225806451613</v>
      </c>
      <c r="K716" s="36" t="n">
        <f aca="false">$E716/H716-1</f>
        <v>-0.0181437140570466</v>
      </c>
      <c r="L716" s="37" t="n">
        <v>5.51</v>
      </c>
      <c r="M716" s="37" t="n">
        <v>0.92</v>
      </c>
      <c r="N716" s="34" t="n">
        <v>15849.1</v>
      </c>
      <c r="O716" s="34" t="n">
        <v>10255.81</v>
      </c>
      <c r="P716" s="38"/>
      <c r="Q716" s="38"/>
    </row>
    <row r="717" customFormat="false" ht="15" hidden="false" customHeight="false" outlineLevel="0" collapsed="false">
      <c r="A717" s="34" t="n">
        <v>709</v>
      </c>
      <c r="B717" s="35" t="s">
        <v>1498</v>
      </c>
      <c r="C717" s="35" t="s">
        <v>1499</v>
      </c>
      <c r="D717" s="35" t="s">
        <v>133</v>
      </c>
      <c r="E717" s="34" t="n">
        <v>14000</v>
      </c>
      <c r="F717" s="34" t="n">
        <v>13600</v>
      </c>
      <c r="G717" s="34" t="n">
        <v>15464.29</v>
      </c>
      <c r="H717" s="34" t="n">
        <v>15852.84</v>
      </c>
      <c r="I717" s="36" t="n">
        <f aca="false">$E717/F717-1</f>
        <v>0.0294117647058823</v>
      </c>
      <c r="J717" s="36" t="n">
        <f aca="false">$E717/G717-1</f>
        <v>-0.0946884726036567</v>
      </c>
      <c r="K717" s="36" t="n">
        <f aca="false">$E717/H717-1</f>
        <v>-0.116877480628077</v>
      </c>
      <c r="L717" s="37" t="n">
        <v>5.49</v>
      </c>
      <c r="M717" s="37" t="n">
        <v>1.32</v>
      </c>
      <c r="N717" s="34" t="n">
        <v>27120.79</v>
      </c>
      <c r="O717" s="34" t="n">
        <v>13443.83</v>
      </c>
      <c r="P717" s="38"/>
      <c r="Q717" s="38"/>
    </row>
    <row r="718" customFormat="false" ht="15" hidden="false" customHeight="false" outlineLevel="0" collapsed="false">
      <c r="A718" s="34" t="n">
        <v>710</v>
      </c>
      <c r="B718" s="35" t="s">
        <v>1500</v>
      </c>
      <c r="C718" s="35" t="s">
        <v>1501</v>
      </c>
      <c r="D718" s="35" t="s">
        <v>116</v>
      </c>
      <c r="E718" s="34" t="n">
        <v>13200</v>
      </c>
      <c r="F718" s="34" t="n">
        <v>13100</v>
      </c>
      <c r="G718" s="34" t="n">
        <v>14550</v>
      </c>
      <c r="H718" s="34" t="n">
        <v>17100</v>
      </c>
      <c r="I718" s="36" t="n">
        <f aca="false">$E718/F718-1</f>
        <v>0.00763358778625944</v>
      </c>
      <c r="J718" s="36" t="n">
        <f aca="false">$E718/G718-1</f>
        <v>-0.0927835051546392</v>
      </c>
      <c r="K718" s="36" t="n">
        <f aca="false">$E718/H718-1</f>
        <v>-0.228070175438597</v>
      </c>
      <c r="L718" s="37" t="n">
        <v>7.35</v>
      </c>
      <c r="M718" s="37" t="n">
        <v>0.52</v>
      </c>
      <c r="N718" s="34" t="n">
        <v>22250</v>
      </c>
      <c r="O718" s="34" t="n">
        <v>12950</v>
      </c>
      <c r="P718" s="38"/>
      <c r="Q718" s="38"/>
    </row>
    <row r="719" customFormat="false" ht="15" hidden="false" customHeight="false" outlineLevel="0" collapsed="false">
      <c r="A719" s="34" t="n">
        <v>711</v>
      </c>
      <c r="B719" s="35" t="s">
        <v>1502</v>
      </c>
      <c r="C719" s="35" t="s">
        <v>1503</v>
      </c>
      <c r="D719" s="35" t="s">
        <v>116</v>
      </c>
      <c r="E719" s="34" t="n">
        <v>11600</v>
      </c>
      <c r="F719" s="34" t="n">
        <v>11450</v>
      </c>
      <c r="G719" s="34" t="n">
        <v>12400</v>
      </c>
      <c r="H719" s="34" t="n">
        <v>14750</v>
      </c>
      <c r="I719" s="36" t="n">
        <f aca="false">$E719/F719-1</f>
        <v>0.0131004366812226</v>
      </c>
      <c r="J719" s="36" t="n">
        <f aca="false">$E719/G719-1</f>
        <v>-0.0645161290322581</v>
      </c>
      <c r="K719" s="36" t="n">
        <f aca="false">$E719/H719-1</f>
        <v>-0.213559322033898</v>
      </c>
      <c r="L719" s="37" t="n">
        <v>15.94</v>
      </c>
      <c r="M719" s="37" t="n">
        <v>0.62</v>
      </c>
      <c r="N719" s="34" t="n">
        <v>18650</v>
      </c>
      <c r="O719" s="34" t="n">
        <v>11000</v>
      </c>
      <c r="P719" s="38"/>
      <c r="Q719" s="38"/>
    </row>
    <row r="720" customFormat="false" ht="15" hidden="false" customHeight="false" outlineLevel="0" collapsed="false">
      <c r="A720" s="34" t="n">
        <v>712</v>
      </c>
      <c r="B720" s="35" t="s">
        <v>1504</v>
      </c>
      <c r="C720" s="35" t="s">
        <v>1505</v>
      </c>
      <c r="D720" s="35" t="s">
        <v>116</v>
      </c>
      <c r="E720" s="34" t="n">
        <v>9900</v>
      </c>
      <c r="F720" s="34" t="n">
        <v>9420</v>
      </c>
      <c r="G720" s="34" t="n">
        <v>9900</v>
      </c>
      <c r="H720" s="34" t="n">
        <v>10150</v>
      </c>
      <c r="I720" s="36" t="n">
        <f aca="false">$E720/F720-1</f>
        <v>0.0509554140127388</v>
      </c>
      <c r="J720" s="36" t="n">
        <f aca="false">$E720/G720-1</f>
        <v>0</v>
      </c>
      <c r="K720" s="36" t="n">
        <f aca="false">$E720/H720-1</f>
        <v>-0.0246305418719212</v>
      </c>
      <c r="L720" s="37" t="n">
        <v>7.7</v>
      </c>
      <c r="M720" s="37" t="n">
        <v>0.85</v>
      </c>
      <c r="N720" s="34" t="n">
        <v>11800</v>
      </c>
      <c r="O720" s="34" t="n">
        <v>9400</v>
      </c>
      <c r="P720" s="38"/>
      <c r="Q720" s="38"/>
    </row>
    <row r="721" customFormat="false" ht="15" hidden="false" customHeight="false" outlineLevel="0" collapsed="false">
      <c r="A721" s="34" t="n">
        <v>713</v>
      </c>
      <c r="B721" s="35" t="s">
        <v>1506</v>
      </c>
      <c r="C721" s="35" t="s">
        <v>1507</v>
      </c>
      <c r="D721" s="35" t="s">
        <v>133</v>
      </c>
      <c r="E721" s="34" t="n">
        <v>129500</v>
      </c>
      <c r="F721" s="34" t="n">
        <v>127800</v>
      </c>
      <c r="G721" s="34" t="n">
        <v>148900</v>
      </c>
      <c r="H721" s="34" t="n">
        <v>229704.51</v>
      </c>
      <c r="I721" s="36" t="n">
        <f aca="false">$E721/F721-1</f>
        <v>0.0133020344287951</v>
      </c>
      <c r="J721" s="36" t="n">
        <f aca="false">$E721/G721-1</f>
        <v>-0.130288784419073</v>
      </c>
      <c r="K721" s="36" t="n">
        <f aca="false">$E721/H721-1</f>
        <v>-0.436232227220963</v>
      </c>
      <c r="L721" s="37" t="n">
        <v>7.4</v>
      </c>
      <c r="M721" s="37" t="n">
        <v>3.9</v>
      </c>
      <c r="N721" s="34" t="n">
        <v>298175.99</v>
      </c>
      <c r="O721" s="34" t="n">
        <v>122000</v>
      </c>
      <c r="P721" s="38"/>
      <c r="Q721" s="38"/>
    </row>
    <row r="722" customFormat="false" ht="15" hidden="false" customHeight="false" outlineLevel="0" collapsed="false">
      <c r="A722" s="34" t="n">
        <v>714</v>
      </c>
      <c r="B722" s="35" t="s">
        <v>1508</v>
      </c>
      <c r="C722" s="35" t="s">
        <v>1509</v>
      </c>
      <c r="D722" s="35" t="s">
        <v>111</v>
      </c>
      <c r="E722" s="34" t="n">
        <v>21800</v>
      </c>
      <c r="F722" s="34" t="n">
        <v>21800</v>
      </c>
      <c r="G722" s="34" t="n">
        <v>16000</v>
      </c>
      <c r="H722" s="34" t="n">
        <v>13737.5</v>
      </c>
      <c r="I722" s="36" t="n">
        <f aca="false">$E722/F722-1</f>
        <v>0</v>
      </c>
      <c r="J722" s="36" t="n">
        <f aca="false">$E722/G722-1</f>
        <v>0.3625</v>
      </c>
      <c r="K722" s="36" t="n">
        <f aca="false">$E722/H722-1</f>
        <v>0.586897179253867</v>
      </c>
      <c r="L722" s="37" t="n">
        <v>4.95</v>
      </c>
      <c r="M722" s="37" t="n">
        <v>1.35</v>
      </c>
      <c r="N722" s="34" t="n">
        <v>21800</v>
      </c>
      <c r="O722" s="34" t="n">
        <v>6928.02</v>
      </c>
      <c r="P722" s="38"/>
      <c r="Q722" s="38"/>
    </row>
    <row r="723" customFormat="false" ht="15" hidden="false" customHeight="false" outlineLevel="0" collapsed="false">
      <c r="A723" s="34" t="n">
        <v>715</v>
      </c>
      <c r="B723" s="35" t="s">
        <v>1510</v>
      </c>
      <c r="C723" s="35" t="s">
        <v>1511</v>
      </c>
      <c r="D723" s="35" t="s">
        <v>111</v>
      </c>
      <c r="E723" s="34" t="n">
        <v>637</v>
      </c>
      <c r="F723" s="34" t="n">
        <v>662</v>
      </c>
      <c r="G723" s="34" t="n">
        <v>700</v>
      </c>
      <c r="H723" s="34" t="n">
        <v>1000</v>
      </c>
      <c r="I723" s="36" t="n">
        <f aca="false">$E723/F723-1</f>
        <v>-0.0377643504531722</v>
      </c>
      <c r="J723" s="36" t="n">
        <f aca="false">$E723/G723-1</f>
        <v>-0.09</v>
      </c>
      <c r="K723" s="36" t="n">
        <f aca="false">$E723/H723-1</f>
        <v>-0.363</v>
      </c>
      <c r="L723" s="37" t="n">
        <v>-2.73</v>
      </c>
      <c r="M723" s="37" t="n">
        <v>0.14</v>
      </c>
      <c r="N723" s="34" t="n">
        <v>1400</v>
      </c>
      <c r="O723" s="34" t="n">
        <v>600</v>
      </c>
      <c r="P723" s="38"/>
      <c r="Q723" s="38"/>
    </row>
    <row r="724" customFormat="false" ht="15" hidden="false" customHeight="false" outlineLevel="0" collapsed="false">
      <c r="A724" s="34" t="n">
        <v>716</v>
      </c>
      <c r="B724" s="35" t="s">
        <v>1512</v>
      </c>
      <c r="C724" s="35" t="s">
        <v>1513</v>
      </c>
      <c r="D724" s="35" t="s">
        <v>116</v>
      </c>
      <c r="E724" s="34" t="n">
        <v>27400</v>
      </c>
      <c r="F724" s="34" t="n">
        <v>27900</v>
      </c>
      <c r="G724" s="34" t="n">
        <v>29000</v>
      </c>
      <c r="H724" s="34" t="n">
        <v>35796.81</v>
      </c>
      <c r="I724" s="36" t="n">
        <f aca="false">$E724/F724-1</f>
        <v>-0.017921146953405</v>
      </c>
      <c r="J724" s="36" t="n">
        <f aca="false">$E724/G724-1</f>
        <v>-0.0551724137931035</v>
      </c>
      <c r="K724" s="36" t="n">
        <f aca="false">$E724/H724-1</f>
        <v>-0.23456866687283</v>
      </c>
      <c r="L724" s="37" t="n">
        <v>8.52</v>
      </c>
      <c r="M724" s="37" t="n">
        <v>1.42</v>
      </c>
      <c r="N724" s="34" t="n">
        <v>37671.3</v>
      </c>
      <c r="O724" s="34" t="n">
        <v>27150</v>
      </c>
      <c r="P724" s="38"/>
      <c r="Q724" s="38"/>
    </row>
    <row r="725" customFormat="false" ht="15" hidden="false" customHeight="false" outlineLevel="0" collapsed="false">
      <c r="A725" s="34" t="n">
        <v>717</v>
      </c>
      <c r="B725" s="35" t="s">
        <v>1514</v>
      </c>
      <c r="C725" s="35" t="s">
        <v>1515</v>
      </c>
      <c r="D725" s="35" t="s">
        <v>111</v>
      </c>
      <c r="E725" s="34" t="n">
        <v>10164</v>
      </c>
      <c r="F725" s="34" t="n">
        <v>10427</v>
      </c>
      <c r="G725" s="34" t="n">
        <v>9836.57</v>
      </c>
      <c r="H725" s="34" t="n">
        <v>9761.07</v>
      </c>
      <c r="I725" s="36" t="n">
        <f aca="false">$E725/F725-1</f>
        <v>-0.0252229788050254</v>
      </c>
      <c r="J725" s="36" t="n">
        <f aca="false">$E725/G725-1</f>
        <v>0.0332870095978579</v>
      </c>
      <c r="K725" s="36" t="n">
        <f aca="false">$E725/H725-1</f>
        <v>0.0412792859799183</v>
      </c>
      <c r="L725" s="37" t="n">
        <v>9.46</v>
      </c>
      <c r="M725" s="37" t="n">
        <v>0.85</v>
      </c>
      <c r="N725" s="34" t="n">
        <v>15238.67</v>
      </c>
      <c r="O725" s="34" t="n">
        <v>9210.14</v>
      </c>
      <c r="P725" s="38"/>
      <c r="Q725" s="38"/>
    </row>
    <row r="726" customFormat="false" ht="15" hidden="false" customHeight="false" outlineLevel="0" collapsed="false">
      <c r="A726" s="34" t="n">
        <v>718</v>
      </c>
      <c r="B726" s="35" t="s">
        <v>1516</v>
      </c>
      <c r="C726" s="35" t="s">
        <v>1517</v>
      </c>
      <c r="D726" s="35" t="s">
        <v>111</v>
      </c>
      <c r="E726" s="34" t="n">
        <v>13125</v>
      </c>
      <c r="F726" s="34" t="n">
        <v>12000</v>
      </c>
      <c r="G726" s="34" t="n">
        <v>10900</v>
      </c>
      <c r="H726" s="34" t="n">
        <v>11050</v>
      </c>
      <c r="I726" s="36" t="n">
        <f aca="false">$E726/F726-1</f>
        <v>0.09375</v>
      </c>
      <c r="J726" s="36" t="n">
        <f aca="false">$E726/G726-1</f>
        <v>0.204128440366973</v>
      </c>
      <c r="K726" s="36" t="n">
        <f aca="false">$E726/H726-1</f>
        <v>0.187782805429864</v>
      </c>
      <c r="L726" s="37" t="n">
        <v>13.27</v>
      </c>
      <c r="M726" s="37" t="n">
        <v>1.09</v>
      </c>
      <c r="N726" s="34" t="n">
        <v>14000</v>
      </c>
      <c r="O726" s="34" t="n">
        <v>9000</v>
      </c>
      <c r="P726" s="38"/>
      <c r="Q726" s="38"/>
    </row>
    <row r="727" customFormat="false" ht="15" hidden="false" customHeight="false" outlineLevel="0" collapsed="false">
      <c r="A727" s="34" t="n">
        <v>719</v>
      </c>
      <c r="B727" s="35" t="s">
        <v>1518</v>
      </c>
      <c r="C727" s="35" t="s">
        <v>1519</v>
      </c>
      <c r="D727" s="35" t="s">
        <v>111</v>
      </c>
      <c r="E727" s="34"/>
      <c r="F727" s="34"/>
      <c r="G727" s="34"/>
      <c r="H727" s="34"/>
      <c r="I727" s="36" t="e">
        <f aca="false">$E727/F727-1</f>
        <v>#DIV/0!</v>
      </c>
      <c r="J727" s="36" t="e">
        <f aca="false">$E727/G727-1</f>
        <v>#DIV/0!</v>
      </c>
      <c r="K727" s="36" t="e">
        <f aca="false">$E727/H727-1</f>
        <v>#DIV/0!</v>
      </c>
      <c r="L727" s="37"/>
      <c r="M727" s="37"/>
      <c r="N727" s="34"/>
      <c r="O727" s="34"/>
      <c r="P727" s="38"/>
      <c r="Q727" s="38"/>
    </row>
    <row r="728" customFormat="false" ht="15" hidden="false" customHeight="false" outlineLevel="0" collapsed="false">
      <c r="A728" s="34" t="n">
        <v>720</v>
      </c>
      <c r="B728" s="35" t="s">
        <v>1520</v>
      </c>
      <c r="C728" s="35" t="s">
        <v>1521</v>
      </c>
      <c r="D728" s="35" t="s">
        <v>133</v>
      </c>
      <c r="E728" s="34" t="n">
        <v>9900</v>
      </c>
      <c r="F728" s="34" t="n">
        <v>9300</v>
      </c>
      <c r="G728" s="34" t="n">
        <v>10000</v>
      </c>
      <c r="H728" s="34" t="n">
        <v>12600</v>
      </c>
      <c r="I728" s="36" t="n">
        <f aca="false">$E728/F728-1</f>
        <v>0.064516129032258</v>
      </c>
      <c r="J728" s="36" t="n">
        <f aca="false">$E728/G728-1</f>
        <v>-0.01</v>
      </c>
      <c r="K728" s="36" t="n">
        <f aca="false">$E728/H728-1</f>
        <v>-0.214285714285714</v>
      </c>
      <c r="L728" s="37" t="n">
        <v>-2.65</v>
      </c>
      <c r="M728" s="37" t="n">
        <v>1.25</v>
      </c>
      <c r="N728" s="34" t="n">
        <v>19900</v>
      </c>
      <c r="O728" s="34" t="n">
        <v>9300</v>
      </c>
      <c r="P728" s="38"/>
      <c r="Q728" s="38"/>
    </row>
    <row r="729" customFormat="false" ht="15" hidden="false" customHeight="false" outlineLevel="0" collapsed="false">
      <c r="A729" s="34" t="n">
        <v>721</v>
      </c>
      <c r="B729" s="35" t="s">
        <v>1522</v>
      </c>
      <c r="C729" s="35" t="s">
        <v>1523</v>
      </c>
      <c r="D729" s="35" t="s">
        <v>133</v>
      </c>
      <c r="E729" s="34" t="n">
        <v>123200</v>
      </c>
      <c r="F729" s="34" t="n">
        <v>111800</v>
      </c>
      <c r="G729" s="34" t="n">
        <v>100657</v>
      </c>
      <c r="H729" s="34" t="n">
        <v>64160.72</v>
      </c>
      <c r="I729" s="36" t="n">
        <f aca="false">$E729/F729-1</f>
        <v>0.101967799642218</v>
      </c>
      <c r="J729" s="36" t="n">
        <f aca="false">$E729/G729-1</f>
        <v>0.22395859205023</v>
      </c>
      <c r="K729" s="36" t="n">
        <f aca="false">$E729/H729-1</f>
        <v>0.920177953115239</v>
      </c>
      <c r="L729" s="37" t="n">
        <v>10.5</v>
      </c>
      <c r="M729" s="37" t="n">
        <v>5.59</v>
      </c>
      <c r="N729" s="34" t="n">
        <v>149816.58</v>
      </c>
      <c r="O729" s="34" t="n">
        <v>57666.72</v>
      </c>
      <c r="P729" s="38"/>
      <c r="Q729" s="38"/>
    </row>
    <row r="730" customFormat="false" ht="15" hidden="false" customHeight="false" outlineLevel="0" collapsed="false">
      <c r="A730" s="34" t="n">
        <v>722</v>
      </c>
      <c r="B730" s="35" t="s">
        <v>1524</v>
      </c>
      <c r="C730" s="35" t="s">
        <v>1525</v>
      </c>
      <c r="D730" s="35" t="s">
        <v>111</v>
      </c>
      <c r="E730" s="34" t="n">
        <v>10631</v>
      </c>
      <c r="F730" s="34" t="n">
        <v>10161</v>
      </c>
      <c r="G730" s="34" t="n">
        <v>12020</v>
      </c>
      <c r="H730" s="34" t="n">
        <v>13080</v>
      </c>
      <c r="I730" s="36" t="n">
        <f aca="false">$E730/F730-1</f>
        <v>0.0462552898336779</v>
      </c>
      <c r="J730" s="36" t="n">
        <f aca="false">$E730/G730-1</f>
        <v>-0.115557404326123</v>
      </c>
      <c r="K730" s="36" t="n">
        <f aca="false">$E730/H730-1</f>
        <v>-0.187232415902141</v>
      </c>
      <c r="L730" s="37" t="n">
        <v>46.77</v>
      </c>
      <c r="M730" s="37" t="n">
        <v>0.86</v>
      </c>
      <c r="N730" s="34" t="n">
        <v>18837</v>
      </c>
      <c r="O730" s="34" t="n">
        <v>10152</v>
      </c>
      <c r="P730" s="38"/>
      <c r="Q730" s="38"/>
    </row>
    <row r="731" customFormat="false" ht="15" hidden="false" customHeight="false" outlineLevel="0" collapsed="false">
      <c r="A731" s="34" t="n">
        <v>723</v>
      </c>
      <c r="B731" s="35" t="s">
        <v>1526</v>
      </c>
      <c r="C731" s="35" t="s">
        <v>1527</v>
      </c>
      <c r="D731" s="35" t="s">
        <v>111</v>
      </c>
      <c r="E731" s="34" t="n">
        <v>11400</v>
      </c>
      <c r="F731" s="34" t="n">
        <v>10300</v>
      </c>
      <c r="G731" s="34" t="n">
        <v>10100</v>
      </c>
      <c r="H731" s="34" t="n">
        <v>10600</v>
      </c>
      <c r="I731" s="36" t="n">
        <f aca="false">$E731/F731-1</f>
        <v>0.106796116504854</v>
      </c>
      <c r="J731" s="36" t="n">
        <f aca="false">$E731/G731-1</f>
        <v>0.128712871287129</v>
      </c>
      <c r="K731" s="36" t="n">
        <f aca="false">$E731/H731-1</f>
        <v>0.0754716981132075</v>
      </c>
      <c r="L731" s="37" t="n">
        <v>10.99</v>
      </c>
      <c r="M731" s="37" t="n">
        <v>0.6</v>
      </c>
      <c r="N731" s="34" t="n">
        <v>12772.49</v>
      </c>
      <c r="O731" s="34" t="n">
        <v>9329</v>
      </c>
      <c r="P731" s="38"/>
      <c r="Q731" s="38"/>
    </row>
    <row r="732" customFormat="false" ht="15" hidden="false" customHeight="false" outlineLevel="0" collapsed="false">
      <c r="A732" s="34" t="n">
        <v>724</v>
      </c>
      <c r="B732" s="35" t="s">
        <v>1528</v>
      </c>
      <c r="C732" s="35" t="s">
        <v>1529</v>
      </c>
      <c r="D732" s="35" t="s">
        <v>111</v>
      </c>
      <c r="E732" s="34" t="n">
        <v>21900</v>
      </c>
      <c r="F732" s="34" t="n">
        <v>21900</v>
      </c>
      <c r="G732" s="34" t="n">
        <v>18500</v>
      </c>
      <c r="H732" s="34" t="n">
        <v>27300</v>
      </c>
      <c r="I732" s="36" t="n">
        <f aca="false">$E732/F732-1</f>
        <v>0</v>
      </c>
      <c r="J732" s="36" t="n">
        <f aca="false">$E732/G732-1</f>
        <v>0.183783783783784</v>
      </c>
      <c r="K732" s="36" t="n">
        <f aca="false">$E732/H732-1</f>
        <v>-0.197802197802198</v>
      </c>
      <c r="L732" s="37" t="n">
        <v>323.82</v>
      </c>
      <c r="M732" s="37" t="n">
        <v>2.96</v>
      </c>
      <c r="N732" s="34" t="n">
        <v>33550</v>
      </c>
      <c r="O732" s="34" t="n">
        <v>14500</v>
      </c>
      <c r="P732" s="38"/>
      <c r="Q732" s="38"/>
    </row>
    <row r="733" customFormat="false" ht="15" hidden="false" customHeight="false" outlineLevel="0" collapsed="false">
      <c r="A733" s="34" t="n">
        <v>725</v>
      </c>
      <c r="B733" s="35" t="s">
        <v>1530</v>
      </c>
      <c r="C733" s="35" t="s">
        <v>1531</v>
      </c>
      <c r="D733" s="35" t="s">
        <v>116</v>
      </c>
      <c r="E733" s="34" t="n">
        <v>45650</v>
      </c>
      <c r="F733" s="34" t="n">
        <v>46300</v>
      </c>
      <c r="G733" s="34" t="n">
        <v>46800</v>
      </c>
      <c r="H733" s="34" t="n">
        <v>49480.82</v>
      </c>
      <c r="I733" s="36" t="n">
        <f aca="false">$E733/F733-1</f>
        <v>-0.0140388768898488</v>
      </c>
      <c r="J733" s="36" t="n">
        <f aca="false">$E733/G733-1</f>
        <v>-0.0245726495726496</v>
      </c>
      <c r="K733" s="36" t="n">
        <f aca="false">$E733/H733-1</f>
        <v>-0.0774203014420537</v>
      </c>
      <c r="L733" s="37" t="n">
        <v>5.65</v>
      </c>
      <c r="M733" s="37" t="n">
        <v>1.14</v>
      </c>
      <c r="N733" s="34" t="n">
        <v>56253.86</v>
      </c>
      <c r="O733" s="34" t="n">
        <v>45650</v>
      </c>
      <c r="P733" s="38"/>
      <c r="Q733" s="38"/>
    </row>
    <row r="734" customFormat="false" ht="15" hidden="false" customHeight="false" outlineLevel="0" collapsed="false">
      <c r="A734" s="34" t="n">
        <v>726</v>
      </c>
      <c r="B734" s="35" t="s">
        <v>1532</v>
      </c>
      <c r="C734" s="35" t="s">
        <v>1533</v>
      </c>
      <c r="D734" s="35" t="s">
        <v>116</v>
      </c>
      <c r="E734" s="34" t="n">
        <v>13100</v>
      </c>
      <c r="F734" s="34" t="n">
        <v>11300</v>
      </c>
      <c r="G734" s="34" t="n">
        <v>12050</v>
      </c>
      <c r="H734" s="34" t="n">
        <v>12876.44</v>
      </c>
      <c r="I734" s="36" t="n">
        <f aca="false">$E734/F734-1</f>
        <v>0.15929203539823</v>
      </c>
      <c r="J734" s="36" t="n">
        <f aca="false">$E734/G734-1</f>
        <v>0.0871369294605808</v>
      </c>
      <c r="K734" s="36" t="n">
        <f aca="false">$E734/H734-1</f>
        <v>0.0173619416546809</v>
      </c>
      <c r="L734" s="37" t="n">
        <v>4.76</v>
      </c>
      <c r="M734" s="37" t="n">
        <v>1.06</v>
      </c>
      <c r="N734" s="34" t="n">
        <v>14257.23</v>
      </c>
      <c r="O734" s="34" t="n">
        <v>9652.5</v>
      </c>
      <c r="P734" s="38"/>
      <c r="Q734" s="38"/>
    </row>
    <row r="735" customFormat="false" ht="15" hidden="false" customHeight="false" outlineLevel="0" collapsed="false">
      <c r="A735" s="34" t="n">
        <v>727</v>
      </c>
      <c r="B735" s="35" t="s">
        <v>1534</v>
      </c>
      <c r="C735" s="35" t="s">
        <v>1535</v>
      </c>
      <c r="D735" s="35" t="s">
        <v>116</v>
      </c>
      <c r="E735" s="34" t="n">
        <v>13120</v>
      </c>
      <c r="F735" s="34" t="n">
        <v>13570</v>
      </c>
      <c r="G735" s="34" t="n">
        <v>13710</v>
      </c>
      <c r="H735" s="34" t="n">
        <v>13770</v>
      </c>
      <c r="I735" s="36" t="n">
        <f aca="false">$E735/F735-1</f>
        <v>-0.0331613854089904</v>
      </c>
      <c r="J735" s="36" t="n">
        <f aca="false">$E735/G735-1</f>
        <v>-0.0430342815463166</v>
      </c>
      <c r="K735" s="36" t="n">
        <f aca="false">$E735/H735-1</f>
        <v>-0.0472040668119099</v>
      </c>
      <c r="L735" s="37"/>
      <c r="M735" s="37"/>
      <c r="N735" s="34" t="n">
        <v>14230</v>
      </c>
      <c r="O735" s="34" t="n">
        <v>11750</v>
      </c>
      <c r="P735" s="38"/>
      <c r="Q735" s="38"/>
    </row>
    <row r="736" customFormat="false" ht="15" hidden="false" customHeight="false" outlineLevel="0" collapsed="false">
      <c r="A736" s="34" t="n">
        <v>728</v>
      </c>
      <c r="B736" s="35" t="s">
        <v>1536</v>
      </c>
      <c r="C736" s="35" t="s">
        <v>1537</v>
      </c>
      <c r="D736" s="35" t="s">
        <v>116</v>
      </c>
      <c r="E736" s="34" t="n">
        <v>17000</v>
      </c>
      <c r="F736" s="34" t="n">
        <v>16880</v>
      </c>
      <c r="G736" s="34" t="n">
        <v>18610</v>
      </c>
      <c r="H736" s="34" t="n">
        <v>17570</v>
      </c>
      <c r="I736" s="36" t="n">
        <f aca="false">$E736/F736-1</f>
        <v>0.00710900473933651</v>
      </c>
      <c r="J736" s="36" t="n">
        <f aca="false">$E736/G736-1</f>
        <v>-0.0865126276195594</v>
      </c>
      <c r="K736" s="36" t="n">
        <f aca="false">$E736/H736-1</f>
        <v>-0.0324416619237337</v>
      </c>
      <c r="L736" s="37"/>
      <c r="M736" s="37"/>
      <c r="N736" s="34" t="n">
        <v>20410</v>
      </c>
      <c r="O736" s="34" t="n">
        <v>15820</v>
      </c>
      <c r="P736" s="38"/>
      <c r="Q736" s="38"/>
    </row>
    <row r="737" customFormat="false" ht="15" hidden="false" customHeight="false" outlineLevel="0" collapsed="false">
      <c r="A737" s="34" t="n">
        <v>729</v>
      </c>
      <c r="B737" s="35" t="s">
        <v>1538</v>
      </c>
      <c r="C737" s="35" t="s">
        <v>1539</v>
      </c>
      <c r="D737" s="35" t="s">
        <v>111</v>
      </c>
      <c r="E737" s="34" t="n">
        <v>4700</v>
      </c>
      <c r="F737" s="34" t="n">
        <v>4700</v>
      </c>
      <c r="G737" s="34" t="n">
        <v>4700</v>
      </c>
      <c r="H737" s="34" t="n">
        <v>9800</v>
      </c>
      <c r="I737" s="36" t="n">
        <f aca="false">$E737/F737-1</f>
        <v>0</v>
      </c>
      <c r="J737" s="36" t="n">
        <f aca="false">$E737/G737-1</f>
        <v>0</v>
      </c>
      <c r="K737" s="36" t="n">
        <f aca="false">$E737/H737-1</f>
        <v>-0.520408163265306</v>
      </c>
      <c r="L737" s="37" t="n">
        <v>2.3</v>
      </c>
      <c r="M737" s="37" t="n">
        <v>0.36</v>
      </c>
      <c r="N737" s="34" t="n">
        <v>11500</v>
      </c>
      <c r="O737" s="34" t="n">
        <v>4700</v>
      </c>
      <c r="P737" s="38"/>
      <c r="Q737" s="38"/>
    </row>
    <row r="738" customFormat="false" ht="15" hidden="false" customHeight="false" outlineLevel="0" collapsed="false">
      <c r="A738" s="34" t="n">
        <v>730</v>
      </c>
      <c r="B738" s="35" t="s">
        <v>1540</v>
      </c>
      <c r="C738" s="35" t="s">
        <v>1541</v>
      </c>
      <c r="D738" s="35" t="s">
        <v>133</v>
      </c>
      <c r="E738" s="34" t="n">
        <v>13200</v>
      </c>
      <c r="F738" s="34" t="n">
        <v>13200</v>
      </c>
      <c r="G738" s="34" t="n">
        <v>13200</v>
      </c>
      <c r="H738" s="34" t="n">
        <v>9000</v>
      </c>
      <c r="I738" s="36" t="n">
        <f aca="false">$E738/F738-1</f>
        <v>0</v>
      </c>
      <c r="J738" s="36" t="n">
        <f aca="false">$E738/G738-1</f>
        <v>0</v>
      </c>
      <c r="K738" s="36" t="n">
        <f aca="false">$E738/H738-1</f>
        <v>0.466666666666667</v>
      </c>
      <c r="L738" s="37" t="n">
        <v>18.26</v>
      </c>
      <c r="M738" s="37" t="n">
        <v>0.92</v>
      </c>
      <c r="N738" s="34" t="n">
        <v>13200</v>
      </c>
      <c r="O738" s="34" t="n">
        <v>8100</v>
      </c>
      <c r="P738" s="38"/>
      <c r="Q738" s="38"/>
    </row>
    <row r="739" customFormat="false" ht="15" hidden="false" customHeight="false" outlineLevel="0" collapsed="false">
      <c r="A739" s="34" t="n">
        <v>731</v>
      </c>
      <c r="B739" s="35" t="s">
        <v>1542</v>
      </c>
      <c r="C739" s="35" t="s">
        <v>1543</v>
      </c>
      <c r="D739" s="35" t="s">
        <v>111</v>
      </c>
      <c r="E739" s="34" t="n">
        <v>21500</v>
      </c>
      <c r="F739" s="34" t="n">
        <v>21000</v>
      </c>
      <c r="G739" s="34" t="n">
        <v>20900</v>
      </c>
      <c r="H739" s="34" t="n">
        <v>21404</v>
      </c>
      <c r="I739" s="36" t="n">
        <f aca="false">$E739/F739-1</f>
        <v>0.0238095238095237</v>
      </c>
      <c r="J739" s="36" t="n">
        <f aca="false">$E739/G739-1</f>
        <v>0.0287081339712918</v>
      </c>
      <c r="K739" s="36" t="n">
        <f aca="false">$E739/H739-1</f>
        <v>0.00448514296393188</v>
      </c>
      <c r="L739" s="37" t="n">
        <v>6.36</v>
      </c>
      <c r="M739" s="37" t="n">
        <v>1.04</v>
      </c>
      <c r="N739" s="34" t="n">
        <v>29167.16</v>
      </c>
      <c r="O739" s="34" t="n">
        <v>12600</v>
      </c>
      <c r="P739" s="38"/>
      <c r="Q739" s="38"/>
    </row>
    <row r="740" customFormat="false" ht="15" hidden="false" customHeight="false" outlineLevel="0" collapsed="false">
      <c r="A740" s="34" t="n">
        <v>732</v>
      </c>
      <c r="B740" s="35" t="s">
        <v>1544</v>
      </c>
      <c r="C740" s="35" t="s">
        <v>1545</v>
      </c>
      <c r="D740" s="35" t="s">
        <v>116</v>
      </c>
      <c r="E740" s="34" t="n">
        <v>10850</v>
      </c>
      <c r="F740" s="34" t="n">
        <v>10850</v>
      </c>
      <c r="G740" s="34" t="n">
        <v>10700</v>
      </c>
      <c r="H740" s="34" t="n">
        <v>10875.15</v>
      </c>
      <c r="I740" s="36" t="n">
        <f aca="false">$E740/F740-1</f>
        <v>0</v>
      </c>
      <c r="J740" s="36" t="n">
        <f aca="false">$E740/G740-1</f>
        <v>0.014018691588785</v>
      </c>
      <c r="K740" s="36" t="n">
        <f aca="false">$E740/H740-1</f>
        <v>-0.00231261178006736</v>
      </c>
      <c r="L740" s="37" t="n">
        <v>7.24</v>
      </c>
      <c r="M740" s="37" t="n">
        <v>0.71</v>
      </c>
      <c r="N740" s="34" t="n">
        <v>11200.48</v>
      </c>
      <c r="O740" s="34" t="n">
        <v>9945.65</v>
      </c>
      <c r="P740" s="38"/>
      <c r="Q740" s="38"/>
    </row>
    <row r="741" customFormat="false" ht="15" hidden="false" customHeight="false" outlineLevel="0" collapsed="false">
      <c r="A741" s="34" t="n">
        <v>733</v>
      </c>
      <c r="B741" s="35" t="s">
        <v>1546</v>
      </c>
      <c r="C741" s="35" t="s">
        <v>1547</v>
      </c>
      <c r="D741" s="35" t="s">
        <v>111</v>
      </c>
      <c r="E741" s="34" t="n">
        <v>63800</v>
      </c>
      <c r="F741" s="34" t="n">
        <v>60000</v>
      </c>
      <c r="G741" s="34" t="n">
        <v>64500</v>
      </c>
      <c r="H741" s="34" t="n">
        <v>68193.97</v>
      </c>
      <c r="I741" s="36" t="n">
        <f aca="false">$E741/F741-1</f>
        <v>0.0633333333333332</v>
      </c>
      <c r="J741" s="36" t="n">
        <f aca="false">$E741/G741-1</f>
        <v>-0.0108527131782946</v>
      </c>
      <c r="K741" s="36" t="n">
        <f aca="false">$E741/H741-1</f>
        <v>-0.0644334095815217</v>
      </c>
      <c r="L741" s="37" t="n">
        <v>8.71</v>
      </c>
      <c r="M741" s="37" t="n">
        <v>4.31</v>
      </c>
      <c r="N741" s="34" t="n">
        <v>75131.7</v>
      </c>
      <c r="O741" s="34" t="n">
        <v>54600</v>
      </c>
      <c r="P741" s="38"/>
      <c r="Q741" s="38"/>
    </row>
    <row r="742" customFormat="false" ht="15" hidden="false" customHeight="false" outlineLevel="0" collapsed="false">
      <c r="A742" s="34" t="n">
        <v>734</v>
      </c>
      <c r="B742" s="35" t="s">
        <v>1548</v>
      </c>
      <c r="C742" s="35" t="s">
        <v>1549</v>
      </c>
      <c r="D742" s="35" t="s">
        <v>111</v>
      </c>
      <c r="E742" s="34"/>
      <c r="F742" s="34"/>
      <c r="G742" s="34"/>
      <c r="H742" s="34"/>
      <c r="I742" s="36" t="e">
        <f aca="false">$E742/F742-1</f>
        <v>#DIV/0!</v>
      </c>
      <c r="J742" s="36" t="e">
        <f aca="false">$E742/G742-1</f>
        <v>#DIV/0!</v>
      </c>
      <c r="K742" s="36" t="e">
        <f aca="false">$E742/H742-1</f>
        <v>#DIV/0!</v>
      </c>
      <c r="L742" s="37"/>
      <c r="M742" s="37"/>
      <c r="N742" s="34"/>
      <c r="O742" s="34"/>
      <c r="P742" s="38"/>
      <c r="Q742" s="38"/>
    </row>
    <row r="743" customFormat="false" ht="15" hidden="false" customHeight="false" outlineLevel="0" collapsed="false">
      <c r="A743" s="34" t="n">
        <v>735</v>
      </c>
      <c r="B743" s="35" t="s">
        <v>1550</v>
      </c>
      <c r="C743" s="35" t="s">
        <v>1551</v>
      </c>
      <c r="D743" s="35" t="s">
        <v>111</v>
      </c>
      <c r="E743" s="34" t="n">
        <v>2702</v>
      </c>
      <c r="F743" s="34" t="n">
        <v>2621</v>
      </c>
      <c r="G743" s="34" t="n">
        <v>2707</v>
      </c>
      <c r="H743" s="34" t="n">
        <v>3400</v>
      </c>
      <c r="I743" s="36" t="n">
        <f aca="false">$E743/F743-1</f>
        <v>0.0309042350247997</v>
      </c>
      <c r="J743" s="36" t="n">
        <f aca="false">$E743/G743-1</f>
        <v>-0.0018470631695604</v>
      </c>
      <c r="K743" s="36" t="n">
        <f aca="false">$E743/H743-1</f>
        <v>-0.205294117647059</v>
      </c>
      <c r="L743" s="37" t="n">
        <v>70.44</v>
      </c>
      <c r="M743" s="37" t="n">
        <v>0.27</v>
      </c>
      <c r="N743" s="34" t="n">
        <v>4315</v>
      </c>
      <c r="O743" s="34" t="n">
        <v>2621</v>
      </c>
      <c r="P743" s="38"/>
      <c r="Q743" s="38"/>
    </row>
    <row r="744" customFormat="false" ht="15" hidden="false" customHeight="false" outlineLevel="0" collapsed="false">
      <c r="A744" s="34" t="n">
        <v>736</v>
      </c>
      <c r="B744" s="35" t="s">
        <v>1552</v>
      </c>
      <c r="C744" s="35" t="s">
        <v>1553</v>
      </c>
      <c r="D744" s="35" t="s">
        <v>133</v>
      </c>
      <c r="E744" s="34" t="n">
        <v>5600</v>
      </c>
      <c r="F744" s="34" t="n">
        <v>5600</v>
      </c>
      <c r="G744" s="34" t="n">
        <v>5900</v>
      </c>
      <c r="H744" s="34" t="n">
        <v>6200</v>
      </c>
      <c r="I744" s="36" t="n">
        <f aca="false">$E744/F744-1</f>
        <v>0</v>
      </c>
      <c r="J744" s="36" t="n">
        <f aca="false">$E744/G744-1</f>
        <v>-0.0508474576271186</v>
      </c>
      <c r="K744" s="36" t="n">
        <f aca="false">$E744/H744-1</f>
        <v>-0.0967741935483871</v>
      </c>
      <c r="L744" s="37" t="n">
        <v>12.26</v>
      </c>
      <c r="M744" s="37" t="n">
        <v>0.44</v>
      </c>
      <c r="N744" s="34" t="n">
        <v>9300</v>
      </c>
      <c r="O744" s="34" t="n">
        <v>5500</v>
      </c>
      <c r="P744" s="38"/>
      <c r="Q744" s="38"/>
    </row>
    <row r="745" customFormat="false" ht="15" hidden="false" customHeight="false" outlineLevel="0" collapsed="false">
      <c r="A745" s="34" t="n">
        <v>737</v>
      </c>
      <c r="B745" s="35" t="s">
        <v>1554</v>
      </c>
      <c r="C745" s="35" t="s">
        <v>1555</v>
      </c>
      <c r="D745" s="35" t="s">
        <v>111</v>
      </c>
      <c r="E745" s="34" t="n">
        <v>4800</v>
      </c>
      <c r="F745" s="34" t="n">
        <v>3900</v>
      </c>
      <c r="G745" s="34" t="n">
        <v>3000</v>
      </c>
      <c r="H745" s="34" t="n">
        <v>3900</v>
      </c>
      <c r="I745" s="36" t="n">
        <f aca="false">$E745/F745-1</f>
        <v>0.230769230769231</v>
      </c>
      <c r="J745" s="36" t="n">
        <f aca="false">$E745/G745-1</f>
        <v>0.6</v>
      </c>
      <c r="K745" s="36" t="n">
        <f aca="false">$E745/H745-1</f>
        <v>0.230769230769231</v>
      </c>
      <c r="L745" s="37" t="n">
        <v>-11.98</v>
      </c>
      <c r="M745" s="37" t="n">
        <v>4.47</v>
      </c>
      <c r="N745" s="34" t="n">
        <v>4800</v>
      </c>
      <c r="O745" s="34" t="n">
        <v>2100</v>
      </c>
      <c r="P745" s="38"/>
      <c r="Q745" s="38"/>
    </row>
    <row r="746" customFormat="false" ht="15" hidden="false" customHeight="false" outlineLevel="0" collapsed="false">
      <c r="A746" s="34" t="n">
        <v>738</v>
      </c>
      <c r="B746" s="35" t="s">
        <v>1556</v>
      </c>
      <c r="C746" s="35" t="s">
        <v>1557</v>
      </c>
      <c r="D746" s="35" t="s">
        <v>111</v>
      </c>
      <c r="E746" s="34" t="n">
        <v>6900</v>
      </c>
      <c r="F746" s="34" t="n">
        <v>6900</v>
      </c>
      <c r="G746" s="34" t="n">
        <v>6900</v>
      </c>
      <c r="H746" s="34" t="n">
        <v>5600</v>
      </c>
      <c r="I746" s="36" t="n">
        <f aca="false">$E746/F746-1</f>
        <v>0</v>
      </c>
      <c r="J746" s="36" t="n">
        <f aca="false">$E746/G746-1</f>
        <v>0</v>
      </c>
      <c r="K746" s="36" t="n">
        <f aca="false">$E746/H746-1</f>
        <v>0.232142857142857</v>
      </c>
      <c r="L746" s="37" t="n">
        <v>-65.38</v>
      </c>
      <c r="M746" s="37" t="n">
        <v>-20.12</v>
      </c>
      <c r="N746" s="34" t="n">
        <v>7000</v>
      </c>
      <c r="O746" s="34" t="n">
        <v>2800</v>
      </c>
      <c r="P746" s="38"/>
      <c r="Q746" s="38"/>
    </row>
    <row r="747" customFormat="false" ht="15" hidden="false" customHeight="false" outlineLevel="0" collapsed="false">
      <c r="A747" s="34" t="n">
        <v>739</v>
      </c>
      <c r="B747" s="35" t="s">
        <v>1558</v>
      </c>
      <c r="C747" s="35" t="s">
        <v>1559</v>
      </c>
      <c r="D747" s="35" t="s">
        <v>133</v>
      </c>
      <c r="E747" s="34" t="n">
        <v>29800</v>
      </c>
      <c r="F747" s="34" t="n">
        <v>30000</v>
      </c>
      <c r="G747" s="34" t="n">
        <v>29000</v>
      </c>
      <c r="H747" s="34" t="n">
        <v>19386.78</v>
      </c>
      <c r="I747" s="36" t="n">
        <f aca="false">$E747/F747-1</f>
        <v>-0.00666666666666671</v>
      </c>
      <c r="J747" s="36" t="n">
        <f aca="false">$E747/G747-1</f>
        <v>0.0275862068965518</v>
      </c>
      <c r="K747" s="36" t="n">
        <f aca="false">$E747/H747-1</f>
        <v>0.537129941124829</v>
      </c>
      <c r="L747" s="37" t="n">
        <v>12.95</v>
      </c>
      <c r="M747" s="37" t="n">
        <v>1.99</v>
      </c>
      <c r="N747" s="34" t="n">
        <v>30375.6</v>
      </c>
      <c r="O747" s="34" t="n">
        <v>15277.14</v>
      </c>
      <c r="P747" s="38"/>
      <c r="Q747" s="38"/>
    </row>
    <row r="748" customFormat="false" ht="15" hidden="false" customHeight="false" outlineLevel="0" collapsed="false">
      <c r="A748" s="34" t="n">
        <v>740</v>
      </c>
      <c r="B748" s="35" t="s">
        <v>1560</v>
      </c>
      <c r="C748" s="35" t="s">
        <v>1561</v>
      </c>
      <c r="D748" s="35" t="s">
        <v>116</v>
      </c>
      <c r="E748" s="34" t="n">
        <v>18200</v>
      </c>
      <c r="F748" s="34" t="n">
        <v>18000</v>
      </c>
      <c r="G748" s="34" t="n">
        <v>17500</v>
      </c>
      <c r="H748" s="34" t="n">
        <v>15308.8</v>
      </c>
      <c r="I748" s="36" t="n">
        <f aca="false">$E748/F748-1</f>
        <v>0.0111111111111111</v>
      </c>
      <c r="J748" s="36" t="n">
        <f aca="false">$E748/G748-1</f>
        <v>0.04</v>
      </c>
      <c r="K748" s="36" t="n">
        <f aca="false">$E748/H748-1</f>
        <v>0.188858695652174</v>
      </c>
      <c r="L748" s="37" t="n">
        <v>8.08</v>
      </c>
      <c r="M748" s="37" t="n">
        <v>1.04</v>
      </c>
      <c r="N748" s="34" t="n">
        <v>26168.48</v>
      </c>
      <c r="O748" s="34" t="n">
        <v>13969.28</v>
      </c>
      <c r="P748" s="38"/>
      <c r="Q748" s="38"/>
    </row>
    <row r="749" customFormat="false" ht="15" hidden="false" customHeight="false" outlineLevel="0" collapsed="false">
      <c r="A749" s="34" t="n">
        <v>741</v>
      </c>
      <c r="B749" s="35" t="s">
        <v>1562</v>
      </c>
      <c r="C749" s="35" t="s">
        <v>1563</v>
      </c>
      <c r="D749" s="35" t="s">
        <v>116</v>
      </c>
      <c r="E749" s="34" t="n">
        <v>2040</v>
      </c>
      <c r="F749" s="34" t="n">
        <v>1980</v>
      </c>
      <c r="G749" s="34" t="n">
        <v>2200</v>
      </c>
      <c r="H749" s="34" t="n">
        <v>3060</v>
      </c>
      <c r="I749" s="36" t="n">
        <f aca="false">$E749/F749-1</f>
        <v>0.0303030303030303</v>
      </c>
      <c r="J749" s="36" t="n">
        <f aca="false">$E749/G749-1</f>
        <v>-0.0727272727272728</v>
      </c>
      <c r="K749" s="36" t="n">
        <f aca="false">$E749/H749-1</f>
        <v>-0.333333333333333</v>
      </c>
      <c r="L749" s="37" t="n">
        <v>-11.14</v>
      </c>
      <c r="M749" s="37" t="n">
        <v>0.2</v>
      </c>
      <c r="N749" s="34" t="n">
        <v>3400</v>
      </c>
      <c r="O749" s="34" t="n">
        <v>1960</v>
      </c>
      <c r="P749" s="38"/>
      <c r="Q749" s="38"/>
    </row>
    <row r="750" customFormat="false" ht="15" hidden="false" customHeight="false" outlineLevel="0" collapsed="false">
      <c r="A750" s="34" t="n">
        <v>742</v>
      </c>
      <c r="B750" s="35" t="s">
        <v>1564</v>
      </c>
      <c r="C750" s="35" t="s">
        <v>1565</v>
      </c>
      <c r="D750" s="35" t="s">
        <v>111</v>
      </c>
      <c r="E750" s="34" t="n">
        <v>6500</v>
      </c>
      <c r="F750" s="34" t="n">
        <v>7200</v>
      </c>
      <c r="G750" s="34" t="n">
        <v>8900</v>
      </c>
      <c r="H750" s="34" t="n">
        <v>7014</v>
      </c>
      <c r="I750" s="36" t="n">
        <f aca="false">$E750/F750-1</f>
        <v>-0.0972222222222222</v>
      </c>
      <c r="J750" s="36" t="n">
        <f aca="false">$E750/G750-1</f>
        <v>-0.269662921348315</v>
      </c>
      <c r="K750" s="36" t="n">
        <f aca="false">$E750/H750-1</f>
        <v>-0.0732820074137439</v>
      </c>
      <c r="L750" s="37" t="n">
        <v>8.69</v>
      </c>
      <c r="M750" s="37" t="n">
        <v>0.5</v>
      </c>
      <c r="N750" s="34" t="n">
        <v>10900</v>
      </c>
      <c r="O750" s="34" t="n">
        <v>6500</v>
      </c>
      <c r="P750" s="38"/>
      <c r="Q750" s="38"/>
    </row>
    <row r="751" customFormat="false" ht="15" hidden="false" customHeight="false" outlineLevel="0" collapsed="false">
      <c r="A751" s="34" t="n">
        <v>743</v>
      </c>
      <c r="B751" s="35" t="s">
        <v>1566</v>
      </c>
      <c r="C751" s="35" t="s">
        <v>1567</v>
      </c>
      <c r="D751" s="35" t="s">
        <v>111</v>
      </c>
      <c r="E751" s="34" t="n">
        <v>17550</v>
      </c>
      <c r="F751" s="34" t="n">
        <v>20200</v>
      </c>
      <c r="G751" s="34" t="n">
        <v>20200</v>
      </c>
      <c r="H751" s="34" t="n">
        <v>16259.1</v>
      </c>
      <c r="I751" s="36" t="n">
        <f aca="false">$E751/F751-1</f>
        <v>-0.131188118811881</v>
      </c>
      <c r="J751" s="36" t="n">
        <f aca="false">$E751/G751-1</f>
        <v>-0.131188118811881</v>
      </c>
      <c r="K751" s="36" t="n">
        <f aca="false">$E751/H751-1</f>
        <v>0.0793955384984408</v>
      </c>
      <c r="L751" s="37" t="n">
        <v>8.24</v>
      </c>
      <c r="M751" s="37" t="n">
        <v>1.04</v>
      </c>
      <c r="N751" s="34" t="n">
        <v>23649.6</v>
      </c>
      <c r="O751" s="34" t="n">
        <v>13795.6</v>
      </c>
      <c r="P751" s="38"/>
      <c r="Q751" s="38"/>
    </row>
    <row r="752" customFormat="false" ht="15" hidden="false" customHeight="false" outlineLevel="0" collapsed="false">
      <c r="A752" s="34" t="n">
        <v>744</v>
      </c>
      <c r="B752" s="35" t="s">
        <v>1568</v>
      </c>
      <c r="C752" s="35" t="s">
        <v>1569</v>
      </c>
      <c r="D752" s="35" t="s">
        <v>111</v>
      </c>
      <c r="E752" s="34" t="n">
        <v>2300</v>
      </c>
      <c r="F752" s="34" t="n">
        <v>2255</v>
      </c>
      <c r="G752" s="34" t="n">
        <v>2400</v>
      </c>
      <c r="H752" s="34" t="n">
        <v>2900</v>
      </c>
      <c r="I752" s="36" t="n">
        <f aca="false">$E752/F752-1</f>
        <v>0.0199556541019956</v>
      </c>
      <c r="J752" s="36" t="n">
        <f aca="false">$E752/G752-1</f>
        <v>-0.0416666666666666</v>
      </c>
      <c r="K752" s="36" t="n">
        <f aca="false">$E752/H752-1</f>
        <v>-0.206896551724138</v>
      </c>
      <c r="L752" s="37" t="n">
        <v>9.23</v>
      </c>
      <c r="M752" s="37" t="n">
        <v>1.39</v>
      </c>
      <c r="N752" s="34" t="n">
        <v>3700</v>
      </c>
      <c r="O752" s="34" t="n">
        <v>2255</v>
      </c>
      <c r="P752" s="38"/>
      <c r="Q752" s="38"/>
    </row>
    <row r="753" customFormat="false" ht="15" hidden="false" customHeight="false" outlineLevel="0" collapsed="false">
      <c r="A753" s="34" t="n">
        <v>745</v>
      </c>
      <c r="B753" s="35" t="s">
        <v>1570</v>
      </c>
      <c r="C753" s="35" t="s">
        <v>1571</v>
      </c>
      <c r="D753" s="35" t="s">
        <v>111</v>
      </c>
      <c r="E753" s="34" t="n">
        <v>7900</v>
      </c>
      <c r="F753" s="34" t="n">
        <v>7900</v>
      </c>
      <c r="G753" s="34" t="n">
        <v>8000</v>
      </c>
      <c r="H753" s="34" t="n">
        <v>9187.5</v>
      </c>
      <c r="I753" s="36" t="n">
        <f aca="false">$E753/F753-1</f>
        <v>0</v>
      </c>
      <c r="J753" s="36" t="n">
        <f aca="false">$E753/G753-1</f>
        <v>-0.0125</v>
      </c>
      <c r="K753" s="36" t="n">
        <f aca="false">$E753/H753-1</f>
        <v>-0.140136054421769</v>
      </c>
      <c r="L753" s="37" t="n">
        <v>16.49</v>
      </c>
      <c r="M753" s="37" t="n">
        <v>0.5</v>
      </c>
      <c r="N753" s="34" t="n">
        <v>9750.3</v>
      </c>
      <c r="O753" s="34" t="n">
        <v>7504.69</v>
      </c>
      <c r="P753" s="38"/>
      <c r="Q753" s="38"/>
    </row>
    <row r="754" customFormat="false" ht="15" hidden="false" customHeight="false" outlineLevel="0" collapsed="false">
      <c r="A754" s="34" t="n">
        <v>746</v>
      </c>
      <c r="B754" s="35" t="s">
        <v>1572</v>
      </c>
      <c r="C754" s="35" t="s">
        <v>1573</v>
      </c>
      <c r="D754" s="35" t="s">
        <v>111</v>
      </c>
      <c r="E754" s="34" t="n">
        <v>1356</v>
      </c>
      <c r="F754" s="34" t="n">
        <v>1409</v>
      </c>
      <c r="G754" s="34" t="n">
        <v>2300</v>
      </c>
      <c r="H754" s="34" t="n">
        <v>3800</v>
      </c>
      <c r="I754" s="36" t="n">
        <f aca="false">$E754/F754-1</f>
        <v>-0.0376153300212917</v>
      </c>
      <c r="J754" s="36" t="n">
        <f aca="false">$E754/G754-1</f>
        <v>-0.410434782608696</v>
      </c>
      <c r="K754" s="36" t="n">
        <f aca="false">$E754/H754-1</f>
        <v>-0.643157894736842</v>
      </c>
      <c r="L754" s="37" t="n">
        <v>-0.3</v>
      </c>
      <c r="M754" s="37" t="n">
        <v>-0.04</v>
      </c>
      <c r="N754" s="34" t="n">
        <v>4100</v>
      </c>
      <c r="O754" s="34" t="n">
        <v>1356</v>
      </c>
      <c r="P754" s="38"/>
      <c r="Q754" s="38"/>
    </row>
    <row r="755" customFormat="false" ht="15" hidden="false" customHeight="false" outlineLevel="0" collapsed="false">
      <c r="A755" s="34" t="n">
        <v>747</v>
      </c>
      <c r="B755" s="35" t="s">
        <v>1574</v>
      </c>
      <c r="C755" s="35" t="s">
        <v>1575</v>
      </c>
      <c r="D755" s="35" t="s">
        <v>111</v>
      </c>
      <c r="E755" s="34" t="n">
        <v>25000</v>
      </c>
      <c r="F755" s="34" t="n">
        <v>25000</v>
      </c>
      <c r="G755" s="34" t="n">
        <v>25000</v>
      </c>
      <c r="H755" s="34" t="n">
        <v>25000</v>
      </c>
      <c r="I755" s="36" t="n">
        <f aca="false">$E755/F755-1</f>
        <v>0</v>
      </c>
      <c r="J755" s="36" t="n">
        <f aca="false">$E755/G755-1</f>
        <v>0</v>
      </c>
      <c r="K755" s="36" t="n">
        <f aca="false">$E755/H755-1</f>
        <v>0</v>
      </c>
      <c r="L755" s="37" t="n">
        <v>9.01</v>
      </c>
      <c r="M755" s="37" t="n">
        <v>0.44</v>
      </c>
      <c r="N755" s="34" t="n">
        <v>35000</v>
      </c>
      <c r="O755" s="34" t="n">
        <v>24500</v>
      </c>
      <c r="P755" s="38"/>
      <c r="Q755" s="38"/>
    </row>
    <row r="756" customFormat="false" ht="15" hidden="false" customHeight="false" outlineLevel="0" collapsed="false">
      <c r="A756" s="34" t="n">
        <v>748</v>
      </c>
      <c r="B756" s="35" t="s">
        <v>1576</v>
      </c>
      <c r="C756" s="35" t="s">
        <v>1577</v>
      </c>
      <c r="D756" s="35" t="s">
        <v>111</v>
      </c>
      <c r="E756" s="34"/>
      <c r="F756" s="34"/>
      <c r="G756" s="34"/>
      <c r="H756" s="34"/>
      <c r="I756" s="36" t="e">
        <f aca="false">$E756/F756-1</f>
        <v>#DIV/0!</v>
      </c>
      <c r="J756" s="36" t="e">
        <f aca="false">$E756/G756-1</f>
        <v>#DIV/0!</v>
      </c>
      <c r="K756" s="36" t="e">
        <f aca="false">$E756/H756-1</f>
        <v>#DIV/0!</v>
      </c>
      <c r="L756" s="37"/>
      <c r="M756" s="37"/>
      <c r="N756" s="34"/>
      <c r="O756" s="34"/>
      <c r="P756" s="38"/>
      <c r="Q756" s="38"/>
    </row>
    <row r="757" customFormat="false" ht="15" hidden="false" customHeight="false" outlineLevel="0" collapsed="false">
      <c r="A757" s="34" t="n">
        <v>749</v>
      </c>
      <c r="B757" s="35" t="s">
        <v>1578</v>
      </c>
      <c r="C757" s="35" t="s">
        <v>1579</v>
      </c>
      <c r="D757" s="35" t="s">
        <v>111</v>
      </c>
      <c r="E757" s="34" t="n">
        <v>9800</v>
      </c>
      <c r="F757" s="34" t="n">
        <v>9800</v>
      </c>
      <c r="G757" s="34" t="n">
        <v>9800</v>
      </c>
      <c r="H757" s="34" t="n">
        <v>6246.48</v>
      </c>
      <c r="I757" s="36" t="n">
        <f aca="false">$E757/F757-1</f>
        <v>0</v>
      </c>
      <c r="J757" s="36" t="n">
        <f aca="false">$E757/G757-1</f>
        <v>0</v>
      </c>
      <c r="K757" s="36" t="n">
        <f aca="false">$E757/H757-1</f>
        <v>0.56888359524084</v>
      </c>
      <c r="L757" s="37" t="n">
        <v>10.84</v>
      </c>
      <c r="M757" s="37" t="n">
        <v>0.78</v>
      </c>
      <c r="N757" s="34" t="n">
        <v>13779</v>
      </c>
      <c r="O757" s="34" t="n">
        <v>4317.42</v>
      </c>
      <c r="P757" s="38"/>
      <c r="Q757" s="38"/>
    </row>
    <row r="758" customFormat="false" ht="15" hidden="false" customHeight="false" outlineLevel="0" collapsed="false">
      <c r="A758" s="34" t="n">
        <v>750</v>
      </c>
      <c r="B758" s="35" t="s">
        <v>1580</v>
      </c>
      <c r="C758" s="35" t="s">
        <v>1581</v>
      </c>
      <c r="D758" s="35" t="s">
        <v>133</v>
      </c>
      <c r="E758" s="34" t="n">
        <v>15700</v>
      </c>
      <c r="F758" s="34" t="n">
        <v>16000</v>
      </c>
      <c r="G758" s="34" t="n">
        <v>15500</v>
      </c>
      <c r="H758" s="34" t="n">
        <v>15224.25</v>
      </c>
      <c r="I758" s="36" t="n">
        <f aca="false">$E758/F758-1</f>
        <v>-0.01875</v>
      </c>
      <c r="J758" s="36" t="n">
        <f aca="false">$E758/G758-1</f>
        <v>0.0129032258064516</v>
      </c>
      <c r="K758" s="36" t="n">
        <f aca="false">$E758/H758-1</f>
        <v>0.0312494868384321</v>
      </c>
      <c r="L758" s="37" t="n">
        <v>11.15</v>
      </c>
      <c r="M758" s="37" t="n">
        <v>1.1</v>
      </c>
      <c r="N758" s="34" t="n">
        <v>17235</v>
      </c>
      <c r="O758" s="34" t="n">
        <v>14266.75</v>
      </c>
      <c r="P758" s="38"/>
      <c r="Q758" s="38"/>
    </row>
    <row r="759" customFormat="false" ht="15" hidden="false" customHeight="false" outlineLevel="0" collapsed="false">
      <c r="A759" s="34" t="n">
        <v>751</v>
      </c>
      <c r="B759" s="35" t="s">
        <v>1582</v>
      </c>
      <c r="C759" s="35" t="s">
        <v>1583</v>
      </c>
      <c r="D759" s="35" t="s">
        <v>133</v>
      </c>
      <c r="E759" s="34" t="n">
        <v>43300</v>
      </c>
      <c r="F759" s="34" t="n">
        <v>43500</v>
      </c>
      <c r="G759" s="34" t="n">
        <v>47400</v>
      </c>
      <c r="H759" s="34" t="n">
        <v>37212</v>
      </c>
      <c r="I759" s="36" t="n">
        <f aca="false">$E759/F759-1</f>
        <v>-0.00459770114942526</v>
      </c>
      <c r="J759" s="36" t="n">
        <f aca="false">$E759/G759-1</f>
        <v>-0.0864978902953587</v>
      </c>
      <c r="K759" s="36" t="n">
        <f aca="false">$E759/H759-1</f>
        <v>0.163603138772439</v>
      </c>
      <c r="L759" s="37" t="n">
        <v>7.73</v>
      </c>
      <c r="M759" s="37" t="n">
        <v>2.71</v>
      </c>
      <c r="N759" s="34" t="n">
        <v>49600</v>
      </c>
      <c r="O759" s="34" t="n">
        <v>35072.31</v>
      </c>
      <c r="P759" s="38"/>
      <c r="Q759" s="38"/>
    </row>
    <row r="760" customFormat="false" ht="15" hidden="false" customHeight="false" outlineLevel="0" collapsed="false">
      <c r="A760" s="34" t="n">
        <v>752</v>
      </c>
      <c r="B760" s="35" t="s">
        <v>1584</v>
      </c>
      <c r="C760" s="35" t="s">
        <v>1585</v>
      </c>
      <c r="D760" s="35" t="s">
        <v>111</v>
      </c>
      <c r="E760" s="34" t="n">
        <v>7900</v>
      </c>
      <c r="F760" s="34" t="n">
        <v>8000</v>
      </c>
      <c r="G760" s="34" t="n">
        <v>5500</v>
      </c>
      <c r="H760" s="34" t="n">
        <v>4000</v>
      </c>
      <c r="I760" s="36" t="n">
        <f aca="false">$E760/F760-1</f>
        <v>-0.0125</v>
      </c>
      <c r="J760" s="36" t="n">
        <f aca="false">$E760/G760-1</f>
        <v>0.436363636363636</v>
      </c>
      <c r="K760" s="36" t="n">
        <f aca="false">$E760/H760-1</f>
        <v>0.975</v>
      </c>
      <c r="L760" s="37" t="n">
        <v>25.82</v>
      </c>
      <c r="M760" s="37" t="n">
        <v>0.76</v>
      </c>
      <c r="N760" s="34" t="n">
        <v>9200</v>
      </c>
      <c r="O760" s="34" t="n">
        <v>4000</v>
      </c>
      <c r="P760" s="38"/>
      <c r="Q760" s="38"/>
    </row>
    <row r="761" customFormat="false" ht="15" hidden="false" customHeight="false" outlineLevel="0" collapsed="false">
      <c r="A761" s="34" t="n">
        <v>753</v>
      </c>
      <c r="B761" s="35" t="s">
        <v>1586</v>
      </c>
      <c r="C761" s="35" t="s">
        <v>1587</v>
      </c>
      <c r="D761" s="35" t="s">
        <v>111</v>
      </c>
      <c r="E761" s="34" t="n">
        <v>34119</v>
      </c>
      <c r="F761" s="34" t="n">
        <v>32065</v>
      </c>
      <c r="G761" s="34" t="n">
        <v>28500</v>
      </c>
      <c r="H761" s="34" t="n">
        <v>25296</v>
      </c>
      <c r="I761" s="36" t="n">
        <f aca="false">$E761/F761-1</f>
        <v>0.0640573834398877</v>
      </c>
      <c r="J761" s="36" t="n">
        <f aca="false">$E761/G761-1</f>
        <v>0.197157894736842</v>
      </c>
      <c r="K761" s="36" t="n">
        <f aca="false">$E761/H761-1</f>
        <v>0.348790322580645</v>
      </c>
      <c r="L761" s="37" t="n">
        <v>38.14</v>
      </c>
      <c r="M761" s="37" t="n">
        <v>6.91</v>
      </c>
      <c r="N761" s="34" t="n">
        <v>36031</v>
      </c>
      <c r="O761" s="34" t="n">
        <v>24034</v>
      </c>
      <c r="P761" s="38"/>
      <c r="Q761" s="38"/>
    </row>
    <row r="762" customFormat="false" ht="15" hidden="false" customHeight="false" outlineLevel="0" collapsed="false">
      <c r="A762" s="34" t="n">
        <v>754</v>
      </c>
      <c r="B762" s="35" t="s">
        <v>1588</v>
      </c>
      <c r="C762" s="35" t="s">
        <v>1589</v>
      </c>
      <c r="D762" s="35" t="s">
        <v>133</v>
      </c>
      <c r="E762" s="34" t="n">
        <v>15200</v>
      </c>
      <c r="F762" s="34" t="n">
        <v>16200</v>
      </c>
      <c r="G762" s="34" t="n">
        <v>16200</v>
      </c>
      <c r="H762" s="34" t="n">
        <v>21760</v>
      </c>
      <c r="I762" s="36" t="n">
        <f aca="false">$E762/F762-1</f>
        <v>-0.0617283950617285</v>
      </c>
      <c r="J762" s="36" t="n">
        <f aca="false">$E762/G762-1</f>
        <v>-0.0617283950617285</v>
      </c>
      <c r="K762" s="36" t="n">
        <f aca="false">$E762/H762-1</f>
        <v>-0.301470588235294</v>
      </c>
      <c r="L762" s="37" t="n">
        <v>4.59</v>
      </c>
      <c r="M762" s="37" t="n">
        <v>1.03</v>
      </c>
      <c r="N762" s="34" t="n">
        <v>25200</v>
      </c>
      <c r="O762" s="34" t="n">
        <v>14500</v>
      </c>
      <c r="P762" s="38"/>
      <c r="Q762" s="38"/>
    </row>
    <row r="763" customFormat="false" ht="15" hidden="false" customHeight="false" outlineLevel="0" collapsed="false">
      <c r="A763" s="34" t="n">
        <v>755</v>
      </c>
      <c r="B763" s="35" t="s">
        <v>1590</v>
      </c>
      <c r="C763" s="35" t="s">
        <v>1591</v>
      </c>
      <c r="D763" s="35" t="s">
        <v>111</v>
      </c>
      <c r="E763" s="34" t="n">
        <v>4600</v>
      </c>
      <c r="F763" s="34" t="n">
        <v>4600</v>
      </c>
      <c r="G763" s="34" t="n">
        <v>4513</v>
      </c>
      <c r="H763" s="34" t="n">
        <v>4100</v>
      </c>
      <c r="I763" s="36" t="n">
        <f aca="false">$E763/F763-1</f>
        <v>0</v>
      </c>
      <c r="J763" s="36" t="n">
        <f aca="false">$E763/G763-1</f>
        <v>0.0192776423664969</v>
      </c>
      <c r="K763" s="36" t="n">
        <f aca="false">$E763/H763-1</f>
        <v>0.121951219512195</v>
      </c>
      <c r="L763" s="37" t="n">
        <v>9.52</v>
      </c>
      <c r="M763" s="37" t="n">
        <v>0.33</v>
      </c>
      <c r="N763" s="34" t="n">
        <v>6000</v>
      </c>
      <c r="O763" s="34" t="n">
        <v>3300</v>
      </c>
      <c r="P763" s="38"/>
      <c r="Q763" s="38"/>
    </row>
    <row r="764" customFormat="false" ht="15" hidden="false" customHeight="false" outlineLevel="0" collapsed="false">
      <c r="A764" s="34" t="n">
        <v>756</v>
      </c>
      <c r="B764" s="35" t="s">
        <v>1592</v>
      </c>
      <c r="C764" s="35" t="s">
        <v>1593</v>
      </c>
      <c r="D764" s="35" t="s">
        <v>133</v>
      </c>
      <c r="E764" s="34" t="n">
        <v>3200</v>
      </c>
      <c r="F764" s="34" t="n">
        <v>3200</v>
      </c>
      <c r="G764" s="34" t="n">
        <v>3800</v>
      </c>
      <c r="H764" s="34" t="n">
        <v>4100</v>
      </c>
      <c r="I764" s="36" t="n">
        <f aca="false">$E764/F764-1</f>
        <v>0</v>
      </c>
      <c r="J764" s="36" t="n">
        <f aca="false">$E764/G764-1</f>
        <v>-0.157894736842105</v>
      </c>
      <c r="K764" s="36" t="n">
        <f aca="false">$E764/H764-1</f>
        <v>-0.219512195121951</v>
      </c>
      <c r="L764" s="37" t="n">
        <v>12.16</v>
      </c>
      <c r="M764" s="37" t="n">
        <v>0.31</v>
      </c>
      <c r="N764" s="34" t="n">
        <v>5400</v>
      </c>
      <c r="O764" s="34" t="n">
        <v>3200</v>
      </c>
      <c r="P764" s="38"/>
      <c r="Q764" s="38"/>
    </row>
    <row r="765" customFormat="false" ht="15" hidden="false" customHeight="false" outlineLevel="0" collapsed="false">
      <c r="A765" s="34" t="n">
        <v>757</v>
      </c>
      <c r="B765" s="35" t="s">
        <v>1594</v>
      </c>
      <c r="C765" s="35" t="s">
        <v>1595</v>
      </c>
      <c r="D765" s="35" t="s">
        <v>133</v>
      </c>
      <c r="E765" s="34" t="n">
        <v>19800</v>
      </c>
      <c r="F765" s="34" t="n">
        <v>17700</v>
      </c>
      <c r="G765" s="34" t="n">
        <v>20000</v>
      </c>
      <c r="H765" s="34" t="n">
        <v>28800</v>
      </c>
      <c r="I765" s="36" t="n">
        <f aca="false">$E765/F765-1</f>
        <v>0.11864406779661</v>
      </c>
      <c r="J765" s="36" t="n">
        <f aca="false">$E765/G765-1</f>
        <v>-0.01</v>
      </c>
      <c r="K765" s="36" t="n">
        <f aca="false">$E765/H765-1</f>
        <v>-0.3125</v>
      </c>
      <c r="L765" s="37" t="n">
        <v>59.7</v>
      </c>
      <c r="M765" s="37" t="n">
        <v>1.36</v>
      </c>
      <c r="N765" s="34" t="n">
        <v>45800</v>
      </c>
      <c r="O765" s="34" t="n">
        <v>17300</v>
      </c>
      <c r="P765" s="38"/>
      <c r="Q765" s="38"/>
    </row>
    <row r="766" customFormat="false" ht="15" hidden="false" customHeight="false" outlineLevel="0" collapsed="false">
      <c r="A766" s="34" t="n">
        <v>758</v>
      </c>
      <c r="B766" s="35" t="s">
        <v>1596</v>
      </c>
      <c r="C766" s="35" t="s">
        <v>1597</v>
      </c>
      <c r="D766" s="35" t="s">
        <v>111</v>
      </c>
      <c r="E766" s="34" t="n">
        <v>3000</v>
      </c>
      <c r="F766" s="34" t="n">
        <v>3000</v>
      </c>
      <c r="G766" s="34" t="n">
        <v>2200</v>
      </c>
      <c r="H766" s="34" t="n">
        <v>2200</v>
      </c>
      <c r="I766" s="36" t="n">
        <f aca="false">$E766/F766-1</f>
        <v>0</v>
      </c>
      <c r="J766" s="36" t="n">
        <f aca="false">$E766/G766-1</f>
        <v>0.363636363636364</v>
      </c>
      <c r="K766" s="36" t="n">
        <f aca="false">$E766/H766-1</f>
        <v>0.363636363636364</v>
      </c>
      <c r="L766" s="37" t="n">
        <v>-3.53</v>
      </c>
      <c r="M766" s="37" t="n">
        <v>-0.31</v>
      </c>
      <c r="N766" s="34" t="n">
        <v>3000</v>
      </c>
      <c r="O766" s="34" t="n">
        <v>2000</v>
      </c>
      <c r="P766" s="38"/>
      <c r="Q766" s="38"/>
    </row>
    <row r="767" customFormat="false" ht="15" hidden="false" customHeight="false" outlineLevel="0" collapsed="false">
      <c r="A767" s="34" t="n">
        <v>759</v>
      </c>
      <c r="B767" s="35" t="s">
        <v>1598</v>
      </c>
      <c r="C767" s="35" t="s">
        <v>1599</v>
      </c>
      <c r="D767" s="35" t="s">
        <v>111</v>
      </c>
      <c r="E767" s="34" t="n">
        <v>80000</v>
      </c>
      <c r="F767" s="34" t="n">
        <v>80000</v>
      </c>
      <c r="G767" s="34" t="n">
        <v>80000</v>
      </c>
      <c r="H767" s="34" t="n">
        <v>10000</v>
      </c>
      <c r="I767" s="36" t="n">
        <f aca="false">$E767/F767-1</f>
        <v>0</v>
      </c>
      <c r="J767" s="36" t="n">
        <f aca="false">$E767/G767-1</f>
        <v>0</v>
      </c>
      <c r="K767" s="36" t="n">
        <f aca="false">$E767/H767-1</f>
        <v>7</v>
      </c>
      <c r="L767" s="37" t="n">
        <v>593.48</v>
      </c>
      <c r="M767" s="37" t="n">
        <v>34.21</v>
      </c>
      <c r="N767" s="34" t="n">
        <v>80000</v>
      </c>
      <c r="O767" s="34" t="n">
        <v>10000</v>
      </c>
      <c r="P767" s="38"/>
      <c r="Q767" s="38"/>
    </row>
    <row r="768" customFormat="false" ht="15" hidden="false" customHeight="false" outlineLevel="0" collapsed="false">
      <c r="A768" s="34" t="n">
        <v>760</v>
      </c>
      <c r="B768" s="35" t="s">
        <v>1600</v>
      </c>
      <c r="C768" s="35" t="s">
        <v>1601</v>
      </c>
      <c r="D768" s="35" t="s">
        <v>111</v>
      </c>
      <c r="E768" s="34" t="n">
        <v>35191</v>
      </c>
      <c r="F768" s="34" t="n">
        <v>22000</v>
      </c>
      <c r="G768" s="34" t="n">
        <v>20638</v>
      </c>
      <c r="H768" s="34" t="n">
        <v>15860</v>
      </c>
      <c r="I768" s="36" t="n">
        <f aca="false">$E768/F768-1</f>
        <v>0.599590909090909</v>
      </c>
      <c r="J768" s="36" t="n">
        <f aca="false">$E768/G768-1</f>
        <v>0.705155538327357</v>
      </c>
      <c r="K768" s="36" t="n">
        <f aca="false">$E768/H768-1</f>
        <v>1.21885245901639</v>
      </c>
      <c r="L768" s="37" t="n">
        <v>2.75</v>
      </c>
      <c r="M768" s="37" t="n">
        <v>1.35</v>
      </c>
      <c r="N768" s="34" t="n">
        <v>35191</v>
      </c>
      <c r="O768" s="34" t="n">
        <v>15000</v>
      </c>
      <c r="P768" s="38"/>
      <c r="Q768" s="38"/>
    </row>
    <row r="769" customFormat="false" ht="15" hidden="false" customHeight="false" outlineLevel="0" collapsed="false">
      <c r="A769" s="34" t="n">
        <v>761</v>
      </c>
      <c r="B769" s="35" t="s">
        <v>1602</v>
      </c>
      <c r="C769" s="35" t="s">
        <v>1603</v>
      </c>
      <c r="D769" s="35" t="s">
        <v>116</v>
      </c>
      <c r="E769" s="34" t="n">
        <v>23500</v>
      </c>
      <c r="F769" s="34" t="n">
        <v>24000</v>
      </c>
      <c r="G769" s="34" t="n">
        <v>21400</v>
      </c>
      <c r="H769" s="34" t="n">
        <v>23660</v>
      </c>
      <c r="I769" s="36" t="n">
        <f aca="false">$E769/F769-1</f>
        <v>-0.0208333333333334</v>
      </c>
      <c r="J769" s="36" t="n">
        <f aca="false">$E769/G769-1</f>
        <v>0.0981308411214954</v>
      </c>
      <c r="K769" s="36" t="n">
        <f aca="false">$E769/H769-1</f>
        <v>-0.00676246830092986</v>
      </c>
      <c r="L769" s="37" t="n">
        <v>3.5</v>
      </c>
      <c r="M769" s="37" t="n">
        <v>0.73</v>
      </c>
      <c r="N769" s="34" t="n">
        <v>26500</v>
      </c>
      <c r="O769" s="34" t="n">
        <v>19590.48</v>
      </c>
      <c r="P769" s="38"/>
      <c r="Q769" s="38"/>
    </row>
    <row r="770" customFormat="false" ht="15" hidden="false" customHeight="false" outlineLevel="0" collapsed="false">
      <c r="A770" s="34" t="n">
        <v>762</v>
      </c>
      <c r="B770" s="35" t="s">
        <v>1604</v>
      </c>
      <c r="C770" s="35" t="s">
        <v>1605</v>
      </c>
      <c r="D770" s="35" t="s">
        <v>116</v>
      </c>
      <c r="E770" s="34" t="n">
        <v>13000</v>
      </c>
      <c r="F770" s="34" t="n">
        <v>13000</v>
      </c>
      <c r="G770" s="34" t="n">
        <v>15646.91</v>
      </c>
      <c r="H770" s="34" t="n">
        <v>14857.6</v>
      </c>
      <c r="I770" s="36" t="n">
        <f aca="false">$E770/F770-1</f>
        <v>0</v>
      </c>
      <c r="J770" s="36" t="n">
        <f aca="false">$E770/G770-1</f>
        <v>-0.169165030028293</v>
      </c>
      <c r="K770" s="36" t="n">
        <f aca="false">$E770/H770-1</f>
        <v>-0.125026922248546</v>
      </c>
      <c r="L770" s="37" t="n">
        <v>8.37</v>
      </c>
      <c r="M770" s="37" t="n">
        <v>0.4</v>
      </c>
      <c r="N770" s="34" t="n">
        <v>15646.91</v>
      </c>
      <c r="O770" s="34" t="n">
        <v>11050.34</v>
      </c>
      <c r="P770" s="38"/>
      <c r="Q770" s="38"/>
    </row>
    <row r="771" customFormat="false" ht="15" hidden="false" customHeight="false" outlineLevel="0" collapsed="false">
      <c r="A771" s="34" t="n">
        <v>763</v>
      </c>
      <c r="B771" s="35" t="s">
        <v>1606</v>
      </c>
      <c r="C771" s="35" t="s">
        <v>1607</v>
      </c>
      <c r="D771" s="35" t="s">
        <v>111</v>
      </c>
      <c r="E771" s="34" t="n">
        <v>1200</v>
      </c>
      <c r="F771" s="34" t="n">
        <v>1385</v>
      </c>
      <c r="G771" s="34" t="n">
        <v>1600</v>
      </c>
      <c r="H771" s="34" t="n">
        <v>2300</v>
      </c>
      <c r="I771" s="36" t="n">
        <f aca="false">$E771/F771-1</f>
        <v>-0.133574007220217</v>
      </c>
      <c r="J771" s="36" t="n">
        <f aca="false">$E771/G771-1</f>
        <v>-0.25</v>
      </c>
      <c r="K771" s="36" t="n">
        <f aca="false">$E771/H771-1</f>
        <v>-0.478260869565217</v>
      </c>
      <c r="L771" s="37" t="n">
        <v>52.52</v>
      </c>
      <c r="M771" s="37" t="n">
        <v>-0.05</v>
      </c>
      <c r="N771" s="34" t="n">
        <v>3000</v>
      </c>
      <c r="O771" s="34" t="n">
        <v>1200</v>
      </c>
      <c r="P771" s="38"/>
      <c r="Q771" s="38"/>
    </row>
    <row r="772" customFormat="false" ht="15" hidden="false" customHeight="false" outlineLevel="0" collapsed="false">
      <c r="A772" s="34" t="n">
        <v>764</v>
      </c>
      <c r="B772" s="35" t="s">
        <v>1608</v>
      </c>
      <c r="C772" s="35" t="s">
        <v>1609</v>
      </c>
      <c r="D772" s="35" t="s">
        <v>111</v>
      </c>
      <c r="E772" s="34" t="n">
        <v>1300</v>
      </c>
      <c r="F772" s="34" t="n">
        <v>1500</v>
      </c>
      <c r="G772" s="34" t="n">
        <v>1900</v>
      </c>
      <c r="H772" s="34" t="n">
        <v>1700</v>
      </c>
      <c r="I772" s="36" t="n">
        <f aca="false">$E772/F772-1</f>
        <v>-0.133333333333333</v>
      </c>
      <c r="J772" s="36" t="n">
        <f aca="false">$E772/G772-1</f>
        <v>-0.315789473684211</v>
      </c>
      <c r="K772" s="36" t="n">
        <f aca="false">$E772/H772-1</f>
        <v>-0.235294117647059</v>
      </c>
      <c r="L772" s="37" t="n">
        <v>-0.79</v>
      </c>
      <c r="M772" s="37" t="n">
        <v>-0.2</v>
      </c>
      <c r="N772" s="34" t="n">
        <v>2300</v>
      </c>
      <c r="O772" s="34" t="n">
        <v>1300</v>
      </c>
      <c r="P772" s="38"/>
      <c r="Q772" s="38"/>
    </row>
    <row r="773" customFormat="false" ht="15" hidden="false" customHeight="false" outlineLevel="0" collapsed="false">
      <c r="A773" s="34" t="n">
        <v>765</v>
      </c>
      <c r="B773" s="35" t="s">
        <v>1610</v>
      </c>
      <c r="C773" s="35" t="s">
        <v>1611</v>
      </c>
      <c r="D773" s="35" t="s">
        <v>111</v>
      </c>
      <c r="E773" s="34" t="n">
        <v>1600</v>
      </c>
      <c r="F773" s="34" t="n">
        <v>1900</v>
      </c>
      <c r="G773" s="34" t="n">
        <v>2300</v>
      </c>
      <c r="H773" s="34" t="n">
        <v>3100</v>
      </c>
      <c r="I773" s="36" t="n">
        <f aca="false">$E773/F773-1</f>
        <v>-0.157894736842105</v>
      </c>
      <c r="J773" s="36" t="n">
        <f aca="false">$E773/G773-1</f>
        <v>-0.304347826086957</v>
      </c>
      <c r="K773" s="36" t="n">
        <f aca="false">$E773/H773-1</f>
        <v>-0.483870967741936</v>
      </c>
      <c r="L773" s="37" t="n">
        <v>-1.04</v>
      </c>
      <c r="M773" s="37" t="n">
        <v>1.08</v>
      </c>
      <c r="N773" s="34" t="n">
        <v>3489</v>
      </c>
      <c r="O773" s="34" t="n">
        <v>1600</v>
      </c>
      <c r="P773" s="38"/>
      <c r="Q773" s="38"/>
    </row>
    <row r="774" customFormat="false" ht="15" hidden="false" customHeight="false" outlineLevel="0" collapsed="false">
      <c r="A774" s="34" t="n">
        <v>766</v>
      </c>
      <c r="B774" s="35" t="s">
        <v>1612</v>
      </c>
      <c r="C774" s="35" t="s">
        <v>1613</v>
      </c>
      <c r="D774" s="35" t="s">
        <v>111</v>
      </c>
      <c r="E774" s="34" t="n">
        <v>400</v>
      </c>
      <c r="F774" s="34" t="n">
        <v>400</v>
      </c>
      <c r="G774" s="34" t="n">
        <v>500</v>
      </c>
      <c r="H774" s="34" t="n">
        <v>600</v>
      </c>
      <c r="I774" s="36" t="n">
        <f aca="false">$E774/F774-1</f>
        <v>0</v>
      </c>
      <c r="J774" s="36" t="n">
        <f aca="false">$E774/G774-1</f>
        <v>-0.2</v>
      </c>
      <c r="K774" s="36" t="n">
        <f aca="false">$E774/H774-1</f>
        <v>-0.333333333333333</v>
      </c>
      <c r="L774" s="37" t="n">
        <v>-0.39</v>
      </c>
      <c r="M774" s="37" t="n">
        <v>-0.02</v>
      </c>
      <c r="N774" s="34" t="n">
        <v>1200</v>
      </c>
      <c r="O774" s="34" t="n">
        <v>400</v>
      </c>
      <c r="P774" s="38"/>
      <c r="Q774" s="38"/>
    </row>
    <row r="775" customFormat="false" ht="15" hidden="false" customHeight="false" outlineLevel="0" collapsed="false">
      <c r="A775" s="34" t="n">
        <v>767</v>
      </c>
      <c r="B775" s="35" t="s">
        <v>1614</v>
      </c>
      <c r="C775" s="35" t="s">
        <v>1615</v>
      </c>
      <c r="D775" s="35" t="s">
        <v>111</v>
      </c>
      <c r="E775" s="34" t="n">
        <v>1300</v>
      </c>
      <c r="F775" s="34" t="n">
        <v>1300</v>
      </c>
      <c r="G775" s="34" t="n">
        <v>1200</v>
      </c>
      <c r="H775" s="34" t="n">
        <v>1800</v>
      </c>
      <c r="I775" s="36" t="n">
        <f aca="false">$E775/F775-1</f>
        <v>0</v>
      </c>
      <c r="J775" s="36" t="n">
        <f aca="false">$E775/G775-1</f>
        <v>0.0833333333333333</v>
      </c>
      <c r="K775" s="36" t="n">
        <f aca="false">$E775/H775-1</f>
        <v>-0.277777777777778</v>
      </c>
      <c r="L775" s="37" t="n">
        <v>-0.14</v>
      </c>
      <c r="M775" s="37" t="n">
        <v>-0.1</v>
      </c>
      <c r="N775" s="34" t="n">
        <v>2000</v>
      </c>
      <c r="O775" s="34" t="n">
        <v>1200</v>
      </c>
      <c r="P775" s="38"/>
      <c r="Q775" s="38"/>
    </row>
    <row r="776" customFormat="false" ht="15" hidden="false" customHeight="false" outlineLevel="0" collapsed="false">
      <c r="A776" s="34" t="n">
        <v>768</v>
      </c>
      <c r="B776" s="35" t="s">
        <v>1616</v>
      </c>
      <c r="C776" s="35" t="s">
        <v>1617</v>
      </c>
      <c r="D776" s="35" t="s">
        <v>111</v>
      </c>
      <c r="E776" s="34" t="n">
        <v>10000</v>
      </c>
      <c r="F776" s="34" t="n">
        <v>10000</v>
      </c>
      <c r="G776" s="34" t="n">
        <v>9500</v>
      </c>
      <c r="H776" s="34" t="n">
        <v>8000</v>
      </c>
      <c r="I776" s="36" t="n">
        <f aca="false">$E776/F776-1</f>
        <v>0</v>
      </c>
      <c r="J776" s="36" t="n">
        <f aca="false">$E776/G776-1</f>
        <v>0.0526315789473684</v>
      </c>
      <c r="K776" s="36" t="n">
        <f aca="false">$E776/H776-1</f>
        <v>0.25</v>
      </c>
      <c r="L776" s="37" t="n">
        <v>87.4</v>
      </c>
      <c r="M776" s="37" t="n">
        <v>0.99</v>
      </c>
      <c r="N776" s="34" t="n">
        <v>10100</v>
      </c>
      <c r="O776" s="34" t="n">
        <v>7600</v>
      </c>
      <c r="P776" s="38"/>
      <c r="Q776" s="38"/>
    </row>
    <row r="777" customFormat="false" ht="15" hidden="false" customHeight="false" outlineLevel="0" collapsed="false">
      <c r="A777" s="34" t="n">
        <v>769</v>
      </c>
      <c r="B777" s="35" t="s">
        <v>1618</v>
      </c>
      <c r="C777" s="35" t="s">
        <v>1619</v>
      </c>
      <c r="D777" s="35" t="s">
        <v>111</v>
      </c>
      <c r="E777" s="34" t="n">
        <v>2600</v>
      </c>
      <c r="F777" s="34" t="n">
        <v>2700</v>
      </c>
      <c r="G777" s="34" t="n">
        <v>2900</v>
      </c>
      <c r="H777" s="34" t="n">
        <v>2900</v>
      </c>
      <c r="I777" s="36" t="n">
        <f aca="false">$E777/F777-1</f>
        <v>-0.0370370370370371</v>
      </c>
      <c r="J777" s="36" t="n">
        <f aca="false">$E777/G777-1</f>
        <v>-0.103448275862069</v>
      </c>
      <c r="K777" s="36" t="n">
        <f aca="false">$E777/H777-1</f>
        <v>-0.103448275862069</v>
      </c>
      <c r="L777" s="37" t="n">
        <v>-0.29</v>
      </c>
      <c r="M777" s="37" t="n">
        <v>-0.07</v>
      </c>
      <c r="N777" s="34" t="n">
        <v>3300</v>
      </c>
      <c r="O777" s="34" t="n">
        <v>1300</v>
      </c>
      <c r="P777" s="38"/>
      <c r="Q777" s="38"/>
    </row>
    <row r="778" customFormat="false" ht="15" hidden="false" customHeight="false" outlineLevel="0" collapsed="false">
      <c r="A778" s="34" t="n">
        <v>770</v>
      </c>
      <c r="B778" s="35" t="s">
        <v>1620</v>
      </c>
      <c r="C778" s="35" t="s">
        <v>1621</v>
      </c>
      <c r="D778" s="35" t="s">
        <v>111</v>
      </c>
      <c r="E778" s="34" t="n">
        <v>1700</v>
      </c>
      <c r="F778" s="34" t="n">
        <v>1700</v>
      </c>
      <c r="G778" s="34" t="n">
        <v>1800</v>
      </c>
      <c r="H778" s="34" t="n">
        <v>3000</v>
      </c>
      <c r="I778" s="36" t="n">
        <f aca="false">$E778/F778-1</f>
        <v>0</v>
      </c>
      <c r="J778" s="36" t="n">
        <f aca="false">$E778/G778-1</f>
        <v>-0.0555555555555556</v>
      </c>
      <c r="K778" s="36" t="n">
        <f aca="false">$E778/H778-1</f>
        <v>-0.433333333333333</v>
      </c>
      <c r="L778" s="37" t="n">
        <v>-0.26</v>
      </c>
      <c r="M778" s="37" t="n">
        <v>-0.12</v>
      </c>
      <c r="N778" s="34" t="n">
        <v>3500</v>
      </c>
      <c r="O778" s="34" t="n">
        <v>1700</v>
      </c>
      <c r="P778" s="38"/>
      <c r="Q778" s="38"/>
    </row>
    <row r="779" customFormat="false" ht="15" hidden="false" customHeight="false" outlineLevel="0" collapsed="false">
      <c r="A779" s="34" t="n">
        <v>771</v>
      </c>
      <c r="B779" s="35" t="s">
        <v>1622</v>
      </c>
      <c r="C779" s="35" t="s">
        <v>1623</v>
      </c>
      <c r="D779" s="35" t="s">
        <v>116</v>
      </c>
      <c r="E779" s="34" t="n">
        <v>7170</v>
      </c>
      <c r="F779" s="34" t="n">
        <v>7030</v>
      </c>
      <c r="G779" s="34" t="n">
        <v>8350</v>
      </c>
      <c r="H779" s="34" t="n">
        <v>9429.9</v>
      </c>
      <c r="I779" s="36" t="n">
        <f aca="false">$E779/F779-1</f>
        <v>0.0199146514935988</v>
      </c>
      <c r="J779" s="36" t="n">
        <f aca="false">$E779/G779-1</f>
        <v>-0.141317365269461</v>
      </c>
      <c r="K779" s="36" t="n">
        <f aca="false">$E779/H779-1</f>
        <v>-0.239652594407152</v>
      </c>
      <c r="L779" s="37" t="n">
        <v>9.76</v>
      </c>
      <c r="M779" s="37" t="n">
        <v>0.57</v>
      </c>
      <c r="N779" s="34" t="n">
        <v>11880.52</v>
      </c>
      <c r="O779" s="34" t="n">
        <v>6750</v>
      </c>
      <c r="P779" s="38"/>
      <c r="Q779" s="38"/>
    </row>
    <row r="780" customFormat="false" ht="15" hidden="false" customHeight="false" outlineLevel="0" collapsed="false">
      <c r="A780" s="34" t="n">
        <v>772</v>
      </c>
      <c r="B780" s="35" t="s">
        <v>43</v>
      </c>
      <c r="C780" s="35" t="s">
        <v>1624</v>
      </c>
      <c r="D780" s="35" t="s">
        <v>116</v>
      </c>
      <c r="E780" s="34" t="n">
        <v>26200</v>
      </c>
      <c r="F780" s="34" t="n">
        <v>25350</v>
      </c>
      <c r="G780" s="34" t="n">
        <v>24250</v>
      </c>
      <c r="H780" s="34" t="n">
        <v>16100</v>
      </c>
      <c r="I780" s="36" t="n">
        <f aca="false">$E780/F780-1</f>
        <v>0.0335305719921104</v>
      </c>
      <c r="J780" s="36" t="n">
        <f aca="false">$E780/G780-1</f>
        <v>0.0804123711340206</v>
      </c>
      <c r="K780" s="36" t="n">
        <f aca="false">$E780/H780-1</f>
        <v>0.627329192546584</v>
      </c>
      <c r="L780" s="37" t="n">
        <v>6.66</v>
      </c>
      <c r="M780" s="37" t="n">
        <v>1.77</v>
      </c>
      <c r="N780" s="34" t="n">
        <v>37850</v>
      </c>
      <c r="O780" s="34" t="n">
        <v>13500</v>
      </c>
      <c r="P780" s="38" t="n">
        <v>9.55</v>
      </c>
      <c r="Q780" s="38" t="n">
        <v>1.24</v>
      </c>
    </row>
    <row r="781" customFormat="false" ht="15" hidden="false" customHeight="false" outlineLevel="0" collapsed="false">
      <c r="A781" s="34" t="n">
        <v>773</v>
      </c>
      <c r="B781" s="35" t="s">
        <v>1625</v>
      </c>
      <c r="C781" s="35" t="s">
        <v>1626</v>
      </c>
      <c r="D781" s="35" t="s">
        <v>111</v>
      </c>
      <c r="E781" s="34" t="n">
        <v>13600</v>
      </c>
      <c r="F781" s="34" t="n">
        <v>13600</v>
      </c>
      <c r="G781" s="34" t="n">
        <v>21300</v>
      </c>
      <c r="H781" s="34" t="n">
        <v>23603.7</v>
      </c>
      <c r="I781" s="36" t="n">
        <f aca="false">$E781/F781-1</f>
        <v>0</v>
      </c>
      <c r="J781" s="36" t="n">
        <f aca="false">$E781/G781-1</f>
        <v>-0.36150234741784</v>
      </c>
      <c r="K781" s="36" t="n">
        <f aca="false">$E781/H781-1</f>
        <v>-0.42381914699814</v>
      </c>
      <c r="L781" s="37" t="n">
        <v>6.15</v>
      </c>
      <c r="M781" s="37" t="n">
        <v>0.9</v>
      </c>
      <c r="N781" s="34" t="n">
        <v>38380</v>
      </c>
      <c r="O781" s="34" t="n">
        <v>13600</v>
      </c>
      <c r="P781" s="38"/>
      <c r="Q781" s="38"/>
    </row>
    <row r="782" customFormat="false" ht="15" hidden="false" customHeight="false" outlineLevel="0" collapsed="false">
      <c r="A782" s="34" t="n">
        <v>774</v>
      </c>
      <c r="B782" s="35" t="s">
        <v>1627</v>
      </c>
      <c r="C782" s="35" t="s">
        <v>1628</v>
      </c>
      <c r="D782" s="35" t="s">
        <v>116</v>
      </c>
      <c r="E782" s="34" t="n">
        <v>15250</v>
      </c>
      <c r="F782" s="34" t="n">
        <v>14300</v>
      </c>
      <c r="G782" s="34" t="n">
        <v>13900</v>
      </c>
      <c r="H782" s="34" t="n">
        <v>12050</v>
      </c>
      <c r="I782" s="36" t="n">
        <f aca="false">$E782/F782-1</f>
        <v>0.0664335664335665</v>
      </c>
      <c r="J782" s="36" t="n">
        <f aca="false">$E782/G782-1</f>
        <v>0.0971223021582734</v>
      </c>
      <c r="K782" s="36" t="n">
        <f aca="false">$E782/H782-1</f>
        <v>0.265560165975104</v>
      </c>
      <c r="L782" s="37" t="n">
        <v>10.02</v>
      </c>
      <c r="M782" s="37" t="n">
        <v>0.64</v>
      </c>
      <c r="N782" s="34" t="n">
        <v>15250</v>
      </c>
      <c r="O782" s="34" t="n">
        <v>10600</v>
      </c>
      <c r="P782" s="38"/>
      <c r="Q782" s="38"/>
    </row>
    <row r="783" customFormat="false" ht="15" hidden="false" customHeight="false" outlineLevel="0" collapsed="false">
      <c r="A783" s="34" t="n">
        <v>775</v>
      </c>
      <c r="B783" s="35" t="s">
        <v>1629</v>
      </c>
      <c r="C783" s="35" t="s">
        <v>1630</v>
      </c>
      <c r="D783" s="35" t="s">
        <v>116</v>
      </c>
      <c r="E783" s="34" t="n">
        <v>4980</v>
      </c>
      <c r="F783" s="34" t="n">
        <v>4930</v>
      </c>
      <c r="G783" s="34" t="n">
        <v>5300</v>
      </c>
      <c r="H783" s="34" t="n">
        <v>6110</v>
      </c>
      <c r="I783" s="36" t="n">
        <f aca="false">$E783/F783-1</f>
        <v>0.0101419878296145</v>
      </c>
      <c r="J783" s="36" t="n">
        <f aca="false">$E783/G783-1</f>
        <v>-0.060377358490566</v>
      </c>
      <c r="K783" s="36" t="n">
        <f aca="false">$E783/H783-1</f>
        <v>-0.18494271685761</v>
      </c>
      <c r="L783" s="37" t="n">
        <v>14.72</v>
      </c>
      <c r="M783" s="37" t="n">
        <v>0.37</v>
      </c>
      <c r="N783" s="34" t="n">
        <v>6690</v>
      </c>
      <c r="O783" s="34" t="n">
        <v>4200</v>
      </c>
      <c r="P783" s="38"/>
      <c r="Q783" s="38"/>
    </row>
    <row r="784" customFormat="false" ht="15" hidden="false" customHeight="false" outlineLevel="0" collapsed="false">
      <c r="A784" s="34" t="n">
        <v>776</v>
      </c>
      <c r="B784" s="35" t="s">
        <v>1631</v>
      </c>
      <c r="C784" s="35" t="s">
        <v>1632</v>
      </c>
      <c r="D784" s="35" t="s">
        <v>116</v>
      </c>
      <c r="E784" s="34" t="n">
        <v>52900</v>
      </c>
      <c r="F784" s="34" t="n">
        <v>51800</v>
      </c>
      <c r="G784" s="34" t="n">
        <v>53800</v>
      </c>
      <c r="H784" s="34" t="n">
        <v>39501</v>
      </c>
      <c r="I784" s="36" t="n">
        <f aca="false">$E784/F784-1</f>
        <v>0.0212355212355213</v>
      </c>
      <c r="J784" s="36" t="n">
        <f aca="false">$E784/G784-1</f>
        <v>-0.016728624535316</v>
      </c>
      <c r="K784" s="36" t="n">
        <f aca="false">$E784/H784-1</f>
        <v>0.339206602364497</v>
      </c>
      <c r="L784" s="37" t="n">
        <v>13.99</v>
      </c>
      <c r="M784" s="37" t="n">
        <v>3.67</v>
      </c>
      <c r="N784" s="34" t="n">
        <v>56000</v>
      </c>
      <c r="O784" s="34" t="n">
        <v>33831</v>
      </c>
      <c r="P784" s="38" t="n">
        <v>9.22</v>
      </c>
      <c r="Q784" s="38" t="n">
        <v>1.68</v>
      </c>
    </row>
    <row r="785" customFormat="false" ht="15" hidden="false" customHeight="false" outlineLevel="0" collapsed="false">
      <c r="A785" s="34" t="n">
        <v>777</v>
      </c>
      <c r="B785" s="35" t="s">
        <v>1633</v>
      </c>
      <c r="C785" s="35" t="s">
        <v>1634</v>
      </c>
      <c r="D785" s="35" t="s">
        <v>111</v>
      </c>
      <c r="E785" s="34" t="n">
        <v>6000</v>
      </c>
      <c r="F785" s="34" t="n">
        <v>5515</v>
      </c>
      <c r="G785" s="34" t="n">
        <v>4995</v>
      </c>
      <c r="H785" s="34" t="n">
        <v>6400</v>
      </c>
      <c r="I785" s="36" t="n">
        <f aca="false">$E785/F785-1</f>
        <v>0.0879419764279239</v>
      </c>
      <c r="J785" s="36" t="n">
        <f aca="false">$E785/G785-1</f>
        <v>0.201201201201201</v>
      </c>
      <c r="K785" s="36" t="n">
        <f aca="false">$E785/H785-1</f>
        <v>-0.0625</v>
      </c>
      <c r="L785" s="37" t="n">
        <v>22.66</v>
      </c>
      <c r="M785" s="37" t="n">
        <v>0.33</v>
      </c>
      <c r="N785" s="34" t="n">
        <v>9933</v>
      </c>
      <c r="O785" s="34" t="n">
        <v>4516</v>
      </c>
      <c r="P785" s="38"/>
      <c r="Q785" s="38"/>
    </row>
    <row r="786" customFormat="false" ht="15" hidden="false" customHeight="false" outlineLevel="0" collapsed="false">
      <c r="A786" s="34" t="n">
        <v>778</v>
      </c>
      <c r="B786" s="35" t="s">
        <v>1635</v>
      </c>
      <c r="C786" s="35" t="s">
        <v>1636</v>
      </c>
      <c r="D786" s="35" t="s">
        <v>111</v>
      </c>
      <c r="E786" s="34" t="n">
        <v>10000</v>
      </c>
      <c r="F786" s="34" t="n">
        <v>10000</v>
      </c>
      <c r="G786" s="34" t="n">
        <v>10000</v>
      </c>
      <c r="H786" s="34" t="n">
        <v>7300</v>
      </c>
      <c r="I786" s="36" t="n">
        <f aca="false">$E786/F786-1</f>
        <v>0</v>
      </c>
      <c r="J786" s="36" t="n">
        <f aca="false">$E786/G786-1</f>
        <v>0</v>
      </c>
      <c r="K786" s="36" t="n">
        <f aca="false">$E786/H786-1</f>
        <v>0.36986301369863</v>
      </c>
      <c r="L786" s="37" t="n">
        <v>12.29</v>
      </c>
      <c r="M786" s="37" t="n">
        <v>0.73</v>
      </c>
      <c r="N786" s="34" t="n">
        <v>12300</v>
      </c>
      <c r="O786" s="34" t="n">
        <v>5000</v>
      </c>
      <c r="P786" s="38"/>
      <c r="Q786" s="38"/>
    </row>
    <row r="787" customFormat="false" ht="15" hidden="false" customHeight="false" outlineLevel="0" collapsed="false">
      <c r="A787" s="34" t="n">
        <v>779</v>
      </c>
      <c r="B787" s="35" t="s">
        <v>1637</v>
      </c>
      <c r="C787" s="35" t="s">
        <v>1638</v>
      </c>
      <c r="D787" s="35" t="s">
        <v>116</v>
      </c>
      <c r="E787" s="34" t="n">
        <v>15550</v>
      </c>
      <c r="F787" s="34" t="n">
        <v>15250</v>
      </c>
      <c r="G787" s="34" t="n">
        <v>15600</v>
      </c>
      <c r="H787" s="34"/>
      <c r="I787" s="36" t="n">
        <f aca="false">$E787/F787-1</f>
        <v>0.019672131147541</v>
      </c>
      <c r="J787" s="36" t="n">
        <f aca="false">$E787/G787-1</f>
        <v>-0.00320512820512819</v>
      </c>
      <c r="K787" s="36" t="e">
        <f aca="false">$E787/H787-1</f>
        <v>#DIV/0!</v>
      </c>
      <c r="L787" s="37" t="n">
        <v>27.65</v>
      </c>
      <c r="M787" s="37" t="n">
        <v>1.49</v>
      </c>
      <c r="N787" s="34"/>
      <c r="O787" s="34"/>
      <c r="P787" s="38"/>
      <c r="Q787" s="38"/>
    </row>
    <row r="788" customFormat="false" ht="15" hidden="false" customHeight="false" outlineLevel="0" collapsed="false">
      <c r="A788" s="34" t="n">
        <v>780</v>
      </c>
      <c r="B788" s="35" t="s">
        <v>1639</v>
      </c>
      <c r="C788" s="35" t="s">
        <v>1640</v>
      </c>
      <c r="D788" s="35" t="s">
        <v>111</v>
      </c>
      <c r="E788" s="34" t="n">
        <v>18500</v>
      </c>
      <c r="F788" s="34" t="n">
        <v>18400</v>
      </c>
      <c r="G788" s="34" t="n">
        <v>21800</v>
      </c>
      <c r="H788" s="34" t="n">
        <v>23330.43</v>
      </c>
      <c r="I788" s="36" t="n">
        <f aca="false">$E788/F788-1</f>
        <v>0.00543478260869557</v>
      </c>
      <c r="J788" s="36" t="n">
        <f aca="false">$E788/G788-1</f>
        <v>-0.151376146788991</v>
      </c>
      <c r="K788" s="36" t="n">
        <f aca="false">$E788/H788-1</f>
        <v>-0.20704419078431</v>
      </c>
      <c r="L788" s="37" t="n">
        <v>9.46</v>
      </c>
      <c r="M788" s="37" t="n">
        <v>0.97</v>
      </c>
      <c r="N788" s="34" t="n">
        <v>28557.21</v>
      </c>
      <c r="O788" s="34" t="n">
        <v>18384</v>
      </c>
      <c r="P788" s="38"/>
      <c r="Q788" s="38"/>
    </row>
    <row r="789" customFormat="false" ht="15" hidden="false" customHeight="false" outlineLevel="0" collapsed="false">
      <c r="A789" s="34" t="n">
        <v>781</v>
      </c>
      <c r="B789" s="35" t="s">
        <v>1641</v>
      </c>
      <c r="C789" s="35" t="s">
        <v>1642</v>
      </c>
      <c r="D789" s="35" t="s">
        <v>111</v>
      </c>
      <c r="E789" s="34" t="n">
        <v>6600</v>
      </c>
      <c r="F789" s="34" t="n">
        <v>6700</v>
      </c>
      <c r="G789" s="34" t="n">
        <v>6900</v>
      </c>
      <c r="H789" s="34" t="n">
        <v>6100</v>
      </c>
      <c r="I789" s="36" t="n">
        <f aca="false">$E789/F789-1</f>
        <v>-0.0149253731343284</v>
      </c>
      <c r="J789" s="36" t="n">
        <f aca="false">$E789/G789-1</f>
        <v>-0.0434782608695652</v>
      </c>
      <c r="K789" s="36" t="n">
        <f aca="false">$E789/H789-1</f>
        <v>0.0819672131147542</v>
      </c>
      <c r="L789" s="37" t="n">
        <v>14.94</v>
      </c>
      <c r="M789" s="37" t="n">
        <v>2.96</v>
      </c>
      <c r="N789" s="34" t="n">
        <v>9998</v>
      </c>
      <c r="O789" s="34" t="n">
        <v>4100</v>
      </c>
      <c r="P789" s="38"/>
      <c r="Q789" s="38"/>
    </row>
    <row r="790" customFormat="false" ht="15" hidden="false" customHeight="false" outlineLevel="0" collapsed="false">
      <c r="A790" s="34" t="n">
        <v>782</v>
      </c>
      <c r="B790" s="35" t="s">
        <v>1643</v>
      </c>
      <c r="C790" s="35" t="s">
        <v>1644</v>
      </c>
      <c r="D790" s="35" t="s">
        <v>111</v>
      </c>
      <c r="E790" s="34" t="n">
        <v>20500</v>
      </c>
      <c r="F790" s="34" t="n">
        <v>20400</v>
      </c>
      <c r="G790" s="34" t="n">
        <v>20400</v>
      </c>
      <c r="H790" s="34" t="n">
        <v>17711.43</v>
      </c>
      <c r="I790" s="36" t="n">
        <f aca="false">$E790/F790-1</f>
        <v>0.00490196078431371</v>
      </c>
      <c r="J790" s="36" t="n">
        <f aca="false">$E790/G790-1</f>
        <v>0.00490196078431371</v>
      </c>
      <c r="K790" s="36" t="n">
        <f aca="false">$E790/H790-1</f>
        <v>0.157444655795721</v>
      </c>
      <c r="L790" s="37" t="n">
        <v>10.85</v>
      </c>
      <c r="M790" s="37" t="n">
        <v>1.61</v>
      </c>
      <c r="N790" s="34" t="n">
        <v>20500</v>
      </c>
      <c r="O790" s="34" t="n">
        <v>16969.59</v>
      </c>
      <c r="P790" s="38"/>
      <c r="Q790" s="38"/>
    </row>
    <row r="791" customFormat="false" ht="15" hidden="false" customHeight="false" outlineLevel="0" collapsed="false">
      <c r="A791" s="34" t="n">
        <v>783</v>
      </c>
      <c r="B791" s="35" t="s">
        <v>1645</v>
      </c>
      <c r="C791" s="35" t="s">
        <v>1646</v>
      </c>
      <c r="D791" s="35" t="s">
        <v>111</v>
      </c>
      <c r="E791" s="34" t="n">
        <v>32900</v>
      </c>
      <c r="F791" s="34" t="n">
        <v>32900</v>
      </c>
      <c r="G791" s="34" t="n">
        <v>34000</v>
      </c>
      <c r="H791" s="34" t="n">
        <v>31053</v>
      </c>
      <c r="I791" s="36" t="n">
        <f aca="false">$E791/F791-1</f>
        <v>0</v>
      </c>
      <c r="J791" s="36" t="n">
        <f aca="false">$E791/G791-1</f>
        <v>-0.0323529411764706</v>
      </c>
      <c r="K791" s="36" t="n">
        <f aca="false">$E791/H791-1</f>
        <v>0.0594789553344282</v>
      </c>
      <c r="L791" s="37" t="n">
        <v>5.55</v>
      </c>
      <c r="M791" s="37" t="n">
        <v>1.25</v>
      </c>
      <c r="N791" s="34" t="n">
        <v>37900</v>
      </c>
      <c r="O791" s="34" t="n">
        <v>28518.89</v>
      </c>
      <c r="P791" s="38"/>
      <c r="Q791" s="38"/>
    </row>
    <row r="792" customFormat="false" ht="15" hidden="false" customHeight="false" outlineLevel="0" collapsed="false">
      <c r="A792" s="34" t="n">
        <v>784</v>
      </c>
      <c r="B792" s="35" t="s">
        <v>1647</v>
      </c>
      <c r="C792" s="35" t="s">
        <v>1648</v>
      </c>
      <c r="D792" s="35" t="s">
        <v>111</v>
      </c>
      <c r="E792" s="34" t="n">
        <v>39124</v>
      </c>
      <c r="F792" s="34" t="n">
        <v>36779</v>
      </c>
      <c r="G792" s="34" t="n">
        <v>36821</v>
      </c>
      <c r="H792" s="34" t="n">
        <v>24560</v>
      </c>
      <c r="I792" s="36" t="n">
        <f aca="false">$E792/F792-1</f>
        <v>0.063759210418989</v>
      </c>
      <c r="J792" s="36" t="n">
        <f aca="false">$E792/G792-1</f>
        <v>0.0625458298253714</v>
      </c>
      <c r="K792" s="36" t="n">
        <f aca="false">$E792/H792-1</f>
        <v>0.59299674267101</v>
      </c>
      <c r="L792" s="37" t="n">
        <v>17.71</v>
      </c>
      <c r="M792" s="37" t="n">
        <v>3.01</v>
      </c>
      <c r="N792" s="34" t="n">
        <v>52853</v>
      </c>
      <c r="O792" s="34" t="n">
        <v>18845</v>
      </c>
      <c r="P792" s="38"/>
      <c r="Q792" s="38"/>
    </row>
    <row r="793" customFormat="false" ht="15" hidden="false" customHeight="false" outlineLevel="0" collapsed="false">
      <c r="A793" s="34" t="n">
        <v>785</v>
      </c>
      <c r="B793" s="35" t="s">
        <v>1649</v>
      </c>
      <c r="C793" s="35" t="s">
        <v>1650</v>
      </c>
      <c r="D793" s="35" t="s">
        <v>111</v>
      </c>
      <c r="E793" s="34" t="n">
        <v>28116</v>
      </c>
      <c r="F793" s="34" t="n">
        <v>28515</v>
      </c>
      <c r="G793" s="34" t="n">
        <v>29075</v>
      </c>
      <c r="H793" s="34" t="n">
        <v>35331</v>
      </c>
      <c r="I793" s="36" t="n">
        <f aca="false">$E793/F793-1</f>
        <v>-0.0139926354550237</v>
      </c>
      <c r="J793" s="36" t="n">
        <f aca="false">$E793/G793-1</f>
        <v>-0.0329836629406707</v>
      </c>
      <c r="K793" s="36" t="n">
        <f aca="false">$E793/H793-1</f>
        <v>-0.204211598879171</v>
      </c>
      <c r="L793" s="37" t="n">
        <v>19.83</v>
      </c>
      <c r="M793" s="37" t="n">
        <v>1.82</v>
      </c>
      <c r="N793" s="34" t="n">
        <v>44820</v>
      </c>
      <c r="O793" s="34" t="n">
        <v>26393</v>
      </c>
      <c r="P793" s="38"/>
      <c r="Q793" s="38"/>
    </row>
    <row r="794" customFormat="false" ht="15" hidden="false" customHeight="false" outlineLevel="0" collapsed="false">
      <c r="A794" s="34" t="n">
        <v>786</v>
      </c>
      <c r="B794" s="35" t="s">
        <v>1651</v>
      </c>
      <c r="C794" s="35" t="s">
        <v>1652</v>
      </c>
      <c r="D794" s="35" t="s">
        <v>111</v>
      </c>
      <c r="E794" s="34" t="n">
        <v>11100</v>
      </c>
      <c r="F794" s="34" t="n">
        <v>11100</v>
      </c>
      <c r="G794" s="34" t="n">
        <v>11100</v>
      </c>
      <c r="H794" s="34" t="n">
        <v>15817.5</v>
      </c>
      <c r="I794" s="36" t="n">
        <f aca="false">$E794/F794-1</f>
        <v>0</v>
      </c>
      <c r="J794" s="36" t="n">
        <f aca="false">$E794/G794-1</f>
        <v>0</v>
      </c>
      <c r="K794" s="36" t="n">
        <f aca="false">$E794/H794-1</f>
        <v>-0.298245614035088</v>
      </c>
      <c r="L794" s="37" t="n">
        <v>3.83</v>
      </c>
      <c r="M794" s="37" t="n">
        <v>0.49</v>
      </c>
      <c r="N794" s="34" t="n">
        <v>18500</v>
      </c>
      <c r="O794" s="34" t="n">
        <v>9712.5</v>
      </c>
      <c r="P794" s="38"/>
      <c r="Q794" s="38"/>
    </row>
    <row r="795" customFormat="false" ht="15" hidden="false" customHeight="false" outlineLevel="0" collapsed="false">
      <c r="A795" s="34" t="n">
        <v>787</v>
      </c>
      <c r="B795" s="35" t="s">
        <v>1653</v>
      </c>
      <c r="C795" s="35" t="s">
        <v>1654</v>
      </c>
      <c r="D795" s="35" t="s">
        <v>111</v>
      </c>
      <c r="E795" s="34" t="n">
        <v>20100</v>
      </c>
      <c r="F795" s="34" t="n">
        <v>20100</v>
      </c>
      <c r="G795" s="34" t="n">
        <v>23500</v>
      </c>
      <c r="H795" s="34" t="n">
        <v>11059.2</v>
      </c>
      <c r="I795" s="36" t="n">
        <f aca="false">$E795/F795-1</f>
        <v>0</v>
      </c>
      <c r="J795" s="36" t="n">
        <f aca="false">$E795/G795-1</f>
        <v>-0.14468085106383</v>
      </c>
      <c r="K795" s="36" t="n">
        <f aca="false">$E795/H795-1</f>
        <v>0.817491319444444</v>
      </c>
      <c r="L795" s="37" t="n">
        <v>7.38</v>
      </c>
      <c r="M795" s="37" t="n">
        <v>1.26</v>
      </c>
      <c r="N795" s="34" t="n">
        <v>28569.6</v>
      </c>
      <c r="O795" s="34" t="n">
        <v>11059.2</v>
      </c>
      <c r="P795" s="38"/>
      <c r="Q795" s="38"/>
    </row>
    <row r="796" customFormat="false" ht="15" hidden="false" customHeight="false" outlineLevel="0" collapsed="false">
      <c r="A796" s="34" t="n">
        <v>788</v>
      </c>
      <c r="B796" s="35" t="s">
        <v>1655</v>
      </c>
      <c r="C796" s="35" t="s">
        <v>1656</v>
      </c>
      <c r="D796" s="35" t="s">
        <v>111</v>
      </c>
      <c r="E796" s="34" t="n">
        <v>35088</v>
      </c>
      <c r="F796" s="34" t="n">
        <v>34429</v>
      </c>
      <c r="G796" s="34" t="n">
        <v>35003</v>
      </c>
      <c r="H796" s="34" t="n">
        <v>33693</v>
      </c>
      <c r="I796" s="36" t="n">
        <f aca="false">$E796/F796-1</f>
        <v>0.0191408405704494</v>
      </c>
      <c r="J796" s="36" t="n">
        <f aca="false">$E796/G796-1</f>
        <v>0.00242836328314722</v>
      </c>
      <c r="K796" s="36" t="n">
        <f aca="false">$E796/H796-1</f>
        <v>0.0414032588371471</v>
      </c>
      <c r="L796" s="37" t="n">
        <v>6.03</v>
      </c>
      <c r="M796" s="37" t="n">
        <v>1.96</v>
      </c>
      <c r="N796" s="34" t="n">
        <v>41627</v>
      </c>
      <c r="O796" s="34" t="n">
        <v>32093</v>
      </c>
      <c r="P796" s="38"/>
      <c r="Q796" s="38"/>
    </row>
    <row r="797" customFormat="false" ht="15" hidden="false" customHeight="false" outlineLevel="0" collapsed="false">
      <c r="A797" s="34" t="n">
        <v>789</v>
      </c>
      <c r="B797" s="35" t="s">
        <v>1657</v>
      </c>
      <c r="C797" s="35" t="s">
        <v>1658</v>
      </c>
      <c r="D797" s="35" t="s">
        <v>111</v>
      </c>
      <c r="E797" s="34" t="n">
        <v>23000</v>
      </c>
      <c r="F797" s="34" t="n">
        <v>23000</v>
      </c>
      <c r="G797" s="34" t="n">
        <v>24300</v>
      </c>
      <c r="H797" s="34" t="n">
        <v>26000</v>
      </c>
      <c r="I797" s="36" t="n">
        <f aca="false">$E797/F797-1</f>
        <v>0</v>
      </c>
      <c r="J797" s="36" t="n">
        <f aca="false">$E797/G797-1</f>
        <v>-0.0534979423868313</v>
      </c>
      <c r="K797" s="36" t="n">
        <f aca="false">$E797/H797-1</f>
        <v>-0.115384615384615</v>
      </c>
      <c r="L797" s="37" t="n">
        <v>6.51</v>
      </c>
      <c r="M797" s="37" t="n">
        <v>0.78</v>
      </c>
      <c r="N797" s="34" t="n">
        <v>28066</v>
      </c>
      <c r="O797" s="34" t="n">
        <v>22126</v>
      </c>
      <c r="P797" s="38"/>
      <c r="Q797" s="38"/>
    </row>
    <row r="798" customFormat="false" ht="15" hidden="false" customHeight="false" outlineLevel="0" collapsed="false">
      <c r="A798" s="34" t="n">
        <v>790</v>
      </c>
      <c r="B798" s="35" t="s">
        <v>1659</v>
      </c>
      <c r="C798" s="35" t="s">
        <v>1660</v>
      </c>
      <c r="D798" s="35" t="s">
        <v>111</v>
      </c>
      <c r="E798" s="34" t="n">
        <v>30000</v>
      </c>
      <c r="F798" s="34" t="n">
        <v>30000</v>
      </c>
      <c r="G798" s="34" t="n">
        <v>30000</v>
      </c>
      <c r="H798" s="34" t="n">
        <v>27521</v>
      </c>
      <c r="I798" s="36" t="n">
        <f aca="false">$E798/F798-1</f>
        <v>0</v>
      </c>
      <c r="J798" s="36" t="n">
        <f aca="false">$E798/G798-1</f>
        <v>0</v>
      </c>
      <c r="K798" s="36" t="n">
        <f aca="false">$E798/H798-1</f>
        <v>0.0900766687257004</v>
      </c>
      <c r="L798" s="37" t="n">
        <v>6.61</v>
      </c>
      <c r="M798" s="37" t="n">
        <v>1.93</v>
      </c>
      <c r="N798" s="34" t="n">
        <v>31008.06</v>
      </c>
      <c r="O798" s="34" t="n">
        <v>24009.7</v>
      </c>
      <c r="P798" s="38"/>
      <c r="Q798" s="38"/>
    </row>
    <row r="799" customFormat="false" ht="15" hidden="false" customHeight="false" outlineLevel="0" collapsed="false">
      <c r="A799" s="34" t="n">
        <v>791</v>
      </c>
      <c r="B799" s="35" t="s">
        <v>1661</v>
      </c>
      <c r="C799" s="35" t="s">
        <v>1662</v>
      </c>
      <c r="D799" s="35" t="s">
        <v>111</v>
      </c>
      <c r="E799" s="34" t="n">
        <v>29700</v>
      </c>
      <c r="F799" s="34" t="n">
        <v>21300</v>
      </c>
      <c r="G799" s="34" t="n">
        <v>21300</v>
      </c>
      <c r="H799" s="34" t="n">
        <v>25207.2</v>
      </c>
      <c r="I799" s="36" t="n">
        <f aca="false">$E799/F799-1</f>
        <v>0.394366197183099</v>
      </c>
      <c r="J799" s="36" t="n">
        <f aca="false">$E799/G799-1</f>
        <v>0.394366197183099</v>
      </c>
      <c r="K799" s="36" t="n">
        <f aca="false">$E799/H799-1</f>
        <v>0.178234790059983</v>
      </c>
      <c r="L799" s="37" t="n">
        <v>7.97</v>
      </c>
      <c r="M799" s="37" t="n">
        <v>1.44</v>
      </c>
      <c r="N799" s="34" t="n">
        <v>29800</v>
      </c>
      <c r="O799" s="34" t="n">
        <v>21190</v>
      </c>
      <c r="P799" s="38"/>
      <c r="Q799" s="38"/>
    </row>
    <row r="800" customFormat="false" ht="15" hidden="false" customHeight="false" outlineLevel="0" collapsed="false">
      <c r="A800" s="34" t="n">
        <v>792</v>
      </c>
      <c r="B800" s="35" t="s">
        <v>1663</v>
      </c>
      <c r="C800" s="35" t="s">
        <v>1664</v>
      </c>
      <c r="D800" s="35" t="s">
        <v>111</v>
      </c>
      <c r="E800" s="34" t="n">
        <v>27456</v>
      </c>
      <c r="F800" s="34" t="n">
        <v>26292</v>
      </c>
      <c r="G800" s="34" t="n">
        <v>34935.66</v>
      </c>
      <c r="H800" s="34" t="n">
        <v>37133.92</v>
      </c>
      <c r="I800" s="36" t="n">
        <f aca="false">$E800/F800-1</f>
        <v>0.0442720219078046</v>
      </c>
      <c r="J800" s="36" t="n">
        <f aca="false">$E800/G800-1</f>
        <v>-0.214098144989962</v>
      </c>
      <c r="K800" s="36" t="n">
        <f aca="false">$E800/H800-1</f>
        <v>-0.260622094300844</v>
      </c>
      <c r="L800" s="37" t="n">
        <v>7.42</v>
      </c>
      <c r="M800" s="37" t="n">
        <v>1</v>
      </c>
      <c r="N800" s="34" t="n">
        <v>38288.22</v>
      </c>
      <c r="O800" s="34" t="n">
        <v>26292</v>
      </c>
      <c r="P800" s="38"/>
      <c r="Q800" s="38"/>
    </row>
    <row r="801" customFormat="false" ht="15" hidden="false" customHeight="false" outlineLevel="0" collapsed="false">
      <c r="A801" s="34" t="n">
        <v>793</v>
      </c>
      <c r="B801" s="35" t="s">
        <v>1665</v>
      </c>
      <c r="C801" s="35" t="s">
        <v>1666</v>
      </c>
      <c r="D801" s="35" t="s">
        <v>133</v>
      </c>
      <c r="E801" s="34" t="n">
        <v>50000</v>
      </c>
      <c r="F801" s="34" t="n">
        <v>46500</v>
      </c>
      <c r="G801" s="34" t="n">
        <v>43000</v>
      </c>
      <c r="H801" s="34" t="n">
        <v>33186.78</v>
      </c>
      <c r="I801" s="36" t="n">
        <f aca="false">$E801/F801-1</f>
        <v>0.075268817204301</v>
      </c>
      <c r="J801" s="36" t="n">
        <f aca="false">$E801/G801-1</f>
        <v>0.162790697674419</v>
      </c>
      <c r="K801" s="36" t="n">
        <f aca="false">$E801/H801-1</f>
        <v>0.506624023180315</v>
      </c>
      <c r="L801" s="37" t="n">
        <v>79.47</v>
      </c>
      <c r="M801" s="37" t="n">
        <v>26.9</v>
      </c>
      <c r="N801" s="34" t="n">
        <v>50000</v>
      </c>
      <c r="O801" s="34" t="n">
        <v>27007.86</v>
      </c>
      <c r="P801" s="38"/>
      <c r="Q801" s="38"/>
    </row>
    <row r="802" customFormat="false" ht="15" hidden="false" customHeight="false" outlineLevel="0" collapsed="false">
      <c r="A802" s="34" t="n">
        <v>794</v>
      </c>
      <c r="B802" s="35" t="s">
        <v>1667</v>
      </c>
      <c r="C802" s="35" t="s">
        <v>1668</v>
      </c>
      <c r="D802" s="35" t="s">
        <v>133</v>
      </c>
      <c r="E802" s="34" t="n">
        <v>11900</v>
      </c>
      <c r="F802" s="34" t="n">
        <v>12000</v>
      </c>
      <c r="G802" s="34" t="n">
        <v>11900</v>
      </c>
      <c r="H802" s="34" t="n">
        <v>13000</v>
      </c>
      <c r="I802" s="36" t="n">
        <f aca="false">$E802/F802-1</f>
        <v>-0.0083333333333333</v>
      </c>
      <c r="J802" s="36" t="n">
        <f aca="false">$E802/G802-1</f>
        <v>0</v>
      </c>
      <c r="K802" s="36" t="n">
        <f aca="false">$E802/H802-1</f>
        <v>-0.0846153846153847</v>
      </c>
      <c r="L802" s="37" t="n">
        <v>5.3</v>
      </c>
      <c r="M802" s="37" t="n">
        <v>0.71</v>
      </c>
      <c r="N802" s="34" t="n">
        <v>13200.32</v>
      </c>
      <c r="O802" s="34" t="n">
        <v>11300</v>
      </c>
      <c r="P802" s="38"/>
      <c r="Q802" s="38"/>
    </row>
    <row r="803" customFormat="false" ht="15" hidden="false" customHeight="false" outlineLevel="0" collapsed="false">
      <c r="A803" s="34" t="n">
        <v>795</v>
      </c>
      <c r="B803" s="35" t="s">
        <v>1669</v>
      </c>
      <c r="C803" s="35" t="s">
        <v>1670</v>
      </c>
      <c r="D803" s="35" t="s">
        <v>111</v>
      </c>
      <c r="E803" s="34" t="n">
        <v>11200</v>
      </c>
      <c r="F803" s="34" t="n">
        <v>11200</v>
      </c>
      <c r="G803" s="34" t="n">
        <v>14800</v>
      </c>
      <c r="H803" s="34" t="n">
        <v>12700</v>
      </c>
      <c r="I803" s="36" t="n">
        <f aca="false">$E803/F803-1</f>
        <v>0</v>
      </c>
      <c r="J803" s="36" t="n">
        <f aca="false">$E803/G803-1</f>
        <v>-0.243243243243243</v>
      </c>
      <c r="K803" s="36" t="n">
        <f aca="false">$E803/H803-1</f>
        <v>-0.118110236220472</v>
      </c>
      <c r="L803" s="37" t="n">
        <v>4.65</v>
      </c>
      <c r="M803" s="37" t="n">
        <v>0.58</v>
      </c>
      <c r="N803" s="34" t="n">
        <v>17800</v>
      </c>
      <c r="O803" s="34" t="n">
        <v>11100</v>
      </c>
      <c r="P803" s="38"/>
      <c r="Q803" s="38"/>
    </row>
    <row r="804" customFormat="false" ht="15" hidden="false" customHeight="false" outlineLevel="0" collapsed="false">
      <c r="A804" s="34" t="n">
        <v>796</v>
      </c>
      <c r="B804" s="35" t="s">
        <v>1671</v>
      </c>
      <c r="C804" s="35" t="s">
        <v>1672</v>
      </c>
      <c r="D804" s="35" t="s">
        <v>111</v>
      </c>
      <c r="E804" s="34" t="n">
        <v>25500</v>
      </c>
      <c r="F804" s="34" t="n">
        <v>25037.1</v>
      </c>
      <c r="G804" s="34" t="n">
        <v>22811.58</v>
      </c>
      <c r="H804" s="34" t="n">
        <v>23182.5</v>
      </c>
      <c r="I804" s="36" t="n">
        <f aca="false">$E804/F804-1</f>
        <v>0.0184885629725489</v>
      </c>
      <c r="J804" s="36" t="n">
        <f aca="false">$E804/G804-1</f>
        <v>0.117853300823529</v>
      </c>
      <c r="K804" s="36" t="n">
        <f aca="false">$E804/H804-1</f>
        <v>0.0999676480103526</v>
      </c>
      <c r="L804" s="37" t="n">
        <v>4.32</v>
      </c>
      <c r="M804" s="37" t="n">
        <v>0.9</v>
      </c>
      <c r="N804" s="34" t="n">
        <v>30258.05</v>
      </c>
      <c r="O804" s="34" t="n">
        <v>20215.14</v>
      </c>
      <c r="P804" s="38"/>
      <c r="Q804" s="38"/>
    </row>
    <row r="805" customFormat="false" ht="15" hidden="false" customHeight="false" outlineLevel="0" collapsed="false">
      <c r="A805" s="34" t="n">
        <v>797</v>
      </c>
      <c r="B805" s="35" t="s">
        <v>1673</v>
      </c>
      <c r="C805" s="35" t="s">
        <v>1674</v>
      </c>
      <c r="D805" s="35" t="s">
        <v>111</v>
      </c>
      <c r="E805" s="34" t="n">
        <v>1600</v>
      </c>
      <c r="F805" s="34" t="n">
        <v>1600</v>
      </c>
      <c r="G805" s="34" t="n">
        <v>1600</v>
      </c>
      <c r="H805" s="34" t="n">
        <v>1200</v>
      </c>
      <c r="I805" s="36" t="n">
        <f aca="false">$E805/F805-1</f>
        <v>0</v>
      </c>
      <c r="J805" s="36" t="n">
        <f aca="false">$E805/G805-1</f>
        <v>0</v>
      </c>
      <c r="K805" s="36" t="n">
        <f aca="false">$E805/H805-1</f>
        <v>0.333333333333333</v>
      </c>
      <c r="L805" s="37" t="n">
        <v>0.12</v>
      </c>
      <c r="M805" s="37" t="n">
        <v>0.04</v>
      </c>
      <c r="N805" s="34" t="n">
        <v>1600</v>
      </c>
      <c r="O805" s="34" t="n">
        <v>900</v>
      </c>
      <c r="P805" s="38"/>
      <c r="Q805" s="38"/>
    </row>
    <row r="806" customFormat="false" ht="15" hidden="false" customHeight="false" outlineLevel="0" collapsed="false">
      <c r="A806" s="34" t="n">
        <v>798</v>
      </c>
      <c r="B806" s="35" t="s">
        <v>1675</v>
      </c>
      <c r="C806" s="35" t="s">
        <v>1676</v>
      </c>
      <c r="D806" s="35" t="s">
        <v>116</v>
      </c>
      <c r="E806" s="34" t="n">
        <v>30850</v>
      </c>
      <c r="F806" s="34" t="n">
        <v>30400</v>
      </c>
      <c r="G806" s="34" t="n">
        <v>32500</v>
      </c>
      <c r="H806" s="34" t="n">
        <v>31551.14</v>
      </c>
      <c r="I806" s="36" t="n">
        <f aca="false">$E806/F806-1</f>
        <v>0.0148026315789473</v>
      </c>
      <c r="J806" s="36" t="n">
        <f aca="false">$E806/G806-1</f>
        <v>-0.0507692307692308</v>
      </c>
      <c r="K806" s="36" t="n">
        <f aca="false">$E806/H806-1</f>
        <v>-0.0222223349140475</v>
      </c>
      <c r="L806" s="37" t="n">
        <v>5.16</v>
      </c>
      <c r="M806" s="37" t="n">
        <v>1.72</v>
      </c>
      <c r="N806" s="34" t="n">
        <v>39378.15</v>
      </c>
      <c r="O806" s="34" t="n">
        <v>28971.25</v>
      </c>
      <c r="P806" s="38"/>
      <c r="Q806" s="38"/>
    </row>
    <row r="807" customFormat="false" ht="15" hidden="false" customHeight="false" outlineLevel="0" collapsed="false">
      <c r="A807" s="34" t="n">
        <v>799</v>
      </c>
      <c r="B807" s="35" t="s">
        <v>1677</v>
      </c>
      <c r="C807" s="35" t="s">
        <v>1678</v>
      </c>
      <c r="D807" s="35" t="s">
        <v>111</v>
      </c>
      <c r="E807" s="34" t="n">
        <v>8000</v>
      </c>
      <c r="F807" s="34" t="n">
        <v>8000</v>
      </c>
      <c r="G807" s="34" t="n">
        <v>8000</v>
      </c>
      <c r="H807" s="34" t="n">
        <v>4000</v>
      </c>
      <c r="I807" s="36" t="n">
        <f aca="false">$E807/F807-1</f>
        <v>0</v>
      </c>
      <c r="J807" s="36" t="n">
        <f aca="false">$E807/G807-1</f>
        <v>0</v>
      </c>
      <c r="K807" s="36" t="n">
        <f aca="false">$E807/H807-1</f>
        <v>1</v>
      </c>
      <c r="L807" s="37" t="n">
        <v>99.41</v>
      </c>
      <c r="M807" s="37" t="n">
        <v>0.8</v>
      </c>
      <c r="N807" s="34" t="n">
        <v>9400</v>
      </c>
      <c r="O807" s="34" t="n">
        <v>4000</v>
      </c>
      <c r="P807" s="38"/>
      <c r="Q807" s="38"/>
    </row>
    <row r="808" customFormat="false" ht="15" hidden="false" customHeight="false" outlineLevel="0" collapsed="false">
      <c r="A808" s="34" t="n">
        <v>800</v>
      </c>
      <c r="B808" s="35" t="s">
        <v>1679</v>
      </c>
      <c r="C808" s="35" t="s">
        <v>1680</v>
      </c>
      <c r="D808" s="35" t="s">
        <v>116</v>
      </c>
      <c r="E808" s="34" t="n">
        <v>15350</v>
      </c>
      <c r="F808" s="34" t="n">
        <v>15100</v>
      </c>
      <c r="G808" s="34" t="n">
        <v>15200.46</v>
      </c>
      <c r="H808" s="34" t="n">
        <v>15294.29</v>
      </c>
      <c r="I808" s="36" t="n">
        <f aca="false">$E808/F808-1</f>
        <v>0.0165562913907285</v>
      </c>
      <c r="J808" s="36" t="n">
        <f aca="false">$E808/G808-1</f>
        <v>0.00983786017002131</v>
      </c>
      <c r="K808" s="36" t="n">
        <f aca="false">$E808/H808-1</f>
        <v>0.00364253587449959</v>
      </c>
      <c r="L808" s="37" t="n">
        <v>6.52</v>
      </c>
      <c r="M808" s="37" t="n">
        <v>0.59</v>
      </c>
      <c r="N808" s="34" t="n">
        <v>16044.93</v>
      </c>
      <c r="O808" s="34" t="n">
        <v>13936.8</v>
      </c>
      <c r="P808" s="38"/>
      <c r="Q808" s="38"/>
    </row>
    <row r="809" customFormat="false" ht="15" hidden="false" customHeight="false" outlineLevel="0" collapsed="false">
      <c r="A809" s="34" t="n">
        <v>801</v>
      </c>
      <c r="B809" s="35" t="s">
        <v>1681</v>
      </c>
      <c r="C809" s="35" t="s">
        <v>1682</v>
      </c>
      <c r="D809" s="35" t="s">
        <v>111</v>
      </c>
      <c r="E809" s="34" t="n">
        <v>38900</v>
      </c>
      <c r="F809" s="34" t="n">
        <v>38400</v>
      </c>
      <c r="G809" s="34" t="n">
        <v>38420</v>
      </c>
      <c r="H809" s="34" t="n">
        <v>40330.43</v>
      </c>
      <c r="I809" s="36" t="n">
        <f aca="false">$E809/F809-1</f>
        <v>0.0130208333333333</v>
      </c>
      <c r="J809" s="36" t="n">
        <f aca="false">$E809/G809-1</f>
        <v>0.0124934929724103</v>
      </c>
      <c r="K809" s="36" t="n">
        <f aca="false">$E809/H809-1</f>
        <v>-0.0354677597040249</v>
      </c>
      <c r="L809" s="37" t="n">
        <v>3.77</v>
      </c>
      <c r="M809" s="37" t="n">
        <v>0.72</v>
      </c>
      <c r="N809" s="34" t="n">
        <v>43759.87</v>
      </c>
      <c r="O809" s="34" t="n">
        <v>37900</v>
      </c>
      <c r="P809" s="38"/>
      <c r="Q809" s="38"/>
    </row>
    <row r="810" customFormat="false" ht="15" hidden="false" customHeight="false" outlineLevel="0" collapsed="false">
      <c r="A810" s="34" t="n">
        <v>802</v>
      </c>
      <c r="B810" s="35" t="s">
        <v>1683</v>
      </c>
      <c r="C810" s="35" t="s">
        <v>1684</v>
      </c>
      <c r="D810" s="35" t="s">
        <v>116</v>
      </c>
      <c r="E810" s="34" t="n">
        <v>24150</v>
      </c>
      <c r="F810" s="34" t="n">
        <v>22500</v>
      </c>
      <c r="G810" s="34" t="n">
        <v>24758.62</v>
      </c>
      <c r="H810" s="34" t="n">
        <v>24325.95</v>
      </c>
      <c r="I810" s="36" t="n">
        <f aca="false">$E810/F810-1</f>
        <v>0.0733333333333333</v>
      </c>
      <c r="J810" s="36" t="n">
        <f aca="false">$E810/G810-1</f>
        <v>-0.024582145531536</v>
      </c>
      <c r="K810" s="36" t="n">
        <f aca="false">$E810/H810-1</f>
        <v>-0.00723301659339104</v>
      </c>
      <c r="L810" s="37" t="n">
        <v>6.47</v>
      </c>
      <c r="M810" s="37" t="n">
        <v>1.3</v>
      </c>
      <c r="N810" s="34" t="n">
        <v>27883.5</v>
      </c>
      <c r="O810" s="34" t="n">
        <v>21650</v>
      </c>
      <c r="P810" s="38" t="n">
        <v>6.215</v>
      </c>
      <c r="Q810" s="38" t="n">
        <v>1.33</v>
      </c>
    </row>
    <row r="811" customFormat="false" ht="15" hidden="false" customHeight="false" outlineLevel="0" collapsed="false">
      <c r="A811" s="34" t="n">
        <v>803</v>
      </c>
      <c r="B811" s="35" t="s">
        <v>1685</v>
      </c>
      <c r="C811" s="35" t="s">
        <v>1686</v>
      </c>
      <c r="D811" s="35" t="s">
        <v>111</v>
      </c>
      <c r="E811" s="34" t="n">
        <v>2100</v>
      </c>
      <c r="F811" s="34" t="n">
        <v>2100</v>
      </c>
      <c r="G811" s="34" t="n">
        <v>2100</v>
      </c>
      <c r="H811" s="34" t="n">
        <v>1100</v>
      </c>
      <c r="I811" s="36" t="n">
        <f aca="false">$E811/F811-1</f>
        <v>0</v>
      </c>
      <c r="J811" s="36" t="n">
        <f aca="false">$E811/G811-1</f>
        <v>0</v>
      </c>
      <c r="K811" s="36" t="n">
        <f aca="false">$E811/H811-1</f>
        <v>0.909090909090909</v>
      </c>
      <c r="L811" s="37" t="n">
        <v>0.19</v>
      </c>
      <c r="M811" s="37" t="n">
        <v>0.04</v>
      </c>
      <c r="N811" s="34" t="n">
        <v>2100</v>
      </c>
      <c r="O811" s="34" t="n">
        <v>800</v>
      </c>
      <c r="P811" s="38"/>
      <c r="Q811" s="38"/>
    </row>
    <row r="812" customFormat="false" ht="15" hidden="false" customHeight="false" outlineLevel="0" collapsed="false">
      <c r="A812" s="34" t="n">
        <v>804</v>
      </c>
      <c r="B812" s="35" t="s">
        <v>1687</v>
      </c>
      <c r="C812" s="35" t="s">
        <v>1688</v>
      </c>
      <c r="D812" s="35" t="s">
        <v>133</v>
      </c>
      <c r="E812" s="34" t="n">
        <v>16500</v>
      </c>
      <c r="F812" s="34" t="n">
        <v>16500</v>
      </c>
      <c r="G812" s="34" t="n">
        <v>17400</v>
      </c>
      <c r="H812" s="34" t="n">
        <v>17169.66</v>
      </c>
      <c r="I812" s="36" t="n">
        <f aca="false">$E812/F812-1</f>
        <v>0</v>
      </c>
      <c r="J812" s="36" t="n">
        <f aca="false">$E812/G812-1</f>
        <v>-0.0517241379310345</v>
      </c>
      <c r="K812" s="36" t="n">
        <f aca="false">$E812/H812-1</f>
        <v>-0.0390025195606669</v>
      </c>
      <c r="L812" s="37" t="n">
        <v>5.55</v>
      </c>
      <c r="M812" s="37" t="n">
        <v>0.81</v>
      </c>
      <c r="N812" s="34" t="n">
        <v>21600.54</v>
      </c>
      <c r="O812" s="34" t="n">
        <v>16300</v>
      </c>
      <c r="P812" s="38"/>
      <c r="Q812" s="38"/>
    </row>
    <row r="813" customFormat="false" ht="15" hidden="false" customHeight="false" outlineLevel="0" collapsed="false">
      <c r="A813" s="34" t="n">
        <v>805</v>
      </c>
      <c r="B813" s="35" t="s">
        <v>1689</v>
      </c>
      <c r="C813" s="35" t="s">
        <v>1690</v>
      </c>
      <c r="D813" s="35" t="s">
        <v>111</v>
      </c>
      <c r="E813" s="34" t="n">
        <v>23166</v>
      </c>
      <c r="F813" s="34" t="n">
        <v>22020</v>
      </c>
      <c r="G813" s="34" t="n">
        <v>24000</v>
      </c>
      <c r="H813" s="34" t="n">
        <v>27378</v>
      </c>
      <c r="I813" s="36" t="n">
        <f aca="false">$E813/F813-1</f>
        <v>0.0520435967302453</v>
      </c>
      <c r="J813" s="36" t="n">
        <f aca="false">$E813/G813-1</f>
        <v>-0.03475</v>
      </c>
      <c r="K813" s="36" t="n">
        <f aca="false">$E813/H813-1</f>
        <v>-0.153846153846154</v>
      </c>
      <c r="L813" s="37"/>
      <c r="M813" s="37"/>
      <c r="N813" s="34" t="n">
        <v>30176.76</v>
      </c>
      <c r="O813" s="34" t="n">
        <v>21826</v>
      </c>
      <c r="P813" s="38"/>
      <c r="Q813" s="38"/>
    </row>
    <row r="814" customFormat="false" ht="15" hidden="false" customHeight="false" outlineLevel="0" collapsed="false">
      <c r="A814" s="34" t="n">
        <v>806</v>
      </c>
      <c r="B814" s="35" t="s">
        <v>1691</v>
      </c>
      <c r="C814" s="35" t="s">
        <v>1692</v>
      </c>
      <c r="D814" s="35" t="s">
        <v>116</v>
      </c>
      <c r="E814" s="34" t="n">
        <v>7990</v>
      </c>
      <c r="F814" s="34" t="n">
        <v>8000</v>
      </c>
      <c r="G814" s="34" t="n">
        <v>8170</v>
      </c>
      <c r="H814" s="34" t="n">
        <v>8604.18</v>
      </c>
      <c r="I814" s="36" t="n">
        <f aca="false">$E814/F814-1</f>
        <v>-0.00124999999999997</v>
      </c>
      <c r="J814" s="36" t="n">
        <f aca="false">$E814/G814-1</f>
        <v>-0.02203182374541</v>
      </c>
      <c r="K814" s="36" t="n">
        <f aca="false">$E814/H814-1</f>
        <v>-0.0713815842997241</v>
      </c>
      <c r="L814" s="37" t="n">
        <v>13.58</v>
      </c>
      <c r="M814" s="37" t="n">
        <v>0.4</v>
      </c>
      <c r="N814" s="34" t="n">
        <v>9806.23</v>
      </c>
      <c r="O814" s="34" t="n">
        <v>7970</v>
      </c>
      <c r="P814" s="38"/>
      <c r="Q814" s="38"/>
    </row>
    <row r="815" customFormat="false" ht="15" hidden="false" customHeight="false" outlineLevel="0" collapsed="false">
      <c r="A815" s="34" t="n">
        <v>807</v>
      </c>
      <c r="B815" s="35" t="s">
        <v>1693</v>
      </c>
      <c r="C815" s="35" t="s">
        <v>1694</v>
      </c>
      <c r="D815" s="35" t="s">
        <v>133</v>
      </c>
      <c r="E815" s="34" t="n">
        <v>127200</v>
      </c>
      <c r="F815" s="34" t="n">
        <v>127100</v>
      </c>
      <c r="G815" s="34" t="n">
        <v>149800</v>
      </c>
      <c r="H815" s="34" t="n">
        <v>161900</v>
      </c>
      <c r="I815" s="36" t="n">
        <f aca="false">$E815/F815-1</f>
        <v>0.000786782061368951</v>
      </c>
      <c r="J815" s="36" t="n">
        <f aca="false">$E815/G815-1</f>
        <v>-0.15086782376502</v>
      </c>
      <c r="K815" s="36" t="n">
        <f aca="false">$E815/H815-1</f>
        <v>-0.214329833230389</v>
      </c>
      <c r="L815" s="37" t="n">
        <v>6.51</v>
      </c>
      <c r="M815" s="37" t="n">
        <v>0.71</v>
      </c>
      <c r="N815" s="34" t="n">
        <v>179600.35</v>
      </c>
      <c r="O815" s="34" t="n">
        <v>126000</v>
      </c>
      <c r="P815" s="38"/>
      <c r="Q815" s="38"/>
    </row>
    <row r="816" customFormat="false" ht="15" hidden="false" customHeight="false" outlineLevel="0" collapsed="false">
      <c r="A816" s="34" t="n">
        <v>808</v>
      </c>
      <c r="B816" s="35" t="s">
        <v>1695</v>
      </c>
      <c r="C816" s="35" t="s">
        <v>1696</v>
      </c>
      <c r="D816" s="35" t="s">
        <v>116</v>
      </c>
      <c r="E816" s="34" t="n">
        <v>21000</v>
      </c>
      <c r="F816" s="34" t="n">
        <v>21250</v>
      </c>
      <c r="G816" s="34" t="n">
        <v>21200</v>
      </c>
      <c r="H816" s="34" t="n">
        <v>23679.34</v>
      </c>
      <c r="I816" s="36" t="n">
        <f aca="false">$E816/F816-1</f>
        <v>-0.0117647058823529</v>
      </c>
      <c r="J816" s="36" t="n">
        <f aca="false">$E816/G816-1</f>
        <v>-0.00943396226415094</v>
      </c>
      <c r="K816" s="36" t="n">
        <f aca="false">$E816/H816-1</f>
        <v>-0.113150957754735</v>
      </c>
      <c r="L816" s="37" t="n">
        <v>22.95</v>
      </c>
      <c r="M816" s="37" t="n">
        <v>1.64</v>
      </c>
      <c r="N816" s="34" t="n">
        <v>25377.46</v>
      </c>
      <c r="O816" s="34" t="n">
        <v>19434.04</v>
      </c>
      <c r="P816" s="38" t="n">
        <v>16.86</v>
      </c>
      <c r="Q816" s="38" t="n">
        <v>1.29</v>
      </c>
    </row>
    <row r="817" customFormat="false" ht="15" hidden="false" customHeight="false" outlineLevel="0" collapsed="false">
      <c r="A817" s="34" t="n">
        <v>809</v>
      </c>
      <c r="B817" s="35" t="s">
        <v>1697</v>
      </c>
      <c r="C817" s="35" t="s">
        <v>1698</v>
      </c>
      <c r="D817" s="35" t="s">
        <v>116</v>
      </c>
      <c r="E817" s="34" t="n">
        <v>6890</v>
      </c>
      <c r="F817" s="34" t="n">
        <v>6860</v>
      </c>
      <c r="G817" s="34" t="n">
        <v>7380</v>
      </c>
      <c r="H817" s="34" t="n">
        <v>7114.43</v>
      </c>
      <c r="I817" s="36" t="n">
        <f aca="false">$E817/F817-1</f>
        <v>0.00437317784256552</v>
      </c>
      <c r="J817" s="36" t="n">
        <f aca="false">$E817/G817-1</f>
        <v>-0.0663956639566395</v>
      </c>
      <c r="K817" s="36" t="n">
        <f aca="false">$E817/H817-1</f>
        <v>-0.0315457457589716</v>
      </c>
      <c r="L817" s="37" t="n">
        <v>7.02</v>
      </c>
      <c r="M817" s="37" t="n">
        <v>0.63</v>
      </c>
      <c r="N817" s="34" t="n">
        <v>7846.15</v>
      </c>
      <c r="O817" s="34" t="n">
        <v>6752.98</v>
      </c>
      <c r="P817" s="38"/>
      <c r="Q817" s="38"/>
    </row>
    <row r="818" customFormat="false" ht="15" hidden="false" customHeight="false" outlineLevel="0" collapsed="false">
      <c r="A818" s="34" t="n">
        <v>810</v>
      </c>
      <c r="B818" s="35" t="s">
        <v>1699</v>
      </c>
      <c r="C818" s="35" t="s">
        <v>1700</v>
      </c>
      <c r="D818" s="35" t="s">
        <v>111</v>
      </c>
      <c r="E818" s="34" t="n">
        <v>3300</v>
      </c>
      <c r="F818" s="34" t="n">
        <v>3300</v>
      </c>
      <c r="G818" s="34" t="n">
        <v>3300</v>
      </c>
      <c r="H818" s="34" t="n">
        <v>3300</v>
      </c>
      <c r="I818" s="36" t="n">
        <f aca="false">$E818/F818-1</f>
        <v>0</v>
      </c>
      <c r="J818" s="36" t="n">
        <f aca="false">$E818/G818-1</f>
        <v>0</v>
      </c>
      <c r="K818" s="36" t="n">
        <f aca="false">$E818/H818-1</f>
        <v>0</v>
      </c>
      <c r="L818" s="37" t="n">
        <v>-0.42</v>
      </c>
      <c r="M818" s="37" t="n">
        <v>1.5</v>
      </c>
      <c r="N818" s="34" t="n">
        <v>3300</v>
      </c>
      <c r="O818" s="34" t="n">
        <v>3300</v>
      </c>
      <c r="P818" s="38"/>
      <c r="Q818" s="38"/>
    </row>
    <row r="819" customFormat="false" ht="15" hidden="false" customHeight="false" outlineLevel="0" collapsed="false">
      <c r="A819" s="34" t="n">
        <v>811</v>
      </c>
      <c r="B819" s="35" t="s">
        <v>1701</v>
      </c>
      <c r="C819" s="35" t="s">
        <v>1702</v>
      </c>
      <c r="D819" s="35" t="s">
        <v>116</v>
      </c>
      <c r="E819" s="34" t="n">
        <v>2350</v>
      </c>
      <c r="F819" s="34" t="n">
        <v>2280</v>
      </c>
      <c r="G819" s="34" t="n">
        <v>2510</v>
      </c>
      <c r="H819" s="34" t="n">
        <v>2960</v>
      </c>
      <c r="I819" s="36" t="n">
        <f aca="false">$E819/F819-1</f>
        <v>0.0307017543859649</v>
      </c>
      <c r="J819" s="36" t="n">
        <f aca="false">$E819/G819-1</f>
        <v>-0.0637450199203188</v>
      </c>
      <c r="K819" s="36" t="n">
        <f aca="false">$E819/H819-1</f>
        <v>-0.206081081081081</v>
      </c>
      <c r="L819" s="37" t="n">
        <v>21.65</v>
      </c>
      <c r="M819" s="37" t="n">
        <v>0.2</v>
      </c>
      <c r="N819" s="34" t="n">
        <v>3210</v>
      </c>
      <c r="O819" s="34" t="n">
        <v>2280</v>
      </c>
      <c r="P819" s="38"/>
      <c r="Q819" s="38"/>
    </row>
    <row r="820" customFormat="false" ht="15" hidden="false" customHeight="false" outlineLevel="0" collapsed="false">
      <c r="A820" s="34" t="n">
        <v>812</v>
      </c>
      <c r="B820" s="35" t="s">
        <v>1703</v>
      </c>
      <c r="C820" s="35" t="s">
        <v>1704</v>
      </c>
      <c r="D820" s="35" t="s">
        <v>116</v>
      </c>
      <c r="E820" s="34" t="n">
        <v>12150</v>
      </c>
      <c r="F820" s="34" t="n">
        <v>11850</v>
      </c>
      <c r="G820" s="34" t="n">
        <v>11545.57</v>
      </c>
      <c r="H820" s="34" t="n">
        <v>10613.74</v>
      </c>
      <c r="I820" s="36" t="n">
        <f aca="false">$E820/F820-1</f>
        <v>0.0253164556962024</v>
      </c>
      <c r="J820" s="36" t="n">
        <f aca="false">$E820/G820-1</f>
        <v>0.0523516812075975</v>
      </c>
      <c r="K820" s="36" t="n">
        <f aca="false">$E820/H820-1</f>
        <v>0.144742569537222</v>
      </c>
      <c r="L820" s="37" t="n">
        <v>8.91</v>
      </c>
      <c r="M820" s="37" t="n">
        <v>1</v>
      </c>
      <c r="N820" s="34" t="n">
        <v>17650.18</v>
      </c>
      <c r="O820" s="34" t="n">
        <v>7690.99</v>
      </c>
      <c r="P820" s="38"/>
      <c r="Q820" s="38"/>
    </row>
    <row r="821" customFormat="false" ht="15" hidden="false" customHeight="false" outlineLevel="0" collapsed="false">
      <c r="A821" s="34" t="n">
        <v>813</v>
      </c>
      <c r="B821" s="35" t="s">
        <v>1705</v>
      </c>
      <c r="C821" s="35" t="s">
        <v>1706</v>
      </c>
      <c r="D821" s="35" t="s">
        <v>133</v>
      </c>
      <c r="E821" s="34" t="n">
        <v>15300</v>
      </c>
      <c r="F821" s="34" t="n">
        <v>14300</v>
      </c>
      <c r="G821" s="34" t="n">
        <v>16000</v>
      </c>
      <c r="H821" s="34" t="n">
        <v>16200</v>
      </c>
      <c r="I821" s="36" t="n">
        <f aca="false">$E821/F821-1</f>
        <v>0.06993006993007</v>
      </c>
      <c r="J821" s="36" t="n">
        <f aca="false">$E821/G821-1</f>
        <v>-0.04375</v>
      </c>
      <c r="K821" s="36" t="n">
        <f aca="false">$E821/H821-1</f>
        <v>-0.0555555555555556</v>
      </c>
      <c r="L821" s="37" t="n">
        <v>14.26</v>
      </c>
      <c r="M821" s="37" t="n">
        <v>0.97</v>
      </c>
      <c r="N821" s="34" t="n">
        <v>20600</v>
      </c>
      <c r="O821" s="34" t="n">
        <v>14300</v>
      </c>
      <c r="P821" s="38"/>
      <c r="Q821" s="38"/>
    </row>
    <row r="822" customFormat="false" ht="15" hidden="false" customHeight="false" outlineLevel="0" collapsed="false">
      <c r="A822" s="34" t="n">
        <v>814</v>
      </c>
      <c r="B822" s="35" t="s">
        <v>1707</v>
      </c>
      <c r="C822" s="35" t="s">
        <v>1708</v>
      </c>
      <c r="D822" s="35" t="s">
        <v>111</v>
      </c>
      <c r="E822" s="34" t="n">
        <v>30500</v>
      </c>
      <c r="F822" s="34" t="n">
        <v>31022</v>
      </c>
      <c r="G822" s="34" t="n">
        <v>32827</v>
      </c>
      <c r="H822" s="34" t="n">
        <v>35765</v>
      </c>
      <c r="I822" s="36" t="n">
        <f aca="false">$E822/F822-1</f>
        <v>-0.016826768100058</v>
      </c>
      <c r="J822" s="36" t="n">
        <f aca="false">$E822/G822-1</f>
        <v>-0.07088677003686</v>
      </c>
      <c r="K822" s="36" t="n">
        <f aca="false">$E822/H822-1</f>
        <v>-0.147210960436181</v>
      </c>
      <c r="L822" s="37" t="n">
        <v>13.45</v>
      </c>
      <c r="M822" s="37" t="n">
        <v>1.31</v>
      </c>
      <c r="N822" s="34" t="n">
        <v>49053</v>
      </c>
      <c r="O822" s="34" t="n">
        <v>29586</v>
      </c>
      <c r="P822" s="38"/>
      <c r="Q822" s="38"/>
    </row>
    <row r="823" customFormat="false" ht="15" hidden="false" customHeight="false" outlineLevel="0" collapsed="false">
      <c r="A823" s="34" t="n">
        <v>815</v>
      </c>
      <c r="B823" s="35" t="s">
        <v>1709</v>
      </c>
      <c r="C823" s="35" t="s">
        <v>1710</v>
      </c>
      <c r="D823" s="35" t="s">
        <v>111</v>
      </c>
      <c r="E823" s="34" t="n">
        <v>8000</v>
      </c>
      <c r="F823" s="34" t="n">
        <v>8200</v>
      </c>
      <c r="G823" s="34" t="n">
        <v>8119.68</v>
      </c>
      <c r="H823" s="34" t="n">
        <v>7922.82</v>
      </c>
      <c r="I823" s="36" t="n">
        <f aca="false">$E823/F823-1</f>
        <v>-0.024390243902439</v>
      </c>
      <c r="J823" s="36" t="n">
        <f aca="false">$E823/G823-1</f>
        <v>-0.0147394971230393</v>
      </c>
      <c r="K823" s="36" t="n">
        <f aca="false">$E823/H823-1</f>
        <v>0.00974148093734306</v>
      </c>
      <c r="L823" s="37" t="n">
        <v>5.06</v>
      </c>
      <c r="M823" s="37" t="n">
        <v>0.56</v>
      </c>
      <c r="N823" s="34" t="n">
        <v>9100.28</v>
      </c>
      <c r="O823" s="34" t="n">
        <v>6964.5</v>
      </c>
      <c r="P823" s="38"/>
      <c r="Q823" s="38"/>
    </row>
    <row r="824" customFormat="false" ht="15" hidden="false" customHeight="false" outlineLevel="0" collapsed="false">
      <c r="A824" s="34" t="n">
        <v>816</v>
      </c>
      <c r="B824" s="35" t="s">
        <v>1711</v>
      </c>
      <c r="C824" s="35" t="s">
        <v>1712</v>
      </c>
      <c r="D824" s="35" t="s">
        <v>111</v>
      </c>
      <c r="E824" s="34" t="n">
        <v>5300</v>
      </c>
      <c r="F824" s="34" t="n">
        <v>5300</v>
      </c>
      <c r="G824" s="34" t="n">
        <v>5300</v>
      </c>
      <c r="H824" s="34" t="n">
        <v>8700</v>
      </c>
      <c r="I824" s="36" t="n">
        <f aca="false">$E824/F824-1</f>
        <v>0</v>
      </c>
      <c r="J824" s="36" t="n">
        <f aca="false">$E824/G824-1</f>
        <v>0</v>
      </c>
      <c r="K824" s="36" t="n">
        <f aca="false">$E824/H824-1</f>
        <v>-0.390804597701149</v>
      </c>
      <c r="L824" s="37" t="n">
        <v>1.51</v>
      </c>
      <c r="M824" s="37" t="n">
        <v>0.22</v>
      </c>
      <c r="N824" s="34" t="n">
        <v>8700</v>
      </c>
      <c r="O824" s="34" t="n">
        <v>5300</v>
      </c>
      <c r="P824" s="38"/>
      <c r="Q824" s="38"/>
    </row>
    <row r="825" customFormat="false" ht="15" hidden="false" customHeight="false" outlineLevel="0" collapsed="false">
      <c r="A825" s="34" t="n">
        <v>817</v>
      </c>
      <c r="B825" s="35" t="s">
        <v>1713</v>
      </c>
      <c r="C825" s="35" t="s">
        <v>1714</v>
      </c>
      <c r="D825" s="35" t="s">
        <v>111</v>
      </c>
      <c r="E825" s="34" t="n">
        <v>25000</v>
      </c>
      <c r="F825" s="34" t="n">
        <v>25000</v>
      </c>
      <c r="G825" s="34" t="n">
        <v>25000</v>
      </c>
      <c r="H825" s="34" t="n">
        <v>22375.59</v>
      </c>
      <c r="I825" s="36" t="n">
        <f aca="false">$E825/F825-1</f>
        <v>0</v>
      </c>
      <c r="J825" s="36" t="n">
        <f aca="false">$E825/G825-1</f>
        <v>0</v>
      </c>
      <c r="K825" s="36" t="n">
        <f aca="false">$E825/H825-1</f>
        <v>0.117288974279561</v>
      </c>
      <c r="L825" s="37" t="n">
        <v>7.84</v>
      </c>
      <c r="M825" s="37" t="n">
        <v>0.86</v>
      </c>
      <c r="N825" s="34" t="n">
        <v>34100.79</v>
      </c>
      <c r="O825" s="34" t="n">
        <v>18369.48</v>
      </c>
      <c r="P825" s="38"/>
      <c r="Q825" s="38"/>
    </row>
    <row r="826" customFormat="false" ht="15" hidden="false" customHeight="false" outlineLevel="0" collapsed="false">
      <c r="A826" s="34" t="n">
        <v>818</v>
      </c>
      <c r="B826" s="35" t="s">
        <v>1715</v>
      </c>
      <c r="C826" s="35" t="s">
        <v>1716</v>
      </c>
      <c r="D826" s="35" t="s">
        <v>111</v>
      </c>
      <c r="E826" s="34" t="n">
        <v>9900</v>
      </c>
      <c r="F826" s="34" t="n">
        <v>9900</v>
      </c>
      <c r="G826" s="34" t="n">
        <v>9583.6</v>
      </c>
      <c r="H826" s="34" t="n">
        <v>9675.75</v>
      </c>
      <c r="I826" s="36" t="n">
        <f aca="false">$E826/F826-1</f>
        <v>0</v>
      </c>
      <c r="J826" s="36" t="n">
        <f aca="false">$E826/G826-1</f>
        <v>0.0330147335030677</v>
      </c>
      <c r="K826" s="36" t="n">
        <f aca="false">$E826/H826-1</f>
        <v>0.0231764979458957</v>
      </c>
      <c r="L826" s="37" t="n">
        <v>8.03</v>
      </c>
      <c r="M826" s="37" t="n">
        <v>0.83</v>
      </c>
      <c r="N826" s="34" t="n">
        <v>11334.45</v>
      </c>
      <c r="O826" s="34" t="n">
        <v>8385.65</v>
      </c>
      <c r="P826" s="38"/>
      <c r="Q826" s="38"/>
    </row>
    <row r="827" customFormat="false" ht="15" hidden="false" customHeight="false" outlineLevel="0" collapsed="false">
      <c r="A827" s="34" t="n">
        <v>819</v>
      </c>
      <c r="B827" s="35" t="s">
        <v>1717</v>
      </c>
      <c r="C827" s="35" t="s">
        <v>1718</v>
      </c>
      <c r="D827" s="35" t="s">
        <v>111</v>
      </c>
      <c r="E827" s="34" t="n">
        <v>17100</v>
      </c>
      <c r="F827" s="34" t="n">
        <v>20100</v>
      </c>
      <c r="G827" s="34" t="n">
        <v>20100</v>
      </c>
      <c r="H827" s="34" t="n">
        <v>7000</v>
      </c>
      <c r="I827" s="36" t="n">
        <f aca="false">$E827/F827-1</f>
        <v>-0.149253731343284</v>
      </c>
      <c r="J827" s="36" t="n">
        <f aca="false">$E827/G827-1</f>
        <v>-0.149253731343284</v>
      </c>
      <c r="K827" s="36" t="n">
        <f aca="false">$E827/H827-1</f>
        <v>1.44285714285714</v>
      </c>
      <c r="L827" s="37" t="n">
        <v>11.03</v>
      </c>
      <c r="M827" s="37" t="n">
        <v>1.39</v>
      </c>
      <c r="N827" s="34" t="n">
        <v>20100</v>
      </c>
      <c r="O827" s="34" t="n">
        <v>5900</v>
      </c>
      <c r="P827" s="38"/>
      <c r="Q827" s="38"/>
    </row>
    <row r="828" customFormat="false" ht="15" hidden="false" customHeight="false" outlineLevel="0" collapsed="false">
      <c r="A828" s="34" t="n">
        <v>820</v>
      </c>
      <c r="B828" s="35" t="s">
        <v>1719</v>
      </c>
      <c r="C828" s="35" t="s">
        <v>1720</v>
      </c>
      <c r="D828" s="35" t="s">
        <v>111</v>
      </c>
      <c r="E828" s="34" t="n">
        <v>9800</v>
      </c>
      <c r="F828" s="34" t="n">
        <v>9800</v>
      </c>
      <c r="G828" s="34" t="n">
        <v>9900</v>
      </c>
      <c r="H828" s="34" t="n">
        <v>9568</v>
      </c>
      <c r="I828" s="36" t="n">
        <f aca="false">$E828/F828-1</f>
        <v>0</v>
      </c>
      <c r="J828" s="36" t="n">
        <f aca="false">$E828/G828-1</f>
        <v>-0.0101010101010101</v>
      </c>
      <c r="K828" s="36" t="n">
        <f aca="false">$E828/H828-1</f>
        <v>0.024247491638796</v>
      </c>
      <c r="L828" s="37" t="n">
        <v>19.27</v>
      </c>
      <c r="M828" s="37" t="n">
        <v>0.7</v>
      </c>
      <c r="N828" s="34" t="n">
        <v>10000</v>
      </c>
      <c r="O828" s="34" t="n">
        <v>8500</v>
      </c>
      <c r="P828" s="38"/>
      <c r="Q828" s="38"/>
    </row>
    <row r="829" customFormat="false" ht="15" hidden="false" customHeight="false" outlineLevel="0" collapsed="false">
      <c r="A829" s="34" t="n">
        <v>821</v>
      </c>
      <c r="B829" s="35" t="s">
        <v>1721</v>
      </c>
      <c r="C829" s="35" t="s">
        <v>1722</v>
      </c>
      <c r="D829" s="35" t="s">
        <v>111</v>
      </c>
      <c r="E829" s="34" t="n">
        <v>19000</v>
      </c>
      <c r="F829" s="34" t="n">
        <v>16600</v>
      </c>
      <c r="G829" s="34" t="n">
        <v>18500</v>
      </c>
      <c r="H829" s="34" t="n">
        <v>17400</v>
      </c>
      <c r="I829" s="36" t="n">
        <f aca="false">$E829/F829-1</f>
        <v>0.144578313253012</v>
      </c>
      <c r="J829" s="36" t="n">
        <f aca="false">$E829/G829-1</f>
        <v>0.027027027027027</v>
      </c>
      <c r="K829" s="36" t="n">
        <f aca="false">$E829/H829-1</f>
        <v>0.0919540229885059</v>
      </c>
      <c r="L829" s="37" t="n">
        <v>2.79</v>
      </c>
      <c r="M829" s="37" t="n">
        <v>0.56</v>
      </c>
      <c r="N829" s="34" t="n">
        <v>23000</v>
      </c>
      <c r="O829" s="34" t="n">
        <v>16600</v>
      </c>
      <c r="P829" s="38"/>
      <c r="Q829" s="38"/>
    </row>
    <row r="830" customFormat="false" ht="15" hidden="false" customHeight="false" outlineLevel="0" collapsed="false">
      <c r="A830" s="34" t="n">
        <v>822</v>
      </c>
      <c r="B830" s="35" t="s">
        <v>1723</v>
      </c>
      <c r="C830" s="35" t="s">
        <v>1724</v>
      </c>
      <c r="D830" s="35" t="s">
        <v>111</v>
      </c>
      <c r="E830" s="34" t="n">
        <v>19100</v>
      </c>
      <c r="F830" s="34" t="n">
        <v>19100</v>
      </c>
      <c r="G830" s="34" t="n">
        <v>19080.12</v>
      </c>
      <c r="H830" s="34" t="n">
        <v>19080.12</v>
      </c>
      <c r="I830" s="36" t="n">
        <f aca="false">$E830/F830-1</f>
        <v>0</v>
      </c>
      <c r="J830" s="36" t="n">
        <f aca="false">$E830/G830-1</f>
        <v>0.00104192216820453</v>
      </c>
      <c r="K830" s="36" t="n">
        <f aca="false">$E830/H830-1</f>
        <v>0.00104192216820453</v>
      </c>
      <c r="L830" s="37" t="n">
        <v>3.36</v>
      </c>
      <c r="M830" s="37" t="n">
        <v>0.97</v>
      </c>
      <c r="N830" s="34" t="n">
        <v>19100</v>
      </c>
      <c r="O830" s="34" t="n">
        <v>19080.12</v>
      </c>
      <c r="P830" s="38"/>
      <c r="Q830" s="38"/>
    </row>
    <row r="831" customFormat="false" ht="15" hidden="false" customHeight="false" outlineLevel="0" collapsed="false">
      <c r="A831" s="34" t="n">
        <v>823</v>
      </c>
      <c r="B831" s="35" t="s">
        <v>1725</v>
      </c>
      <c r="C831" s="35" t="s">
        <v>1726</v>
      </c>
      <c r="D831" s="35" t="s">
        <v>111</v>
      </c>
      <c r="E831" s="34" t="n">
        <v>5780</v>
      </c>
      <c r="F831" s="34" t="n">
        <v>5400</v>
      </c>
      <c r="G831" s="34" t="n">
        <v>4700</v>
      </c>
      <c r="H831" s="34" t="n">
        <v>6000</v>
      </c>
      <c r="I831" s="36" t="n">
        <f aca="false">$E831/F831-1</f>
        <v>0.0703703703703704</v>
      </c>
      <c r="J831" s="36" t="n">
        <f aca="false">$E831/G831-1</f>
        <v>0.229787234042553</v>
      </c>
      <c r="K831" s="36" t="n">
        <f aca="false">$E831/H831-1</f>
        <v>-0.0366666666666666</v>
      </c>
      <c r="L831" s="37" t="n">
        <v>33.57</v>
      </c>
      <c r="M831" s="37" t="n">
        <v>0.56</v>
      </c>
      <c r="N831" s="34" t="n">
        <v>6607</v>
      </c>
      <c r="O831" s="34" t="n">
        <v>4103</v>
      </c>
      <c r="P831" s="38"/>
      <c r="Q831" s="38"/>
    </row>
    <row r="832" customFormat="false" ht="15" hidden="false" customHeight="false" outlineLevel="0" collapsed="false">
      <c r="A832" s="34" t="n">
        <v>824</v>
      </c>
      <c r="B832" s="35" t="s">
        <v>1727</v>
      </c>
      <c r="C832" s="35" t="s">
        <v>1728</v>
      </c>
      <c r="D832" s="35" t="s">
        <v>111</v>
      </c>
      <c r="E832" s="34" t="n">
        <v>10000</v>
      </c>
      <c r="F832" s="34" t="n">
        <v>10000</v>
      </c>
      <c r="G832" s="34" t="n">
        <v>10000</v>
      </c>
      <c r="H832" s="34" t="n">
        <v>10220.1</v>
      </c>
      <c r="I832" s="36" t="n">
        <f aca="false">$E832/F832-1</f>
        <v>0</v>
      </c>
      <c r="J832" s="36" t="n">
        <f aca="false">$E832/G832-1</f>
        <v>0</v>
      </c>
      <c r="K832" s="36" t="n">
        <f aca="false">$E832/H832-1</f>
        <v>-0.0215359927985049</v>
      </c>
      <c r="L832" s="37" t="n">
        <v>6.84</v>
      </c>
      <c r="M832" s="37" t="n">
        <v>0.85</v>
      </c>
      <c r="N832" s="34" t="n">
        <v>10220.1</v>
      </c>
      <c r="O832" s="34" t="n">
        <v>8826.45</v>
      </c>
      <c r="P832" s="38"/>
      <c r="Q832" s="38"/>
    </row>
    <row r="833" customFormat="false" ht="15" hidden="false" customHeight="false" outlineLevel="0" collapsed="false">
      <c r="A833" s="34" t="n">
        <v>825</v>
      </c>
      <c r="B833" s="35" t="s">
        <v>1729</v>
      </c>
      <c r="C833" s="35" t="s">
        <v>1730</v>
      </c>
      <c r="D833" s="35" t="s">
        <v>111</v>
      </c>
      <c r="E833" s="34" t="n">
        <v>9200</v>
      </c>
      <c r="F833" s="34" t="n">
        <v>9200</v>
      </c>
      <c r="G833" s="34" t="n">
        <v>9200</v>
      </c>
      <c r="H833" s="34" t="n">
        <v>9200</v>
      </c>
      <c r="I833" s="36" t="n">
        <f aca="false">$E833/F833-1</f>
        <v>0</v>
      </c>
      <c r="J833" s="36" t="n">
        <f aca="false">$E833/G833-1</f>
        <v>0</v>
      </c>
      <c r="K833" s="36" t="n">
        <f aca="false">$E833/H833-1</f>
        <v>0</v>
      </c>
      <c r="L833" s="37" t="n">
        <v>161.33</v>
      </c>
      <c r="M833" s="37" t="n">
        <v>1.12</v>
      </c>
      <c r="N833" s="34"/>
      <c r="O833" s="34"/>
      <c r="P833" s="38"/>
      <c r="Q833" s="38"/>
    </row>
    <row r="834" customFormat="false" ht="15" hidden="false" customHeight="false" outlineLevel="0" collapsed="false">
      <c r="A834" s="34" t="n">
        <v>826</v>
      </c>
      <c r="B834" s="35" t="s">
        <v>1731</v>
      </c>
      <c r="C834" s="35" t="s">
        <v>1732</v>
      </c>
      <c r="D834" s="35" t="s">
        <v>111</v>
      </c>
      <c r="E834" s="34" t="n">
        <v>7781</v>
      </c>
      <c r="F834" s="34" t="n">
        <v>7100</v>
      </c>
      <c r="G834" s="34" t="n">
        <v>7600</v>
      </c>
      <c r="H834" s="34" t="n">
        <v>10000</v>
      </c>
      <c r="I834" s="36" t="n">
        <f aca="false">$E834/F834-1</f>
        <v>0.0959154929577464</v>
      </c>
      <c r="J834" s="36" t="n">
        <f aca="false">$E834/G834-1</f>
        <v>0.0238157894736841</v>
      </c>
      <c r="K834" s="36" t="n">
        <f aca="false">$E834/H834-1</f>
        <v>-0.2219</v>
      </c>
      <c r="L834" s="37" t="n">
        <v>27.87</v>
      </c>
      <c r="M834" s="37" t="n">
        <v>0.67</v>
      </c>
      <c r="N834" s="34" t="n">
        <v>11185.2</v>
      </c>
      <c r="O834" s="34" t="n">
        <v>7006</v>
      </c>
      <c r="P834" s="38"/>
      <c r="Q834" s="38"/>
    </row>
    <row r="835" customFormat="false" ht="15" hidden="false" customHeight="false" outlineLevel="0" collapsed="false">
      <c r="A835" s="34" t="n">
        <v>827</v>
      </c>
      <c r="B835" s="35" t="s">
        <v>1733</v>
      </c>
      <c r="C835" s="35" t="s">
        <v>1734</v>
      </c>
      <c r="D835" s="35" t="s">
        <v>111</v>
      </c>
      <c r="E835" s="34" t="n">
        <v>11000</v>
      </c>
      <c r="F835" s="34" t="n">
        <v>11300</v>
      </c>
      <c r="G835" s="34" t="n">
        <v>12700</v>
      </c>
      <c r="H835" s="34" t="n">
        <v>13767</v>
      </c>
      <c r="I835" s="36" t="n">
        <f aca="false">$E835/F835-1</f>
        <v>-0.0265486725663717</v>
      </c>
      <c r="J835" s="36" t="n">
        <f aca="false">$E835/G835-1</f>
        <v>-0.133858267716535</v>
      </c>
      <c r="K835" s="36" t="n">
        <f aca="false">$E835/H835-1</f>
        <v>-0.20098786954311</v>
      </c>
      <c r="L835" s="37" t="n">
        <v>4.2</v>
      </c>
      <c r="M835" s="37" t="n">
        <v>0.73</v>
      </c>
      <c r="N835" s="34" t="n">
        <v>15510.82</v>
      </c>
      <c r="O835" s="34" t="n">
        <v>11000</v>
      </c>
      <c r="P835" s="38"/>
      <c r="Q835" s="38"/>
    </row>
    <row r="836" customFormat="false" ht="15" hidden="false" customHeight="false" outlineLevel="0" collapsed="false">
      <c r="A836" s="34" t="n">
        <v>828</v>
      </c>
      <c r="B836" s="35" t="s">
        <v>1735</v>
      </c>
      <c r="C836" s="35" t="s">
        <v>1736</v>
      </c>
      <c r="D836" s="35" t="s">
        <v>111</v>
      </c>
      <c r="E836" s="34" t="n">
        <v>7900</v>
      </c>
      <c r="F836" s="34" t="n">
        <v>7900</v>
      </c>
      <c r="G836" s="34" t="n">
        <v>7900</v>
      </c>
      <c r="H836" s="34" t="n">
        <v>7900</v>
      </c>
      <c r="I836" s="36" t="n">
        <f aca="false">$E836/F836-1</f>
        <v>0</v>
      </c>
      <c r="J836" s="36" t="n">
        <f aca="false">$E836/G836-1</f>
        <v>0</v>
      </c>
      <c r="K836" s="36" t="n">
        <f aca="false">$E836/H836-1</f>
        <v>0</v>
      </c>
      <c r="L836" s="37" t="n">
        <v>24.97</v>
      </c>
      <c r="M836" s="37" t="n">
        <v>0.78</v>
      </c>
      <c r="N836" s="34" t="n">
        <v>7900</v>
      </c>
      <c r="O836" s="34" t="n">
        <v>7900</v>
      </c>
      <c r="P836" s="38"/>
      <c r="Q836" s="38"/>
    </row>
    <row r="837" customFormat="false" ht="15" hidden="false" customHeight="false" outlineLevel="0" collapsed="false">
      <c r="A837" s="34" t="n">
        <v>829</v>
      </c>
      <c r="B837" s="35" t="s">
        <v>1737</v>
      </c>
      <c r="C837" s="35" t="s">
        <v>1738</v>
      </c>
      <c r="D837" s="35" t="s">
        <v>111</v>
      </c>
      <c r="E837" s="34" t="n">
        <v>14000</v>
      </c>
      <c r="F837" s="34" t="n">
        <v>10500</v>
      </c>
      <c r="G837" s="34" t="n">
        <v>10500</v>
      </c>
      <c r="H837" s="34" t="n">
        <v>12600</v>
      </c>
      <c r="I837" s="36" t="n">
        <f aca="false">$E837/F837-1</f>
        <v>0.333333333333333</v>
      </c>
      <c r="J837" s="36" t="n">
        <f aca="false">$E837/G837-1</f>
        <v>0.333333333333333</v>
      </c>
      <c r="K837" s="36" t="n">
        <f aca="false">$E837/H837-1</f>
        <v>0.111111111111111</v>
      </c>
      <c r="L837" s="37" t="n">
        <v>14.99</v>
      </c>
      <c r="M837" s="37" t="n">
        <v>1.28</v>
      </c>
      <c r="N837" s="34" t="n">
        <v>14000</v>
      </c>
      <c r="O837" s="34" t="n">
        <v>10000</v>
      </c>
      <c r="P837" s="38"/>
      <c r="Q837" s="38"/>
    </row>
    <row r="838" customFormat="false" ht="15" hidden="false" customHeight="false" outlineLevel="0" collapsed="false">
      <c r="A838" s="34" t="n">
        <v>830</v>
      </c>
      <c r="B838" s="35" t="s">
        <v>1739</v>
      </c>
      <c r="C838" s="35" t="s">
        <v>1740</v>
      </c>
      <c r="D838" s="35" t="s">
        <v>111</v>
      </c>
      <c r="E838" s="34" t="n">
        <v>10000</v>
      </c>
      <c r="F838" s="34" t="n">
        <v>10000.22</v>
      </c>
      <c r="G838" s="34" t="n">
        <v>10000.22</v>
      </c>
      <c r="H838" s="34" t="n">
        <v>9346</v>
      </c>
      <c r="I838" s="36" t="n">
        <f aca="false">$E838/F838-1</f>
        <v>-2.19995160105624E-005</v>
      </c>
      <c r="J838" s="36" t="n">
        <f aca="false">$E838/G838-1</f>
        <v>-2.19995160105624E-005</v>
      </c>
      <c r="K838" s="36" t="n">
        <f aca="false">$E838/H838-1</f>
        <v>0.0699764605178685</v>
      </c>
      <c r="L838" s="37" t="n">
        <v>4.68</v>
      </c>
      <c r="M838" s="37" t="n">
        <v>0.74</v>
      </c>
      <c r="N838" s="34" t="n">
        <v>11682.5</v>
      </c>
      <c r="O838" s="34" t="n">
        <v>5607.6</v>
      </c>
      <c r="P838" s="38"/>
      <c r="Q838" s="38"/>
    </row>
    <row r="839" customFormat="false" ht="15" hidden="false" customHeight="false" outlineLevel="0" collapsed="false">
      <c r="A839" s="34" t="n">
        <v>831</v>
      </c>
      <c r="B839" s="35" t="s">
        <v>1741</v>
      </c>
      <c r="C839" s="35" t="s">
        <v>1742</v>
      </c>
      <c r="D839" s="35" t="s">
        <v>111</v>
      </c>
      <c r="E839" s="34" t="n">
        <v>5100</v>
      </c>
      <c r="F839" s="34" t="n">
        <v>5100</v>
      </c>
      <c r="G839" s="34" t="n">
        <v>5100</v>
      </c>
      <c r="H839" s="34" t="n">
        <v>5600</v>
      </c>
      <c r="I839" s="36" t="n">
        <f aca="false">$E839/F839-1</f>
        <v>0</v>
      </c>
      <c r="J839" s="36" t="n">
        <f aca="false">$E839/G839-1</f>
        <v>0</v>
      </c>
      <c r="K839" s="36" t="n">
        <f aca="false">$E839/H839-1</f>
        <v>-0.0892857142857143</v>
      </c>
      <c r="L839" s="37" t="n">
        <v>5.57</v>
      </c>
      <c r="M839" s="37" t="n">
        <v>0.43</v>
      </c>
      <c r="N839" s="34" t="n">
        <v>8600</v>
      </c>
      <c r="O839" s="34" t="n">
        <v>5100</v>
      </c>
      <c r="P839" s="38"/>
      <c r="Q839" s="38"/>
    </row>
    <row r="840" customFormat="false" ht="15" hidden="false" customHeight="false" outlineLevel="0" collapsed="false">
      <c r="A840" s="34" t="n">
        <v>832</v>
      </c>
      <c r="B840" s="35" t="s">
        <v>1743</v>
      </c>
      <c r="C840" s="35" t="s">
        <v>1744</v>
      </c>
      <c r="D840" s="35" t="s">
        <v>116</v>
      </c>
      <c r="E840" s="34" t="n">
        <v>16200</v>
      </c>
      <c r="F840" s="34" t="n">
        <v>15950</v>
      </c>
      <c r="G840" s="34" t="n">
        <v>16150</v>
      </c>
      <c r="H840" s="34" t="n">
        <v>12400</v>
      </c>
      <c r="I840" s="36" t="n">
        <f aca="false">$E840/F840-1</f>
        <v>0.0156739811912225</v>
      </c>
      <c r="J840" s="36" t="n">
        <f aca="false">$E840/G840-1</f>
        <v>0.00309597523219818</v>
      </c>
      <c r="K840" s="36" t="n">
        <f aca="false">$E840/H840-1</f>
        <v>0.306451612903226</v>
      </c>
      <c r="L840" s="37" t="n">
        <v>8.58</v>
      </c>
      <c r="M840" s="37" t="n">
        <v>1.12</v>
      </c>
      <c r="N840" s="34" t="n">
        <v>16350</v>
      </c>
      <c r="O840" s="34" t="n">
        <v>10800</v>
      </c>
      <c r="P840" s="38" t="n">
        <v>6.37</v>
      </c>
      <c r="Q840" s="38" t="n">
        <v>0.94</v>
      </c>
    </row>
    <row r="841" customFormat="false" ht="15" hidden="false" customHeight="false" outlineLevel="0" collapsed="false">
      <c r="A841" s="34" t="n">
        <v>833</v>
      </c>
      <c r="B841" s="35" t="s">
        <v>1745</v>
      </c>
      <c r="C841" s="35" t="s">
        <v>1746</v>
      </c>
      <c r="D841" s="35" t="s">
        <v>111</v>
      </c>
      <c r="E841" s="34" t="n">
        <v>10000</v>
      </c>
      <c r="F841" s="34" t="n">
        <v>10000</v>
      </c>
      <c r="G841" s="34" t="n">
        <v>10200</v>
      </c>
      <c r="H841" s="34" t="n">
        <v>6342.89</v>
      </c>
      <c r="I841" s="36" t="n">
        <f aca="false">$E841/F841-1</f>
        <v>0</v>
      </c>
      <c r="J841" s="36" t="n">
        <f aca="false">$E841/G841-1</f>
        <v>-0.0196078431372549</v>
      </c>
      <c r="K841" s="36" t="n">
        <f aca="false">$E841/H841-1</f>
        <v>0.576568409668148</v>
      </c>
      <c r="L841" s="37" t="n">
        <v>23.89</v>
      </c>
      <c r="M841" s="37" t="n">
        <v>0.87</v>
      </c>
      <c r="N841" s="34" t="n">
        <v>10200</v>
      </c>
      <c r="O841" s="34" t="n">
        <v>6240.65</v>
      </c>
      <c r="P841" s="38"/>
      <c r="Q841" s="38"/>
    </row>
    <row r="842" customFormat="false" ht="15" hidden="false" customHeight="false" outlineLevel="0" collapsed="false">
      <c r="A842" s="34" t="n">
        <v>834</v>
      </c>
      <c r="B842" s="35" t="s">
        <v>1747</v>
      </c>
      <c r="C842" s="35" t="s">
        <v>1748</v>
      </c>
      <c r="D842" s="35" t="s">
        <v>116</v>
      </c>
      <c r="E842" s="34" t="n">
        <v>48200</v>
      </c>
      <c r="F842" s="34" t="n">
        <v>48300</v>
      </c>
      <c r="G842" s="34" t="n">
        <v>48550</v>
      </c>
      <c r="H842" s="34" t="n">
        <v>37950</v>
      </c>
      <c r="I842" s="36" t="n">
        <f aca="false">$E842/F842-1</f>
        <v>-0.00207039337474124</v>
      </c>
      <c r="J842" s="36" t="n">
        <f aca="false">$E842/G842-1</f>
        <v>-0.0072090628218332</v>
      </c>
      <c r="K842" s="36" t="n">
        <f aca="false">$E842/H842-1</f>
        <v>0.270092226613966</v>
      </c>
      <c r="L842" s="37" t="n">
        <v>14.69</v>
      </c>
      <c r="M842" s="37" t="n">
        <v>3.32</v>
      </c>
      <c r="N842" s="34" t="n">
        <v>53600</v>
      </c>
      <c r="O842" s="34" t="n">
        <v>25909.35</v>
      </c>
      <c r="P842" s="38"/>
      <c r="Q842" s="38"/>
    </row>
    <row r="843" customFormat="false" ht="15" hidden="false" customHeight="false" outlineLevel="0" collapsed="false">
      <c r="A843" s="34" t="n">
        <v>835</v>
      </c>
      <c r="B843" s="35" t="s">
        <v>1749</v>
      </c>
      <c r="C843" s="35" t="s">
        <v>1750</v>
      </c>
      <c r="D843" s="35" t="s">
        <v>111</v>
      </c>
      <c r="E843" s="34" t="n">
        <v>2500</v>
      </c>
      <c r="F843" s="34" t="n">
        <v>2401</v>
      </c>
      <c r="G843" s="34" t="n">
        <v>2508</v>
      </c>
      <c r="H843" s="34" t="n">
        <v>2300</v>
      </c>
      <c r="I843" s="36" t="n">
        <f aca="false">$E843/F843-1</f>
        <v>0.0412328196584757</v>
      </c>
      <c r="J843" s="36" t="n">
        <f aca="false">$E843/G843-1</f>
        <v>-0.00318979266347685</v>
      </c>
      <c r="K843" s="36" t="n">
        <f aca="false">$E843/H843-1</f>
        <v>0.0869565217391304</v>
      </c>
      <c r="L843" s="37" t="n">
        <v>-15.75</v>
      </c>
      <c r="M843" s="37" t="n">
        <v>1.48</v>
      </c>
      <c r="N843" s="34" t="n">
        <v>3739</v>
      </c>
      <c r="O843" s="34" t="n">
        <v>2212</v>
      </c>
      <c r="P843" s="38"/>
      <c r="Q843" s="38"/>
    </row>
    <row r="844" customFormat="false" ht="15" hidden="false" customHeight="false" outlineLevel="0" collapsed="false">
      <c r="A844" s="34" t="n">
        <v>836</v>
      </c>
      <c r="B844" s="35" t="s">
        <v>1751</v>
      </c>
      <c r="C844" s="35" t="s">
        <v>1752</v>
      </c>
      <c r="D844" s="35" t="s">
        <v>133</v>
      </c>
      <c r="E844" s="34" t="n">
        <v>13000</v>
      </c>
      <c r="F844" s="34" t="n">
        <v>13000</v>
      </c>
      <c r="G844" s="34" t="n">
        <v>13800</v>
      </c>
      <c r="H844" s="34" t="n">
        <v>14800</v>
      </c>
      <c r="I844" s="36" t="n">
        <f aca="false">$E844/F844-1</f>
        <v>0</v>
      </c>
      <c r="J844" s="36" t="n">
        <f aca="false">$E844/G844-1</f>
        <v>-0.0579710144927537</v>
      </c>
      <c r="K844" s="36" t="n">
        <f aca="false">$E844/H844-1</f>
        <v>-0.121621621621622</v>
      </c>
      <c r="L844" s="37" t="n">
        <v>449.99</v>
      </c>
      <c r="M844" s="37" t="n">
        <v>1.02</v>
      </c>
      <c r="N844" s="34" t="n">
        <v>15800</v>
      </c>
      <c r="O844" s="34" t="n">
        <v>11700</v>
      </c>
      <c r="P844" s="38"/>
      <c r="Q844" s="38"/>
    </row>
    <row r="845" customFormat="false" ht="15" hidden="false" customHeight="false" outlineLevel="0" collapsed="false">
      <c r="A845" s="34" t="n">
        <v>837</v>
      </c>
      <c r="B845" s="35" t="s">
        <v>1753</v>
      </c>
      <c r="C845" s="35" t="s">
        <v>1754</v>
      </c>
      <c r="D845" s="35" t="s">
        <v>111</v>
      </c>
      <c r="E845" s="34" t="n">
        <v>16763</v>
      </c>
      <c r="F845" s="34" t="n">
        <v>17361</v>
      </c>
      <c r="G845" s="34" t="n">
        <v>16221.52</v>
      </c>
      <c r="H845" s="34" t="n">
        <v>12615.5</v>
      </c>
      <c r="I845" s="36" t="n">
        <f aca="false">$E845/F845-1</f>
        <v>-0.0344450204481309</v>
      </c>
      <c r="J845" s="36" t="n">
        <f aca="false">$E845/G845-1</f>
        <v>0.0333803490671651</v>
      </c>
      <c r="K845" s="36" t="n">
        <f aca="false">$E845/H845-1</f>
        <v>0.32876223693076</v>
      </c>
      <c r="L845" s="37" t="n">
        <v>5.76</v>
      </c>
      <c r="M845" s="37" t="n">
        <v>1.19</v>
      </c>
      <c r="N845" s="34" t="n">
        <v>17638</v>
      </c>
      <c r="O845" s="34" t="n">
        <v>9386.53</v>
      </c>
      <c r="P845" s="38"/>
      <c r="Q845" s="38"/>
    </row>
    <row r="846" customFormat="false" ht="15" hidden="false" customHeight="false" outlineLevel="0" collapsed="false">
      <c r="A846" s="34" t="n">
        <v>838</v>
      </c>
      <c r="B846" s="35" t="s">
        <v>71</v>
      </c>
      <c r="C846" s="35" t="s">
        <v>1755</v>
      </c>
      <c r="D846" s="35" t="s">
        <v>116</v>
      </c>
      <c r="E846" s="34" t="n">
        <v>12400</v>
      </c>
      <c r="F846" s="34" t="n">
        <v>12300</v>
      </c>
      <c r="G846" s="34" t="n">
        <v>13278</v>
      </c>
      <c r="H846" s="34" t="n">
        <v>13262</v>
      </c>
      <c r="I846" s="36" t="n">
        <f aca="false">$E846/F846-1</f>
        <v>0.00813008130081294</v>
      </c>
      <c r="J846" s="36" t="n">
        <f aca="false">$E846/G846-1</f>
        <v>-0.0661244163277602</v>
      </c>
      <c r="K846" s="36" t="n">
        <f aca="false">$E846/H846-1</f>
        <v>-0.064997737897753</v>
      </c>
      <c r="L846" s="37" t="n">
        <v>10.19</v>
      </c>
      <c r="M846" s="37" t="n">
        <v>1</v>
      </c>
      <c r="N846" s="34" t="n">
        <v>16882</v>
      </c>
      <c r="O846" s="34" t="n">
        <v>11336</v>
      </c>
      <c r="P846" s="38" t="n">
        <v>21.725</v>
      </c>
      <c r="Q846" s="38" t="n">
        <v>1.07</v>
      </c>
    </row>
    <row r="847" customFormat="false" ht="15" hidden="false" customHeight="false" outlineLevel="0" collapsed="false">
      <c r="A847" s="34" t="n">
        <v>839</v>
      </c>
      <c r="B847" s="35" t="s">
        <v>1756</v>
      </c>
      <c r="C847" s="35" t="s">
        <v>1757</v>
      </c>
      <c r="D847" s="35" t="s">
        <v>133</v>
      </c>
      <c r="E847" s="34" t="n">
        <v>10800</v>
      </c>
      <c r="F847" s="34" t="n">
        <v>10500</v>
      </c>
      <c r="G847" s="34" t="n">
        <v>11700</v>
      </c>
      <c r="H847" s="34" t="n">
        <v>10618.74</v>
      </c>
      <c r="I847" s="36" t="n">
        <f aca="false">$E847/F847-1</f>
        <v>0.0285714285714285</v>
      </c>
      <c r="J847" s="36" t="n">
        <f aca="false">$E847/G847-1</f>
        <v>-0.0769230769230769</v>
      </c>
      <c r="K847" s="36" t="n">
        <f aca="false">$E847/H847-1</f>
        <v>0.0170698218432697</v>
      </c>
      <c r="L847" s="37" t="n">
        <v>10.34</v>
      </c>
      <c r="M847" s="37" t="n">
        <v>0.91</v>
      </c>
      <c r="N847" s="34" t="n">
        <v>13839.17</v>
      </c>
      <c r="O847" s="34" t="n">
        <v>10046.16</v>
      </c>
      <c r="P847" s="38"/>
      <c r="Q847" s="38"/>
    </row>
    <row r="848" customFormat="false" ht="15" hidden="false" customHeight="false" outlineLevel="0" collapsed="false">
      <c r="A848" s="34" t="n">
        <v>840</v>
      </c>
      <c r="B848" s="35" t="s">
        <v>1758</v>
      </c>
      <c r="C848" s="35" t="s">
        <v>1759</v>
      </c>
      <c r="D848" s="35" t="s">
        <v>116</v>
      </c>
      <c r="E848" s="34" t="n">
        <v>11800</v>
      </c>
      <c r="F848" s="34" t="n">
        <v>12150</v>
      </c>
      <c r="G848" s="34" t="n">
        <v>13100</v>
      </c>
      <c r="H848" s="34" t="n">
        <v>11916.19</v>
      </c>
      <c r="I848" s="36" t="n">
        <f aca="false">$E848/F848-1</f>
        <v>-0.0288065843621399</v>
      </c>
      <c r="J848" s="36" t="n">
        <f aca="false">$E848/G848-1</f>
        <v>-0.0992366412213741</v>
      </c>
      <c r="K848" s="36" t="n">
        <f aca="false">$E848/H848-1</f>
        <v>-0.00975059981420245</v>
      </c>
      <c r="L848" s="37" t="n">
        <v>5.19</v>
      </c>
      <c r="M848" s="37" t="n">
        <v>0.98</v>
      </c>
      <c r="N848" s="34" t="n">
        <v>14166.1</v>
      </c>
      <c r="O848" s="34" t="n">
        <v>10082.93</v>
      </c>
      <c r="P848" s="38" t="n">
        <v>6.12</v>
      </c>
      <c r="Q848" s="38" t="n">
        <v>1.11</v>
      </c>
    </row>
    <row r="849" customFormat="false" ht="15" hidden="false" customHeight="false" outlineLevel="0" collapsed="false">
      <c r="A849" s="34" t="n">
        <v>841</v>
      </c>
      <c r="B849" s="35" t="s">
        <v>52</v>
      </c>
      <c r="C849" s="35" t="s">
        <v>1760</v>
      </c>
      <c r="D849" s="35" t="s">
        <v>116</v>
      </c>
      <c r="E849" s="34" t="n">
        <v>10400</v>
      </c>
      <c r="F849" s="34" t="n">
        <v>10150</v>
      </c>
      <c r="G849" s="34" t="n">
        <v>11350</v>
      </c>
      <c r="H849" s="34" t="n">
        <v>10391.72</v>
      </c>
      <c r="I849" s="36" t="n">
        <f aca="false">$E849/F849-1</f>
        <v>0.0246305418719213</v>
      </c>
      <c r="J849" s="36" t="n">
        <f aca="false">$E849/G849-1</f>
        <v>-0.0837004405286344</v>
      </c>
      <c r="K849" s="36" t="n">
        <f aca="false">$E849/H849-1</f>
        <v>0.000796788212153565</v>
      </c>
      <c r="L849" s="37" t="n">
        <v>7.15</v>
      </c>
      <c r="M849" s="37" t="n">
        <v>0.89</v>
      </c>
      <c r="N849" s="34" t="n">
        <v>12696.16</v>
      </c>
      <c r="O849" s="34" t="n">
        <v>9043.84</v>
      </c>
      <c r="P849" s="38" t="n">
        <v>7.52</v>
      </c>
      <c r="Q849" s="38" t="n">
        <v>0.99</v>
      </c>
    </row>
    <row r="850" customFormat="false" ht="15" hidden="false" customHeight="false" outlineLevel="0" collapsed="false">
      <c r="A850" s="34" t="n">
        <v>842</v>
      </c>
      <c r="B850" s="35" t="s">
        <v>1761</v>
      </c>
      <c r="C850" s="35" t="s">
        <v>1762</v>
      </c>
      <c r="D850" s="35" t="s">
        <v>133</v>
      </c>
      <c r="E850" s="34" t="n">
        <v>11200</v>
      </c>
      <c r="F850" s="34" t="n">
        <v>11400</v>
      </c>
      <c r="G850" s="34" t="n">
        <v>14700</v>
      </c>
      <c r="H850" s="34" t="n">
        <v>13600</v>
      </c>
      <c r="I850" s="36" t="n">
        <f aca="false">$E850/F850-1</f>
        <v>-0.0175438596491229</v>
      </c>
      <c r="J850" s="36" t="n">
        <f aca="false">$E850/G850-1</f>
        <v>-0.238095238095238</v>
      </c>
      <c r="K850" s="36" t="n">
        <f aca="false">$E850/H850-1</f>
        <v>-0.176470588235294</v>
      </c>
      <c r="L850" s="37" t="n">
        <v>72.4</v>
      </c>
      <c r="M850" s="37" t="n">
        <v>2.29</v>
      </c>
      <c r="N850" s="34" t="n">
        <v>18200</v>
      </c>
      <c r="O850" s="34" t="n">
        <v>10200</v>
      </c>
      <c r="P850" s="38"/>
      <c r="Q850" s="38"/>
    </row>
    <row r="851" customFormat="false" ht="15" hidden="false" customHeight="false" outlineLevel="0" collapsed="false">
      <c r="A851" s="34" t="n">
        <v>843</v>
      </c>
      <c r="B851" s="35" t="s">
        <v>1763</v>
      </c>
      <c r="C851" s="35" t="s">
        <v>1764</v>
      </c>
      <c r="D851" s="35" t="s">
        <v>116</v>
      </c>
      <c r="E851" s="34" t="n">
        <v>10050</v>
      </c>
      <c r="F851" s="34" t="n">
        <v>10100</v>
      </c>
      <c r="G851" s="34" t="n">
        <v>11300</v>
      </c>
      <c r="H851" s="34" t="n">
        <v>10400</v>
      </c>
      <c r="I851" s="36" t="n">
        <f aca="false">$E851/F851-1</f>
        <v>-0.00495049504950496</v>
      </c>
      <c r="J851" s="36" t="n">
        <f aca="false">$E851/G851-1</f>
        <v>-0.110619469026549</v>
      </c>
      <c r="K851" s="36" t="n">
        <f aca="false">$E851/H851-1</f>
        <v>-0.0336538461538461</v>
      </c>
      <c r="L851" s="37" t="n">
        <v>5.8</v>
      </c>
      <c r="M851" s="37" t="n">
        <v>0.76</v>
      </c>
      <c r="N851" s="34" t="n">
        <v>14200</v>
      </c>
      <c r="O851" s="34" t="n">
        <v>9500</v>
      </c>
      <c r="P851" s="38"/>
      <c r="Q851" s="38"/>
    </row>
    <row r="852" customFormat="false" ht="15" hidden="false" customHeight="false" outlineLevel="0" collapsed="false">
      <c r="A852" s="34" t="n">
        <v>844</v>
      </c>
      <c r="B852" s="35" t="s">
        <v>1765</v>
      </c>
      <c r="C852" s="35" t="s">
        <v>1766</v>
      </c>
      <c r="D852" s="35" t="s">
        <v>111</v>
      </c>
      <c r="E852" s="34" t="n">
        <v>20300</v>
      </c>
      <c r="F852" s="34" t="n">
        <v>20500</v>
      </c>
      <c r="G852" s="34" t="n">
        <v>20444</v>
      </c>
      <c r="H852" s="34" t="n">
        <v>23334.09</v>
      </c>
      <c r="I852" s="36" t="n">
        <f aca="false">$E852/F852-1</f>
        <v>-0.00975609756097562</v>
      </c>
      <c r="J852" s="36" t="n">
        <f aca="false">$E852/G852-1</f>
        <v>-0.00704363138329089</v>
      </c>
      <c r="K852" s="36" t="n">
        <f aca="false">$E852/H852-1</f>
        <v>-0.13002821194227</v>
      </c>
      <c r="L852" s="37" t="n">
        <v>10.08</v>
      </c>
      <c r="M852" s="37" t="n">
        <v>1.54</v>
      </c>
      <c r="N852" s="34" t="n">
        <v>25884.78</v>
      </c>
      <c r="O852" s="34" t="n">
        <v>20062</v>
      </c>
      <c r="P852" s="38"/>
      <c r="Q852" s="38"/>
    </row>
    <row r="853" customFormat="false" ht="15" hidden="false" customHeight="false" outlineLevel="0" collapsed="false">
      <c r="A853" s="34" t="n">
        <v>845</v>
      </c>
      <c r="B853" s="35" t="s">
        <v>1767</v>
      </c>
      <c r="C853" s="35" t="s">
        <v>1768</v>
      </c>
      <c r="D853" s="35" t="s">
        <v>111</v>
      </c>
      <c r="E853" s="34" t="n">
        <v>7100</v>
      </c>
      <c r="F853" s="34" t="n">
        <v>7100</v>
      </c>
      <c r="G853" s="34" t="n">
        <v>7000</v>
      </c>
      <c r="H853" s="34" t="n">
        <v>7483.2</v>
      </c>
      <c r="I853" s="36" t="n">
        <f aca="false">$E853/F853-1</f>
        <v>0</v>
      </c>
      <c r="J853" s="36" t="n">
        <f aca="false">$E853/G853-1</f>
        <v>0.0142857142857142</v>
      </c>
      <c r="K853" s="36" t="n">
        <f aca="false">$E853/H853-1</f>
        <v>-0.0512080393414581</v>
      </c>
      <c r="L853" s="37" t="n">
        <v>8.06</v>
      </c>
      <c r="M853" s="37" t="n">
        <v>0.62</v>
      </c>
      <c r="N853" s="34" t="n">
        <v>9166.92</v>
      </c>
      <c r="O853" s="34" t="n">
        <v>6641.34</v>
      </c>
      <c r="P853" s="38"/>
      <c r="Q853" s="38"/>
    </row>
    <row r="854" customFormat="false" ht="15" hidden="false" customHeight="false" outlineLevel="0" collapsed="false">
      <c r="A854" s="34" t="n">
        <v>846</v>
      </c>
      <c r="B854" s="35" t="s">
        <v>1769</v>
      </c>
      <c r="C854" s="35" t="s">
        <v>1770</v>
      </c>
      <c r="D854" s="35" t="s">
        <v>111</v>
      </c>
      <c r="E854" s="34" t="n">
        <v>22547</v>
      </c>
      <c r="F854" s="34" t="n">
        <v>22600</v>
      </c>
      <c r="G854" s="34" t="n">
        <v>23500</v>
      </c>
      <c r="H854" s="34" t="n">
        <v>24638.74</v>
      </c>
      <c r="I854" s="36" t="n">
        <f aca="false">$E854/F854-1</f>
        <v>-0.00234513274336279</v>
      </c>
      <c r="J854" s="36" t="n">
        <f aca="false">$E854/G854-1</f>
        <v>-0.0405531914893617</v>
      </c>
      <c r="K854" s="36" t="n">
        <f aca="false">$E854/H854-1</f>
        <v>-0.0848963867470496</v>
      </c>
      <c r="L854" s="37" t="n">
        <v>7.51</v>
      </c>
      <c r="M854" s="37" t="n">
        <v>1.35</v>
      </c>
      <c r="N854" s="34" t="n">
        <v>27333.95</v>
      </c>
      <c r="O854" s="34" t="n">
        <v>22510</v>
      </c>
      <c r="P854" s="38"/>
      <c r="Q854" s="38"/>
    </row>
    <row r="855" customFormat="false" ht="15" hidden="false" customHeight="false" outlineLevel="0" collapsed="false">
      <c r="A855" s="34" t="n">
        <v>847</v>
      </c>
      <c r="B855" s="35" t="s">
        <v>1771</v>
      </c>
      <c r="C855" s="35" t="s">
        <v>1772</v>
      </c>
      <c r="D855" s="35" t="s">
        <v>111</v>
      </c>
      <c r="E855" s="34" t="n">
        <v>46645</v>
      </c>
      <c r="F855" s="34" t="n">
        <v>46140.11</v>
      </c>
      <c r="G855" s="34" t="n">
        <v>42080.82</v>
      </c>
      <c r="H855" s="34" t="n">
        <v>42700</v>
      </c>
      <c r="I855" s="36" t="n">
        <f aca="false">$E855/F855-1</f>
        <v>0.0109425400156176</v>
      </c>
      <c r="J855" s="36" t="n">
        <f aca="false">$E855/G855-1</f>
        <v>0.1084622400419</v>
      </c>
      <c r="K855" s="36" t="n">
        <f aca="false">$E855/H855-1</f>
        <v>0.0923887587822014</v>
      </c>
      <c r="L855" s="37" t="n">
        <v>7.83</v>
      </c>
      <c r="M855" s="37" t="n">
        <v>1.36</v>
      </c>
      <c r="N855" s="34" t="n">
        <v>47455</v>
      </c>
      <c r="O855" s="34" t="n">
        <v>37051.62</v>
      </c>
      <c r="P855" s="38"/>
      <c r="Q855" s="38"/>
    </row>
    <row r="856" customFormat="false" ht="15" hidden="false" customHeight="false" outlineLevel="0" collapsed="false">
      <c r="A856" s="34" t="n">
        <v>848</v>
      </c>
      <c r="B856" s="35" t="s">
        <v>35</v>
      </c>
      <c r="C856" s="35" t="s">
        <v>1773</v>
      </c>
      <c r="D856" s="35" t="s">
        <v>116</v>
      </c>
      <c r="E856" s="34" t="n">
        <v>74600</v>
      </c>
      <c r="F856" s="34" t="n">
        <v>71300</v>
      </c>
      <c r="G856" s="34" t="n">
        <v>70800</v>
      </c>
      <c r="H856" s="34" t="n">
        <v>58000</v>
      </c>
      <c r="I856" s="36" t="n">
        <f aca="false">$E856/F856-1</f>
        <v>0.0462833099579243</v>
      </c>
      <c r="J856" s="36" t="n">
        <f aca="false">$E856/G856-1</f>
        <v>0.0536723163841808</v>
      </c>
      <c r="K856" s="36" t="n">
        <f aca="false">$E856/H856-1</f>
        <v>0.286206896551724</v>
      </c>
      <c r="L856" s="37" t="n">
        <v>45.66</v>
      </c>
      <c r="M856" s="37" t="n">
        <v>2.24</v>
      </c>
      <c r="N856" s="34" t="n">
        <v>76800</v>
      </c>
      <c r="O856" s="34" t="n">
        <v>46000</v>
      </c>
      <c r="P856" s="38" t="n">
        <v>9.025</v>
      </c>
      <c r="Q856" s="38" t="n">
        <v>1.33</v>
      </c>
    </row>
    <row r="857" customFormat="false" ht="15" hidden="false" customHeight="false" outlineLevel="0" collapsed="false">
      <c r="A857" s="34" t="n">
        <v>849</v>
      </c>
      <c r="B857" s="35" t="s">
        <v>47</v>
      </c>
      <c r="C857" s="35" t="s">
        <v>1774</v>
      </c>
      <c r="D857" s="35" t="s">
        <v>116</v>
      </c>
      <c r="E857" s="34" t="n">
        <v>17950</v>
      </c>
      <c r="F857" s="34" t="n">
        <v>17450</v>
      </c>
      <c r="G857" s="34" t="n">
        <v>20950</v>
      </c>
      <c r="H857" s="34" t="n">
        <v>31500</v>
      </c>
      <c r="I857" s="36" t="n">
        <f aca="false">$E857/F857-1</f>
        <v>0.0286532951289398</v>
      </c>
      <c r="J857" s="36" t="n">
        <f aca="false">$E857/G857-1</f>
        <v>-0.143198090692124</v>
      </c>
      <c r="K857" s="36" t="n">
        <f aca="false">$E857/H857-1</f>
        <v>-0.43015873015873</v>
      </c>
      <c r="L857" s="37" t="n">
        <v>11.47</v>
      </c>
      <c r="M857" s="37" t="n">
        <v>1.08</v>
      </c>
      <c r="N857" s="34" t="n">
        <v>37000</v>
      </c>
      <c r="O857" s="34" t="n">
        <v>16400</v>
      </c>
      <c r="P857" s="38" t="n">
        <v>27.86</v>
      </c>
      <c r="Q857" s="38" t="n">
        <v>2.01</v>
      </c>
    </row>
    <row r="858" customFormat="false" ht="15" hidden="false" customHeight="false" outlineLevel="0" collapsed="false">
      <c r="A858" s="34" t="n">
        <v>850</v>
      </c>
      <c r="B858" s="35" t="s">
        <v>1775</v>
      </c>
      <c r="C858" s="35" t="s">
        <v>1776</v>
      </c>
      <c r="D858" s="35" t="s">
        <v>116</v>
      </c>
      <c r="E858" s="34" t="n">
        <v>16500</v>
      </c>
      <c r="F858" s="34" t="n">
        <v>16500</v>
      </c>
      <c r="G858" s="34" t="n">
        <v>16850</v>
      </c>
      <c r="H858" s="34" t="n">
        <v>18000</v>
      </c>
      <c r="I858" s="36" t="n">
        <f aca="false">$E858/F858-1</f>
        <v>0</v>
      </c>
      <c r="J858" s="36" t="n">
        <f aca="false">$E858/G858-1</f>
        <v>-0.0207715133531158</v>
      </c>
      <c r="K858" s="36" t="n">
        <f aca="false">$E858/H858-1</f>
        <v>-0.0833333333333334</v>
      </c>
      <c r="L858" s="37" t="n">
        <v>6.24</v>
      </c>
      <c r="M858" s="37" t="n">
        <v>1</v>
      </c>
      <c r="N858" s="34" t="n">
        <v>22931.9</v>
      </c>
      <c r="O858" s="34" t="n">
        <v>15850</v>
      </c>
      <c r="P858" s="38"/>
      <c r="Q858" s="38"/>
    </row>
    <row r="859" customFormat="false" ht="15" hidden="false" customHeight="false" outlineLevel="0" collapsed="false">
      <c r="A859" s="34" t="n">
        <v>851</v>
      </c>
      <c r="B859" s="35" t="s">
        <v>1777</v>
      </c>
      <c r="C859" s="35" t="s">
        <v>1778</v>
      </c>
      <c r="D859" s="35" t="s">
        <v>116</v>
      </c>
      <c r="E859" s="34" t="n">
        <v>7410</v>
      </c>
      <c r="F859" s="34" t="n">
        <v>7650</v>
      </c>
      <c r="G859" s="34" t="n">
        <v>8280</v>
      </c>
      <c r="H859" s="34" t="n">
        <v>8990</v>
      </c>
      <c r="I859" s="36" t="n">
        <f aca="false">$E859/F859-1</f>
        <v>-0.0313725490196078</v>
      </c>
      <c r="J859" s="36" t="n">
        <f aca="false">$E859/G859-1</f>
        <v>-0.105072463768116</v>
      </c>
      <c r="K859" s="36" t="n">
        <f aca="false">$E859/H859-1</f>
        <v>-0.175750834260289</v>
      </c>
      <c r="L859" s="37" t="n">
        <v>6.87</v>
      </c>
      <c r="M859" s="37" t="n">
        <v>0.41</v>
      </c>
      <c r="N859" s="34" t="n">
        <v>11168.85</v>
      </c>
      <c r="O859" s="34" t="n">
        <v>7410</v>
      </c>
      <c r="P859" s="38"/>
      <c r="Q859" s="38"/>
    </row>
    <row r="860" customFormat="false" ht="15" hidden="false" customHeight="false" outlineLevel="0" collapsed="false">
      <c r="A860" s="34" t="n">
        <v>852</v>
      </c>
      <c r="B860" s="35" t="s">
        <v>1779</v>
      </c>
      <c r="C860" s="35" t="s">
        <v>1780</v>
      </c>
      <c r="D860" s="35" t="s">
        <v>111</v>
      </c>
      <c r="E860" s="34" t="n">
        <v>9664</v>
      </c>
      <c r="F860" s="34" t="n">
        <v>9725</v>
      </c>
      <c r="G860" s="34" t="n">
        <v>9714</v>
      </c>
      <c r="H860" s="34" t="n">
        <v>10649</v>
      </c>
      <c r="I860" s="36" t="n">
        <f aca="false">$E860/F860-1</f>
        <v>-0.00627249357326476</v>
      </c>
      <c r="J860" s="36" t="n">
        <f aca="false">$E860/G860-1</f>
        <v>-0.0051472102120651</v>
      </c>
      <c r="K860" s="36" t="n">
        <f aca="false">$E860/H860-1</f>
        <v>-0.0924969480702413</v>
      </c>
      <c r="L860" s="37" t="n">
        <v>10.91</v>
      </c>
      <c r="M860" s="37" t="n">
        <v>0.75</v>
      </c>
      <c r="N860" s="34" t="n">
        <v>12016</v>
      </c>
      <c r="O860" s="34" t="n">
        <v>9495</v>
      </c>
      <c r="P860" s="38"/>
      <c r="Q860" s="38"/>
    </row>
    <row r="861" customFormat="false" ht="15" hidden="false" customHeight="false" outlineLevel="0" collapsed="false">
      <c r="A861" s="34" t="n">
        <v>853</v>
      </c>
      <c r="B861" s="35" t="s">
        <v>1781</v>
      </c>
      <c r="C861" s="35" t="s">
        <v>1782</v>
      </c>
      <c r="D861" s="35" t="s">
        <v>133</v>
      </c>
      <c r="E861" s="34" t="n">
        <v>7500</v>
      </c>
      <c r="F861" s="34" t="n">
        <v>7400</v>
      </c>
      <c r="G861" s="34" t="n">
        <v>7600</v>
      </c>
      <c r="H861" s="34" t="n">
        <v>7500</v>
      </c>
      <c r="I861" s="36" t="n">
        <f aca="false">$E861/F861-1</f>
        <v>0.0135135135135136</v>
      </c>
      <c r="J861" s="36" t="n">
        <f aca="false">$E861/G861-1</f>
        <v>-0.0131578947368421</v>
      </c>
      <c r="K861" s="36" t="n">
        <f aca="false">$E861/H861-1</f>
        <v>0</v>
      </c>
      <c r="L861" s="37" t="n">
        <v>6.63</v>
      </c>
      <c r="M861" s="37" t="n">
        <v>0.46</v>
      </c>
      <c r="N861" s="34" t="n">
        <v>11700</v>
      </c>
      <c r="O861" s="34" t="n">
        <v>7200</v>
      </c>
      <c r="P861" s="38"/>
      <c r="Q861" s="38"/>
    </row>
    <row r="862" customFormat="false" ht="15" hidden="false" customHeight="false" outlineLevel="0" collapsed="false">
      <c r="A862" s="34" t="n">
        <v>854</v>
      </c>
      <c r="B862" s="35" t="s">
        <v>1783</v>
      </c>
      <c r="C862" s="35" t="s">
        <v>1784</v>
      </c>
      <c r="D862" s="35" t="s">
        <v>116</v>
      </c>
      <c r="E862" s="34" t="n">
        <v>8830</v>
      </c>
      <c r="F862" s="34" t="n">
        <v>8820</v>
      </c>
      <c r="G862" s="34" t="n">
        <v>9370</v>
      </c>
      <c r="H862" s="34" t="n">
        <v>9860</v>
      </c>
      <c r="I862" s="36" t="n">
        <f aca="false">$E862/F862-1</f>
        <v>0.00113378684807253</v>
      </c>
      <c r="J862" s="36" t="n">
        <f aca="false">$E862/G862-1</f>
        <v>-0.0576307363927427</v>
      </c>
      <c r="K862" s="36" t="n">
        <f aca="false">$E862/H862-1</f>
        <v>-0.10446247464503</v>
      </c>
      <c r="L862" s="37" t="n">
        <v>10.38</v>
      </c>
      <c r="M862" s="37" t="n">
        <v>0.61</v>
      </c>
      <c r="N862" s="34" t="n">
        <v>11150</v>
      </c>
      <c r="O862" s="34" t="n">
        <v>8820</v>
      </c>
      <c r="P862" s="38"/>
      <c r="Q862" s="38"/>
    </row>
    <row r="863" customFormat="false" ht="15" hidden="false" customHeight="false" outlineLevel="0" collapsed="false">
      <c r="A863" s="34" t="n">
        <v>855</v>
      </c>
      <c r="B863" s="35" t="s">
        <v>1785</v>
      </c>
      <c r="C863" s="35" t="s">
        <v>1786</v>
      </c>
      <c r="D863" s="35" t="s">
        <v>111</v>
      </c>
      <c r="E863" s="34" t="n">
        <v>11223</v>
      </c>
      <c r="F863" s="34" t="n">
        <v>11099</v>
      </c>
      <c r="G863" s="34" t="n">
        <v>11427</v>
      </c>
      <c r="H863" s="34" t="n">
        <v>11479.34</v>
      </c>
      <c r="I863" s="36" t="n">
        <f aca="false">$E863/F863-1</f>
        <v>0.0111721776736642</v>
      </c>
      <c r="J863" s="36" t="n">
        <f aca="false">$E863/G863-1</f>
        <v>-0.0178524547125229</v>
      </c>
      <c r="K863" s="36" t="n">
        <f aca="false">$E863/H863-1</f>
        <v>-0.022330552104912</v>
      </c>
      <c r="L863" s="37" t="n">
        <v>4.22</v>
      </c>
      <c r="M863" s="37" t="n">
        <v>0.85</v>
      </c>
      <c r="N863" s="34" t="n">
        <v>14230</v>
      </c>
      <c r="O863" s="34" t="n">
        <v>10929</v>
      </c>
      <c r="P863" s="38"/>
      <c r="Q863" s="38"/>
    </row>
    <row r="864" customFormat="false" ht="15" hidden="false" customHeight="false" outlineLevel="0" collapsed="false">
      <c r="A864" s="34" t="n">
        <v>856</v>
      </c>
      <c r="B864" s="35" t="s">
        <v>1787</v>
      </c>
      <c r="C864" s="35" t="s">
        <v>1788</v>
      </c>
      <c r="D864" s="35" t="s">
        <v>133</v>
      </c>
      <c r="E864" s="34" t="n">
        <v>4300</v>
      </c>
      <c r="F864" s="34" t="n">
        <v>4200</v>
      </c>
      <c r="G864" s="34" t="n">
        <v>4500</v>
      </c>
      <c r="H864" s="34" t="n">
        <v>4500</v>
      </c>
      <c r="I864" s="36" t="n">
        <f aca="false">$E864/F864-1</f>
        <v>0.0238095238095237</v>
      </c>
      <c r="J864" s="36" t="n">
        <f aca="false">$E864/G864-1</f>
        <v>-0.0444444444444444</v>
      </c>
      <c r="K864" s="36" t="n">
        <f aca="false">$E864/H864-1</f>
        <v>-0.0444444444444444</v>
      </c>
      <c r="L864" s="37" t="n">
        <v>21.26</v>
      </c>
      <c r="M864" s="37" t="n">
        <v>0.37</v>
      </c>
      <c r="N864" s="34" t="n">
        <v>5800</v>
      </c>
      <c r="O864" s="34" t="n">
        <v>4000</v>
      </c>
      <c r="P864" s="38"/>
      <c r="Q864" s="38"/>
    </row>
    <row r="865" customFormat="false" ht="15" hidden="false" customHeight="false" outlineLevel="0" collapsed="false">
      <c r="A865" s="34" t="n">
        <v>857</v>
      </c>
      <c r="B865" s="35" t="s">
        <v>1789</v>
      </c>
      <c r="C865" s="35" t="s">
        <v>1790</v>
      </c>
      <c r="D865" s="35" t="s">
        <v>133</v>
      </c>
      <c r="E865" s="34" t="n">
        <v>18500</v>
      </c>
      <c r="F865" s="34" t="n">
        <v>18400</v>
      </c>
      <c r="G865" s="34" t="n">
        <v>19000</v>
      </c>
      <c r="H865" s="34" t="n">
        <v>19200.3</v>
      </c>
      <c r="I865" s="36" t="n">
        <f aca="false">$E865/F865-1</f>
        <v>0.00543478260869557</v>
      </c>
      <c r="J865" s="36" t="n">
        <f aca="false">$E865/G865-1</f>
        <v>-0.0263157894736842</v>
      </c>
      <c r="K865" s="36" t="n">
        <f aca="false">$E865/H865-1</f>
        <v>-0.0364733884366389</v>
      </c>
      <c r="L865" s="37" t="n">
        <v>4.65</v>
      </c>
      <c r="M865" s="37" t="n">
        <v>0.8</v>
      </c>
      <c r="N865" s="34" t="n">
        <v>23680.37</v>
      </c>
      <c r="O865" s="34" t="n">
        <v>17737.42</v>
      </c>
      <c r="P865" s="38"/>
      <c r="Q865" s="38"/>
    </row>
    <row r="866" customFormat="false" ht="15" hidden="false" customHeight="false" outlineLevel="0" collapsed="false">
      <c r="A866" s="34" t="n">
        <v>858</v>
      </c>
      <c r="B866" s="35" t="s">
        <v>1791</v>
      </c>
      <c r="C866" s="35" t="s">
        <v>1792</v>
      </c>
      <c r="D866" s="35" t="s">
        <v>116</v>
      </c>
      <c r="E866" s="34" t="n">
        <v>148800</v>
      </c>
      <c r="F866" s="34" t="n">
        <v>153300</v>
      </c>
      <c r="G866" s="34" t="n">
        <v>149600</v>
      </c>
      <c r="H866" s="34" t="n">
        <v>165532.5</v>
      </c>
      <c r="I866" s="36" t="n">
        <f aca="false">$E866/F866-1</f>
        <v>-0.0293542074363993</v>
      </c>
      <c r="J866" s="36" t="n">
        <f aca="false">$E866/G866-1</f>
        <v>-0.00534759358288772</v>
      </c>
      <c r="K866" s="36" t="n">
        <f aca="false">$E866/H866-1</f>
        <v>-0.101082868923021</v>
      </c>
      <c r="L866" s="37" t="n">
        <v>9.49</v>
      </c>
      <c r="M866" s="37" t="n">
        <v>4.27</v>
      </c>
      <c r="N866" s="34" t="n">
        <v>178585.92</v>
      </c>
      <c r="O866" s="34" t="n">
        <v>114643.08</v>
      </c>
      <c r="P866" s="38" t="n">
        <v>10.06</v>
      </c>
      <c r="Q866" s="38" t="n">
        <v>2.925</v>
      </c>
    </row>
    <row r="867" customFormat="false" ht="15" hidden="false" customHeight="false" outlineLevel="0" collapsed="false">
      <c r="A867" s="34" t="n">
        <v>859</v>
      </c>
      <c r="B867" s="35" t="s">
        <v>1793</v>
      </c>
      <c r="C867" s="35" t="s">
        <v>1794</v>
      </c>
      <c r="D867" s="35" t="s">
        <v>111</v>
      </c>
      <c r="E867" s="34" t="n">
        <v>15000</v>
      </c>
      <c r="F867" s="34" t="n">
        <v>16200</v>
      </c>
      <c r="G867" s="34" t="n">
        <v>16100</v>
      </c>
      <c r="H867" s="34" t="n">
        <v>25844</v>
      </c>
      <c r="I867" s="36" t="n">
        <f aca="false">$E867/F867-1</f>
        <v>-0.0740740740740741</v>
      </c>
      <c r="J867" s="36" t="n">
        <f aca="false">$E867/G867-1</f>
        <v>-0.0683229813664597</v>
      </c>
      <c r="K867" s="36" t="n">
        <f aca="false">$E867/H867-1</f>
        <v>-0.419594490017025</v>
      </c>
      <c r="L867" s="37" t="n">
        <v>7.52</v>
      </c>
      <c r="M867" s="37" t="n">
        <v>1.14</v>
      </c>
      <c r="N867" s="34"/>
      <c r="O867" s="34"/>
      <c r="P867" s="38"/>
      <c r="Q867" s="38"/>
    </row>
    <row r="868" customFormat="false" ht="15" hidden="false" customHeight="false" outlineLevel="0" collapsed="false">
      <c r="A868" s="34" t="n">
        <v>860</v>
      </c>
      <c r="B868" s="35" t="s">
        <v>1795</v>
      </c>
      <c r="C868" s="35" t="s">
        <v>1796</v>
      </c>
      <c r="D868" s="35" t="s">
        <v>111</v>
      </c>
      <c r="E868" s="34" t="n">
        <v>6040</v>
      </c>
      <c r="F868" s="34" t="n">
        <v>8600</v>
      </c>
      <c r="G868" s="34" t="n">
        <v>8300</v>
      </c>
      <c r="H868" s="34" t="n">
        <v>8900</v>
      </c>
      <c r="I868" s="36" t="n">
        <f aca="false">$E868/F868-1</f>
        <v>-0.297674418604651</v>
      </c>
      <c r="J868" s="36" t="n">
        <f aca="false">$E868/G868-1</f>
        <v>-0.272289156626506</v>
      </c>
      <c r="K868" s="36" t="n">
        <f aca="false">$E868/H868-1</f>
        <v>-0.321348314606742</v>
      </c>
      <c r="L868" s="37" t="n">
        <v>3.21</v>
      </c>
      <c r="M868" s="37" t="n">
        <v>0.47</v>
      </c>
      <c r="N868" s="34" t="n">
        <v>9800</v>
      </c>
      <c r="O868" s="34" t="n">
        <v>6040</v>
      </c>
      <c r="P868" s="38"/>
      <c r="Q868" s="38"/>
    </row>
    <row r="869" customFormat="false" ht="15" hidden="false" customHeight="false" outlineLevel="0" collapsed="false">
      <c r="A869" s="34" t="n">
        <v>861</v>
      </c>
      <c r="B869" s="35" t="s">
        <v>1797</v>
      </c>
      <c r="C869" s="35" t="s">
        <v>1798</v>
      </c>
      <c r="D869" s="35" t="s">
        <v>116</v>
      </c>
      <c r="E869" s="34" t="n">
        <v>9330</v>
      </c>
      <c r="F869" s="34" t="n">
        <v>9990</v>
      </c>
      <c r="G869" s="34" t="n">
        <v>10100</v>
      </c>
      <c r="H869" s="34" t="n">
        <v>11550</v>
      </c>
      <c r="I869" s="36" t="n">
        <f aca="false">$E869/F869-1</f>
        <v>-0.066066066066066</v>
      </c>
      <c r="J869" s="36" t="n">
        <f aca="false">$E869/G869-1</f>
        <v>-0.0762376237623762</v>
      </c>
      <c r="K869" s="36" t="n">
        <f aca="false">$E869/H869-1</f>
        <v>-0.192207792207792</v>
      </c>
      <c r="L869" s="37" t="n">
        <v>11.96</v>
      </c>
      <c r="M869" s="37" t="n">
        <v>0.57</v>
      </c>
      <c r="N869" s="34" t="n">
        <v>13000</v>
      </c>
      <c r="O869" s="34" t="n">
        <v>9000</v>
      </c>
      <c r="P869" s="38"/>
      <c r="Q869" s="38"/>
    </row>
    <row r="870" customFormat="false" ht="15" hidden="false" customHeight="false" outlineLevel="0" collapsed="false">
      <c r="A870" s="34" t="n">
        <v>862</v>
      </c>
      <c r="B870" s="35" t="s">
        <v>1799</v>
      </c>
      <c r="C870" s="35" t="s">
        <v>1800</v>
      </c>
      <c r="D870" s="35" t="s">
        <v>337</v>
      </c>
      <c r="E870" s="34"/>
      <c r="F870" s="34"/>
      <c r="G870" s="34" t="n">
        <v>1300</v>
      </c>
      <c r="H870" s="34" t="n">
        <v>1300</v>
      </c>
      <c r="I870" s="36" t="e">
        <f aca="false">$E870/F870-1</f>
        <v>#DIV/0!</v>
      </c>
      <c r="J870" s="36" t="n">
        <f aca="false">$E870/G870-1</f>
        <v>-1</v>
      </c>
      <c r="K870" s="36" t="n">
        <f aca="false">$E870/H870-1</f>
        <v>-1</v>
      </c>
      <c r="L870" s="37"/>
      <c r="M870" s="37"/>
      <c r="N870" s="34"/>
      <c r="O870" s="34"/>
      <c r="P870" s="38"/>
      <c r="Q870" s="38"/>
    </row>
    <row r="871" customFormat="false" ht="15" hidden="false" customHeight="false" outlineLevel="0" collapsed="false">
      <c r="A871" s="34" t="n">
        <v>863</v>
      </c>
      <c r="B871" s="35" t="s">
        <v>1801</v>
      </c>
      <c r="C871" s="35" t="s">
        <v>1802</v>
      </c>
      <c r="D871" s="35" t="s">
        <v>111</v>
      </c>
      <c r="E871" s="34" t="n">
        <v>13000</v>
      </c>
      <c r="F871" s="34" t="n">
        <v>13000</v>
      </c>
      <c r="G871" s="34" t="n">
        <v>13000</v>
      </c>
      <c r="H871" s="34" t="n">
        <v>13000</v>
      </c>
      <c r="I871" s="36" t="n">
        <f aca="false">$E871/F871-1</f>
        <v>0</v>
      </c>
      <c r="J871" s="36" t="n">
        <f aca="false">$E871/G871-1</f>
        <v>0</v>
      </c>
      <c r="K871" s="36" t="n">
        <f aca="false">$E871/H871-1</f>
        <v>0</v>
      </c>
      <c r="L871" s="37" t="n">
        <v>-11.09</v>
      </c>
      <c r="M871" s="37" t="n">
        <v>-3.47</v>
      </c>
      <c r="N871" s="34" t="n">
        <v>13000</v>
      </c>
      <c r="O871" s="34" t="n">
        <v>10200</v>
      </c>
      <c r="P871" s="38"/>
      <c r="Q871" s="38"/>
    </row>
    <row r="872" customFormat="false" ht="15" hidden="false" customHeight="false" outlineLevel="0" collapsed="false">
      <c r="A872" s="34" t="n">
        <v>864</v>
      </c>
      <c r="B872" s="35" t="s">
        <v>1803</v>
      </c>
      <c r="C872" s="35" t="s">
        <v>1804</v>
      </c>
      <c r="D872" s="35" t="s">
        <v>116</v>
      </c>
      <c r="E872" s="34" t="n">
        <v>10050</v>
      </c>
      <c r="F872" s="34" t="n">
        <v>9500</v>
      </c>
      <c r="G872" s="34" t="n">
        <v>11050</v>
      </c>
      <c r="H872" s="34" t="n">
        <v>13250</v>
      </c>
      <c r="I872" s="36" t="n">
        <f aca="false">$E872/F872-1</f>
        <v>0.0578947368421052</v>
      </c>
      <c r="J872" s="36" t="n">
        <f aca="false">$E872/G872-1</f>
        <v>-0.0904977375565611</v>
      </c>
      <c r="K872" s="36" t="n">
        <f aca="false">$E872/H872-1</f>
        <v>-0.241509433962264</v>
      </c>
      <c r="L872" s="37" t="n">
        <v>17.23</v>
      </c>
      <c r="M872" s="37" t="n">
        <v>0.7</v>
      </c>
      <c r="N872" s="34" t="n">
        <v>13800</v>
      </c>
      <c r="O872" s="34" t="n">
        <v>5960</v>
      </c>
      <c r="P872" s="38"/>
      <c r="Q872" s="38"/>
    </row>
    <row r="873" customFormat="false" ht="15" hidden="false" customHeight="false" outlineLevel="0" collapsed="false">
      <c r="A873" s="34" t="n">
        <v>865</v>
      </c>
      <c r="B873" s="35" t="s">
        <v>1805</v>
      </c>
      <c r="C873" s="35" t="s">
        <v>1806</v>
      </c>
      <c r="D873" s="35" t="s">
        <v>133</v>
      </c>
      <c r="E873" s="34" t="n">
        <v>9700</v>
      </c>
      <c r="F873" s="34" t="n">
        <v>9700</v>
      </c>
      <c r="G873" s="34" t="n">
        <v>9800</v>
      </c>
      <c r="H873" s="34" t="n">
        <v>10600</v>
      </c>
      <c r="I873" s="36" t="n">
        <f aca="false">$E873/F873-1</f>
        <v>0</v>
      </c>
      <c r="J873" s="36" t="n">
        <f aca="false">$E873/G873-1</f>
        <v>-0.0102040816326531</v>
      </c>
      <c r="K873" s="36" t="n">
        <f aca="false">$E873/H873-1</f>
        <v>-0.0849056603773585</v>
      </c>
      <c r="L873" s="37" t="n">
        <v>2.43</v>
      </c>
      <c r="M873" s="37" t="n">
        <v>0.62</v>
      </c>
      <c r="N873" s="34" t="n">
        <v>12600</v>
      </c>
      <c r="O873" s="34" t="n">
        <v>9600</v>
      </c>
      <c r="P873" s="38"/>
      <c r="Q873" s="38"/>
    </row>
    <row r="874" customFormat="false" ht="15" hidden="false" customHeight="false" outlineLevel="0" collapsed="false">
      <c r="A874" s="34" t="n">
        <v>866</v>
      </c>
      <c r="B874" s="35" t="s">
        <v>1807</v>
      </c>
      <c r="C874" s="35" t="s">
        <v>1808</v>
      </c>
      <c r="D874" s="35" t="s">
        <v>133</v>
      </c>
      <c r="E874" s="34" t="n">
        <v>48700</v>
      </c>
      <c r="F874" s="34" t="n">
        <v>47900</v>
      </c>
      <c r="G874" s="34" t="n">
        <v>49800</v>
      </c>
      <c r="H874" s="34" t="n">
        <v>52331.59</v>
      </c>
      <c r="I874" s="36" t="n">
        <f aca="false">$E874/F874-1</f>
        <v>0.0167014613778707</v>
      </c>
      <c r="J874" s="36" t="n">
        <f aca="false">$E874/G874-1</f>
        <v>-0.0220883534136547</v>
      </c>
      <c r="K874" s="36" t="n">
        <f aca="false">$E874/H874-1</f>
        <v>-0.0693957512087823</v>
      </c>
      <c r="L874" s="37" t="n">
        <v>8.38</v>
      </c>
      <c r="M874" s="37" t="n">
        <v>2.29</v>
      </c>
      <c r="N874" s="34" t="n">
        <v>60053.66</v>
      </c>
      <c r="O874" s="34" t="n">
        <v>44288.56</v>
      </c>
      <c r="P874" s="38"/>
      <c r="Q874" s="38"/>
    </row>
    <row r="875" customFormat="false" ht="15" hidden="false" customHeight="false" outlineLevel="0" collapsed="false">
      <c r="A875" s="34" t="n">
        <v>867</v>
      </c>
      <c r="B875" s="35" t="s">
        <v>1809</v>
      </c>
      <c r="C875" s="35" t="s">
        <v>1810</v>
      </c>
      <c r="D875" s="35" t="s">
        <v>111</v>
      </c>
      <c r="E875" s="34" t="n">
        <v>17294</v>
      </c>
      <c r="F875" s="34" t="n">
        <v>17020</v>
      </c>
      <c r="G875" s="34" t="n">
        <v>17131</v>
      </c>
      <c r="H875" s="34" t="n">
        <v>20103.89</v>
      </c>
      <c r="I875" s="36" t="n">
        <f aca="false">$E875/F875-1</f>
        <v>0.0160987074030552</v>
      </c>
      <c r="J875" s="36" t="n">
        <f aca="false">$E875/G875-1</f>
        <v>0.00951491448251707</v>
      </c>
      <c r="K875" s="36" t="n">
        <f aca="false">$E875/H875-1</f>
        <v>-0.139768472668722</v>
      </c>
      <c r="L875" s="37" t="n">
        <v>10.4</v>
      </c>
      <c r="M875" s="37" t="n">
        <v>1.17</v>
      </c>
      <c r="N875" s="34" t="n">
        <v>22971.36</v>
      </c>
      <c r="O875" s="34" t="n">
        <v>10153.87</v>
      </c>
      <c r="P875" s="38"/>
      <c r="Q875" s="38"/>
    </row>
    <row r="876" customFormat="false" ht="15" hidden="false" customHeight="false" outlineLevel="0" collapsed="false">
      <c r="A876" s="34" t="n">
        <v>868</v>
      </c>
      <c r="B876" s="35" t="s">
        <v>1811</v>
      </c>
      <c r="C876" s="35" t="s">
        <v>1812</v>
      </c>
      <c r="D876" s="35" t="s">
        <v>133</v>
      </c>
      <c r="E876" s="34" t="n">
        <v>20300</v>
      </c>
      <c r="F876" s="34" t="n">
        <v>20400</v>
      </c>
      <c r="G876" s="34" t="n">
        <v>20300</v>
      </c>
      <c r="H876" s="34" t="n">
        <v>19500</v>
      </c>
      <c r="I876" s="36" t="n">
        <f aca="false">$E876/F876-1</f>
        <v>-0.00490196078431371</v>
      </c>
      <c r="J876" s="36" t="n">
        <f aca="false">$E876/G876-1</f>
        <v>0</v>
      </c>
      <c r="K876" s="36" t="n">
        <f aca="false">$E876/H876-1</f>
        <v>0.0410256410256411</v>
      </c>
      <c r="L876" s="37" t="n">
        <v>22.78</v>
      </c>
      <c r="M876" s="37" t="n">
        <v>1.69</v>
      </c>
      <c r="N876" s="34" t="n">
        <v>20900</v>
      </c>
      <c r="O876" s="34" t="n">
        <v>18000</v>
      </c>
      <c r="P876" s="38"/>
      <c r="Q876" s="38"/>
    </row>
    <row r="877" customFormat="false" ht="15" hidden="false" customHeight="false" outlineLevel="0" collapsed="false">
      <c r="A877" s="34" t="n">
        <v>869</v>
      </c>
      <c r="B877" s="35" t="s">
        <v>1813</v>
      </c>
      <c r="C877" s="35" t="s">
        <v>1814</v>
      </c>
      <c r="D877" s="35" t="s">
        <v>116</v>
      </c>
      <c r="E877" s="34" t="n">
        <v>7000</v>
      </c>
      <c r="F877" s="34" t="n">
        <v>7500</v>
      </c>
      <c r="G877" s="34" t="n">
        <v>7480</v>
      </c>
      <c r="H877" s="34" t="n">
        <v>7940</v>
      </c>
      <c r="I877" s="36" t="n">
        <f aca="false">$E877/F877-1</f>
        <v>-0.0666666666666667</v>
      </c>
      <c r="J877" s="36" t="n">
        <f aca="false">$E877/G877-1</f>
        <v>-0.0641711229946524</v>
      </c>
      <c r="K877" s="36" t="n">
        <f aca="false">$E877/H877-1</f>
        <v>-0.118387909319899</v>
      </c>
      <c r="L877" s="37" t="n">
        <v>20.04</v>
      </c>
      <c r="M877" s="37" t="n">
        <v>2.51</v>
      </c>
      <c r="N877" s="34" t="n">
        <v>9200</v>
      </c>
      <c r="O877" s="34" t="n">
        <v>6940</v>
      </c>
      <c r="P877" s="38"/>
      <c r="Q877" s="38"/>
    </row>
    <row r="878" customFormat="false" ht="15" hidden="false" customHeight="false" outlineLevel="0" collapsed="false">
      <c r="A878" s="34" t="n">
        <v>870</v>
      </c>
      <c r="B878" s="35" t="s">
        <v>28</v>
      </c>
      <c r="C878" s="35" t="s">
        <v>1815</v>
      </c>
      <c r="D878" s="35" t="s">
        <v>116</v>
      </c>
      <c r="E878" s="34" t="n">
        <v>13900</v>
      </c>
      <c r="F878" s="34" t="n">
        <v>13000</v>
      </c>
      <c r="G878" s="34" t="n">
        <v>12550</v>
      </c>
      <c r="H878" s="34" t="n">
        <v>12418.17</v>
      </c>
      <c r="I878" s="36" t="n">
        <f aca="false">$E878/F878-1</f>
        <v>0.0692307692307692</v>
      </c>
      <c r="J878" s="36" t="n">
        <f aca="false">$E878/G878-1</f>
        <v>0.107569721115538</v>
      </c>
      <c r="K878" s="36" t="n">
        <f aca="false">$E878/H878-1</f>
        <v>0.119327565977918</v>
      </c>
      <c r="L878" s="37" t="n">
        <v>8.18</v>
      </c>
      <c r="M878" s="37" t="n">
        <v>0.69</v>
      </c>
      <c r="N878" s="34" t="n">
        <v>19069.1</v>
      </c>
      <c r="O878" s="34" t="n">
        <v>9767.1</v>
      </c>
      <c r="P878" s="38" t="n">
        <v>15.75</v>
      </c>
      <c r="Q878" s="38" t="n">
        <v>0.79</v>
      </c>
    </row>
    <row r="879" customFormat="false" ht="15" hidden="false" customHeight="false" outlineLevel="0" collapsed="false">
      <c r="A879" s="34" t="n">
        <v>871</v>
      </c>
      <c r="B879" s="35" t="s">
        <v>1816</v>
      </c>
      <c r="C879" s="35" t="s">
        <v>1817</v>
      </c>
      <c r="D879" s="35" t="s">
        <v>111</v>
      </c>
      <c r="E879" s="34" t="n">
        <v>6400</v>
      </c>
      <c r="F879" s="34" t="n">
        <v>6400</v>
      </c>
      <c r="G879" s="34" t="n">
        <v>5600</v>
      </c>
      <c r="H879" s="34" t="n">
        <v>10826.28</v>
      </c>
      <c r="I879" s="36" t="n">
        <f aca="false">$E879/F879-1</f>
        <v>0</v>
      </c>
      <c r="J879" s="36" t="n">
        <f aca="false">$E879/G879-1</f>
        <v>0.142857142857143</v>
      </c>
      <c r="K879" s="36" t="n">
        <f aca="false">$E879/H879-1</f>
        <v>-0.408845882426836</v>
      </c>
      <c r="L879" s="37" t="n">
        <v>21.49</v>
      </c>
      <c r="M879" s="37" t="n">
        <v>0.51</v>
      </c>
      <c r="N879" s="34" t="n">
        <v>10826.28</v>
      </c>
      <c r="O879" s="34" t="n">
        <v>4759.83</v>
      </c>
      <c r="P879" s="38"/>
      <c r="Q879" s="38"/>
    </row>
    <row r="880" customFormat="false" ht="15" hidden="false" customHeight="false" outlineLevel="0" collapsed="false">
      <c r="A880" s="34" t="n">
        <v>872</v>
      </c>
      <c r="B880" s="35" t="s">
        <v>1818</v>
      </c>
      <c r="C880" s="35" t="s">
        <v>1819</v>
      </c>
      <c r="D880" s="35" t="s">
        <v>111</v>
      </c>
      <c r="E880" s="34" t="n">
        <v>15966</v>
      </c>
      <c r="F880" s="34" t="n">
        <v>16500</v>
      </c>
      <c r="G880" s="34" t="n">
        <v>14092.02</v>
      </c>
      <c r="H880" s="34" t="n">
        <v>20959.65</v>
      </c>
      <c r="I880" s="36" t="n">
        <f aca="false">$E880/F880-1</f>
        <v>-0.0323636363636364</v>
      </c>
      <c r="J880" s="36" t="n">
        <f aca="false">$E880/G880-1</f>
        <v>0.132981644930961</v>
      </c>
      <c r="K880" s="36" t="n">
        <f aca="false">$E880/H880-1</f>
        <v>-0.238250638727269</v>
      </c>
      <c r="L880" s="37" t="n">
        <v>213.65</v>
      </c>
      <c r="M880" s="37" t="n">
        <v>0.94</v>
      </c>
      <c r="N880" s="34" t="n">
        <v>20959.65</v>
      </c>
      <c r="O880" s="34" t="n">
        <v>12397.41</v>
      </c>
      <c r="P880" s="38"/>
      <c r="Q880" s="38"/>
    </row>
    <row r="881" customFormat="false" ht="15" hidden="false" customHeight="false" outlineLevel="0" collapsed="false">
      <c r="A881" s="34" t="n">
        <v>873</v>
      </c>
      <c r="B881" s="35" t="s">
        <v>1820</v>
      </c>
      <c r="C881" s="35" t="s">
        <v>1821</v>
      </c>
      <c r="D881" s="35" t="s">
        <v>116</v>
      </c>
      <c r="E881" s="34" t="n">
        <v>31100</v>
      </c>
      <c r="F881" s="34" t="n">
        <v>29700</v>
      </c>
      <c r="G881" s="34" t="n">
        <v>29900</v>
      </c>
      <c r="H881" s="34" t="n">
        <v>31207.08</v>
      </c>
      <c r="I881" s="36" t="n">
        <f aca="false">$E881/F881-1</f>
        <v>0.0471380471380471</v>
      </c>
      <c r="J881" s="36" t="n">
        <f aca="false">$E881/G881-1</f>
        <v>0.040133779264214</v>
      </c>
      <c r="K881" s="36" t="n">
        <f aca="false">$E881/H881-1</f>
        <v>-0.00343127264710452</v>
      </c>
      <c r="L881" s="37" t="n">
        <v>119.95</v>
      </c>
      <c r="M881" s="37" t="n">
        <v>2.61</v>
      </c>
      <c r="N881" s="34" t="n">
        <v>32665.36</v>
      </c>
      <c r="O881" s="34" t="n">
        <v>26123.96</v>
      </c>
      <c r="P881" s="38" t="n">
        <v>19.92</v>
      </c>
      <c r="Q881" s="38" t="n">
        <v>2.37</v>
      </c>
    </row>
    <row r="882" customFormat="false" ht="15" hidden="false" customHeight="false" outlineLevel="0" collapsed="false">
      <c r="A882" s="34" t="n">
        <v>874</v>
      </c>
      <c r="B882" s="35" t="s">
        <v>1822</v>
      </c>
      <c r="C882" s="35" t="s">
        <v>1823</v>
      </c>
      <c r="D882" s="35" t="s">
        <v>111</v>
      </c>
      <c r="E882" s="34" t="n">
        <v>2721</v>
      </c>
      <c r="F882" s="34" t="n">
        <v>2553</v>
      </c>
      <c r="G882" s="34" t="n">
        <v>2800</v>
      </c>
      <c r="H882" s="34" t="n">
        <v>4300</v>
      </c>
      <c r="I882" s="36" t="n">
        <f aca="false">$E882/F882-1</f>
        <v>0.0658049353701529</v>
      </c>
      <c r="J882" s="36" t="n">
        <f aca="false">$E882/G882-1</f>
        <v>-0.0282142857142857</v>
      </c>
      <c r="K882" s="36" t="n">
        <f aca="false">$E882/H882-1</f>
        <v>-0.367209302325581</v>
      </c>
      <c r="L882" s="37" t="n">
        <v>-20.72</v>
      </c>
      <c r="M882" s="37" t="n">
        <v>0.2</v>
      </c>
      <c r="N882" s="34" t="n">
        <v>5929</v>
      </c>
      <c r="O882" s="34" t="n">
        <v>2500</v>
      </c>
      <c r="P882" s="38"/>
      <c r="Q882" s="38"/>
    </row>
    <row r="883" customFormat="false" ht="15" hidden="false" customHeight="false" outlineLevel="0" collapsed="false">
      <c r="A883" s="34" t="n">
        <v>875</v>
      </c>
      <c r="B883" s="35" t="s">
        <v>1824</v>
      </c>
      <c r="C883" s="35" t="s">
        <v>1825</v>
      </c>
      <c r="D883" s="35" t="s">
        <v>133</v>
      </c>
      <c r="E883" s="34" t="n">
        <v>15300</v>
      </c>
      <c r="F883" s="34" t="n">
        <v>15700</v>
      </c>
      <c r="G883" s="34" t="n">
        <v>16000</v>
      </c>
      <c r="H883" s="34" t="n">
        <v>12394.8</v>
      </c>
      <c r="I883" s="36" t="n">
        <f aca="false">$E883/F883-1</f>
        <v>-0.0254777070063694</v>
      </c>
      <c r="J883" s="36" t="n">
        <f aca="false">$E883/G883-1</f>
        <v>-0.04375</v>
      </c>
      <c r="K883" s="36" t="n">
        <f aca="false">$E883/H883-1</f>
        <v>0.234388614580308</v>
      </c>
      <c r="L883" s="37" t="n">
        <v>27.52</v>
      </c>
      <c r="M883" s="37" t="n">
        <v>1.19</v>
      </c>
      <c r="N883" s="34" t="n">
        <v>17300</v>
      </c>
      <c r="O883" s="34" t="n">
        <v>10141.2</v>
      </c>
      <c r="P883" s="38"/>
      <c r="Q883" s="38"/>
    </row>
    <row r="884" customFormat="false" ht="15" hidden="false" customHeight="false" outlineLevel="0" collapsed="false">
      <c r="A884" s="34" t="n">
        <v>876</v>
      </c>
      <c r="B884" s="35" t="s">
        <v>1826</v>
      </c>
      <c r="C884" s="35" t="s">
        <v>1827</v>
      </c>
      <c r="D884" s="35" t="s">
        <v>111</v>
      </c>
      <c r="E884" s="34" t="n">
        <v>6685</v>
      </c>
      <c r="F884" s="34" t="n">
        <v>6859</v>
      </c>
      <c r="G884" s="34" t="n">
        <v>7097</v>
      </c>
      <c r="H884" s="34" t="n">
        <v>5999</v>
      </c>
      <c r="I884" s="36" t="n">
        <f aca="false">$E884/F884-1</f>
        <v>-0.0253681294649366</v>
      </c>
      <c r="J884" s="36" t="n">
        <f aca="false">$E884/G884-1</f>
        <v>-0.0580526983232351</v>
      </c>
      <c r="K884" s="36" t="n">
        <f aca="false">$E884/H884-1</f>
        <v>0.114352392065344</v>
      </c>
      <c r="L884" s="37" t="n">
        <v>-9.71</v>
      </c>
      <c r="M884" s="37" t="n">
        <v>7.09</v>
      </c>
      <c r="N884" s="34" t="n">
        <v>8142</v>
      </c>
      <c r="O884" s="34" t="n">
        <v>5532</v>
      </c>
      <c r="P884" s="38"/>
      <c r="Q884" s="38"/>
    </row>
    <row r="885" customFormat="false" ht="15" hidden="false" customHeight="false" outlineLevel="0" collapsed="false">
      <c r="A885" s="34" t="n">
        <v>877</v>
      </c>
      <c r="B885" s="35" t="s">
        <v>1828</v>
      </c>
      <c r="C885" s="35" t="s">
        <v>1829</v>
      </c>
      <c r="D885" s="35" t="s">
        <v>111</v>
      </c>
      <c r="E885" s="34" t="n">
        <v>45083</v>
      </c>
      <c r="F885" s="34" t="n">
        <v>46183</v>
      </c>
      <c r="G885" s="34" t="n">
        <v>47791</v>
      </c>
      <c r="H885" s="34" t="n">
        <v>34678</v>
      </c>
      <c r="I885" s="36" t="n">
        <f aca="false">$E885/F885-1</f>
        <v>-0.0238182881146742</v>
      </c>
      <c r="J885" s="36" t="n">
        <f aca="false">$E885/G885-1</f>
        <v>-0.0566633885041117</v>
      </c>
      <c r="K885" s="36" t="n">
        <f aca="false">$E885/H885-1</f>
        <v>0.300046138762328</v>
      </c>
      <c r="L885" s="37" t="n">
        <v>6.83</v>
      </c>
      <c r="M885" s="37" t="n">
        <v>1.31</v>
      </c>
      <c r="N885" s="34" t="n">
        <v>48301</v>
      </c>
      <c r="O885" s="34" t="n">
        <v>32317.53</v>
      </c>
      <c r="P885" s="38"/>
      <c r="Q885" s="38"/>
    </row>
    <row r="886" customFormat="false" ht="15" hidden="false" customHeight="false" outlineLevel="0" collapsed="false">
      <c r="A886" s="34" t="n">
        <v>878</v>
      </c>
      <c r="B886" s="35" t="s">
        <v>1830</v>
      </c>
      <c r="C886" s="35" t="s">
        <v>1831</v>
      </c>
      <c r="D886" s="35" t="s">
        <v>111</v>
      </c>
      <c r="E886" s="34" t="n">
        <v>900</v>
      </c>
      <c r="F886" s="34" t="n">
        <v>900</v>
      </c>
      <c r="G886" s="34" t="n">
        <v>900</v>
      </c>
      <c r="H886" s="34" t="n">
        <v>900</v>
      </c>
      <c r="I886" s="36" t="n">
        <f aca="false">$E886/F886-1</f>
        <v>0</v>
      </c>
      <c r="J886" s="36" t="n">
        <f aca="false">$E886/G886-1</f>
        <v>0</v>
      </c>
      <c r="K886" s="36" t="n">
        <f aca="false">$E886/H886-1</f>
        <v>0</v>
      </c>
      <c r="L886" s="37" t="n">
        <v>-0.94</v>
      </c>
      <c r="M886" s="37" t="n">
        <v>0.09</v>
      </c>
      <c r="N886" s="34" t="n">
        <v>900</v>
      </c>
      <c r="O886" s="34" t="n">
        <v>900</v>
      </c>
      <c r="P886" s="38"/>
      <c r="Q886" s="38"/>
    </row>
    <row r="887" customFormat="false" ht="15" hidden="false" customHeight="false" outlineLevel="0" collapsed="false">
      <c r="A887" s="34" t="n">
        <v>879</v>
      </c>
      <c r="B887" s="35" t="s">
        <v>1832</v>
      </c>
      <c r="C887" s="35" t="s">
        <v>1833</v>
      </c>
      <c r="D887" s="35" t="s">
        <v>111</v>
      </c>
      <c r="E887" s="34" t="n">
        <v>154900</v>
      </c>
      <c r="F887" s="34" t="n">
        <v>150300</v>
      </c>
      <c r="G887" s="34" t="n">
        <v>144256</v>
      </c>
      <c r="H887" s="34" t="n">
        <v>154186.34</v>
      </c>
      <c r="I887" s="36" t="n">
        <f aca="false">$E887/F887-1</f>
        <v>0.0306054557551563</v>
      </c>
      <c r="J887" s="36" t="n">
        <f aca="false">$E887/G887-1</f>
        <v>0.0737854924578527</v>
      </c>
      <c r="K887" s="36" t="n">
        <f aca="false">$E887/H887-1</f>
        <v>0.00462855529225226</v>
      </c>
      <c r="L887" s="37" t="n">
        <v>3.2</v>
      </c>
      <c r="M887" s="37" t="n">
        <v>1.07</v>
      </c>
      <c r="N887" s="34" t="n">
        <v>278982.48</v>
      </c>
      <c r="O887" s="34" t="n">
        <v>124509</v>
      </c>
      <c r="P887" s="38"/>
      <c r="Q887" s="38"/>
    </row>
    <row r="888" customFormat="false" ht="15" hidden="false" customHeight="false" outlineLevel="0" collapsed="false">
      <c r="A888" s="34" t="n">
        <v>880</v>
      </c>
      <c r="B888" s="35" t="s">
        <v>1834</v>
      </c>
      <c r="C888" s="35" t="s">
        <v>1835</v>
      </c>
      <c r="D888" s="35" t="s">
        <v>111</v>
      </c>
      <c r="E888" s="34" t="n">
        <v>3700</v>
      </c>
      <c r="F888" s="34" t="n">
        <v>3700</v>
      </c>
      <c r="G888" s="34" t="n">
        <v>3700</v>
      </c>
      <c r="H888" s="34" t="n">
        <v>3700</v>
      </c>
      <c r="I888" s="36" t="n">
        <f aca="false">$E888/F888-1</f>
        <v>0</v>
      </c>
      <c r="J888" s="36" t="n">
        <f aca="false">$E888/G888-1</f>
        <v>0</v>
      </c>
      <c r="K888" s="36" t="n">
        <f aca="false">$E888/H888-1</f>
        <v>0</v>
      </c>
      <c r="L888" s="37" t="n">
        <v>66.6</v>
      </c>
      <c r="M888" s="37" t="n">
        <v>0.23</v>
      </c>
      <c r="N888" s="34" t="n">
        <v>3700</v>
      </c>
      <c r="O888" s="34" t="n">
        <v>3700</v>
      </c>
      <c r="P888" s="38"/>
      <c r="Q888" s="38"/>
    </row>
    <row r="889" customFormat="false" ht="15" hidden="false" customHeight="false" outlineLevel="0" collapsed="false">
      <c r="A889" s="34" t="n">
        <v>881</v>
      </c>
      <c r="B889" s="35" t="s">
        <v>1836</v>
      </c>
      <c r="C889" s="35" t="s">
        <v>1837</v>
      </c>
      <c r="D889" s="35" t="s">
        <v>111</v>
      </c>
      <c r="E889" s="34" t="n">
        <v>304</v>
      </c>
      <c r="F889" s="34" t="n">
        <v>400</v>
      </c>
      <c r="G889" s="34" t="n">
        <v>400</v>
      </c>
      <c r="H889" s="34" t="n">
        <v>500</v>
      </c>
      <c r="I889" s="36" t="n">
        <f aca="false">$E889/F889-1</f>
        <v>-0.24</v>
      </c>
      <c r="J889" s="36" t="n">
        <f aca="false">$E889/G889-1</f>
        <v>-0.24</v>
      </c>
      <c r="K889" s="36" t="n">
        <f aca="false">$E889/H889-1</f>
        <v>-0.392</v>
      </c>
      <c r="L889" s="37" t="n">
        <v>-16.23</v>
      </c>
      <c r="M889" s="37" t="n">
        <v>-0.01</v>
      </c>
      <c r="N889" s="34" t="n">
        <v>600</v>
      </c>
      <c r="O889" s="34" t="n">
        <v>304</v>
      </c>
      <c r="P889" s="38"/>
      <c r="Q889" s="38"/>
    </row>
    <row r="890" customFormat="false" ht="15" hidden="false" customHeight="false" outlineLevel="0" collapsed="false">
      <c r="A890" s="34" t="n">
        <v>882</v>
      </c>
      <c r="B890" s="35" t="s">
        <v>1838</v>
      </c>
      <c r="C890" s="35" t="s">
        <v>1839</v>
      </c>
      <c r="D890" s="35" t="s">
        <v>116</v>
      </c>
      <c r="E890" s="34" t="n">
        <v>43800</v>
      </c>
      <c r="F890" s="34" t="n">
        <v>43350</v>
      </c>
      <c r="G890" s="34" t="n">
        <v>44228.2</v>
      </c>
      <c r="H890" s="34" t="n">
        <v>45077.6</v>
      </c>
      <c r="I890" s="36" t="n">
        <f aca="false">$E890/F890-1</f>
        <v>0.0103806228373702</v>
      </c>
      <c r="J890" s="36" t="n">
        <f aca="false">$E890/G890-1</f>
        <v>-0.00968160585327904</v>
      </c>
      <c r="K890" s="36" t="n">
        <f aca="false">$E890/H890-1</f>
        <v>-0.0283422364988375</v>
      </c>
      <c r="L890" s="37" t="n">
        <v>8.98</v>
      </c>
      <c r="M890" s="37" t="n">
        <v>1.81</v>
      </c>
      <c r="N890" s="34" t="n">
        <v>47740.41</v>
      </c>
      <c r="O890" s="34" t="n">
        <v>39942.17</v>
      </c>
      <c r="P890" s="38" t="n">
        <v>12.42</v>
      </c>
      <c r="Q890" s="38" t="n">
        <v>1.98</v>
      </c>
    </row>
    <row r="891" customFormat="false" ht="15" hidden="false" customHeight="false" outlineLevel="0" collapsed="false">
      <c r="A891" s="34" t="n">
        <v>883</v>
      </c>
      <c r="B891" s="35" t="s">
        <v>1840</v>
      </c>
      <c r="C891" s="35" t="s">
        <v>1841</v>
      </c>
      <c r="D891" s="35" t="s">
        <v>111</v>
      </c>
      <c r="E891" s="34" t="n">
        <v>35000</v>
      </c>
      <c r="F891" s="34" t="n">
        <v>35000</v>
      </c>
      <c r="G891" s="34" t="n">
        <v>40000</v>
      </c>
      <c r="H891" s="34" t="n">
        <v>36000</v>
      </c>
      <c r="I891" s="36" t="n">
        <f aca="false">$E891/F891-1</f>
        <v>0</v>
      </c>
      <c r="J891" s="36" t="n">
        <f aca="false">$E891/G891-1</f>
        <v>-0.125</v>
      </c>
      <c r="K891" s="36" t="n">
        <f aca="false">$E891/H891-1</f>
        <v>-0.0277777777777778</v>
      </c>
      <c r="L891" s="37" t="n">
        <v>7.47</v>
      </c>
      <c r="M891" s="37" t="n">
        <v>0.93</v>
      </c>
      <c r="N891" s="34" t="n">
        <v>40200</v>
      </c>
      <c r="O891" s="34" t="n">
        <v>31300</v>
      </c>
      <c r="P891" s="38"/>
      <c r="Q891" s="38"/>
    </row>
    <row r="892" customFormat="false" ht="15" hidden="false" customHeight="false" outlineLevel="0" collapsed="false">
      <c r="A892" s="34" t="n">
        <v>884</v>
      </c>
      <c r="B892" s="35" t="s">
        <v>1842</v>
      </c>
      <c r="C892" s="35" t="s">
        <v>1843</v>
      </c>
      <c r="D892" s="35" t="s">
        <v>111</v>
      </c>
      <c r="E892" s="34" t="n">
        <v>16000</v>
      </c>
      <c r="F892" s="34" t="n">
        <v>16000</v>
      </c>
      <c r="G892" s="34" t="n">
        <v>16000</v>
      </c>
      <c r="H892" s="34" t="n">
        <v>19082.94</v>
      </c>
      <c r="I892" s="36" t="n">
        <f aca="false">$E892/F892-1</f>
        <v>0</v>
      </c>
      <c r="J892" s="36" t="n">
        <f aca="false">$E892/G892-1</f>
        <v>0</v>
      </c>
      <c r="K892" s="36" t="n">
        <f aca="false">$E892/H892-1</f>
        <v>-0.161554770910562</v>
      </c>
      <c r="L892" s="37" t="n">
        <v>15.28</v>
      </c>
      <c r="M892" s="37" t="n">
        <v>1.51</v>
      </c>
      <c r="N892" s="34" t="n">
        <v>19082.94</v>
      </c>
      <c r="O892" s="34" t="n">
        <v>13538.44</v>
      </c>
      <c r="P892" s="38"/>
      <c r="Q892" s="38"/>
    </row>
    <row r="893" customFormat="false" ht="15" hidden="false" customHeight="false" outlineLevel="0" collapsed="false">
      <c r="A893" s="34" t="n">
        <v>885</v>
      </c>
      <c r="B893" s="35" t="s">
        <v>1844</v>
      </c>
      <c r="C893" s="35" t="s">
        <v>1845</v>
      </c>
      <c r="D893" s="35" t="s">
        <v>111</v>
      </c>
      <c r="E893" s="34" t="n">
        <v>16590</v>
      </c>
      <c r="F893" s="34" t="n">
        <v>22100</v>
      </c>
      <c r="G893" s="34" t="n">
        <v>22000</v>
      </c>
      <c r="H893" s="34" t="n">
        <v>20117.07</v>
      </c>
      <c r="I893" s="36" t="n">
        <f aca="false">$E893/F893-1</f>
        <v>-0.249321266968326</v>
      </c>
      <c r="J893" s="36" t="n">
        <f aca="false">$E893/G893-1</f>
        <v>-0.245909090909091</v>
      </c>
      <c r="K893" s="36" t="n">
        <f aca="false">$E893/H893-1</f>
        <v>-0.175327222105406</v>
      </c>
      <c r="L893" s="37" t="n">
        <v>13.65</v>
      </c>
      <c r="M893" s="37" t="n">
        <v>1.52</v>
      </c>
      <c r="N893" s="34" t="n">
        <v>32820</v>
      </c>
      <c r="O893" s="34" t="n">
        <v>7776.85</v>
      </c>
      <c r="P893" s="38"/>
      <c r="Q893" s="38"/>
    </row>
    <row r="894" customFormat="false" ht="15" hidden="false" customHeight="false" outlineLevel="0" collapsed="false">
      <c r="A894" s="34" t="n">
        <v>886</v>
      </c>
      <c r="B894" s="35" t="s">
        <v>1846</v>
      </c>
      <c r="C894" s="35" t="s">
        <v>1847</v>
      </c>
      <c r="D894" s="35" t="s">
        <v>111</v>
      </c>
      <c r="E894" s="34" t="n">
        <v>16100</v>
      </c>
      <c r="F894" s="34" t="n">
        <v>16500</v>
      </c>
      <c r="G894" s="34" t="n">
        <v>16279.2</v>
      </c>
      <c r="H894" s="34" t="n">
        <v>17136</v>
      </c>
      <c r="I894" s="36" t="n">
        <f aca="false">$E894/F894-1</f>
        <v>-0.0242424242424243</v>
      </c>
      <c r="J894" s="36" t="n">
        <f aca="false">$E894/G894-1</f>
        <v>-0.0110079119367046</v>
      </c>
      <c r="K894" s="36" t="n">
        <f aca="false">$E894/H894-1</f>
        <v>-0.0604575163398693</v>
      </c>
      <c r="L894" s="37" t="n">
        <v>8.1</v>
      </c>
      <c r="M894" s="37" t="n">
        <v>1.04</v>
      </c>
      <c r="N894" s="34" t="n">
        <v>17516.8</v>
      </c>
      <c r="O894" s="34" t="n">
        <v>13805.9</v>
      </c>
      <c r="P894" s="38"/>
      <c r="Q894" s="38"/>
    </row>
    <row r="895" customFormat="false" ht="15" hidden="false" customHeight="false" outlineLevel="0" collapsed="false">
      <c r="A895" s="34" t="n">
        <v>887</v>
      </c>
      <c r="B895" s="35" t="s">
        <v>1848</v>
      </c>
      <c r="C895" s="35" t="s">
        <v>1849</v>
      </c>
      <c r="D895" s="35" t="s">
        <v>111</v>
      </c>
      <c r="E895" s="34" t="n">
        <v>11300</v>
      </c>
      <c r="F895" s="34" t="n">
        <v>11100</v>
      </c>
      <c r="G895" s="34" t="n">
        <v>11000</v>
      </c>
      <c r="H895" s="34" t="n">
        <v>10509</v>
      </c>
      <c r="I895" s="36" t="n">
        <f aca="false">$E895/F895-1</f>
        <v>0.0180180180180181</v>
      </c>
      <c r="J895" s="36" t="n">
        <f aca="false">$E895/G895-1</f>
        <v>0.0272727272727273</v>
      </c>
      <c r="K895" s="36" t="n">
        <f aca="false">$E895/H895-1</f>
        <v>0.075268817204301</v>
      </c>
      <c r="L895" s="37" t="n">
        <v>7.83</v>
      </c>
      <c r="M895" s="37" t="n">
        <v>0.88</v>
      </c>
      <c r="N895" s="34" t="n">
        <v>14566</v>
      </c>
      <c r="O895" s="34" t="n">
        <v>10500</v>
      </c>
      <c r="P895" s="38"/>
      <c r="Q895" s="38"/>
    </row>
    <row r="896" customFormat="false" ht="15" hidden="false" customHeight="false" outlineLevel="0" collapsed="false">
      <c r="A896" s="34" t="n">
        <v>888</v>
      </c>
      <c r="B896" s="35" t="s">
        <v>1850</v>
      </c>
      <c r="C896" s="35" t="s">
        <v>1851</v>
      </c>
      <c r="D896" s="35" t="s">
        <v>111</v>
      </c>
      <c r="E896" s="34" t="n">
        <v>11400</v>
      </c>
      <c r="F896" s="34" t="n">
        <v>11400</v>
      </c>
      <c r="G896" s="34" t="n">
        <v>11400</v>
      </c>
      <c r="H896" s="34" t="n">
        <v>11390.4</v>
      </c>
      <c r="I896" s="36" t="n">
        <f aca="false">$E896/F896-1</f>
        <v>0</v>
      </c>
      <c r="J896" s="36" t="n">
        <f aca="false">$E896/G896-1</f>
        <v>0</v>
      </c>
      <c r="K896" s="36" t="n">
        <f aca="false">$E896/H896-1</f>
        <v>0.000842815002107145</v>
      </c>
      <c r="L896" s="37" t="n">
        <v>3.4</v>
      </c>
      <c r="M896" s="37" t="n">
        <v>0.62</v>
      </c>
      <c r="N896" s="34" t="n">
        <v>11400</v>
      </c>
      <c r="O896" s="34" t="n">
        <v>11390.4</v>
      </c>
      <c r="P896" s="38"/>
      <c r="Q896" s="38"/>
    </row>
    <row r="897" customFormat="false" ht="15" hidden="false" customHeight="false" outlineLevel="0" collapsed="false">
      <c r="A897" s="34" t="n">
        <v>889</v>
      </c>
      <c r="B897" s="35" t="s">
        <v>1852</v>
      </c>
      <c r="C897" s="35" t="s">
        <v>1853</v>
      </c>
      <c r="D897" s="35" t="s">
        <v>111</v>
      </c>
      <c r="E897" s="34" t="n">
        <v>13578</v>
      </c>
      <c r="F897" s="34" t="n">
        <v>14066</v>
      </c>
      <c r="G897" s="34" t="n">
        <v>12900</v>
      </c>
      <c r="H897" s="34" t="n">
        <v>11625</v>
      </c>
      <c r="I897" s="36" t="n">
        <f aca="false">$E897/F897-1</f>
        <v>-0.0346935873738092</v>
      </c>
      <c r="J897" s="36" t="n">
        <f aca="false">$E897/G897-1</f>
        <v>0.0525581395348838</v>
      </c>
      <c r="K897" s="36" t="n">
        <f aca="false">$E897/H897-1</f>
        <v>0.168</v>
      </c>
      <c r="L897" s="37" t="n">
        <v>7</v>
      </c>
      <c r="M897" s="37" t="n">
        <v>0.99</v>
      </c>
      <c r="N897" s="34" t="n">
        <v>14220</v>
      </c>
      <c r="O897" s="34" t="n">
        <v>9579</v>
      </c>
      <c r="P897" s="38"/>
      <c r="Q897" s="38"/>
    </row>
    <row r="898" customFormat="false" ht="15" hidden="false" customHeight="false" outlineLevel="0" collapsed="false">
      <c r="A898" s="34" t="n">
        <v>890</v>
      </c>
      <c r="B898" s="35" t="s">
        <v>1854</v>
      </c>
      <c r="C898" s="35" t="s">
        <v>1855</v>
      </c>
      <c r="D898" s="35" t="s">
        <v>111</v>
      </c>
      <c r="E898" s="34" t="n">
        <v>30600</v>
      </c>
      <c r="F898" s="34" t="n">
        <v>30600</v>
      </c>
      <c r="G898" s="34" t="n">
        <v>51000</v>
      </c>
      <c r="H898" s="34" t="n">
        <v>69270.9</v>
      </c>
      <c r="I898" s="36" t="n">
        <f aca="false">$E898/F898-1</f>
        <v>0</v>
      </c>
      <c r="J898" s="36" t="n">
        <f aca="false">$E898/G898-1</f>
        <v>-0.4</v>
      </c>
      <c r="K898" s="36" t="n">
        <f aca="false">$E898/H898-1</f>
        <v>-0.558256064234765</v>
      </c>
      <c r="L898" s="37" t="n">
        <v>22.07</v>
      </c>
      <c r="M898" s="37" t="n">
        <v>2.29</v>
      </c>
      <c r="N898" s="34" t="n">
        <v>69270.9</v>
      </c>
      <c r="O898" s="34" t="n">
        <v>7432.5</v>
      </c>
      <c r="P898" s="38"/>
      <c r="Q898" s="38"/>
    </row>
    <row r="899" customFormat="false" ht="15" hidden="false" customHeight="false" outlineLevel="0" collapsed="false">
      <c r="A899" s="34" t="n">
        <v>891</v>
      </c>
      <c r="B899" s="35" t="s">
        <v>1856</v>
      </c>
      <c r="C899" s="35" t="s">
        <v>1857</v>
      </c>
      <c r="D899" s="35" t="s">
        <v>116</v>
      </c>
      <c r="E899" s="34" t="n">
        <v>60300</v>
      </c>
      <c r="F899" s="34" t="n">
        <v>59200</v>
      </c>
      <c r="G899" s="34" t="n">
        <v>58314</v>
      </c>
      <c r="H899" s="34" t="n">
        <v>54157.38</v>
      </c>
      <c r="I899" s="36" t="n">
        <f aca="false">$E899/F899-1</f>
        <v>0.0185810810810811</v>
      </c>
      <c r="J899" s="36" t="n">
        <f aca="false">$E899/G899-1</f>
        <v>0.0340570017491511</v>
      </c>
      <c r="K899" s="36" t="n">
        <f aca="false">$E899/H899-1</f>
        <v>0.113421661092173</v>
      </c>
      <c r="L899" s="37" t="n">
        <v>43.3</v>
      </c>
      <c r="M899" s="37" t="n">
        <v>2.87</v>
      </c>
      <c r="N899" s="34" t="n">
        <v>61229.7</v>
      </c>
      <c r="O899" s="34" t="n">
        <v>50546.89</v>
      </c>
      <c r="P899" s="38"/>
      <c r="Q899" s="38"/>
    </row>
    <row r="900" customFormat="false" ht="15" hidden="false" customHeight="false" outlineLevel="0" collapsed="false">
      <c r="A900" s="34" t="n">
        <v>892</v>
      </c>
      <c r="B900" s="35" t="s">
        <v>1858</v>
      </c>
      <c r="C900" s="35" t="s">
        <v>1859</v>
      </c>
      <c r="D900" s="35" t="s">
        <v>111</v>
      </c>
      <c r="E900" s="34" t="n">
        <v>21000</v>
      </c>
      <c r="F900" s="34" t="n">
        <v>21000</v>
      </c>
      <c r="G900" s="34" t="n">
        <v>21800</v>
      </c>
      <c r="H900" s="34" t="n">
        <v>24083.5</v>
      </c>
      <c r="I900" s="36" t="n">
        <f aca="false">$E900/F900-1</f>
        <v>0</v>
      </c>
      <c r="J900" s="36" t="n">
        <f aca="false">$E900/G900-1</f>
        <v>-0.036697247706422</v>
      </c>
      <c r="K900" s="36" t="n">
        <f aca="false">$E900/H900-1</f>
        <v>-0.128033716029647</v>
      </c>
      <c r="L900" s="37" t="n">
        <v>32.48</v>
      </c>
      <c r="M900" s="37" t="n">
        <v>1.5</v>
      </c>
      <c r="N900" s="34" t="n">
        <v>24083.5</v>
      </c>
      <c r="O900" s="34" t="n">
        <v>14745</v>
      </c>
      <c r="P900" s="38"/>
      <c r="Q900" s="38"/>
    </row>
    <row r="901" customFormat="false" ht="15" hidden="false" customHeight="false" outlineLevel="0" collapsed="false">
      <c r="A901" s="34" t="n">
        <v>893</v>
      </c>
      <c r="B901" s="35" t="s">
        <v>1860</v>
      </c>
      <c r="C901" s="35" t="s">
        <v>1861</v>
      </c>
      <c r="D901" s="35" t="s">
        <v>116</v>
      </c>
      <c r="E901" s="34" t="n">
        <v>9090</v>
      </c>
      <c r="F901" s="34" t="n">
        <v>8570</v>
      </c>
      <c r="G901" s="34" t="n">
        <v>9510</v>
      </c>
      <c r="H901" s="34" t="n">
        <v>10400</v>
      </c>
      <c r="I901" s="36" t="n">
        <f aca="false">$E901/F901-1</f>
        <v>0.0606767794632439</v>
      </c>
      <c r="J901" s="36" t="n">
        <f aca="false">$E901/G901-1</f>
        <v>-0.0441640378548895</v>
      </c>
      <c r="K901" s="36" t="n">
        <f aca="false">$E901/H901-1</f>
        <v>-0.125961538461538</v>
      </c>
      <c r="L901" s="37" t="n">
        <v>40.88</v>
      </c>
      <c r="M901" s="37" t="n">
        <v>0.87</v>
      </c>
      <c r="N901" s="34" t="n">
        <v>15200</v>
      </c>
      <c r="O901" s="34" t="n">
        <v>8200</v>
      </c>
      <c r="P901" s="38"/>
      <c r="Q901" s="38"/>
    </row>
    <row r="902" customFormat="false" ht="15" hidden="false" customHeight="false" outlineLevel="0" collapsed="false">
      <c r="A902" s="34" t="n">
        <v>894</v>
      </c>
      <c r="B902" s="35" t="s">
        <v>1862</v>
      </c>
      <c r="C902" s="35" t="s">
        <v>1863</v>
      </c>
      <c r="D902" s="35" t="s">
        <v>111</v>
      </c>
      <c r="E902" s="34" t="n">
        <v>10900</v>
      </c>
      <c r="F902" s="34" t="n">
        <v>11900</v>
      </c>
      <c r="G902" s="34" t="n">
        <v>11200</v>
      </c>
      <c r="H902" s="34" t="n">
        <v>10669.13</v>
      </c>
      <c r="I902" s="36" t="n">
        <f aca="false">$E902/F902-1</f>
        <v>-0.0840336134453782</v>
      </c>
      <c r="J902" s="36" t="n">
        <f aca="false">$E902/G902-1</f>
        <v>-0.0267857142857143</v>
      </c>
      <c r="K902" s="36" t="n">
        <f aca="false">$E902/H902-1</f>
        <v>0.021639065228374</v>
      </c>
      <c r="L902" s="37" t="n">
        <v>54.09</v>
      </c>
      <c r="M902" s="37" t="n">
        <v>0.94</v>
      </c>
      <c r="N902" s="34"/>
      <c r="O902" s="34"/>
      <c r="P902" s="38"/>
      <c r="Q902" s="38"/>
    </row>
    <row r="903" customFormat="false" ht="15" hidden="false" customHeight="false" outlineLevel="0" collapsed="false">
      <c r="A903" s="34" t="n">
        <v>895</v>
      </c>
      <c r="B903" s="35" t="s">
        <v>1864</v>
      </c>
      <c r="C903" s="35" t="s">
        <v>1865</v>
      </c>
      <c r="D903" s="35" t="s">
        <v>116</v>
      </c>
      <c r="E903" s="34" t="n">
        <v>11000</v>
      </c>
      <c r="F903" s="34" t="n">
        <v>11550</v>
      </c>
      <c r="G903" s="34" t="n">
        <v>11500</v>
      </c>
      <c r="H903" s="34" t="n">
        <v>13750</v>
      </c>
      <c r="I903" s="36" t="n">
        <f aca="false">$E903/F903-1</f>
        <v>-0.0476190476190477</v>
      </c>
      <c r="J903" s="36" t="n">
        <f aca="false">$E903/G903-1</f>
        <v>-0.0434782608695652</v>
      </c>
      <c r="K903" s="36" t="n">
        <f aca="false">$E903/H903-1</f>
        <v>-0.2</v>
      </c>
      <c r="L903" s="37" t="n">
        <v>5.67</v>
      </c>
      <c r="M903" s="37" t="n">
        <v>1.7</v>
      </c>
      <c r="N903" s="34" t="n">
        <v>14850</v>
      </c>
      <c r="O903" s="34" t="n">
        <v>9280</v>
      </c>
      <c r="P903" s="38"/>
      <c r="Q903" s="38"/>
    </row>
    <row r="904" customFormat="false" ht="15" hidden="false" customHeight="false" outlineLevel="0" collapsed="false">
      <c r="A904" s="34" t="n">
        <v>896</v>
      </c>
      <c r="B904" s="35" t="s">
        <v>1866</v>
      </c>
      <c r="C904" s="35" t="s">
        <v>1867</v>
      </c>
      <c r="D904" s="35" t="s">
        <v>116</v>
      </c>
      <c r="E904" s="34" t="n">
        <v>20650</v>
      </c>
      <c r="F904" s="34" t="n">
        <v>20600</v>
      </c>
      <c r="G904" s="34" t="n">
        <v>21050</v>
      </c>
      <c r="H904" s="34" t="n">
        <v>23300</v>
      </c>
      <c r="I904" s="36" t="n">
        <f aca="false">$E904/F904-1</f>
        <v>0.00242718446601953</v>
      </c>
      <c r="J904" s="36" t="n">
        <f aca="false">$E904/G904-1</f>
        <v>-0.0190023752969121</v>
      </c>
      <c r="K904" s="36" t="n">
        <f aca="false">$E904/H904-1</f>
        <v>-0.113733905579399</v>
      </c>
      <c r="L904" s="37" t="n">
        <v>5.76</v>
      </c>
      <c r="M904" s="37" t="n">
        <v>1.27</v>
      </c>
      <c r="N904" s="34" t="n">
        <v>25288.88</v>
      </c>
      <c r="O904" s="34" t="n">
        <v>20300</v>
      </c>
      <c r="P904" s="38"/>
      <c r="Q904" s="38"/>
    </row>
    <row r="905" customFormat="false" ht="15" hidden="false" customHeight="false" outlineLevel="0" collapsed="false">
      <c r="A905" s="34" t="n">
        <v>897</v>
      </c>
      <c r="B905" s="35" t="s">
        <v>1868</v>
      </c>
      <c r="C905" s="35" t="s">
        <v>1869</v>
      </c>
      <c r="D905" s="35" t="s">
        <v>133</v>
      </c>
      <c r="E905" s="34" t="n">
        <v>17800</v>
      </c>
      <c r="F905" s="34" t="n">
        <v>17700</v>
      </c>
      <c r="G905" s="34" t="n">
        <v>21200</v>
      </c>
      <c r="H905" s="34" t="n">
        <v>24801.84</v>
      </c>
      <c r="I905" s="36" t="n">
        <f aca="false">$E905/F905-1</f>
        <v>0.00564971751412435</v>
      </c>
      <c r="J905" s="36" t="n">
        <f aca="false">$E905/G905-1</f>
        <v>-0.160377358490566</v>
      </c>
      <c r="K905" s="36" t="n">
        <f aca="false">$E905/H905-1</f>
        <v>-0.2823113123865</v>
      </c>
      <c r="L905" s="37" t="n">
        <v>4.48</v>
      </c>
      <c r="M905" s="37" t="n">
        <v>0.82</v>
      </c>
      <c r="N905" s="34" t="n">
        <v>32845.68</v>
      </c>
      <c r="O905" s="34" t="n">
        <v>17000</v>
      </c>
      <c r="P905" s="38"/>
      <c r="Q905" s="38"/>
    </row>
    <row r="906" customFormat="false" ht="15" hidden="false" customHeight="false" outlineLevel="0" collapsed="false">
      <c r="A906" s="34" t="n">
        <v>898</v>
      </c>
      <c r="B906" s="35" t="s">
        <v>1870</v>
      </c>
      <c r="C906" s="35" t="s">
        <v>1871</v>
      </c>
      <c r="D906" s="35" t="s">
        <v>111</v>
      </c>
      <c r="E906" s="34" t="n">
        <v>2155</v>
      </c>
      <c r="F906" s="34" t="n">
        <v>2105</v>
      </c>
      <c r="G906" s="34" t="n">
        <v>2300</v>
      </c>
      <c r="H906" s="34" t="n">
        <v>3400</v>
      </c>
      <c r="I906" s="36" t="n">
        <f aca="false">$E906/F906-1</f>
        <v>0.0237529691211402</v>
      </c>
      <c r="J906" s="36" t="n">
        <f aca="false">$E906/G906-1</f>
        <v>-0.0630434782608695</v>
      </c>
      <c r="K906" s="36" t="n">
        <f aca="false">$E906/H906-1</f>
        <v>-0.366176470588235</v>
      </c>
      <c r="L906" s="37" t="n">
        <v>-4.31</v>
      </c>
      <c r="M906" s="37" t="n">
        <v>-0.85</v>
      </c>
      <c r="N906" s="34" t="n">
        <v>6100</v>
      </c>
      <c r="O906" s="34" t="n">
        <v>1963</v>
      </c>
      <c r="P906" s="38"/>
      <c r="Q906" s="38"/>
    </row>
    <row r="907" customFormat="false" ht="15" hidden="false" customHeight="false" outlineLevel="0" collapsed="false">
      <c r="A907" s="34" t="n">
        <v>899</v>
      </c>
      <c r="B907" s="35" t="s">
        <v>1872</v>
      </c>
      <c r="C907" s="35" t="s">
        <v>1873</v>
      </c>
      <c r="D907" s="35" t="s">
        <v>111</v>
      </c>
      <c r="E907" s="34" t="n">
        <v>5800</v>
      </c>
      <c r="F907" s="34" t="n">
        <v>6000</v>
      </c>
      <c r="G907" s="34" t="n">
        <v>7195</v>
      </c>
      <c r="H907" s="34" t="n">
        <v>7900</v>
      </c>
      <c r="I907" s="36" t="n">
        <f aca="false">$E907/F907-1</f>
        <v>-0.0333333333333333</v>
      </c>
      <c r="J907" s="36" t="n">
        <f aca="false">$E907/G907-1</f>
        <v>-0.193884642112578</v>
      </c>
      <c r="K907" s="36" t="n">
        <f aca="false">$E907/H907-1</f>
        <v>-0.265822784810127</v>
      </c>
      <c r="L907" s="37" t="n">
        <v>2.61</v>
      </c>
      <c r="M907" s="37" t="n">
        <v>0.28</v>
      </c>
      <c r="N907" s="34" t="n">
        <v>21194</v>
      </c>
      <c r="O907" s="34" t="n">
        <v>4500</v>
      </c>
      <c r="P907" s="38"/>
      <c r="Q907" s="38"/>
    </row>
    <row r="908" customFormat="false" ht="15" hidden="false" customHeight="false" outlineLevel="0" collapsed="false">
      <c r="A908" s="34" t="n">
        <v>900</v>
      </c>
      <c r="B908" s="35" t="s">
        <v>1874</v>
      </c>
      <c r="C908" s="35" t="s">
        <v>1875</v>
      </c>
      <c r="D908" s="35" t="s">
        <v>133</v>
      </c>
      <c r="E908" s="34" t="n">
        <v>15200</v>
      </c>
      <c r="F908" s="34" t="n">
        <v>15200</v>
      </c>
      <c r="G908" s="34" t="n">
        <v>15200</v>
      </c>
      <c r="H908" s="34" t="n">
        <v>15200</v>
      </c>
      <c r="I908" s="36" t="n">
        <f aca="false">$E908/F908-1</f>
        <v>0</v>
      </c>
      <c r="J908" s="36" t="n">
        <f aca="false">$E908/G908-1</f>
        <v>0</v>
      </c>
      <c r="K908" s="36" t="n">
        <f aca="false">$E908/H908-1</f>
        <v>0</v>
      </c>
      <c r="L908" s="37" t="n">
        <v>10.41</v>
      </c>
      <c r="M908" s="37" t="n">
        <v>1.16</v>
      </c>
      <c r="N908" s="34" t="n">
        <v>15900</v>
      </c>
      <c r="O908" s="34" t="n">
        <v>13400</v>
      </c>
      <c r="P908" s="38"/>
      <c r="Q908" s="38"/>
    </row>
    <row r="909" customFormat="false" ht="15" hidden="false" customHeight="false" outlineLevel="0" collapsed="false">
      <c r="A909" s="34" t="n">
        <v>901</v>
      </c>
      <c r="B909" s="35" t="s">
        <v>22</v>
      </c>
      <c r="C909" s="35" t="s">
        <v>1876</v>
      </c>
      <c r="D909" s="35" t="s">
        <v>116</v>
      </c>
      <c r="E909" s="34" t="n">
        <v>35950</v>
      </c>
      <c r="F909" s="34" t="n">
        <v>32147.82</v>
      </c>
      <c r="G909" s="34" t="n">
        <v>33692.46</v>
      </c>
      <c r="H909" s="34" t="n">
        <v>34078.62</v>
      </c>
      <c r="I909" s="36" t="n">
        <f aca="false">$E909/F909-1</f>
        <v>0.118271783281106</v>
      </c>
      <c r="J909" s="36" t="n">
        <f aca="false">$E909/G909-1</f>
        <v>0.0670043089759549</v>
      </c>
      <c r="K909" s="36" t="n">
        <f aca="false">$E909/H909-1</f>
        <v>0.0549136085909581</v>
      </c>
      <c r="L909" s="37" t="n">
        <v>14.18</v>
      </c>
      <c r="M909" s="37" t="n">
        <v>1.77</v>
      </c>
      <c r="N909" s="34" t="n">
        <v>67095.3</v>
      </c>
      <c r="O909" s="34" t="n">
        <v>31520.31</v>
      </c>
      <c r="P909" s="38" t="n">
        <v>20.92</v>
      </c>
      <c r="Q909" s="38" t="n">
        <v>1.95</v>
      </c>
    </row>
    <row r="910" customFormat="false" ht="15" hidden="false" customHeight="false" outlineLevel="0" collapsed="false">
      <c r="A910" s="34" t="n">
        <v>902</v>
      </c>
      <c r="B910" s="35" t="s">
        <v>1877</v>
      </c>
      <c r="C910" s="35" t="s">
        <v>1878</v>
      </c>
      <c r="D910" s="35" t="s">
        <v>111</v>
      </c>
      <c r="E910" s="34" t="n">
        <v>9566</v>
      </c>
      <c r="F910" s="34" t="n">
        <v>9646</v>
      </c>
      <c r="G910" s="34" t="n">
        <v>10697</v>
      </c>
      <c r="H910" s="34" t="n">
        <v>11525.18</v>
      </c>
      <c r="I910" s="36" t="n">
        <f aca="false">$E910/F910-1</f>
        <v>-0.0082935931992536</v>
      </c>
      <c r="J910" s="36" t="n">
        <f aca="false">$E910/G910-1</f>
        <v>-0.105730578666916</v>
      </c>
      <c r="K910" s="36" t="n">
        <f aca="false">$E910/H910-1</f>
        <v>-0.169991271286002</v>
      </c>
      <c r="L910" s="37" t="n">
        <v>8.91</v>
      </c>
      <c r="M910" s="37" t="n">
        <v>0.85</v>
      </c>
      <c r="N910" s="34" t="n">
        <v>12858.6</v>
      </c>
      <c r="O910" s="34" t="n">
        <v>9332</v>
      </c>
      <c r="P910" s="38"/>
      <c r="Q910" s="38"/>
    </row>
    <row r="911" customFormat="false" ht="15" hidden="false" customHeight="false" outlineLevel="0" collapsed="false">
      <c r="A911" s="34" t="n">
        <v>903</v>
      </c>
      <c r="B911" s="35" t="s">
        <v>1879</v>
      </c>
      <c r="C911" s="35" t="s">
        <v>1880</v>
      </c>
      <c r="D911" s="35" t="s">
        <v>133</v>
      </c>
      <c r="E911" s="34" t="n">
        <v>7000</v>
      </c>
      <c r="F911" s="34" t="n">
        <v>6800</v>
      </c>
      <c r="G911" s="34" t="n">
        <v>6800</v>
      </c>
      <c r="H911" s="34" t="n">
        <v>7500</v>
      </c>
      <c r="I911" s="36" t="n">
        <f aca="false">$E911/F911-1</f>
        <v>0.0294117647058823</v>
      </c>
      <c r="J911" s="36" t="n">
        <f aca="false">$E911/G911-1</f>
        <v>0.0294117647058823</v>
      </c>
      <c r="K911" s="36" t="n">
        <f aca="false">$E911/H911-1</f>
        <v>-0.0666666666666667</v>
      </c>
      <c r="L911" s="37" t="n">
        <v>72.67</v>
      </c>
      <c r="M911" s="37" t="n">
        <v>1.63</v>
      </c>
      <c r="N911" s="34" t="n">
        <v>10000</v>
      </c>
      <c r="O911" s="34" t="n">
        <v>5800</v>
      </c>
      <c r="P911" s="38"/>
      <c r="Q911" s="38"/>
    </row>
    <row r="912" customFormat="false" ht="15" hidden="false" customHeight="false" outlineLevel="0" collapsed="false">
      <c r="A912" s="34" t="n">
        <v>904</v>
      </c>
      <c r="B912" s="35" t="s">
        <v>1881</v>
      </c>
      <c r="C912" s="35" t="s">
        <v>1882</v>
      </c>
      <c r="D912" s="35" t="s">
        <v>133</v>
      </c>
      <c r="E912" s="34" t="n">
        <v>120600</v>
      </c>
      <c r="F912" s="34" t="n">
        <v>120100</v>
      </c>
      <c r="G912" s="34" t="n">
        <v>129000</v>
      </c>
      <c r="H912" s="34" t="n">
        <v>163432.36</v>
      </c>
      <c r="I912" s="36" t="n">
        <f aca="false">$E912/F912-1</f>
        <v>0.00416319733555381</v>
      </c>
      <c r="J912" s="36" t="n">
        <f aca="false">$E912/G912-1</f>
        <v>-0.0651162790697675</v>
      </c>
      <c r="K912" s="36" t="n">
        <f aca="false">$E912/H912-1</f>
        <v>-0.262080043389204</v>
      </c>
      <c r="L912" s="37" t="n">
        <v>15.29</v>
      </c>
      <c r="M912" s="37" t="n">
        <v>4.46</v>
      </c>
      <c r="N912" s="34" t="n">
        <v>183944.61</v>
      </c>
      <c r="O912" s="34" t="n">
        <v>98740.68</v>
      </c>
      <c r="P912" s="38"/>
      <c r="Q912" s="38"/>
    </row>
    <row r="913" customFormat="false" ht="15" hidden="false" customHeight="false" outlineLevel="0" collapsed="false">
      <c r="A913" s="34" t="n">
        <v>905</v>
      </c>
      <c r="B913" s="35" t="s">
        <v>1883</v>
      </c>
      <c r="C913" s="35" t="s">
        <v>1884</v>
      </c>
      <c r="D913" s="35" t="s">
        <v>111</v>
      </c>
      <c r="E913" s="34" t="n">
        <v>24000</v>
      </c>
      <c r="F913" s="34" t="n">
        <v>24000</v>
      </c>
      <c r="G913" s="34" t="n">
        <v>28008</v>
      </c>
      <c r="H913" s="34" t="n">
        <v>27229.38</v>
      </c>
      <c r="I913" s="36" t="n">
        <f aca="false">$E913/F913-1</f>
        <v>0</v>
      </c>
      <c r="J913" s="36" t="n">
        <f aca="false">$E913/G913-1</f>
        <v>-0.143101970865467</v>
      </c>
      <c r="K913" s="36" t="n">
        <f aca="false">$E913/H913-1</f>
        <v>-0.118599101411784</v>
      </c>
      <c r="L913" s="37" t="n">
        <v>7</v>
      </c>
      <c r="M913" s="37" t="n">
        <v>1.88</v>
      </c>
      <c r="N913" s="34" t="n">
        <v>33355.99</v>
      </c>
      <c r="O913" s="34" t="n">
        <v>21443.13</v>
      </c>
      <c r="P913" s="38"/>
      <c r="Q913" s="38"/>
    </row>
    <row r="914" customFormat="false" ht="15" hidden="false" customHeight="false" outlineLevel="0" collapsed="false">
      <c r="A914" s="34" t="n">
        <v>906</v>
      </c>
      <c r="B914" s="35" t="s">
        <v>1885</v>
      </c>
      <c r="C914" s="35" t="s">
        <v>1886</v>
      </c>
      <c r="D914" s="35" t="s">
        <v>116</v>
      </c>
      <c r="E914" s="34" t="n">
        <v>21000</v>
      </c>
      <c r="F914" s="34" t="n">
        <v>20850</v>
      </c>
      <c r="G914" s="34" t="n">
        <v>21500</v>
      </c>
      <c r="H914" s="34" t="n">
        <v>23450.52</v>
      </c>
      <c r="I914" s="36" t="n">
        <f aca="false">$E914/F914-1</f>
        <v>0.0071942446043165</v>
      </c>
      <c r="J914" s="36" t="n">
        <f aca="false">$E914/G914-1</f>
        <v>-0.0232558139534884</v>
      </c>
      <c r="K914" s="36" t="n">
        <f aca="false">$E914/H914-1</f>
        <v>-0.104497469565707</v>
      </c>
      <c r="L914" s="37" t="n">
        <v>8.49</v>
      </c>
      <c r="M914" s="37" t="n">
        <v>1.55</v>
      </c>
      <c r="N914" s="34" t="n">
        <v>23951.41</v>
      </c>
      <c r="O914" s="34" t="n">
        <v>20700</v>
      </c>
      <c r="P914" s="38"/>
      <c r="Q914" s="38"/>
    </row>
    <row r="915" customFormat="false" ht="15" hidden="false" customHeight="false" outlineLevel="0" collapsed="false">
      <c r="A915" s="34" t="n">
        <v>907</v>
      </c>
      <c r="B915" s="35" t="s">
        <v>1887</v>
      </c>
      <c r="C915" s="35" t="s">
        <v>1888</v>
      </c>
      <c r="D915" s="35" t="s">
        <v>111</v>
      </c>
      <c r="E915" s="34" t="n">
        <v>5479</v>
      </c>
      <c r="F915" s="34" t="n">
        <v>5775</v>
      </c>
      <c r="G915" s="34" t="n">
        <v>6400</v>
      </c>
      <c r="H915" s="34" t="n">
        <v>6753</v>
      </c>
      <c r="I915" s="36" t="n">
        <f aca="false">$E915/F915-1</f>
        <v>-0.0512554112554112</v>
      </c>
      <c r="J915" s="36" t="n">
        <f aca="false">$E915/G915-1</f>
        <v>-0.14390625</v>
      </c>
      <c r="K915" s="36" t="n">
        <f aca="false">$E915/H915-1</f>
        <v>-0.188656893232637</v>
      </c>
      <c r="L915" s="37" t="n">
        <v>7.96</v>
      </c>
      <c r="M915" s="37" t="n">
        <v>0.44</v>
      </c>
      <c r="N915" s="34" t="n">
        <v>7212</v>
      </c>
      <c r="O915" s="34" t="n">
        <v>5378</v>
      </c>
      <c r="P915" s="38"/>
      <c r="Q915" s="38"/>
    </row>
    <row r="916" customFormat="false" ht="15" hidden="false" customHeight="false" outlineLevel="0" collapsed="false">
      <c r="A916" s="34" t="n">
        <v>908</v>
      </c>
      <c r="B916" s="35" t="s">
        <v>1889</v>
      </c>
      <c r="C916" s="35" t="s">
        <v>1890</v>
      </c>
      <c r="D916" s="35" t="s">
        <v>116</v>
      </c>
      <c r="E916" s="34" t="n">
        <v>27000</v>
      </c>
      <c r="F916" s="34" t="n">
        <v>27000</v>
      </c>
      <c r="G916" s="34" t="n">
        <v>30550</v>
      </c>
      <c r="H916" s="34" t="n">
        <v>35200</v>
      </c>
      <c r="I916" s="36" t="n">
        <f aca="false">$E916/F916-1</f>
        <v>0</v>
      </c>
      <c r="J916" s="36" t="n">
        <f aca="false">$E916/G916-1</f>
        <v>-0.11620294599018</v>
      </c>
      <c r="K916" s="36" t="n">
        <f aca="false">$E916/H916-1</f>
        <v>-0.232954545454545</v>
      </c>
      <c r="L916" s="37" t="n">
        <v>25.07</v>
      </c>
      <c r="M916" s="37" t="n">
        <v>1.13</v>
      </c>
      <c r="N916" s="34" t="n">
        <v>39450</v>
      </c>
      <c r="O916" s="34" t="n">
        <v>26050</v>
      </c>
      <c r="P916" s="38"/>
      <c r="Q916" s="38"/>
    </row>
    <row r="917" customFormat="false" ht="15" hidden="false" customHeight="false" outlineLevel="0" collapsed="false">
      <c r="A917" s="34" t="n">
        <v>909</v>
      </c>
      <c r="B917" s="35" t="s">
        <v>1891</v>
      </c>
      <c r="C917" s="35" t="s">
        <v>1892</v>
      </c>
      <c r="D917" s="35" t="s">
        <v>111</v>
      </c>
      <c r="E917" s="34" t="n">
        <v>450</v>
      </c>
      <c r="F917" s="34" t="n">
        <v>383</v>
      </c>
      <c r="G917" s="34" t="n">
        <v>500</v>
      </c>
      <c r="H917" s="34" t="n">
        <v>600</v>
      </c>
      <c r="I917" s="36" t="n">
        <f aca="false">$E917/F917-1</f>
        <v>0.174934725848564</v>
      </c>
      <c r="J917" s="36" t="n">
        <f aca="false">$E917/G917-1</f>
        <v>-0.1</v>
      </c>
      <c r="K917" s="36" t="n">
        <f aca="false">$E917/H917-1</f>
        <v>-0.25</v>
      </c>
      <c r="L917" s="37" t="n">
        <v>-0.16</v>
      </c>
      <c r="M917" s="37" t="n">
        <v>-0.02</v>
      </c>
      <c r="N917" s="34" t="n">
        <v>717</v>
      </c>
      <c r="O917" s="34" t="n">
        <v>383</v>
      </c>
      <c r="P917" s="38"/>
      <c r="Q917" s="38"/>
    </row>
    <row r="918" customFormat="false" ht="15" hidden="false" customHeight="false" outlineLevel="0" collapsed="false">
      <c r="A918" s="34" t="n">
        <v>910</v>
      </c>
      <c r="B918" s="35" t="s">
        <v>1893</v>
      </c>
      <c r="C918" s="35" t="s">
        <v>1894</v>
      </c>
      <c r="D918" s="35" t="s">
        <v>133</v>
      </c>
      <c r="E918" s="34" t="n">
        <v>15000</v>
      </c>
      <c r="F918" s="34" t="n">
        <v>14900</v>
      </c>
      <c r="G918" s="34" t="n">
        <v>15500</v>
      </c>
      <c r="H918" s="34" t="n">
        <v>16764.02</v>
      </c>
      <c r="I918" s="36" t="n">
        <f aca="false">$E918/F918-1</f>
        <v>0.00671140939597326</v>
      </c>
      <c r="J918" s="36" t="n">
        <f aca="false">$E918/G918-1</f>
        <v>-0.032258064516129</v>
      </c>
      <c r="K918" s="36" t="n">
        <f aca="false">$E918/H918-1</f>
        <v>-0.105226550672214</v>
      </c>
      <c r="L918" s="37" t="n">
        <v>13.51</v>
      </c>
      <c r="M918" s="37" t="n">
        <v>0.76</v>
      </c>
      <c r="N918" s="34" t="n">
        <v>17593.01</v>
      </c>
      <c r="O918" s="34" t="n">
        <v>14000</v>
      </c>
      <c r="P918" s="38"/>
      <c r="Q918" s="38"/>
    </row>
    <row r="919" customFormat="false" ht="15" hidden="false" customHeight="false" outlineLevel="0" collapsed="false">
      <c r="A919" s="34" t="n">
        <v>911</v>
      </c>
      <c r="B919" s="35" t="s">
        <v>1895</v>
      </c>
      <c r="C919" s="35" t="s">
        <v>1896</v>
      </c>
      <c r="D919" s="35" t="s">
        <v>133</v>
      </c>
      <c r="E919" s="34" t="n">
        <v>19200</v>
      </c>
      <c r="F919" s="34" t="n">
        <v>19900</v>
      </c>
      <c r="G919" s="34" t="n">
        <v>20100</v>
      </c>
      <c r="H919" s="34" t="n">
        <v>21723.4</v>
      </c>
      <c r="I919" s="36" t="n">
        <f aca="false">$E919/F919-1</f>
        <v>-0.035175879396985</v>
      </c>
      <c r="J919" s="36" t="n">
        <f aca="false">$E919/G919-1</f>
        <v>-0.0447761194029851</v>
      </c>
      <c r="K919" s="36" t="n">
        <f aca="false">$E919/H919-1</f>
        <v>-0.116160453704301</v>
      </c>
      <c r="L919" s="37" t="n">
        <v>4.81</v>
      </c>
      <c r="M919" s="37" t="n">
        <v>0.59</v>
      </c>
      <c r="N919" s="34" t="n">
        <v>24958.8</v>
      </c>
      <c r="O919" s="34" t="n">
        <v>19000</v>
      </c>
      <c r="P919" s="38"/>
      <c r="Q919" s="38"/>
    </row>
    <row r="920" customFormat="false" ht="15" hidden="false" customHeight="false" outlineLevel="0" collapsed="false">
      <c r="A920" s="34" t="n">
        <v>912</v>
      </c>
      <c r="B920" s="35" t="s">
        <v>1897</v>
      </c>
      <c r="C920" s="35" t="s">
        <v>1898</v>
      </c>
      <c r="D920" s="35" t="s">
        <v>133</v>
      </c>
      <c r="E920" s="34" t="n">
        <v>15400</v>
      </c>
      <c r="F920" s="34" t="n">
        <v>15100</v>
      </c>
      <c r="G920" s="34" t="n">
        <v>16000</v>
      </c>
      <c r="H920" s="34" t="n">
        <v>18093.24</v>
      </c>
      <c r="I920" s="36" t="n">
        <f aca="false">$E920/F920-1</f>
        <v>0.0198675496688743</v>
      </c>
      <c r="J920" s="36" t="n">
        <f aca="false">$E920/G920-1</f>
        <v>-0.0375</v>
      </c>
      <c r="K920" s="36" t="n">
        <f aca="false">$E920/H920-1</f>
        <v>-0.148853383915761</v>
      </c>
      <c r="L920" s="37" t="n">
        <v>4.68</v>
      </c>
      <c r="M920" s="37" t="n">
        <v>0.39</v>
      </c>
      <c r="N920" s="34" t="n">
        <v>25951.92</v>
      </c>
      <c r="O920" s="34" t="n">
        <v>14800</v>
      </c>
      <c r="P920" s="38"/>
      <c r="Q920" s="38"/>
    </row>
    <row r="921" customFormat="false" ht="15" hidden="false" customHeight="false" outlineLevel="0" collapsed="false">
      <c r="A921" s="34" t="n">
        <v>913</v>
      </c>
      <c r="B921" s="35" t="s">
        <v>1899</v>
      </c>
      <c r="C921" s="35" t="s">
        <v>1900</v>
      </c>
      <c r="D921" s="35" t="s">
        <v>111</v>
      </c>
      <c r="E921" s="34"/>
      <c r="F921" s="34"/>
      <c r="G921" s="34"/>
      <c r="H921" s="34"/>
      <c r="I921" s="36" t="e">
        <f aca="false">$E921/F921-1</f>
        <v>#DIV/0!</v>
      </c>
      <c r="J921" s="36" t="e">
        <f aca="false">$E921/G921-1</f>
        <v>#DIV/0!</v>
      </c>
      <c r="K921" s="36" t="e">
        <f aca="false">$E921/H921-1</f>
        <v>#DIV/0!</v>
      </c>
      <c r="L921" s="37"/>
      <c r="M921" s="37"/>
      <c r="N921" s="34"/>
      <c r="O921" s="34"/>
      <c r="P921" s="38"/>
      <c r="Q921" s="38"/>
    </row>
    <row r="922" customFormat="false" ht="15" hidden="false" customHeight="false" outlineLevel="0" collapsed="false">
      <c r="A922" s="34" t="n">
        <v>914</v>
      </c>
      <c r="B922" s="35" t="s">
        <v>1901</v>
      </c>
      <c r="C922" s="35" t="s">
        <v>1902</v>
      </c>
      <c r="D922" s="35" t="s">
        <v>133</v>
      </c>
      <c r="E922" s="34" t="n">
        <v>40500</v>
      </c>
      <c r="F922" s="34" t="n">
        <v>45000</v>
      </c>
      <c r="G922" s="34" t="n">
        <v>53500</v>
      </c>
      <c r="H922" s="34" t="n">
        <v>24996.4</v>
      </c>
      <c r="I922" s="36" t="n">
        <f aca="false">$E922/F922-1</f>
        <v>-0.1</v>
      </c>
      <c r="J922" s="36" t="n">
        <f aca="false">$E922/G922-1</f>
        <v>-0.242990654205608</v>
      </c>
      <c r="K922" s="36" t="n">
        <f aca="false">$E922/H922-1</f>
        <v>0.620233313597158</v>
      </c>
      <c r="L922" s="37" t="n">
        <v>21.76</v>
      </c>
      <c r="M922" s="37" t="n">
        <v>2.34</v>
      </c>
      <c r="N922" s="34" t="n">
        <v>62244</v>
      </c>
      <c r="O922" s="34" t="n">
        <v>22724</v>
      </c>
      <c r="P922" s="38"/>
      <c r="Q922" s="38"/>
    </row>
    <row r="923" customFormat="false" ht="15" hidden="false" customHeight="false" outlineLevel="0" collapsed="false">
      <c r="A923" s="34" t="n">
        <v>915</v>
      </c>
      <c r="B923" s="35" t="s">
        <v>1903</v>
      </c>
      <c r="C923" s="35" t="s">
        <v>1904</v>
      </c>
      <c r="D923" s="35" t="s">
        <v>116</v>
      </c>
      <c r="E923" s="34" t="n">
        <v>11700</v>
      </c>
      <c r="F923" s="34" t="n">
        <v>11400</v>
      </c>
      <c r="G923" s="34" t="n">
        <v>14650</v>
      </c>
      <c r="H923" s="34" t="n">
        <v>19739.92</v>
      </c>
      <c r="I923" s="36" t="n">
        <f aca="false">$E923/F923-1</f>
        <v>0.0263157894736843</v>
      </c>
      <c r="J923" s="36" t="n">
        <f aca="false">$E923/G923-1</f>
        <v>-0.201365187713311</v>
      </c>
      <c r="K923" s="36" t="n">
        <f aca="false">$E923/H923-1</f>
        <v>-0.40729243076973</v>
      </c>
      <c r="L923" s="37" t="n">
        <v>4.9</v>
      </c>
      <c r="M923" s="37" t="n">
        <v>0.92</v>
      </c>
      <c r="N923" s="34" t="n">
        <v>32611.57</v>
      </c>
      <c r="O923" s="34" t="n">
        <v>10900</v>
      </c>
      <c r="P923" s="38" t="n">
        <v>17.605</v>
      </c>
      <c r="Q923" s="38" t="n">
        <v>2.205</v>
      </c>
    </row>
    <row r="924" customFormat="false" ht="15" hidden="false" customHeight="false" outlineLevel="0" collapsed="false">
      <c r="A924" s="34" t="n">
        <v>916</v>
      </c>
      <c r="B924" s="35" t="s">
        <v>1905</v>
      </c>
      <c r="C924" s="35" t="s">
        <v>1906</v>
      </c>
      <c r="D924" s="35" t="s">
        <v>133</v>
      </c>
      <c r="E924" s="34" t="n">
        <v>5600</v>
      </c>
      <c r="F924" s="34" t="n">
        <v>6800</v>
      </c>
      <c r="G924" s="34" t="n">
        <v>6800</v>
      </c>
      <c r="H924" s="34" t="n">
        <v>6000</v>
      </c>
      <c r="I924" s="36" t="n">
        <f aca="false">$E924/F924-1</f>
        <v>-0.176470588235294</v>
      </c>
      <c r="J924" s="36" t="n">
        <f aca="false">$E924/G924-1</f>
        <v>-0.176470588235294</v>
      </c>
      <c r="K924" s="36" t="n">
        <f aca="false">$E924/H924-1</f>
        <v>-0.0666666666666667</v>
      </c>
      <c r="L924" s="37" t="n">
        <v>8.01</v>
      </c>
      <c r="M924" s="37" t="n">
        <v>0.45</v>
      </c>
      <c r="N924" s="34" t="n">
        <v>6800</v>
      </c>
      <c r="O924" s="34" t="n">
        <v>5600</v>
      </c>
      <c r="P924" s="38"/>
      <c r="Q924" s="38"/>
    </row>
    <row r="925" customFormat="false" ht="15" hidden="false" customHeight="false" outlineLevel="0" collapsed="false">
      <c r="A925" s="34" t="n">
        <v>917</v>
      </c>
      <c r="B925" s="35" t="s">
        <v>1907</v>
      </c>
      <c r="C925" s="35" t="s">
        <v>1908</v>
      </c>
      <c r="D925" s="35" t="s">
        <v>111</v>
      </c>
      <c r="E925" s="34" t="n">
        <v>7600</v>
      </c>
      <c r="F925" s="34" t="n">
        <v>8008</v>
      </c>
      <c r="G925" s="34" t="n">
        <v>8600</v>
      </c>
      <c r="H925" s="34" t="n">
        <v>10101.44</v>
      </c>
      <c r="I925" s="36" t="n">
        <f aca="false">$E925/F925-1</f>
        <v>-0.050949050949051</v>
      </c>
      <c r="J925" s="36" t="n">
        <f aca="false">$E925/G925-1</f>
        <v>-0.116279069767442</v>
      </c>
      <c r="K925" s="36" t="n">
        <f aca="false">$E925/H925-1</f>
        <v>-0.247632020781196</v>
      </c>
      <c r="L925" s="37" t="n">
        <v>22.45</v>
      </c>
      <c r="M925" s="37" t="n">
        <v>0.44</v>
      </c>
      <c r="N925" s="34" t="n">
        <v>12979.5</v>
      </c>
      <c r="O925" s="34" t="n">
        <v>7600</v>
      </c>
      <c r="P925" s="38"/>
      <c r="Q925" s="38"/>
    </row>
    <row r="926" customFormat="false" ht="15" hidden="false" customHeight="false" outlineLevel="0" collapsed="false">
      <c r="A926" s="34" t="n">
        <v>918</v>
      </c>
      <c r="B926" s="35" t="s">
        <v>1909</v>
      </c>
      <c r="C926" s="35" t="s">
        <v>1910</v>
      </c>
      <c r="D926" s="35" t="s">
        <v>116</v>
      </c>
      <c r="E926" s="34" t="n">
        <v>56300</v>
      </c>
      <c r="F926" s="34" t="n">
        <v>55200</v>
      </c>
      <c r="G926" s="34" t="n">
        <v>58100</v>
      </c>
      <c r="H926" s="34" t="n">
        <v>57000</v>
      </c>
      <c r="I926" s="36" t="n">
        <f aca="false">$E926/F926-1</f>
        <v>0.019927536231884</v>
      </c>
      <c r="J926" s="36" t="n">
        <f aca="false">$E926/G926-1</f>
        <v>-0.0309810671256454</v>
      </c>
      <c r="K926" s="36" t="n">
        <f aca="false">$E926/H926-1</f>
        <v>-0.012280701754386</v>
      </c>
      <c r="L926" s="37" t="n">
        <v>4.22</v>
      </c>
      <c r="M926" s="37" t="n">
        <v>0.76</v>
      </c>
      <c r="N926" s="34" t="n">
        <v>66700</v>
      </c>
      <c r="O926" s="34" t="n">
        <v>46850</v>
      </c>
      <c r="P926" s="38"/>
      <c r="Q926" s="38"/>
    </row>
    <row r="927" customFormat="false" ht="15" hidden="false" customHeight="false" outlineLevel="0" collapsed="false">
      <c r="A927" s="34" t="n">
        <v>919</v>
      </c>
      <c r="B927" s="35" t="s">
        <v>1911</v>
      </c>
      <c r="C927" s="35" t="s">
        <v>1912</v>
      </c>
      <c r="D927" s="35" t="s">
        <v>116</v>
      </c>
      <c r="E927" s="34" t="n">
        <v>31300</v>
      </c>
      <c r="F927" s="34" t="n">
        <v>31900</v>
      </c>
      <c r="G927" s="34" t="n">
        <v>33600</v>
      </c>
      <c r="H927" s="34"/>
      <c r="I927" s="36" t="n">
        <f aca="false">$E927/F927-1</f>
        <v>-0.0188087774294671</v>
      </c>
      <c r="J927" s="36" t="n">
        <f aca="false">$E927/G927-1</f>
        <v>-0.0684523809523809</v>
      </c>
      <c r="K927" s="36" t="e">
        <f aca="false">$E927/H927-1</f>
        <v>#DIV/0!</v>
      </c>
      <c r="L927" s="37" t="n">
        <v>6.48</v>
      </c>
      <c r="M927" s="37" t="n">
        <v>2.02</v>
      </c>
      <c r="N927" s="34"/>
      <c r="O927" s="34"/>
      <c r="P927" s="38"/>
      <c r="Q927" s="38"/>
    </row>
    <row r="928" customFormat="false" ht="15" hidden="false" customHeight="false" outlineLevel="0" collapsed="false">
      <c r="A928" s="34" t="n">
        <v>920</v>
      </c>
      <c r="B928" s="35" t="s">
        <v>1913</v>
      </c>
      <c r="C928" s="35" t="s">
        <v>1914</v>
      </c>
      <c r="D928" s="35" t="s">
        <v>111</v>
      </c>
      <c r="E928" s="34" t="n">
        <v>61700</v>
      </c>
      <c r="F928" s="34" t="n">
        <v>61700</v>
      </c>
      <c r="G928" s="34" t="n">
        <v>61700</v>
      </c>
      <c r="H928" s="34" t="n">
        <v>76990.88</v>
      </c>
      <c r="I928" s="36" t="n">
        <f aca="false">$E928/F928-1</f>
        <v>0</v>
      </c>
      <c r="J928" s="36" t="n">
        <f aca="false">$E928/G928-1</f>
        <v>0</v>
      </c>
      <c r="K928" s="36" t="n">
        <f aca="false">$E928/H928-1</f>
        <v>-0.198606380392067</v>
      </c>
      <c r="L928" s="37" t="n">
        <v>13.69</v>
      </c>
      <c r="M928" s="37" t="n">
        <v>3.24</v>
      </c>
      <c r="N928" s="34" t="n">
        <v>106876.8</v>
      </c>
      <c r="O928" s="34" t="n">
        <v>51756.08</v>
      </c>
      <c r="P928" s="38"/>
      <c r="Q928" s="38"/>
    </row>
    <row r="929" customFormat="false" ht="15" hidden="false" customHeight="false" outlineLevel="0" collapsed="false">
      <c r="A929" s="34" t="n">
        <v>921</v>
      </c>
      <c r="B929" s="35" t="s">
        <v>1915</v>
      </c>
      <c r="C929" s="35" t="s">
        <v>1916</v>
      </c>
      <c r="D929" s="35" t="s">
        <v>111</v>
      </c>
      <c r="E929" s="34" t="n">
        <v>5700</v>
      </c>
      <c r="F929" s="34" t="n">
        <v>5907</v>
      </c>
      <c r="G929" s="34" t="n">
        <v>5740</v>
      </c>
      <c r="H929" s="34" t="n">
        <v>5336</v>
      </c>
      <c r="I929" s="36" t="n">
        <f aca="false">$E929/F929-1</f>
        <v>-0.0350431691213814</v>
      </c>
      <c r="J929" s="36" t="n">
        <f aca="false">$E929/G929-1</f>
        <v>-0.00696864111498263</v>
      </c>
      <c r="K929" s="36" t="n">
        <f aca="false">$E929/H929-1</f>
        <v>0.0682158920539731</v>
      </c>
      <c r="L929" s="37" t="n">
        <v>3.13</v>
      </c>
      <c r="M929" s="37" t="n">
        <v>0.54</v>
      </c>
      <c r="N929" s="34" t="n">
        <v>7036.65</v>
      </c>
      <c r="O929" s="34" t="n">
        <v>4666.41</v>
      </c>
      <c r="P929" s="38"/>
      <c r="Q929" s="38"/>
    </row>
    <row r="930" customFormat="false" ht="15" hidden="false" customHeight="false" outlineLevel="0" collapsed="false">
      <c r="A930" s="34" t="n">
        <v>922</v>
      </c>
      <c r="B930" s="35" t="s">
        <v>1917</v>
      </c>
      <c r="C930" s="35" t="s">
        <v>1918</v>
      </c>
      <c r="D930" s="35" t="s">
        <v>116</v>
      </c>
      <c r="E930" s="34" t="n">
        <v>52900</v>
      </c>
      <c r="F930" s="34" t="n">
        <v>51100</v>
      </c>
      <c r="G930" s="34" t="n">
        <v>53000</v>
      </c>
      <c r="H930" s="34" t="n">
        <v>42700</v>
      </c>
      <c r="I930" s="36" t="n">
        <f aca="false">$E930/F930-1</f>
        <v>0.0352250489236792</v>
      </c>
      <c r="J930" s="36" t="n">
        <f aca="false">$E930/G930-1</f>
        <v>-0.00188679245283019</v>
      </c>
      <c r="K930" s="36" t="n">
        <f aca="false">$E930/H930-1</f>
        <v>0.238875878220141</v>
      </c>
      <c r="L930" s="37" t="n">
        <v>11.66</v>
      </c>
      <c r="M930" s="37" t="n">
        <v>2.03</v>
      </c>
      <c r="N930" s="34" t="n">
        <v>76100</v>
      </c>
      <c r="O930" s="34" t="n">
        <v>41000</v>
      </c>
      <c r="P930" s="38"/>
      <c r="Q930" s="38"/>
    </row>
    <row r="931" customFormat="false" ht="15" hidden="false" customHeight="false" outlineLevel="0" collapsed="false">
      <c r="A931" s="34" t="n">
        <v>923</v>
      </c>
      <c r="B931" s="35" t="s">
        <v>1919</v>
      </c>
      <c r="C931" s="35" t="s">
        <v>1920</v>
      </c>
      <c r="D931" s="35" t="s">
        <v>133</v>
      </c>
      <c r="E931" s="34" t="n">
        <v>8000</v>
      </c>
      <c r="F931" s="34" t="n">
        <v>7900</v>
      </c>
      <c r="G931" s="34" t="n">
        <v>7800</v>
      </c>
      <c r="H931" s="34" t="n">
        <v>7600</v>
      </c>
      <c r="I931" s="36" t="n">
        <f aca="false">$E931/F931-1</f>
        <v>0.0126582278481013</v>
      </c>
      <c r="J931" s="36" t="n">
        <f aca="false">$E931/G931-1</f>
        <v>0.0256410256410256</v>
      </c>
      <c r="K931" s="36" t="n">
        <f aca="false">$E931/H931-1</f>
        <v>0.0526315789473684</v>
      </c>
      <c r="L931" s="37" t="n">
        <v>4.57</v>
      </c>
      <c r="M931" s="37" t="n">
        <v>0.6</v>
      </c>
      <c r="N931" s="34" t="n">
        <v>9289.42</v>
      </c>
      <c r="O931" s="34" t="n">
        <v>7600</v>
      </c>
      <c r="P931" s="38"/>
      <c r="Q931" s="38"/>
    </row>
    <row r="932" customFormat="false" ht="15" hidden="false" customHeight="false" outlineLevel="0" collapsed="false">
      <c r="A932" s="34" t="n">
        <v>924</v>
      </c>
      <c r="B932" s="35" t="s">
        <v>1921</v>
      </c>
      <c r="C932" s="35" t="s">
        <v>1922</v>
      </c>
      <c r="D932" s="35" t="s">
        <v>116</v>
      </c>
      <c r="E932" s="34" t="n">
        <v>10800</v>
      </c>
      <c r="F932" s="34" t="n">
        <v>10900</v>
      </c>
      <c r="G932" s="34" t="n">
        <v>10349.82</v>
      </c>
      <c r="H932" s="34" t="n">
        <v>9920.56</v>
      </c>
      <c r="I932" s="36" t="n">
        <f aca="false">$E932/F932-1</f>
        <v>-0.00917431192660545</v>
      </c>
      <c r="J932" s="36" t="n">
        <f aca="false">$E932/G932-1</f>
        <v>0.0434964086331937</v>
      </c>
      <c r="K932" s="36" t="n">
        <f aca="false">$E932/H932-1</f>
        <v>0.0886482214713686</v>
      </c>
      <c r="L932" s="37" t="n">
        <v>13.17</v>
      </c>
      <c r="M932" s="37" t="n">
        <v>0.76</v>
      </c>
      <c r="N932" s="34" t="n">
        <v>11446.8</v>
      </c>
      <c r="O932" s="34" t="n">
        <v>9491.3</v>
      </c>
      <c r="P932" s="38"/>
      <c r="Q932" s="38"/>
    </row>
    <row r="933" customFormat="false" ht="15" hidden="false" customHeight="false" outlineLevel="0" collapsed="false">
      <c r="A933" s="34" t="n">
        <v>925</v>
      </c>
      <c r="B933" s="35" t="s">
        <v>1923</v>
      </c>
      <c r="C933" s="35" t="s">
        <v>1924</v>
      </c>
      <c r="D933" s="35" t="s">
        <v>111</v>
      </c>
      <c r="E933" s="34" t="n">
        <v>8577</v>
      </c>
      <c r="F933" s="34" t="n">
        <v>8042</v>
      </c>
      <c r="G933" s="34" t="n">
        <v>8905</v>
      </c>
      <c r="H933" s="34" t="n">
        <v>9897</v>
      </c>
      <c r="I933" s="36" t="n">
        <f aca="false">$E933/F933-1</f>
        <v>0.0665257398657051</v>
      </c>
      <c r="J933" s="36" t="n">
        <f aca="false">$E933/G933-1</f>
        <v>-0.0368332397529478</v>
      </c>
      <c r="K933" s="36" t="n">
        <f aca="false">$E933/H933-1</f>
        <v>-0.133373749621097</v>
      </c>
      <c r="L933" s="37" t="n">
        <v>8.75</v>
      </c>
      <c r="M933" s="37" t="n">
        <v>0.61</v>
      </c>
      <c r="N933" s="34" t="n">
        <v>17593</v>
      </c>
      <c r="O933" s="34" t="n">
        <v>7648</v>
      </c>
      <c r="P933" s="38"/>
      <c r="Q933" s="38"/>
    </row>
    <row r="934" customFormat="false" ht="15" hidden="false" customHeight="false" outlineLevel="0" collapsed="false">
      <c r="A934" s="34" t="n">
        <v>926</v>
      </c>
      <c r="B934" s="35" t="s">
        <v>1925</v>
      </c>
      <c r="C934" s="35" t="s">
        <v>1926</v>
      </c>
      <c r="D934" s="35" t="s">
        <v>133</v>
      </c>
      <c r="E934" s="34" t="n">
        <v>10500</v>
      </c>
      <c r="F934" s="34" t="n">
        <v>10500</v>
      </c>
      <c r="G934" s="34" t="n">
        <v>10900</v>
      </c>
      <c r="H934" s="34" t="n">
        <v>10600</v>
      </c>
      <c r="I934" s="36" t="n">
        <f aca="false">$E934/F934-1</f>
        <v>0</v>
      </c>
      <c r="J934" s="36" t="n">
        <f aca="false">$E934/G934-1</f>
        <v>-0.036697247706422</v>
      </c>
      <c r="K934" s="36" t="n">
        <f aca="false">$E934/H934-1</f>
        <v>-0.00943396226415094</v>
      </c>
      <c r="L934" s="37" t="n">
        <v>8.59</v>
      </c>
      <c r="M934" s="37" t="n">
        <v>0.71</v>
      </c>
      <c r="N934" s="34" t="n">
        <v>12100.47</v>
      </c>
      <c r="O934" s="34" t="n">
        <v>10000</v>
      </c>
      <c r="P934" s="38"/>
      <c r="Q934" s="38"/>
    </row>
    <row r="935" customFormat="false" ht="15" hidden="false" customHeight="false" outlineLevel="0" collapsed="false">
      <c r="A935" s="34" t="n">
        <v>927</v>
      </c>
      <c r="B935" s="35" t="s">
        <v>1927</v>
      </c>
      <c r="C935" s="35" t="s">
        <v>1928</v>
      </c>
      <c r="D935" s="35" t="s">
        <v>133</v>
      </c>
      <c r="E935" s="34" t="n">
        <v>10500</v>
      </c>
      <c r="F935" s="34" t="n">
        <v>10500</v>
      </c>
      <c r="G935" s="34" t="n">
        <v>10800</v>
      </c>
      <c r="H935" s="34" t="n">
        <v>9900</v>
      </c>
      <c r="I935" s="36" t="n">
        <f aca="false">$E935/F935-1</f>
        <v>0</v>
      </c>
      <c r="J935" s="36" t="n">
        <f aca="false">$E935/G935-1</f>
        <v>-0.0277777777777778</v>
      </c>
      <c r="K935" s="36" t="n">
        <f aca="false">$E935/H935-1</f>
        <v>0.0606060606060606</v>
      </c>
      <c r="L935" s="37" t="n">
        <v>5.55</v>
      </c>
      <c r="M935" s="37" t="n">
        <v>0.77</v>
      </c>
      <c r="N935" s="34" t="n">
        <v>11700</v>
      </c>
      <c r="O935" s="34" t="n">
        <v>9900</v>
      </c>
      <c r="P935" s="38"/>
      <c r="Q935" s="38"/>
    </row>
    <row r="936" customFormat="false" ht="15" hidden="false" customHeight="false" outlineLevel="0" collapsed="false">
      <c r="A936" s="34" t="n">
        <v>928</v>
      </c>
      <c r="B936" s="35" t="s">
        <v>1929</v>
      </c>
      <c r="C936" s="35" t="s">
        <v>1930</v>
      </c>
      <c r="D936" s="35" t="s">
        <v>133</v>
      </c>
      <c r="E936" s="34" t="n">
        <v>19200</v>
      </c>
      <c r="F936" s="34" t="n">
        <v>18900</v>
      </c>
      <c r="G936" s="34" t="n">
        <v>19600</v>
      </c>
      <c r="H936" s="34" t="n">
        <v>18700</v>
      </c>
      <c r="I936" s="36" t="n">
        <f aca="false">$E936/F936-1</f>
        <v>0.0158730158730158</v>
      </c>
      <c r="J936" s="36" t="n">
        <f aca="false">$E936/G936-1</f>
        <v>-0.0204081632653061</v>
      </c>
      <c r="K936" s="36" t="n">
        <f aca="false">$E936/H936-1</f>
        <v>0.0267379679144386</v>
      </c>
      <c r="L936" s="37" t="n">
        <v>7.73</v>
      </c>
      <c r="M936" s="37" t="n">
        <v>0.93</v>
      </c>
      <c r="N936" s="34" t="n">
        <v>23560.47</v>
      </c>
      <c r="O936" s="34" t="n">
        <v>18600</v>
      </c>
      <c r="P936" s="38"/>
      <c r="Q936" s="38"/>
    </row>
    <row r="937" customFormat="false" ht="15" hidden="false" customHeight="false" outlineLevel="0" collapsed="false">
      <c r="A937" s="34" t="n">
        <v>929</v>
      </c>
      <c r="B937" s="35" t="s">
        <v>1931</v>
      </c>
      <c r="C937" s="35" t="s">
        <v>1932</v>
      </c>
      <c r="D937" s="35" t="s">
        <v>133</v>
      </c>
      <c r="E937" s="34" t="n">
        <v>53200</v>
      </c>
      <c r="F937" s="34" t="n">
        <v>58000</v>
      </c>
      <c r="G937" s="34" t="n">
        <v>65000</v>
      </c>
      <c r="H937" s="34" t="n">
        <v>51235.45</v>
      </c>
      <c r="I937" s="36" t="n">
        <f aca="false">$E937/F937-1</f>
        <v>-0.0827586206896552</v>
      </c>
      <c r="J937" s="36" t="n">
        <f aca="false">$E937/G937-1</f>
        <v>-0.181538461538462</v>
      </c>
      <c r="K937" s="36" t="n">
        <f aca="false">$E937/H937-1</f>
        <v>0.0383435687595211</v>
      </c>
      <c r="L937" s="37" t="n">
        <v>5.07</v>
      </c>
      <c r="M937" s="37" t="n">
        <v>2.55</v>
      </c>
      <c r="N937" s="34" t="n">
        <v>66708</v>
      </c>
      <c r="O937" s="34" t="n">
        <v>48178</v>
      </c>
      <c r="P937" s="38"/>
      <c r="Q937" s="38"/>
    </row>
    <row r="938" customFormat="false" ht="15" hidden="false" customHeight="false" outlineLevel="0" collapsed="false">
      <c r="A938" s="34" t="n">
        <v>930</v>
      </c>
      <c r="B938" s="35" t="s">
        <v>1933</v>
      </c>
      <c r="C938" s="35" t="s">
        <v>1934</v>
      </c>
      <c r="D938" s="35" t="s">
        <v>111</v>
      </c>
      <c r="E938" s="34" t="n">
        <v>19000</v>
      </c>
      <c r="F938" s="34" t="n">
        <v>19506.35</v>
      </c>
      <c r="G938" s="34" t="n">
        <v>22325</v>
      </c>
      <c r="H938" s="34" t="n">
        <v>17575</v>
      </c>
      <c r="I938" s="36" t="n">
        <f aca="false">$E938/F938-1</f>
        <v>-0.0259582136073637</v>
      </c>
      <c r="J938" s="36" t="n">
        <f aca="false">$E938/G938-1</f>
        <v>-0.148936170212766</v>
      </c>
      <c r="K938" s="36" t="n">
        <f aca="false">$E938/H938-1</f>
        <v>0.0810810810810811</v>
      </c>
      <c r="L938" s="37" t="n">
        <v>3.38</v>
      </c>
      <c r="M938" s="37" t="n">
        <v>1</v>
      </c>
      <c r="N938" s="34" t="n">
        <v>25555</v>
      </c>
      <c r="O938" s="34" t="n">
        <v>16245</v>
      </c>
      <c r="P938" s="38"/>
      <c r="Q938" s="38"/>
    </row>
    <row r="939" customFormat="false" ht="15" hidden="false" customHeight="false" outlineLevel="0" collapsed="false">
      <c r="A939" s="34" t="n">
        <v>931</v>
      </c>
      <c r="B939" s="35" t="s">
        <v>1935</v>
      </c>
      <c r="C939" s="35" t="s">
        <v>1936</v>
      </c>
      <c r="D939" s="35" t="s">
        <v>111</v>
      </c>
      <c r="E939" s="34" t="n">
        <v>900</v>
      </c>
      <c r="F939" s="34" t="n">
        <v>900</v>
      </c>
      <c r="G939" s="34" t="n">
        <v>900</v>
      </c>
      <c r="H939" s="34" t="n">
        <v>900</v>
      </c>
      <c r="I939" s="36" t="n">
        <f aca="false">$E939/F939-1</f>
        <v>0</v>
      </c>
      <c r="J939" s="36" t="n">
        <f aca="false">$E939/G939-1</f>
        <v>0</v>
      </c>
      <c r="K939" s="36" t="n">
        <f aca="false">$E939/H939-1</f>
        <v>0</v>
      </c>
      <c r="L939" s="37" t="n">
        <v>-108.8</v>
      </c>
      <c r="M939" s="37" t="n">
        <v>0.14</v>
      </c>
      <c r="N939" s="34" t="n">
        <v>900</v>
      </c>
      <c r="O939" s="34" t="n">
        <v>900</v>
      </c>
      <c r="P939" s="38"/>
      <c r="Q939" s="38"/>
    </row>
    <row r="940" customFormat="false" ht="15" hidden="false" customHeight="false" outlineLevel="0" collapsed="false">
      <c r="A940" s="34" t="n">
        <v>932</v>
      </c>
      <c r="B940" s="35" t="s">
        <v>1937</v>
      </c>
      <c r="C940" s="35" t="s">
        <v>1938</v>
      </c>
      <c r="D940" s="35" t="s">
        <v>133</v>
      </c>
      <c r="E940" s="34" t="n">
        <v>12800</v>
      </c>
      <c r="F940" s="34" t="n">
        <v>12500</v>
      </c>
      <c r="G940" s="34" t="n">
        <v>13307.16</v>
      </c>
      <c r="H940" s="34" t="n">
        <v>12076.44</v>
      </c>
      <c r="I940" s="36" t="n">
        <f aca="false">$E940/F940-1</f>
        <v>0.024</v>
      </c>
      <c r="J940" s="36" t="n">
        <f aca="false">$E940/G940-1</f>
        <v>-0.0381118134898806</v>
      </c>
      <c r="K940" s="36" t="n">
        <f aca="false">$E940/H940-1</f>
        <v>0.0599150080652908</v>
      </c>
      <c r="L940" s="37" t="n">
        <v>4.49</v>
      </c>
      <c r="M940" s="37" t="n">
        <v>1.07</v>
      </c>
      <c r="N940" s="34" t="n">
        <v>14768.64</v>
      </c>
      <c r="O940" s="34" t="n">
        <v>10076.52</v>
      </c>
      <c r="P940" s="38"/>
      <c r="Q940" s="38"/>
    </row>
    <row r="941" customFormat="false" ht="15" hidden="false" customHeight="false" outlineLevel="0" collapsed="false">
      <c r="A941" s="34" t="n">
        <v>933</v>
      </c>
      <c r="B941" s="35" t="s">
        <v>1939</v>
      </c>
      <c r="C941" s="35" t="s">
        <v>1940</v>
      </c>
      <c r="D941" s="35" t="s">
        <v>111</v>
      </c>
      <c r="E941" s="34" t="n">
        <v>26051</v>
      </c>
      <c r="F941" s="34" t="n">
        <v>25385</v>
      </c>
      <c r="G941" s="34" t="n">
        <v>24881.45</v>
      </c>
      <c r="H941" s="34" t="n">
        <v>25349.78</v>
      </c>
      <c r="I941" s="36" t="n">
        <f aca="false">$E941/F941-1</f>
        <v>0.0262359661217255</v>
      </c>
      <c r="J941" s="36" t="n">
        <f aca="false">$E941/G941-1</f>
        <v>0.0470048972226296</v>
      </c>
      <c r="K941" s="36" t="n">
        <f aca="false">$E941/H941-1</f>
        <v>0.0276617785243107</v>
      </c>
      <c r="L941" s="37" t="n">
        <v>3.81</v>
      </c>
      <c r="M941" s="37" t="n">
        <v>0.92</v>
      </c>
      <c r="N941" s="34" t="n">
        <v>27131.29</v>
      </c>
      <c r="O941" s="34" t="n">
        <v>23896.5</v>
      </c>
      <c r="P941" s="38"/>
      <c r="Q941" s="38"/>
    </row>
    <row r="942" customFormat="false" ht="15" hidden="false" customHeight="false" outlineLevel="0" collapsed="false">
      <c r="A942" s="34" t="n">
        <v>934</v>
      </c>
      <c r="B942" s="35" t="s">
        <v>1941</v>
      </c>
      <c r="C942" s="35" t="s">
        <v>1942</v>
      </c>
      <c r="D942" s="35" t="s">
        <v>111</v>
      </c>
      <c r="E942" s="34" t="n">
        <v>67366</v>
      </c>
      <c r="F942" s="34" t="n">
        <v>63820</v>
      </c>
      <c r="G942" s="34" t="n">
        <v>63201</v>
      </c>
      <c r="H942" s="34" t="n">
        <v>81688</v>
      </c>
      <c r="I942" s="36" t="n">
        <f aca="false">$E942/F942-1</f>
        <v>0.0555625195863365</v>
      </c>
      <c r="J942" s="36" t="n">
        <f aca="false">$E942/G942-1</f>
        <v>0.0659008559991139</v>
      </c>
      <c r="K942" s="36" t="n">
        <f aca="false">$E942/H942-1</f>
        <v>-0.175325629223387</v>
      </c>
      <c r="L942" s="37" t="n">
        <v>4.93</v>
      </c>
      <c r="M942" s="37" t="n">
        <v>2.27</v>
      </c>
      <c r="N942" s="34" t="n">
        <v>97841.9</v>
      </c>
      <c r="O942" s="34" t="n">
        <v>61415</v>
      </c>
      <c r="P942" s="38"/>
      <c r="Q942" s="38"/>
    </row>
    <row r="943" customFormat="false" ht="15" hidden="false" customHeight="false" outlineLevel="0" collapsed="false">
      <c r="A943" s="34" t="n">
        <v>935</v>
      </c>
      <c r="B943" s="35" t="s">
        <v>1943</v>
      </c>
      <c r="C943" s="35" t="s">
        <v>1944</v>
      </c>
      <c r="D943" s="35" t="s">
        <v>133</v>
      </c>
      <c r="E943" s="34" t="n">
        <v>5100</v>
      </c>
      <c r="F943" s="34" t="n">
        <v>5300</v>
      </c>
      <c r="G943" s="34" t="n">
        <v>6800</v>
      </c>
      <c r="H943" s="34" t="n">
        <v>6300</v>
      </c>
      <c r="I943" s="36" t="n">
        <f aca="false">$E943/F943-1</f>
        <v>-0.0377358490566038</v>
      </c>
      <c r="J943" s="36" t="n">
        <f aca="false">$E943/G943-1</f>
        <v>-0.25</v>
      </c>
      <c r="K943" s="36" t="n">
        <f aca="false">$E943/H943-1</f>
        <v>-0.19047619047619</v>
      </c>
      <c r="L943" s="37" t="n">
        <v>23.73</v>
      </c>
      <c r="M943" s="37" t="n">
        <v>0.44</v>
      </c>
      <c r="N943" s="34" t="n">
        <v>7800</v>
      </c>
      <c r="O943" s="34" t="n">
        <v>5000</v>
      </c>
      <c r="P943" s="38"/>
      <c r="Q943" s="38"/>
    </row>
    <row r="944" customFormat="false" ht="15" hidden="false" customHeight="false" outlineLevel="0" collapsed="false">
      <c r="A944" s="34" t="n">
        <v>936</v>
      </c>
      <c r="B944" s="35" t="s">
        <v>1945</v>
      </c>
      <c r="C944" s="35" t="s">
        <v>1946</v>
      </c>
      <c r="D944" s="35" t="s">
        <v>111</v>
      </c>
      <c r="E944" s="34" t="n">
        <v>4100</v>
      </c>
      <c r="F944" s="34" t="n">
        <v>4200</v>
      </c>
      <c r="G944" s="34" t="n">
        <v>4150</v>
      </c>
      <c r="H944" s="34" t="n">
        <v>4817</v>
      </c>
      <c r="I944" s="36" t="n">
        <f aca="false">$E944/F944-1</f>
        <v>-0.0238095238095238</v>
      </c>
      <c r="J944" s="36" t="n">
        <f aca="false">$E944/G944-1</f>
        <v>-0.0120481927710844</v>
      </c>
      <c r="K944" s="36" t="n">
        <f aca="false">$E944/H944-1</f>
        <v>-0.148847830599958</v>
      </c>
      <c r="L944" s="37" t="n">
        <v>5.37</v>
      </c>
      <c r="M944" s="37" t="n">
        <v>0.45</v>
      </c>
      <c r="N944" s="34" t="n">
        <v>6016</v>
      </c>
      <c r="O944" s="34" t="n">
        <v>3544</v>
      </c>
      <c r="P944" s="38"/>
      <c r="Q944" s="38"/>
    </row>
    <row r="945" customFormat="false" ht="15" hidden="false" customHeight="false" outlineLevel="0" collapsed="false">
      <c r="A945" s="34" t="n">
        <v>937</v>
      </c>
      <c r="B945" s="35" t="s">
        <v>1947</v>
      </c>
      <c r="C945" s="35" t="s">
        <v>1948</v>
      </c>
      <c r="D945" s="35" t="s">
        <v>111</v>
      </c>
      <c r="E945" s="34" t="n">
        <v>44100</v>
      </c>
      <c r="F945" s="34" t="n">
        <v>41100</v>
      </c>
      <c r="G945" s="34" t="n">
        <v>46800</v>
      </c>
      <c r="H945" s="34" t="n">
        <v>41375</v>
      </c>
      <c r="I945" s="36" t="n">
        <f aca="false">$E945/F945-1</f>
        <v>0.0729927007299269</v>
      </c>
      <c r="J945" s="36" t="n">
        <f aca="false">$E945/G945-1</f>
        <v>-0.0576923076923077</v>
      </c>
      <c r="K945" s="36" t="n">
        <f aca="false">$E945/H945-1</f>
        <v>0.0658610271903324</v>
      </c>
      <c r="L945" s="37" t="n">
        <v>5</v>
      </c>
      <c r="M945" s="37" t="n">
        <v>2.23</v>
      </c>
      <c r="N945" s="34" t="n">
        <v>48055.56</v>
      </c>
      <c r="O945" s="34" t="n">
        <v>38700</v>
      </c>
      <c r="P945" s="38"/>
      <c r="Q945" s="38"/>
    </row>
    <row r="946" customFormat="false" ht="15" hidden="false" customHeight="false" outlineLevel="0" collapsed="false">
      <c r="A946" s="34" t="n">
        <v>938</v>
      </c>
      <c r="B946" s="35" t="s">
        <v>1949</v>
      </c>
      <c r="C946" s="35" t="s">
        <v>1950</v>
      </c>
      <c r="D946" s="35" t="s">
        <v>116</v>
      </c>
      <c r="E946" s="34" t="n">
        <v>55800</v>
      </c>
      <c r="F946" s="34" t="n">
        <v>55600</v>
      </c>
      <c r="G946" s="34" t="n">
        <v>55900</v>
      </c>
      <c r="H946" s="34" t="n">
        <v>59300</v>
      </c>
      <c r="I946" s="36" t="n">
        <f aca="false">$E946/F946-1</f>
        <v>0.00359712230215825</v>
      </c>
      <c r="J946" s="36" t="n">
        <f aca="false">$E946/G946-1</f>
        <v>-0.00178890876565296</v>
      </c>
      <c r="K946" s="36" t="n">
        <f aca="false">$E946/H946-1</f>
        <v>-0.0590219224283305</v>
      </c>
      <c r="L946" s="37" t="n">
        <v>8.81</v>
      </c>
      <c r="M946" s="37" t="n">
        <v>1.55</v>
      </c>
      <c r="N946" s="34" t="n">
        <v>66515.04</v>
      </c>
      <c r="O946" s="34" t="n">
        <v>50600</v>
      </c>
      <c r="P946" s="38"/>
      <c r="Q946" s="38"/>
    </row>
    <row r="947" customFormat="false" ht="15" hidden="false" customHeight="false" outlineLevel="0" collapsed="false">
      <c r="A947" s="34" t="n">
        <v>939</v>
      </c>
      <c r="B947" s="35" t="s">
        <v>1951</v>
      </c>
      <c r="C947" s="35" t="s">
        <v>1952</v>
      </c>
      <c r="D947" s="35" t="s">
        <v>133</v>
      </c>
      <c r="E947" s="34" t="n">
        <v>18500</v>
      </c>
      <c r="F947" s="34" t="n">
        <v>18000</v>
      </c>
      <c r="G947" s="34" t="n">
        <v>17290.1</v>
      </c>
      <c r="H947" s="34" t="n">
        <v>17290.1</v>
      </c>
      <c r="I947" s="36" t="n">
        <f aca="false">$E947/F947-1</f>
        <v>0.0277777777777777</v>
      </c>
      <c r="J947" s="36" t="n">
        <f aca="false">$E947/G947-1</f>
        <v>0.0699764605178688</v>
      </c>
      <c r="K947" s="36" t="n">
        <f aca="false">$E947/H947-1</f>
        <v>0.0699764605178688</v>
      </c>
      <c r="L947" s="37" t="n">
        <v>25.2</v>
      </c>
      <c r="M947" s="37" t="n">
        <v>1.78</v>
      </c>
      <c r="N947" s="34" t="n">
        <v>21028.5</v>
      </c>
      <c r="O947" s="34" t="n">
        <v>16822.8</v>
      </c>
      <c r="P947" s="38"/>
      <c r="Q947" s="38"/>
    </row>
    <row r="948" customFormat="false" ht="15" hidden="false" customHeight="false" outlineLevel="0" collapsed="false">
      <c r="A948" s="34" t="n">
        <v>940</v>
      </c>
      <c r="B948" s="35" t="s">
        <v>1953</v>
      </c>
      <c r="C948" s="35" t="s">
        <v>1954</v>
      </c>
      <c r="D948" s="35" t="s">
        <v>116</v>
      </c>
      <c r="E948" s="34" t="n">
        <v>16000</v>
      </c>
      <c r="F948" s="34" t="n">
        <v>15700</v>
      </c>
      <c r="G948" s="34" t="n">
        <v>18150</v>
      </c>
      <c r="H948" s="34" t="n">
        <v>20363.84</v>
      </c>
      <c r="I948" s="36" t="n">
        <f aca="false">$E948/F948-1</f>
        <v>0.0191082802547771</v>
      </c>
      <c r="J948" s="36" t="n">
        <f aca="false">$E948/G948-1</f>
        <v>-0.118457300275482</v>
      </c>
      <c r="K948" s="36" t="n">
        <f aca="false">$E948/H948-1</f>
        <v>-0.214293571350001</v>
      </c>
      <c r="L948" s="37" t="n">
        <v>12.6</v>
      </c>
      <c r="M948" s="37" t="n">
        <v>1.16</v>
      </c>
      <c r="N948" s="34" t="n">
        <v>28863.92</v>
      </c>
      <c r="O948" s="34" t="n">
        <v>15000</v>
      </c>
      <c r="P948" s="38"/>
      <c r="Q948" s="38"/>
    </row>
    <row r="949" customFormat="false" ht="15" hidden="false" customHeight="false" outlineLevel="0" collapsed="false">
      <c r="A949" s="34" t="n">
        <v>941</v>
      </c>
      <c r="B949" s="35" t="s">
        <v>1955</v>
      </c>
      <c r="C949" s="35" t="s">
        <v>1956</v>
      </c>
      <c r="D949" s="35" t="s">
        <v>133</v>
      </c>
      <c r="E949" s="34" t="n">
        <v>60000</v>
      </c>
      <c r="F949" s="34" t="n">
        <v>60000</v>
      </c>
      <c r="G949" s="34" t="n">
        <v>55500</v>
      </c>
      <c r="H949" s="34" t="n">
        <v>65584.79</v>
      </c>
      <c r="I949" s="36" t="n">
        <f aca="false">$E949/F949-1</f>
        <v>0</v>
      </c>
      <c r="J949" s="36" t="n">
        <f aca="false">$E949/G949-1</f>
        <v>0.0810810810810811</v>
      </c>
      <c r="K949" s="36" t="n">
        <f aca="false">$E949/H949-1</f>
        <v>-0.085153737627276</v>
      </c>
      <c r="L949" s="37" t="n">
        <v>12.73</v>
      </c>
      <c r="M949" s="37" t="n">
        <v>2.7</v>
      </c>
      <c r="N949" s="34" t="n">
        <v>70762.44</v>
      </c>
      <c r="O949" s="34" t="n">
        <v>48528.34</v>
      </c>
      <c r="P949" s="38"/>
      <c r="Q949" s="38"/>
    </row>
    <row r="950" customFormat="false" ht="15" hidden="false" customHeight="false" outlineLevel="0" collapsed="false">
      <c r="A950" s="34" t="n">
        <v>942</v>
      </c>
      <c r="B950" s="35" t="s">
        <v>1957</v>
      </c>
      <c r="C950" s="35" t="s">
        <v>1958</v>
      </c>
      <c r="D950" s="35" t="s">
        <v>111</v>
      </c>
      <c r="E950" s="34" t="n">
        <v>11100</v>
      </c>
      <c r="F950" s="34" t="n">
        <v>11500</v>
      </c>
      <c r="G950" s="34" t="n">
        <v>11500</v>
      </c>
      <c r="H950" s="34" t="n">
        <v>10500</v>
      </c>
      <c r="I950" s="36" t="n">
        <f aca="false">$E950/F950-1</f>
        <v>-0.0347826086956522</v>
      </c>
      <c r="J950" s="36" t="n">
        <f aca="false">$E950/G950-1</f>
        <v>-0.0347826086956522</v>
      </c>
      <c r="K950" s="36" t="n">
        <f aca="false">$E950/H950-1</f>
        <v>0.0571428571428572</v>
      </c>
      <c r="L950" s="37" t="n">
        <v>8.93</v>
      </c>
      <c r="M950" s="37" t="n">
        <v>0.87</v>
      </c>
      <c r="N950" s="34" t="n">
        <v>16700</v>
      </c>
      <c r="O950" s="34" t="n">
        <v>8500</v>
      </c>
      <c r="P950" s="38"/>
      <c r="Q950" s="38"/>
    </row>
    <row r="951" customFormat="false" ht="15" hidden="false" customHeight="false" outlineLevel="0" collapsed="false">
      <c r="A951" s="34" t="n">
        <v>943</v>
      </c>
      <c r="B951" s="35" t="s">
        <v>1959</v>
      </c>
      <c r="C951" s="35" t="s">
        <v>1960</v>
      </c>
      <c r="D951" s="35" t="s">
        <v>111</v>
      </c>
      <c r="E951" s="34" t="n">
        <v>6704</v>
      </c>
      <c r="F951" s="34" t="n">
        <v>6438</v>
      </c>
      <c r="G951" s="34" t="n">
        <v>6294</v>
      </c>
      <c r="H951" s="34" t="n">
        <v>6158</v>
      </c>
      <c r="I951" s="36" t="n">
        <f aca="false">$E951/F951-1</f>
        <v>0.0413171792482137</v>
      </c>
      <c r="J951" s="36" t="n">
        <f aca="false">$E951/G951-1</f>
        <v>0.0651414045122338</v>
      </c>
      <c r="K951" s="36" t="n">
        <f aca="false">$E951/H951-1</f>
        <v>0.0886651510230594</v>
      </c>
      <c r="L951" s="37" t="n">
        <v>11.24</v>
      </c>
      <c r="M951" s="37" t="n">
        <v>9.98</v>
      </c>
      <c r="N951" s="34" t="n">
        <v>9000</v>
      </c>
      <c r="O951" s="34" t="n">
        <v>2413</v>
      </c>
      <c r="P951" s="38"/>
      <c r="Q951" s="38"/>
    </row>
    <row r="952" customFormat="false" ht="15" hidden="false" customHeight="false" outlineLevel="0" collapsed="false">
      <c r="A952" s="34" t="n">
        <v>944</v>
      </c>
      <c r="B952" s="35" t="s">
        <v>1961</v>
      </c>
      <c r="C952" s="35" t="s">
        <v>1962</v>
      </c>
      <c r="D952" s="35" t="s">
        <v>133</v>
      </c>
      <c r="E952" s="34" t="n">
        <v>18400</v>
      </c>
      <c r="F952" s="34" t="n">
        <v>18400</v>
      </c>
      <c r="G952" s="34" t="n">
        <v>18000</v>
      </c>
      <c r="H952" s="34" t="n">
        <v>18999.4</v>
      </c>
      <c r="I952" s="36" t="n">
        <f aca="false">$E952/F952-1</f>
        <v>0</v>
      </c>
      <c r="J952" s="36" t="n">
        <f aca="false">$E952/G952-1</f>
        <v>0.0222222222222221</v>
      </c>
      <c r="K952" s="36" t="n">
        <f aca="false">$E952/H952-1</f>
        <v>-0.0315483646852006</v>
      </c>
      <c r="L952" s="37" t="n">
        <v>5.46</v>
      </c>
      <c r="M952" s="37" t="n">
        <v>1.13</v>
      </c>
      <c r="N952" s="34" t="n">
        <v>20482.28</v>
      </c>
      <c r="O952" s="34" t="n">
        <v>16404.36</v>
      </c>
      <c r="P952" s="38"/>
      <c r="Q952" s="38"/>
    </row>
    <row r="953" customFormat="false" ht="15" hidden="false" customHeight="false" outlineLevel="0" collapsed="false">
      <c r="A953" s="34" t="n">
        <v>945</v>
      </c>
      <c r="B953" s="35" t="s">
        <v>1963</v>
      </c>
      <c r="C953" s="35" t="s">
        <v>1964</v>
      </c>
      <c r="D953" s="35" t="s">
        <v>111</v>
      </c>
      <c r="E953" s="34" t="n">
        <v>6200</v>
      </c>
      <c r="F953" s="34" t="n">
        <v>6500</v>
      </c>
      <c r="G953" s="34" t="n">
        <v>6300</v>
      </c>
      <c r="H953" s="34" t="n">
        <v>10800</v>
      </c>
      <c r="I953" s="36" t="n">
        <f aca="false">$E953/F953-1</f>
        <v>-0.0461538461538461</v>
      </c>
      <c r="J953" s="36" t="n">
        <f aca="false">$E953/G953-1</f>
        <v>-0.0158730158730159</v>
      </c>
      <c r="K953" s="36" t="n">
        <f aca="false">$E953/H953-1</f>
        <v>-0.425925925925926</v>
      </c>
      <c r="L953" s="37" t="n">
        <v>16.91</v>
      </c>
      <c r="M953" s="37" t="n">
        <v>0.4</v>
      </c>
      <c r="N953" s="34" t="n">
        <v>22600</v>
      </c>
      <c r="O953" s="34" t="n">
        <v>4003</v>
      </c>
      <c r="P953" s="38"/>
      <c r="Q953" s="38"/>
    </row>
    <row r="954" customFormat="false" ht="15" hidden="false" customHeight="false" outlineLevel="0" collapsed="false">
      <c r="A954" s="34" t="n">
        <v>946</v>
      </c>
      <c r="B954" s="35" t="s">
        <v>1965</v>
      </c>
      <c r="C954" s="35" t="s">
        <v>1966</v>
      </c>
      <c r="D954" s="35" t="s">
        <v>133</v>
      </c>
      <c r="E954" s="34" t="n">
        <v>10800</v>
      </c>
      <c r="F954" s="34" t="n">
        <v>10800</v>
      </c>
      <c r="G954" s="34" t="n">
        <v>10500</v>
      </c>
      <c r="H954" s="34" t="n">
        <v>8500</v>
      </c>
      <c r="I954" s="36" t="n">
        <f aca="false">$E954/F954-1</f>
        <v>0</v>
      </c>
      <c r="J954" s="36" t="n">
        <f aca="false">$E954/G954-1</f>
        <v>0.0285714285714285</v>
      </c>
      <c r="K954" s="36" t="n">
        <f aca="false">$E954/H954-1</f>
        <v>0.270588235294118</v>
      </c>
      <c r="L954" s="37" t="n">
        <v>38.69</v>
      </c>
      <c r="M954" s="37" t="n">
        <v>0.95</v>
      </c>
      <c r="N954" s="34" t="n">
        <v>12200</v>
      </c>
      <c r="O954" s="34" t="n">
        <v>6700</v>
      </c>
      <c r="P954" s="38"/>
      <c r="Q954" s="38"/>
    </row>
    <row r="955" customFormat="false" ht="15" hidden="false" customHeight="false" outlineLevel="0" collapsed="false">
      <c r="A955" s="34" t="n">
        <v>947</v>
      </c>
      <c r="B955" s="35" t="s">
        <v>1967</v>
      </c>
      <c r="C955" s="35" t="s">
        <v>1968</v>
      </c>
      <c r="D955" s="35" t="s">
        <v>111</v>
      </c>
      <c r="E955" s="34" t="n">
        <v>13093</v>
      </c>
      <c r="F955" s="34" t="n">
        <v>13015</v>
      </c>
      <c r="G955" s="34" t="n">
        <v>14013</v>
      </c>
      <c r="H955" s="34" t="n">
        <v>16804.01</v>
      </c>
      <c r="I955" s="36" t="n">
        <f aca="false">$E955/F955-1</f>
        <v>0.00599308490203621</v>
      </c>
      <c r="J955" s="36" t="n">
        <f aca="false">$E955/G955-1</f>
        <v>-0.0656533219153643</v>
      </c>
      <c r="K955" s="36" t="n">
        <f aca="false">$E955/H955-1</f>
        <v>-0.220840739799607</v>
      </c>
      <c r="L955" s="37" t="n">
        <v>9.26</v>
      </c>
      <c r="M955" s="37" t="n">
        <v>1.06</v>
      </c>
      <c r="N955" s="34" t="n">
        <v>18608.37</v>
      </c>
      <c r="O955" s="34" t="n">
        <v>12521</v>
      </c>
      <c r="P955" s="38"/>
      <c r="Q955" s="38"/>
    </row>
    <row r="956" customFormat="false" ht="15" hidden="false" customHeight="false" outlineLevel="0" collapsed="false">
      <c r="A956" s="34" t="n">
        <v>948</v>
      </c>
      <c r="B956" s="35" t="s">
        <v>1969</v>
      </c>
      <c r="C956" s="35" t="s">
        <v>1970</v>
      </c>
      <c r="D956" s="35" t="s">
        <v>116</v>
      </c>
      <c r="E956" s="34" t="n">
        <v>18700</v>
      </c>
      <c r="F956" s="34" t="n">
        <v>18200</v>
      </c>
      <c r="G956" s="34" t="n">
        <v>19000</v>
      </c>
      <c r="H956" s="34" t="n">
        <v>21434.4</v>
      </c>
      <c r="I956" s="36" t="n">
        <f aca="false">$E956/F956-1</f>
        <v>0.0274725274725274</v>
      </c>
      <c r="J956" s="36" t="n">
        <f aca="false">$E956/G956-1</f>
        <v>-0.0157894736842106</v>
      </c>
      <c r="K956" s="36" t="n">
        <f aca="false">$E956/H956-1</f>
        <v>-0.127570634120853</v>
      </c>
      <c r="L956" s="37" t="n">
        <v>3.39</v>
      </c>
      <c r="M956" s="37" t="n">
        <v>0.73</v>
      </c>
      <c r="N956" s="34" t="n">
        <v>25190</v>
      </c>
      <c r="O956" s="34" t="n">
        <v>17900</v>
      </c>
      <c r="P956" s="38"/>
      <c r="Q956" s="38"/>
    </row>
    <row r="957" customFormat="false" ht="15" hidden="false" customHeight="false" outlineLevel="0" collapsed="false">
      <c r="A957" s="34" t="n">
        <v>949</v>
      </c>
      <c r="B957" s="35" t="s">
        <v>1971</v>
      </c>
      <c r="C957" s="35" t="s">
        <v>1972</v>
      </c>
      <c r="D957" s="35" t="s">
        <v>133</v>
      </c>
      <c r="E957" s="34" t="n">
        <v>20800</v>
      </c>
      <c r="F957" s="34" t="n">
        <v>20800</v>
      </c>
      <c r="G957" s="34" t="n">
        <v>22100</v>
      </c>
      <c r="H957" s="34" t="n">
        <v>23305.28</v>
      </c>
      <c r="I957" s="36" t="n">
        <f aca="false">$E957/F957-1</f>
        <v>0</v>
      </c>
      <c r="J957" s="36" t="n">
        <f aca="false">$E957/G957-1</f>
        <v>-0.0588235294117647</v>
      </c>
      <c r="K957" s="36" t="n">
        <f aca="false">$E957/H957-1</f>
        <v>-0.107498386631699</v>
      </c>
      <c r="L957" s="37" t="n">
        <v>7.04</v>
      </c>
      <c r="M957" s="37" t="n">
        <v>1.01</v>
      </c>
      <c r="N957" s="34" t="n">
        <v>24696.64</v>
      </c>
      <c r="O957" s="34" t="n">
        <v>20500</v>
      </c>
      <c r="P957" s="38"/>
      <c r="Q957" s="38"/>
    </row>
    <row r="958" customFormat="false" ht="15" hidden="false" customHeight="false" outlineLevel="0" collapsed="false">
      <c r="A958" s="34" t="n">
        <v>950</v>
      </c>
      <c r="B958" s="35" t="s">
        <v>1973</v>
      </c>
      <c r="C958" s="35" t="s">
        <v>1974</v>
      </c>
      <c r="D958" s="35" t="s">
        <v>116</v>
      </c>
      <c r="E958" s="34" t="n">
        <v>16900</v>
      </c>
      <c r="F958" s="34" t="n">
        <v>17050</v>
      </c>
      <c r="G958" s="34" t="n">
        <v>18000</v>
      </c>
      <c r="H958" s="34" t="n">
        <v>17704.89</v>
      </c>
      <c r="I958" s="36" t="n">
        <f aca="false">$E958/F958-1</f>
        <v>-0.00879765395894427</v>
      </c>
      <c r="J958" s="36" t="n">
        <f aca="false">$E958/G958-1</f>
        <v>-0.0611111111111111</v>
      </c>
      <c r="K958" s="36" t="n">
        <f aca="false">$E958/H958-1</f>
        <v>-0.0454614516102613</v>
      </c>
      <c r="L958" s="37" t="n">
        <v>4.99</v>
      </c>
      <c r="M958" s="37" t="n">
        <v>0.57</v>
      </c>
      <c r="N958" s="34" t="n">
        <v>20128.18</v>
      </c>
      <c r="O958" s="34" t="n">
        <v>16700</v>
      </c>
      <c r="P958" s="38"/>
      <c r="Q958" s="38"/>
    </row>
    <row r="959" customFormat="false" ht="15" hidden="false" customHeight="false" outlineLevel="0" collapsed="false">
      <c r="A959" s="34" t="n">
        <v>951</v>
      </c>
      <c r="B959" s="35" t="s">
        <v>1975</v>
      </c>
      <c r="C959" s="35" t="s">
        <v>1976</v>
      </c>
      <c r="D959" s="35" t="s">
        <v>133</v>
      </c>
      <c r="E959" s="34" t="n">
        <v>7300</v>
      </c>
      <c r="F959" s="34" t="n">
        <v>7500</v>
      </c>
      <c r="G959" s="34" t="n">
        <v>7200</v>
      </c>
      <c r="H959" s="34" t="n">
        <v>6800</v>
      </c>
      <c r="I959" s="36" t="n">
        <f aca="false">$E959/F959-1</f>
        <v>-0.0266666666666666</v>
      </c>
      <c r="J959" s="36" t="n">
        <f aca="false">$E959/G959-1</f>
        <v>0.0138888888888888</v>
      </c>
      <c r="K959" s="36" t="n">
        <f aca="false">$E959/H959-1</f>
        <v>0.0735294117647058</v>
      </c>
      <c r="L959" s="37" t="n">
        <v>8</v>
      </c>
      <c r="M959" s="37" t="n">
        <v>0.72</v>
      </c>
      <c r="N959" s="34" t="n">
        <v>7800</v>
      </c>
      <c r="O959" s="34" t="n">
        <v>5900</v>
      </c>
      <c r="P959" s="38"/>
      <c r="Q959" s="38"/>
    </row>
    <row r="960" customFormat="false" ht="15" hidden="false" customHeight="false" outlineLevel="0" collapsed="false">
      <c r="A960" s="34" t="n">
        <v>952</v>
      </c>
      <c r="B960" s="35" t="s">
        <v>1977</v>
      </c>
      <c r="C960" s="35" t="s">
        <v>1978</v>
      </c>
      <c r="D960" s="35" t="s">
        <v>133</v>
      </c>
      <c r="E960" s="34" t="n">
        <v>9200</v>
      </c>
      <c r="F960" s="34" t="n">
        <v>9000</v>
      </c>
      <c r="G960" s="34" t="n">
        <v>10800</v>
      </c>
      <c r="H960" s="34" t="n">
        <v>11200</v>
      </c>
      <c r="I960" s="36" t="n">
        <f aca="false">$E960/F960-1</f>
        <v>0.0222222222222221</v>
      </c>
      <c r="J960" s="36" t="n">
        <f aca="false">$E960/G960-1</f>
        <v>-0.148148148148148</v>
      </c>
      <c r="K960" s="36" t="n">
        <f aca="false">$E960/H960-1</f>
        <v>-0.178571428571429</v>
      </c>
      <c r="L960" s="37" t="n">
        <v>5.38</v>
      </c>
      <c r="M960" s="37" t="n">
        <v>0.55</v>
      </c>
      <c r="N960" s="34" t="n">
        <v>14100</v>
      </c>
      <c r="O960" s="34" t="n">
        <v>8900</v>
      </c>
      <c r="P960" s="38"/>
      <c r="Q960" s="38"/>
    </row>
    <row r="961" customFormat="false" ht="15" hidden="false" customHeight="false" outlineLevel="0" collapsed="false">
      <c r="A961" s="34" t="n">
        <v>953</v>
      </c>
      <c r="B961" s="35" t="s">
        <v>1979</v>
      </c>
      <c r="C961" s="35" t="s">
        <v>1980</v>
      </c>
      <c r="D961" s="35" t="s">
        <v>111</v>
      </c>
      <c r="E961" s="34" t="n">
        <v>4000</v>
      </c>
      <c r="F961" s="34" t="n">
        <v>4300</v>
      </c>
      <c r="G961" s="34" t="n">
        <v>3900</v>
      </c>
      <c r="H961" s="34" t="n">
        <v>4700</v>
      </c>
      <c r="I961" s="36" t="n">
        <f aca="false">$E961/F961-1</f>
        <v>-0.0697674418604651</v>
      </c>
      <c r="J961" s="36" t="n">
        <f aca="false">$E961/G961-1</f>
        <v>0.0256410256410256</v>
      </c>
      <c r="K961" s="36" t="n">
        <f aca="false">$E961/H961-1</f>
        <v>-0.148936170212766</v>
      </c>
      <c r="L961" s="37" t="n">
        <v>-12.23</v>
      </c>
      <c r="M961" s="37" t="n">
        <v>0.4</v>
      </c>
      <c r="N961" s="34" t="n">
        <v>5400</v>
      </c>
      <c r="O961" s="34" t="n">
        <v>3800</v>
      </c>
      <c r="P961" s="38"/>
      <c r="Q961" s="38"/>
    </row>
    <row r="962" customFormat="false" ht="15" hidden="false" customHeight="false" outlineLevel="0" collapsed="false">
      <c r="A962" s="34" t="n">
        <v>954</v>
      </c>
      <c r="B962" s="35" t="s">
        <v>1981</v>
      </c>
      <c r="C962" s="35" t="s">
        <v>1982</v>
      </c>
      <c r="D962" s="35" t="s">
        <v>111</v>
      </c>
      <c r="E962" s="34" t="n">
        <v>6400</v>
      </c>
      <c r="F962" s="34" t="n">
        <v>6400</v>
      </c>
      <c r="G962" s="34" t="n">
        <v>7200</v>
      </c>
      <c r="H962" s="34" t="n">
        <v>6800</v>
      </c>
      <c r="I962" s="36" t="n">
        <f aca="false">$E962/F962-1</f>
        <v>0</v>
      </c>
      <c r="J962" s="36" t="n">
        <f aca="false">$E962/G962-1</f>
        <v>-0.111111111111111</v>
      </c>
      <c r="K962" s="36" t="n">
        <f aca="false">$E962/H962-1</f>
        <v>-0.0588235294117647</v>
      </c>
      <c r="L962" s="37" t="n">
        <v>26.66</v>
      </c>
      <c r="M962" s="37" t="n">
        <v>0.57</v>
      </c>
      <c r="N962" s="34" t="n">
        <v>7600</v>
      </c>
      <c r="O962" s="34" t="n">
        <v>5800</v>
      </c>
      <c r="P962" s="38"/>
      <c r="Q962" s="38"/>
    </row>
    <row r="963" customFormat="false" ht="15" hidden="false" customHeight="false" outlineLevel="0" collapsed="false">
      <c r="A963" s="34" t="n">
        <v>955</v>
      </c>
      <c r="B963" s="35" t="s">
        <v>1983</v>
      </c>
      <c r="C963" s="35" t="s">
        <v>1984</v>
      </c>
      <c r="D963" s="35" t="s">
        <v>116</v>
      </c>
      <c r="E963" s="34" t="n">
        <v>8240</v>
      </c>
      <c r="F963" s="34" t="n">
        <v>8000</v>
      </c>
      <c r="G963" s="34" t="n">
        <v>9227.36</v>
      </c>
      <c r="H963" s="34" t="n">
        <v>14409.24</v>
      </c>
      <c r="I963" s="36" t="n">
        <f aca="false">$E963/F963-1</f>
        <v>0.03</v>
      </c>
      <c r="J963" s="36" t="n">
        <f aca="false">$E963/G963-1</f>
        <v>-0.107003519966708</v>
      </c>
      <c r="K963" s="36" t="n">
        <f aca="false">$E963/H963-1</f>
        <v>-0.428144718250234</v>
      </c>
      <c r="L963" s="37" t="n">
        <v>23.44</v>
      </c>
      <c r="M963" s="37" t="n">
        <v>0.78</v>
      </c>
      <c r="N963" s="34" t="n">
        <v>21846.23</v>
      </c>
      <c r="O963" s="34" t="n">
        <v>7600</v>
      </c>
      <c r="P963" s="38"/>
      <c r="Q963" s="38"/>
    </row>
    <row r="964" customFormat="false" ht="15" hidden="false" customHeight="false" outlineLevel="0" collapsed="false">
      <c r="A964" s="34" t="n">
        <v>956</v>
      </c>
      <c r="B964" s="35" t="s">
        <v>1985</v>
      </c>
      <c r="C964" s="35" t="s">
        <v>1986</v>
      </c>
      <c r="D964" s="35" t="s">
        <v>111</v>
      </c>
      <c r="E964" s="34" t="n">
        <v>2080</v>
      </c>
      <c r="F964" s="34" t="n">
        <v>2200</v>
      </c>
      <c r="G964" s="34" t="n">
        <v>2200</v>
      </c>
      <c r="H964" s="34" t="n">
        <v>4274</v>
      </c>
      <c r="I964" s="36" t="n">
        <f aca="false">$E964/F964-1</f>
        <v>-0.0545454545454546</v>
      </c>
      <c r="J964" s="36" t="n">
        <f aca="false">$E964/G964-1</f>
        <v>-0.0545454545454546</v>
      </c>
      <c r="K964" s="36" t="n">
        <f aca="false">$E964/H964-1</f>
        <v>-0.513336452971455</v>
      </c>
      <c r="L964" s="37" t="n">
        <v>-1.09</v>
      </c>
      <c r="M964" s="37" t="n">
        <v>6.68</v>
      </c>
      <c r="N964" s="34" t="n">
        <v>8166</v>
      </c>
      <c r="O964" s="34" t="n">
        <v>2080</v>
      </c>
      <c r="P964" s="38"/>
      <c r="Q964" s="38"/>
    </row>
    <row r="965" customFormat="false" ht="15" hidden="false" customHeight="false" outlineLevel="0" collapsed="false">
      <c r="A965" s="34" t="n">
        <v>957</v>
      </c>
      <c r="B965" s="35" t="s">
        <v>1987</v>
      </c>
      <c r="C965" s="35" t="s">
        <v>1988</v>
      </c>
      <c r="D965" s="35" t="s">
        <v>133</v>
      </c>
      <c r="E965" s="34" t="n">
        <v>7400</v>
      </c>
      <c r="F965" s="34" t="n">
        <v>7100</v>
      </c>
      <c r="G965" s="34" t="n">
        <v>7800</v>
      </c>
      <c r="H965" s="34" t="n">
        <v>9739.52</v>
      </c>
      <c r="I965" s="36" t="n">
        <f aca="false">$E965/F965-1</f>
        <v>0.0422535211267605</v>
      </c>
      <c r="J965" s="36" t="n">
        <f aca="false">$E965/G965-1</f>
        <v>-0.0512820512820513</v>
      </c>
      <c r="K965" s="36" t="n">
        <f aca="false">$E965/H965-1</f>
        <v>-0.240208963070049</v>
      </c>
      <c r="L965" s="37" t="n">
        <v>5.44</v>
      </c>
      <c r="M965" s="37" t="n">
        <v>0.44</v>
      </c>
      <c r="N965" s="34" t="n">
        <v>13866.64</v>
      </c>
      <c r="O965" s="34" t="n">
        <v>7100</v>
      </c>
      <c r="P965" s="38"/>
      <c r="Q965" s="38"/>
    </row>
    <row r="966" customFormat="false" ht="15" hidden="false" customHeight="false" outlineLevel="0" collapsed="false">
      <c r="A966" s="34" t="n">
        <v>958</v>
      </c>
      <c r="B966" s="35" t="s">
        <v>1989</v>
      </c>
      <c r="C966" s="35" t="s">
        <v>1990</v>
      </c>
      <c r="D966" s="35" t="s">
        <v>111</v>
      </c>
      <c r="E966" s="34" t="n">
        <v>9300</v>
      </c>
      <c r="F966" s="34" t="n">
        <v>9300</v>
      </c>
      <c r="G966" s="34" t="n">
        <v>9300</v>
      </c>
      <c r="H966" s="34" t="n">
        <v>8600</v>
      </c>
      <c r="I966" s="36" t="n">
        <f aca="false">$E966/F966-1</f>
        <v>0</v>
      </c>
      <c r="J966" s="36" t="n">
        <f aca="false">$E966/G966-1</f>
        <v>0</v>
      </c>
      <c r="K966" s="36" t="n">
        <f aca="false">$E966/H966-1</f>
        <v>0.0813953488372092</v>
      </c>
      <c r="L966" s="37" t="n">
        <v>8.57</v>
      </c>
      <c r="M966" s="37" t="n">
        <v>0.66</v>
      </c>
      <c r="N966" s="34" t="n">
        <v>10200</v>
      </c>
      <c r="O966" s="34" t="n">
        <v>8180</v>
      </c>
      <c r="P966" s="38"/>
      <c r="Q966" s="38"/>
    </row>
    <row r="967" customFormat="false" ht="15" hidden="false" customHeight="false" outlineLevel="0" collapsed="false">
      <c r="A967" s="34" t="n">
        <v>959</v>
      </c>
      <c r="B967" s="35" t="s">
        <v>24</v>
      </c>
      <c r="C967" s="35" t="s">
        <v>1991</v>
      </c>
      <c r="D967" s="35" t="s">
        <v>116</v>
      </c>
      <c r="E967" s="34" t="n">
        <v>74600</v>
      </c>
      <c r="F967" s="34" t="n">
        <v>68600</v>
      </c>
      <c r="G967" s="34" t="n">
        <v>73800</v>
      </c>
      <c r="H967" s="34" t="n">
        <v>72400</v>
      </c>
      <c r="I967" s="36" t="n">
        <f aca="false">$E967/F967-1</f>
        <v>0.087463556851312</v>
      </c>
      <c r="J967" s="36" t="n">
        <f aca="false">$E967/G967-1</f>
        <v>0.0108401084010841</v>
      </c>
      <c r="K967" s="36" t="n">
        <f aca="false">$E967/H967-1</f>
        <v>0.0303867403314917</v>
      </c>
      <c r="L967" s="37" t="n">
        <v>14.17</v>
      </c>
      <c r="M967" s="37" t="n">
        <v>2.62</v>
      </c>
      <c r="N967" s="34" t="n">
        <v>128700</v>
      </c>
      <c r="O967" s="34" t="n">
        <v>56000</v>
      </c>
      <c r="P967" s="38" t="n">
        <v>15.545</v>
      </c>
      <c r="Q967" s="38" t="n">
        <v>2.89</v>
      </c>
    </row>
    <row r="968" customFormat="false" ht="15" hidden="false" customHeight="false" outlineLevel="0" collapsed="false">
      <c r="A968" s="34" t="n">
        <v>960</v>
      </c>
      <c r="B968" s="35" t="s">
        <v>1992</v>
      </c>
      <c r="C968" s="35" t="s">
        <v>1993</v>
      </c>
      <c r="D968" s="35" t="s">
        <v>116</v>
      </c>
      <c r="E968" s="34" t="n">
        <v>22650</v>
      </c>
      <c r="F968" s="34" t="n">
        <v>21550</v>
      </c>
      <c r="G968" s="34" t="n">
        <v>22200</v>
      </c>
      <c r="H968" s="34" t="n">
        <v>23600</v>
      </c>
      <c r="I968" s="36" t="n">
        <f aca="false">$E968/F968-1</f>
        <v>0.0510440835266821</v>
      </c>
      <c r="J968" s="36" t="n">
        <f aca="false">$E968/G968-1</f>
        <v>0.0202702702702702</v>
      </c>
      <c r="K968" s="36" t="n">
        <f aca="false">$E968/H968-1</f>
        <v>-0.0402542372881356</v>
      </c>
      <c r="L968" s="37" t="n">
        <v>18.05</v>
      </c>
      <c r="M968" s="37" t="n">
        <v>1.52</v>
      </c>
      <c r="N968" s="34" t="n">
        <v>27700</v>
      </c>
      <c r="O968" s="34" t="n">
        <v>21200</v>
      </c>
      <c r="P968" s="38"/>
      <c r="Q968" s="38"/>
    </row>
    <row r="969" customFormat="false" ht="15" hidden="false" customHeight="false" outlineLevel="0" collapsed="false">
      <c r="A969" s="34" t="n">
        <v>961</v>
      </c>
      <c r="B969" s="35" t="s">
        <v>1994</v>
      </c>
      <c r="C969" s="35" t="s">
        <v>1995</v>
      </c>
      <c r="D969" s="35" t="s">
        <v>111</v>
      </c>
      <c r="E969" s="34" t="n">
        <v>300</v>
      </c>
      <c r="F969" s="34" t="n">
        <v>300</v>
      </c>
      <c r="G969" s="34" t="n">
        <v>300</v>
      </c>
      <c r="H969" s="34" t="n">
        <v>300</v>
      </c>
      <c r="I969" s="36" t="n">
        <f aca="false">$E969/F969-1</f>
        <v>0</v>
      </c>
      <c r="J969" s="36" t="n">
        <f aca="false">$E969/G969-1</f>
        <v>0</v>
      </c>
      <c r="K969" s="36" t="n">
        <f aca="false">$E969/H969-1</f>
        <v>0</v>
      </c>
      <c r="L969" s="37" t="n">
        <v>0.12</v>
      </c>
      <c r="M969" s="37" t="n">
        <v>0.03</v>
      </c>
      <c r="N969" s="34" t="n">
        <v>300</v>
      </c>
      <c r="O969" s="34" t="n">
        <v>300</v>
      </c>
      <c r="P969" s="38"/>
      <c r="Q969" s="38"/>
    </row>
    <row r="970" customFormat="false" ht="15" hidden="false" customHeight="false" outlineLevel="0" collapsed="false">
      <c r="A970" s="34" t="n">
        <v>962</v>
      </c>
      <c r="B970" s="35" t="s">
        <v>1996</v>
      </c>
      <c r="C970" s="35" t="s">
        <v>1997</v>
      </c>
      <c r="D970" s="35" t="s">
        <v>111</v>
      </c>
      <c r="E970" s="34" t="n">
        <v>13460</v>
      </c>
      <c r="F970" s="34" t="n">
        <v>13076</v>
      </c>
      <c r="G970" s="34" t="n">
        <v>12643</v>
      </c>
      <c r="H970" s="34" t="n">
        <v>10801</v>
      </c>
      <c r="I970" s="36" t="n">
        <f aca="false">$E970/F970-1</f>
        <v>0.0293667788314469</v>
      </c>
      <c r="J970" s="36" t="n">
        <f aca="false">$E970/G970-1</f>
        <v>0.0646207387487148</v>
      </c>
      <c r="K970" s="36" t="n">
        <f aca="false">$E970/H970-1</f>
        <v>0.246180909175076</v>
      </c>
      <c r="L970" s="37" t="n">
        <v>22.91</v>
      </c>
      <c r="M970" s="37" t="n">
        <v>1.28</v>
      </c>
      <c r="N970" s="34" t="n">
        <v>24088</v>
      </c>
      <c r="O970" s="34" t="n">
        <v>10137</v>
      </c>
      <c r="P970" s="38"/>
      <c r="Q970" s="38"/>
    </row>
    <row r="971" customFormat="false" ht="15" hidden="false" customHeight="false" outlineLevel="0" collapsed="false">
      <c r="A971" s="34" t="n">
        <v>963</v>
      </c>
      <c r="B971" s="35" t="s">
        <v>1998</v>
      </c>
      <c r="C971" s="35" t="s">
        <v>1999</v>
      </c>
      <c r="D971" s="35" t="s">
        <v>111</v>
      </c>
      <c r="E971" s="34" t="n">
        <v>7000</v>
      </c>
      <c r="F971" s="34" t="n">
        <v>7454</v>
      </c>
      <c r="G971" s="34" t="n">
        <v>6702</v>
      </c>
      <c r="H971" s="34" t="n">
        <v>7694.4</v>
      </c>
      <c r="I971" s="36" t="n">
        <f aca="false">$E971/F971-1</f>
        <v>-0.0609068956265093</v>
      </c>
      <c r="J971" s="36" t="n">
        <f aca="false">$E971/G971-1</f>
        <v>0.0444643390032826</v>
      </c>
      <c r="K971" s="36" t="n">
        <f aca="false">$E971/H971-1</f>
        <v>-0.0902474526928675</v>
      </c>
      <c r="L971" s="37" t="n">
        <v>3.49</v>
      </c>
      <c r="M971" s="37" t="n">
        <v>0.44</v>
      </c>
      <c r="N971" s="34" t="n">
        <v>12547.64</v>
      </c>
      <c r="O971" s="34" t="n">
        <v>6395</v>
      </c>
      <c r="P971" s="38"/>
      <c r="Q971" s="38"/>
    </row>
    <row r="972" customFormat="false" ht="15" hidden="false" customHeight="false" outlineLevel="0" collapsed="false">
      <c r="A972" s="34" t="n">
        <v>964</v>
      </c>
      <c r="B972" s="35" t="s">
        <v>2000</v>
      </c>
      <c r="C972" s="35" t="s">
        <v>2001</v>
      </c>
      <c r="D972" s="35" t="s">
        <v>111</v>
      </c>
      <c r="E972" s="34"/>
      <c r="F972" s="34"/>
      <c r="G972" s="34"/>
      <c r="H972" s="34"/>
      <c r="I972" s="36" t="e">
        <f aca="false">$E972/F972-1</f>
        <v>#DIV/0!</v>
      </c>
      <c r="J972" s="36" t="e">
        <f aca="false">$E972/G972-1</f>
        <v>#DIV/0!</v>
      </c>
      <c r="K972" s="36" t="e">
        <f aca="false">$E972/H972-1</f>
        <v>#DIV/0!</v>
      </c>
      <c r="L972" s="37"/>
      <c r="M972" s="37"/>
      <c r="N972" s="34"/>
      <c r="O972" s="34"/>
      <c r="P972" s="38"/>
      <c r="Q972" s="38"/>
    </row>
    <row r="973" customFormat="false" ht="15" hidden="false" customHeight="false" outlineLevel="0" collapsed="false">
      <c r="A973" s="34" t="n">
        <v>965</v>
      </c>
      <c r="B973" s="35" t="s">
        <v>2002</v>
      </c>
      <c r="C973" s="35" t="s">
        <v>2003</v>
      </c>
      <c r="D973" s="35" t="s">
        <v>133</v>
      </c>
      <c r="E973" s="34" t="n">
        <v>65500</v>
      </c>
      <c r="F973" s="34" t="n">
        <v>62360.64</v>
      </c>
      <c r="G973" s="34" t="n">
        <v>64122.24</v>
      </c>
      <c r="H973" s="34" t="n">
        <v>81914.4</v>
      </c>
      <c r="I973" s="36" t="n">
        <f aca="false">$E973/F973-1</f>
        <v>0.0503420106015589</v>
      </c>
      <c r="J973" s="36" t="n">
        <f aca="false">$E973/G973-1</f>
        <v>0.0214864608597578</v>
      </c>
      <c r="K973" s="36" t="n">
        <f aca="false">$E973/H973-1</f>
        <v>-0.200384791929136</v>
      </c>
      <c r="L973" s="37" t="n">
        <v>12.75</v>
      </c>
      <c r="M973" s="37" t="n">
        <v>1.86</v>
      </c>
      <c r="N973" s="34" t="n">
        <v>99090</v>
      </c>
      <c r="O973" s="34" t="n">
        <v>53514.59</v>
      </c>
      <c r="P973" s="38"/>
      <c r="Q973" s="38"/>
    </row>
    <row r="974" customFormat="false" ht="15" hidden="false" customHeight="false" outlineLevel="0" collapsed="false">
      <c r="A974" s="34" t="n">
        <v>966</v>
      </c>
      <c r="B974" s="35" t="s">
        <v>2004</v>
      </c>
      <c r="C974" s="35" t="s">
        <v>2005</v>
      </c>
      <c r="D974" s="35" t="s">
        <v>111</v>
      </c>
      <c r="E974" s="34" t="n">
        <v>46000</v>
      </c>
      <c r="F974" s="34" t="n">
        <v>46000</v>
      </c>
      <c r="G974" s="34" t="n">
        <v>35000</v>
      </c>
      <c r="H974" s="34" t="n">
        <v>50800</v>
      </c>
      <c r="I974" s="36" t="n">
        <f aca="false">$E974/F974-1</f>
        <v>0</v>
      </c>
      <c r="J974" s="36" t="n">
        <f aca="false">$E974/G974-1</f>
        <v>0.314285714285714</v>
      </c>
      <c r="K974" s="36" t="n">
        <f aca="false">$E974/H974-1</f>
        <v>-0.094488188976378</v>
      </c>
      <c r="L974" s="37" t="n">
        <v>1205.61</v>
      </c>
      <c r="M974" s="37" t="n">
        <v>4.48</v>
      </c>
      <c r="N974" s="34" t="n">
        <v>50800</v>
      </c>
      <c r="O974" s="34" t="n">
        <v>30500</v>
      </c>
      <c r="P974" s="38"/>
      <c r="Q974" s="38"/>
    </row>
    <row r="975" customFormat="false" ht="15" hidden="false" customHeight="false" outlineLevel="0" collapsed="false">
      <c r="A975" s="34" t="n">
        <v>967</v>
      </c>
      <c r="B975" s="35" t="s">
        <v>2006</v>
      </c>
      <c r="C975" s="35" t="s">
        <v>2007</v>
      </c>
      <c r="D975" s="35" t="s">
        <v>133</v>
      </c>
      <c r="E975" s="34" t="n">
        <v>15900</v>
      </c>
      <c r="F975" s="34" t="n">
        <v>15900</v>
      </c>
      <c r="G975" s="34" t="n">
        <v>11300</v>
      </c>
      <c r="H975" s="34" t="n">
        <v>12800</v>
      </c>
      <c r="I975" s="36" t="n">
        <f aca="false">$E975/F975-1</f>
        <v>0</v>
      </c>
      <c r="J975" s="36" t="n">
        <f aca="false">$E975/G975-1</f>
        <v>0.407079646017699</v>
      </c>
      <c r="K975" s="36" t="n">
        <f aca="false">$E975/H975-1</f>
        <v>0.2421875</v>
      </c>
      <c r="L975" s="37" t="n">
        <v>6.01</v>
      </c>
      <c r="M975" s="37" t="n">
        <v>1.62</v>
      </c>
      <c r="N975" s="34" t="n">
        <v>15900</v>
      </c>
      <c r="O975" s="34" t="n">
        <v>9900</v>
      </c>
      <c r="P975" s="38"/>
      <c r="Q975" s="38"/>
    </row>
    <row r="976" customFormat="false" ht="15" hidden="false" customHeight="false" outlineLevel="0" collapsed="false">
      <c r="A976" s="34" t="n">
        <v>968</v>
      </c>
      <c r="B976" s="35" t="s">
        <v>2008</v>
      </c>
      <c r="C976" s="35" t="s">
        <v>2009</v>
      </c>
      <c r="D976" s="35" t="s">
        <v>111</v>
      </c>
      <c r="E976" s="34" t="n">
        <v>400</v>
      </c>
      <c r="F976" s="34" t="n">
        <v>400</v>
      </c>
      <c r="G976" s="34" t="n">
        <v>300</v>
      </c>
      <c r="H976" s="34" t="n">
        <v>214.7</v>
      </c>
      <c r="I976" s="36" t="n">
        <f aca="false">$E976/F976-1</f>
        <v>0</v>
      </c>
      <c r="J976" s="36" t="n">
        <f aca="false">$E976/G976-1</f>
        <v>0.333333333333333</v>
      </c>
      <c r="K976" s="36" t="n">
        <f aca="false">$E976/H976-1</f>
        <v>0.863064741499767</v>
      </c>
      <c r="L976" s="37" t="n">
        <v>0.02</v>
      </c>
      <c r="M976" s="37" t="n">
        <v>0.01</v>
      </c>
      <c r="N976" s="34" t="n">
        <v>400</v>
      </c>
      <c r="O976" s="34" t="n">
        <v>153.68</v>
      </c>
      <c r="P976" s="38"/>
      <c r="Q976" s="38"/>
    </row>
    <row r="977" customFormat="false" ht="15" hidden="false" customHeight="false" outlineLevel="0" collapsed="false">
      <c r="A977" s="34" t="n">
        <v>969</v>
      </c>
      <c r="B977" s="35" t="s">
        <v>2010</v>
      </c>
      <c r="C977" s="35" t="s">
        <v>2011</v>
      </c>
      <c r="D977" s="35" t="s">
        <v>133</v>
      </c>
      <c r="E977" s="34" t="n">
        <v>14000</v>
      </c>
      <c r="F977" s="34" t="n">
        <v>14100</v>
      </c>
      <c r="G977" s="34" t="n">
        <v>15600</v>
      </c>
      <c r="H977" s="34" t="n">
        <v>9903.45</v>
      </c>
      <c r="I977" s="36" t="n">
        <f aca="false">$E977/F977-1</f>
        <v>-0.00709219858156029</v>
      </c>
      <c r="J977" s="36" t="n">
        <f aca="false">$E977/G977-1</f>
        <v>-0.102564102564103</v>
      </c>
      <c r="K977" s="36" t="n">
        <f aca="false">$E977/H977-1</f>
        <v>0.413648778960867</v>
      </c>
      <c r="L977" s="37" t="n">
        <v>39.59</v>
      </c>
      <c r="M977" s="37" t="n">
        <v>1.37</v>
      </c>
      <c r="N977" s="34" t="n">
        <v>22595.25</v>
      </c>
      <c r="O977" s="34" t="n">
        <v>9134.25</v>
      </c>
      <c r="P977" s="38"/>
      <c r="Q977" s="38"/>
    </row>
    <row r="978" customFormat="false" ht="15" hidden="false" customHeight="false" outlineLevel="0" collapsed="false">
      <c r="A978" s="34" t="n">
        <v>970</v>
      </c>
      <c r="B978" s="35" t="s">
        <v>2012</v>
      </c>
      <c r="C978" s="35" t="s">
        <v>2013</v>
      </c>
      <c r="D978" s="35" t="s">
        <v>133</v>
      </c>
      <c r="E978" s="34" t="n">
        <v>4800</v>
      </c>
      <c r="F978" s="34" t="n">
        <v>4700</v>
      </c>
      <c r="G978" s="34" t="n">
        <v>4600</v>
      </c>
      <c r="H978" s="34" t="n">
        <v>6800</v>
      </c>
      <c r="I978" s="36" t="n">
        <f aca="false">$E978/F978-1</f>
        <v>0.0212765957446808</v>
      </c>
      <c r="J978" s="36" t="n">
        <f aca="false">$E978/G978-1</f>
        <v>0.0434782608695652</v>
      </c>
      <c r="K978" s="36" t="n">
        <f aca="false">$E978/H978-1</f>
        <v>-0.294117647058824</v>
      </c>
      <c r="L978" s="37" t="n">
        <v>13.68</v>
      </c>
      <c r="M978" s="37" t="n">
        <v>0.51</v>
      </c>
      <c r="N978" s="34" t="n">
        <v>6900</v>
      </c>
      <c r="O978" s="34" t="n">
        <v>4300</v>
      </c>
      <c r="P978" s="38"/>
      <c r="Q978" s="38"/>
    </row>
    <row r="979" customFormat="false" ht="15" hidden="false" customHeight="false" outlineLevel="0" collapsed="false">
      <c r="A979" s="34" t="n">
        <v>971</v>
      </c>
      <c r="B979" s="35" t="s">
        <v>2014</v>
      </c>
      <c r="C979" s="35" t="s">
        <v>2015</v>
      </c>
      <c r="D979" s="35" t="s">
        <v>111</v>
      </c>
      <c r="E979" s="34" t="n">
        <v>135000</v>
      </c>
      <c r="F979" s="34" t="n">
        <v>129000</v>
      </c>
      <c r="G979" s="34" t="n">
        <v>131000</v>
      </c>
      <c r="H979" s="34"/>
      <c r="I979" s="36" t="n">
        <f aca="false">$E979/F979-1</f>
        <v>0.0465116279069768</v>
      </c>
      <c r="J979" s="36" t="n">
        <f aca="false">$E979/G979-1</f>
        <v>0.0305343511450382</v>
      </c>
      <c r="K979" s="36" t="e">
        <f aca="false">$E979/H979-1</f>
        <v>#DIV/0!</v>
      </c>
      <c r="L979" s="37"/>
      <c r="M979" s="37" t="n">
        <v>4.44</v>
      </c>
      <c r="N979" s="34"/>
      <c r="O979" s="34"/>
      <c r="P979" s="38"/>
      <c r="Q979" s="38"/>
    </row>
    <row r="980" customFormat="false" ht="15" hidden="false" customHeight="false" outlineLevel="0" collapsed="false">
      <c r="A980" s="34" t="n">
        <v>972</v>
      </c>
      <c r="B980" s="35" t="s">
        <v>2016</v>
      </c>
      <c r="C980" s="35" t="s">
        <v>2017</v>
      </c>
      <c r="D980" s="35" t="s">
        <v>133</v>
      </c>
      <c r="E980" s="34" t="n">
        <v>49000</v>
      </c>
      <c r="F980" s="34" t="n">
        <v>49000</v>
      </c>
      <c r="G980" s="34" t="n">
        <v>54000</v>
      </c>
      <c r="H980" s="34" t="n">
        <v>47300</v>
      </c>
      <c r="I980" s="36" t="n">
        <f aca="false">$E980/F980-1</f>
        <v>0</v>
      </c>
      <c r="J980" s="36" t="n">
        <f aca="false">$E980/G980-1</f>
        <v>-0.0925925925925926</v>
      </c>
      <c r="K980" s="36" t="n">
        <f aca="false">$E980/H980-1</f>
        <v>0.0359408033826638</v>
      </c>
      <c r="L980" s="37" t="n">
        <v>9.7</v>
      </c>
      <c r="M980" s="37" t="n">
        <v>2.23</v>
      </c>
      <c r="N980" s="34" t="n">
        <v>57200</v>
      </c>
      <c r="O980" s="34" t="n">
        <v>24904.74</v>
      </c>
      <c r="P980" s="38"/>
      <c r="Q980" s="38"/>
    </row>
    <row r="981" customFormat="false" ht="15" hidden="false" customHeight="false" outlineLevel="0" collapsed="false">
      <c r="A981" s="34" t="n">
        <v>973</v>
      </c>
      <c r="B981" s="35" t="s">
        <v>2018</v>
      </c>
      <c r="C981" s="35" t="s">
        <v>2019</v>
      </c>
      <c r="D981" s="35" t="s">
        <v>116</v>
      </c>
      <c r="E981" s="34" t="n">
        <v>10100</v>
      </c>
      <c r="F981" s="34" t="n">
        <v>9960</v>
      </c>
      <c r="G981" s="34" t="n">
        <v>11600</v>
      </c>
      <c r="H981" s="34" t="n">
        <v>15100</v>
      </c>
      <c r="I981" s="36" t="n">
        <f aca="false">$E981/F981-1</f>
        <v>0.0140562248995983</v>
      </c>
      <c r="J981" s="36" t="n">
        <f aca="false">$E981/G981-1</f>
        <v>-0.129310344827586</v>
      </c>
      <c r="K981" s="36" t="n">
        <f aca="false">$E981/H981-1</f>
        <v>-0.33112582781457</v>
      </c>
      <c r="L981" s="37" t="n">
        <v>8.32</v>
      </c>
      <c r="M981" s="37" t="n">
        <v>0.61</v>
      </c>
      <c r="N981" s="34" t="n">
        <v>18800</v>
      </c>
      <c r="O981" s="34" t="n">
        <v>9460</v>
      </c>
      <c r="P981" s="38"/>
      <c r="Q981" s="38"/>
    </row>
    <row r="982" customFormat="false" ht="15" hidden="false" customHeight="false" outlineLevel="0" collapsed="false">
      <c r="A982" s="34" t="n">
        <v>974</v>
      </c>
      <c r="B982" s="35" t="s">
        <v>2020</v>
      </c>
      <c r="C982" s="35" t="s">
        <v>2021</v>
      </c>
      <c r="D982" s="35" t="s">
        <v>111</v>
      </c>
      <c r="E982" s="34" t="n">
        <v>6900</v>
      </c>
      <c r="F982" s="34" t="n">
        <v>6500</v>
      </c>
      <c r="G982" s="34" t="n">
        <v>8800</v>
      </c>
      <c r="H982" s="34" t="n">
        <v>11992</v>
      </c>
      <c r="I982" s="36" t="n">
        <f aca="false">$E982/F982-1</f>
        <v>0.0615384615384615</v>
      </c>
      <c r="J982" s="36" t="n">
        <f aca="false">$E982/G982-1</f>
        <v>-0.215909090909091</v>
      </c>
      <c r="K982" s="36" t="n">
        <f aca="false">$E982/H982-1</f>
        <v>-0.424616410940627</v>
      </c>
      <c r="L982" s="37" t="n">
        <v>107.2</v>
      </c>
      <c r="M982" s="37" t="n">
        <v>0.83</v>
      </c>
      <c r="N982" s="34" t="n">
        <v>14941</v>
      </c>
      <c r="O982" s="34" t="n">
        <v>6000</v>
      </c>
      <c r="P982" s="38"/>
      <c r="Q982" s="38"/>
    </row>
    <row r="983" customFormat="false" ht="15" hidden="false" customHeight="false" outlineLevel="0" collapsed="false">
      <c r="A983" s="34" t="n">
        <v>975</v>
      </c>
      <c r="B983" s="35" t="s">
        <v>2022</v>
      </c>
      <c r="C983" s="35" t="s">
        <v>2023</v>
      </c>
      <c r="D983" s="35" t="s">
        <v>111</v>
      </c>
      <c r="E983" s="34" t="n">
        <v>2297</v>
      </c>
      <c r="F983" s="34" t="n">
        <v>2394</v>
      </c>
      <c r="G983" s="34" t="n">
        <v>2571</v>
      </c>
      <c r="H983" s="34" t="n">
        <v>2902</v>
      </c>
      <c r="I983" s="36" t="n">
        <f aca="false">$E983/F983-1</f>
        <v>-0.0405179615705932</v>
      </c>
      <c r="J983" s="36" t="n">
        <f aca="false">$E983/G983-1</f>
        <v>-0.106573317775185</v>
      </c>
      <c r="K983" s="36" t="n">
        <f aca="false">$E983/H983-1</f>
        <v>-0.208476912474156</v>
      </c>
      <c r="L983" s="37" t="n">
        <v>4.83</v>
      </c>
      <c r="M983" s="37" t="n">
        <v>0.18</v>
      </c>
      <c r="N983" s="34" t="n">
        <v>4651</v>
      </c>
      <c r="O983" s="34" t="n">
        <v>2250</v>
      </c>
      <c r="P983" s="38"/>
      <c r="Q983" s="38"/>
    </row>
    <row r="984" customFormat="false" ht="15" hidden="false" customHeight="false" outlineLevel="0" collapsed="false">
      <c r="A984" s="34" t="n">
        <v>976</v>
      </c>
      <c r="B984" s="35" t="s">
        <v>2024</v>
      </c>
      <c r="C984" s="35" t="s">
        <v>2025</v>
      </c>
      <c r="D984" s="35" t="s">
        <v>116</v>
      </c>
      <c r="E984" s="34" t="n">
        <v>14000</v>
      </c>
      <c r="F984" s="34" t="n">
        <v>14000</v>
      </c>
      <c r="G984" s="34" t="n">
        <v>14050</v>
      </c>
      <c r="H984" s="34" t="n">
        <v>14500</v>
      </c>
      <c r="I984" s="36" t="n">
        <f aca="false">$E984/F984-1</f>
        <v>0</v>
      </c>
      <c r="J984" s="36" t="n">
        <f aca="false">$E984/G984-1</f>
        <v>-0.00355871886120995</v>
      </c>
      <c r="K984" s="36" t="n">
        <f aca="false">$E984/H984-1</f>
        <v>-0.0344827586206896</v>
      </c>
      <c r="L984" s="37" t="n">
        <v>69.04</v>
      </c>
      <c r="M984" s="37" t="n">
        <v>1.26</v>
      </c>
      <c r="N984" s="34" t="n">
        <v>18050</v>
      </c>
      <c r="O984" s="34" t="n">
        <v>13700</v>
      </c>
      <c r="P984" s="38"/>
      <c r="Q984" s="38"/>
    </row>
    <row r="985" customFormat="false" ht="15" hidden="false" customHeight="false" outlineLevel="0" collapsed="false">
      <c r="A985" s="34" t="n">
        <v>977</v>
      </c>
      <c r="B985" s="35" t="s">
        <v>2026</v>
      </c>
      <c r="C985" s="35" t="s">
        <v>2027</v>
      </c>
      <c r="D985" s="35" t="s">
        <v>116</v>
      </c>
      <c r="E985" s="34" t="n">
        <v>7350</v>
      </c>
      <c r="F985" s="34" t="n">
        <v>6910</v>
      </c>
      <c r="G985" s="34" t="n">
        <v>7120</v>
      </c>
      <c r="H985" s="34" t="n">
        <v>8000</v>
      </c>
      <c r="I985" s="36" t="n">
        <f aca="false">$E985/F985-1</f>
        <v>0.0636758321273516</v>
      </c>
      <c r="J985" s="36" t="n">
        <f aca="false">$E985/G985-1</f>
        <v>0.0323033707865168</v>
      </c>
      <c r="K985" s="36" t="n">
        <f aca="false">$E985/H985-1</f>
        <v>-0.08125</v>
      </c>
      <c r="L985" s="37"/>
      <c r="M985" s="37"/>
      <c r="N985" s="34" t="n">
        <v>8990</v>
      </c>
      <c r="O985" s="34" t="n">
        <v>6660</v>
      </c>
      <c r="P985" s="38"/>
      <c r="Q985" s="38"/>
    </row>
    <row r="986" customFormat="false" ht="15" hidden="false" customHeight="false" outlineLevel="0" collapsed="false">
      <c r="A986" s="34" t="n">
        <v>978</v>
      </c>
      <c r="B986" s="35" t="s">
        <v>2028</v>
      </c>
      <c r="C986" s="35" t="s">
        <v>2029</v>
      </c>
      <c r="D986" s="35" t="s">
        <v>116</v>
      </c>
      <c r="E986" s="34" t="n">
        <v>14600</v>
      </c>
      <c r="F986" s="34" t="n">
        <v>14600</v>
      </c>
      <c r="G986" s="34" t="n">
        <v>14600.04</v>
      </c>
      <c r="H986" s="34" t="n">
        <v>14787.22</v>
      </c>
      <c r="I986" s="36" t="n">
        <f aca="false">$E986/F986-1</f>
        <v>0</v>
      </c>
      <c r="J986" s="36" t="n">
        <f aca="false">$E986/G986-1</f>
        <v>-2.73971852138288E-006</v>
      </c>
      <c r="K986" s="36" t="n">
        <f aca="false">$E986/H986-1</f>
        <v>-0.0126609328866413</v>
      </c>
      <c r="L986" s="37"/>
      <c r="M986" s="37"/>
      <c r="N986" s="34" t="n">
        <v>15442.35</v>
      </c>
      <c r="O986" s="34" t="n">
        <v>12821.83</v>
      </c>
      <c r="P986" s="38"/>
      <c r="Q986" s="38"/>
    </row>
    <row r="987" customFormat="false" ht="15" hidden="false" customHeight="false" outlineLevel="0" collapsed="false">
      <c r="A987" s="34" t="n">
        <v>979</v>
      </c>
      <c r="B987" s="35" t="s">
        <v>2030</v>
      </c>
      <c r="C987" s="35" t="s">
        <v>2031</v>
      </c>
      <c r="D987" s="35" t="s">
        <v>116</v>
      </c>
      <c r="E987" s="34" t="n">
        <v>16900</v>
      </c>
      <c r="F987" s="34" t="n">
        <v>16900</v>
      </c>
      <c r="G987" s="34" t="n">
        <v>16900</v>
      </c>
      <c r="H987" s="34" t="n">
        <v>16900</v>
      </c>
      <c r="I987" s="36" t="n">
        <f aca="false">$E987/F987-1</f>
        <v>0</v>
      </c>
      <c r="J987" s="36" t="n">
        <f aca="false">$E987/G987-1</f>
        <v>0</v>
      </c>
      <c r="K987" s="36" t="n">
        <f aca="false">$E987/H987-1</f>
        <v>0</v>
      </c>
      <c r="L987" s="37"/>
      <c r="M987" s="37"/>
      <c r="N987" s="34" t="n">
        <v>16900</v>
      </c>
      <c r="O987" s="34" t="n">
        <v>16900</v>
      </c>
      <c r="P987" s="38"/>
      <c r="Q987" s="38"/>
    </row>
    <row r="988" customFormat="false" ht="15" hidden="false" customHeight="false" outlineLevel="0" collapsed="false">
      <c r="A988" s="34" t="n">
        <v>980</v>
      </c>
      <c r="B988" s="35" t="s">
        <v>2032</v>
      </c>
      <c r="C988" s="35" t="s">
        <v>2033</v>
      </c>
      <c r="D988" s="35" t="s">
        <v>116</v>
      </c>
      <c r="E988" s="34" t="n">
        <v>12800</v>
      </c>
      <c r="F988" s="34" t="n">
        <v>12800</v>
      </c>
      <c r="G988" s="34" t="n">
        <v>12800</v>
      </c>
      <c r="H988" s="34" t="n">
        <v>12450</v>
      </c>
      <c r="I988" s="36" t="n">
        <f aca="false">$E988/F988-1</f>
        <v>0</v>
      </c>
      <c r="J988" s="36" t="n">
        <f aca="false">$E988/G988-1</f>
        <v>0</v>
      </c>
      <c r="K988" s="36" t="n">
        <f aca="false">$E988/H988-1</f>
        <v>0.0281124497991967</v>
      </c>
      <c r="L988" s="37"/>
      <c r="M988" s="37"/>
      <c r="N988" s="34" t="n">
        <v>14200</v>
      </c>
      <c r="O988" s="34" t="n">
        <v>11000</v>
      </c>
      <c r="P988" s="38"/>
      <c r="Q988" s="38"/>
    </row>
    <row r="989" customFormat="false" ht="15" hidden="false" customHeight="false" outlineLevel="0" collapsed="false">
      <c r="A989" s="34" t="n">
        <v>981</v>
      </c>
      <c r="B989" s="35" t="s">
        <v>2034</v>
      </c>
      <c r="C989" s="35" t="s">
        <v>2035</v>
      </c>
      <c r="D989" s="35" t="s">
        <v>116</v>
      </c>
      <c r="E989" s="34" t="n">
        <v>10600</v>
      </c>
      <c r="F989" s="34" t="n">
        <v>10600</v>
      </c>
      <c r="G989" s="34" t="n">
        <v>11000</v>
      </c>
      <c r="H989" s="34" t="n">
        <v>10810</v>
      </c>
      <c r="I989" s="36" t="n">
        <f aca="false">$E989/F989-1</f>
        <v>0</v>
      </c>
      <c r="J989" s="36" t="n">
        <f aca="false">$E989/G989-1</f>
        <v>-0.0363636363636364</v>
      </c>
      <c r="K989" s="36" t="n">
        <f aca="false">$E989/H989-1</f>
        <v>-0.0194264569842738</v>
      </c>
      <c r="L989" s="37"/>
      <c r="M989" s="37"/>
      <c r="N989" s="34" t="n">
        <v>12250</v>
      </c>
      <c r="O989" s="34" t="n">
        <v>10000</v>
      </c>
      <c r="P989" s="38"/>
      <c r="Q989" s="38"/>
    </row>
    <row r="990" customFormat="false" ht="15" hidden="false" customHeight="false" outlineLevel="0" collapsed="false">
      <c r="A990" s="34" t="n">
        <v>982</v>
      </c>
      <c r="B990" s="35" t="s">
        <v>2036</v>
      </c>
      <c r="C990" s="35" t="s">
        <v>2037</v>
      </c>
      <c r="D990" s="35" t="s">
        <v>116</v>
      </c>
      <c r="E990" s="34" t="n">
        <v>12510</v>
      </c>
      <c r="F990" s="34" t="n">
        <v>12510</v>
      </c>
      <c r="G990" s="34" t="n">
        <v>12510</v>
      </c>
      <c r="H990" s="34" t="n">
        <v>12510</v>
      </c>
      <c r="I990" s="36" t="n">
        <f aca="false">$E990/F990-1</f>
        <v>0</v>
      </c>
      <c r="J990" s="36" t="n">
        <f aca="false">$E990/G990-1</f>
        <v>0</v>
      </c>
      <c r="K990" s="36" t="n">
        <f aca="false">$E990/H990-1</f>
        <v>0</v>
      </c>
      <c r="L990" s="37"/>
      <c r="M990" s="37"/>
      <c r="N990" s="34" t="n">
        <v>12510</v>
      </c>
      <c r="O990" s="34" t="n">
        <v>12510</v>
      </c>
      <c r="P990" s="38"/>
      <c r="Q990" s="38"/>
    </row>
    <row r="991" customFormat="false" ht="15" hidden="false" customHeight="false" outlineLevel="0" collapsed="false">
      <c r="A991" s="34" t="n">
        <v>983</v>
      </c>
      <c r="B991" s="35" t="s">
        <v>2038</v>
      </c>
      <c r="C991" s="35" t="s">
        <v>2039</v>
      </c>
      <c r="D991" s="35" t="s">
        <v>116</v>
      </c>
      <c r="E991" s="34" t="n">
        <v>33390</v>
      </c>
      <c r="F991" s="34" t="n">
        <v>32440</v>
      </c>
      <c r="G991" s="34" t="n">
        <v>35690</v>
      </c>
      <c r="H991" s="34" t="n">
        <v>38300</v>
      </c>
      <c r="I991" s="36" t="n">
        <f aca="false">$E991/F991-1</f>
        <v>0.0292848335388409</v>
      </c>
      <c r="J991" s="36" t="n">
        <f aca="false">$E991/G991-1</f>
        <v>-0.0644438217988232</v>
      </c>
      <c r="K991" s="36" t="n">
        <f aca="false">$E991/H991-1</f>
        <v>-0.128198433420366</v>
      </c>
      <c r="L991" s="37"/>
      <c r="M991" s="37"/>
      <c r="N991" s="34" t="n">
        <v>40950</v>
      </c>
      <c r="O991" s="34" t="n">
        <v>31400</v>
      </c>
      <c r="P991" s="38"/>
      <c r="Q991" s="38"/>
    </row>
    <row r="992" customFormat="false" ht="15" hidden="false" customHeight="false" outlineLevel="0" collapsed="false">
      <c r="A992" s="34" t="n">
        <v>984</v>
      </c>
      <c r="B992" s="35" t="s">
        <v>2040</v>
      </c>
      <c r="C992" s="35" t="s">
        <v>2041</v>
      </c>
      <c r="D992" s="35" t="s">
        <v>116</v>
      </c>
      <c r="E992" s="34" t="n">
        <v>34250</v>
      </c>
      <c r="F992" s="34" t="n">
        <v>33700</v>
      </c>
      <c r="G992" s="34" t="n">
        <v>35770</v>
      </c>
      <c r="H992" s="34" t="n">
        <v>36090</v>
      </c>
      <c r="I992" s="36" t="n">
        <f aca="false">$E992/F992-1</f>
        <v>0.0163204747774481</v>
      </c>
      <c r="J992" s="36" t="n">
        <f aca="false">$E992/G992-1</f>
        <v>-0.0424937098126922</v>
      </c>
      <c r="K992" s="36" t="n">
        <f aca="false">$E992/H992-1</f>
        <v>-0.0509836519811582</v>
      </c>
      <c r="L992" s="37"/>
      <c r="M992" s="37"/>
      <c r="N992" s="34" t="n">
        <v>37030</v>
      </c>
      <c r="O992" s="34" t="n">
        <v>30420</v>
      </c>
      <c r="P992" s="38"/>
      <c r="Q992" s="38"/>
    </row>
    <row r="993" customFormat="false" ht="15" hidden="false" customHeight="false" outlineLevel="0" collapsed="false">
      <c r="A993" s="34" t="n">
        <v>985</v>
      </c>
      <c r="B993" s="35" t="s">
        <v>2042</v>
      </c>
      <c r="C993" s="35" t="s">
        <v>2043</v>
      </c>
      <c r="D993" s="35" t="s">
        <v>116</v>
      </c>
      <c r="E993" s="34" t="n">
        <v>12240</v>
      </c>
      <c r="F993" s="34" t="n">
        <v>11920</v>
      </c>
      <c r="G993" s="34" t="n">
        <v>13050</v>
      </c>
      <c r="H993" s="34" t="n">
        <v>14810</v>
      </c>
      <c r="I993" s="36" t="n">
        <f aca="false">$E993/F993-1</f>
        <v>0.0268456375838926</v>
      </c>
      <c r="J993" s="36" t="n">
        <f aca="false">$E993/G993-1</f>
        <v>-0.0620689655172414</v>
      </c>
      <c r="K993" s="36" t="n">
        <f aca="false">$E993/H993-1</f>
        <v>-0.173531397704254</v>
      </c>
      <c r="L993" s="37"/>
      <c r="M993" s="37"/>
      <c r="N993" s="34" t="n">
        <v>16240</v>
      </c>
      <c r="O993" s="34" t="n">
        <v>11350</v>
      </c>
      <c r="P993" s="38"/>
      <c r="Q993" s="38"/>
    </row>
    <row r="994" customFormat="false" ht="15" hidden="false" customHeight="false" outlineLevel="0" collapsed="false">
      <c r="A994" s="34" t="n">
        <v>986</v>
      </c>
      <c r="B994" s="35" t="s">
        <v>2044</v>
      </c>
      <c r="C994" s="35" t="s">
        <v>2045</v>
      </c>
      <c r="D994" s="35" t="s">
        <v>116</v>
      </c>
      <c r="E994" s="34" t="n">
        <v>14890</v>
      </c>
      <c r="F994" s="34" t="n">
        <v>14500</v>
      </c>
      <c r="G994" s="34" t="n">
        <v>16000</v>
      </c>
      <c r="H994" s="34" t="n">
        <v>14400</v>
      </c>
      <c r="I994" s="36" t="n">
        <f aca="false">$E994/F994-1</f>
        <v>0.026896551724138</v>
      </c>
      <c r="J994" s="36" t="n">
        <f aca="false">$E994/G994-1</f>
        <v>-0.069375</v>
      </c>
      <c r="K994" s="36" t="n">
        <f aca="false">$E994/H994-1</f>
        <v>0.0340277777777778</v>
      </c>
      <c r="L994" s="37"/>
      <c r="M994" s="37"/>
      <c r="N994" s="34" t="n">
        <v>16890</v>
      </c>
      <c r="O994" s="34" t="n">
        <v>13440</v>
      </c>
      <c r="P994" s="38"/>
      <c r="Q994" s="38"/>
    </row>
    <row r="995" customFormat="false" ht="15" hidden="false" customHeight="false" outlineLevel="0" collapsed="false">
      <c r="A995" s="34" t="n">
        <v>987</v>
      </c>
      <c r="B995" s="35" t="s">
        <v>2046</v>
      </c>
      <c r="C995" s="35" t="s">
        <v>2047</v>
      </c>
      <c r="D995" s="35" t="s">
        <v>116</v>
      </c>
      <c r="E995" s="34" t="n">
        <v>13640</v>
      </c>
      <c r="F995" s="34" t="n">
        <v>12920</v>
      </c>
      <c r="G995" s="34" t="n">
        <v>14260</v>
      </c>
      <c r="H995" s="34" t="n">
        <v>12450</v>
      </c>
      <c r="I995" s="36" t="n">
        <f aca="false">$E995/F995-1</f>
        <v>0.0557275541795665</v>
      </c>
      <c r="J995" s="36" t="n">
        <f aca="false">$E995/G995-1</f>
        <v>-0.0434782608695652</v>
      </c>
      <c r="K995" s="36" t="n">
        <f aca="false">$E995/H995-1</f>
        <v>0.0955823293172691</v>
      </c>
      <c r="L995" s="37"/>
      <c r="M995" s="37"/>
      <c r="N995" s="34" t="n">
        <v>14290</v>
      </c>
      <c r="O995" s="34" t="n">
        <v>10530</v>
      </c>
      <c r="P995" s="38"/>
      <c r="Q995" s="38"/>
    </row>
    <row r="996" customFormat="false" ht="15" hidden="false" customHeight="false" outlineLevel="0" collapsed="false">
      <c r="A996" s="34" t="n">
        <v>988</v>
      </c>
      <c r="B996" s="35" t="s">
        <v>2048</v>
      </c>
      <c r="C996" s="35" t="s">
        <v>2049</v>
      </c>
      <c r="D996" s="35" t="s">
        <v>116</v>
      </c>
      <c r="E996" s="34" t="n">
        <v>12320</v>
      </c>
      <c r="F996" s="34" t="n">
        <v>11760</v>
      </c>
      <c r="G996" s="34" t="n">
        <v>13300</v>
      </c>
      <c r="H996" s="34" t="n">
        <v>14380</v>
      </c>
      <c r="I996" s="36" t="n">
        <f aca="false">$E996/F996-1</f>
        <v>0.0476190476190477</v>
      </c>
      <c r="J996" s="36" t="n">
        <f aca="false">$E996/G996-1</f>
        <v>-0.0736842105263158</v>
      </c>
      <c r="K996" s="36" t="n">
        <f aca="false">$E996/H996-1</f>
        <v>-0.143254520166898</v>
      </c>
      <c r="L996" s="37"/>
      <c r="M996" s="37"/>
      <c r="N996" s="34" t="n">
        <v>15200</v>
      </c>
      <c r="O996" s="34" t="n">
        <v>11360</v>
      </c>
      <c r="P996" s="38"/>
      <c r="Q996" s="38"/>
    </row>
    <row r="997" customFormat="false" ht="15" hidden="false" customHeight="false" outlineLevel="0" collapsed="false">
      <c r="A997" s="34" t="n">
        <v>989</v>
      </c>
      <c r="B997" s="35" t="s">
        <v>2050</v>
      </c>
      <c r="C997" s="35" t="s">
        <v>2051</v>
      </c>
      <c r="D997" s="35" t="s">
        <v>116</v>
      </c>
      <c r="E997" s="34" t="n">
        <v>23640</v>
      </c>
      <c r="F997" s="34" t="n">
        <v>23190</v>
      </c>
      <c r="G997" s="34" t="n">
        <v>24610</v>
      </c>
      <c r="H997" s="34" t="n">
        <v>24810</v>
      </c>
      <c r="I997" s="36" t="n">
        <f aca="false">$E997/F997-1</f>
        <v>0.0194049159120311</v>
      </c>
      <c r="J997" s="36" t="n">
        <f aca="false">$E997/G997-1</f>
        <v>-0.0394148720032507</v>
      </c>
      <c r="K997" s="36" t="n">
        <f aca="false">$E997/H997-1</f>
        <v>-0.0471584038694075</v>
      </c>
      <c r="L997" s="37"/>
      <c r="M997" s="37"/>
      <c r="N997" s="34" t="n">
        <v>25430</v>
      </c>
      <c r="O997" s="34" t="n">
        <v>21230</v>
      </c>
      <c r="P997" s="38"/>
      <c r="Q997" s="38"/>
    </row>
    <row r="998" customFormat="false" ht="15" hidden="false" customHeight="false" outlineLevel="0" collapsed="false">
      <c r="A998" s="34" t="n">
        <v>990</v>
      </c>
      <c r="B998" s="35" t="s">
        <v>2052</v>
      </c>
      <c r="C998" s="35" t="s">
        <v>2053</v>
      </c>
      <c r="D998" s="35" t="s">
        <v>116</v>
      </c>
      <c r="E998" s="34" t="n">
        <v>14000</v>
      </c>
      <c r="F998" s="34" t="n">
        <v>13570</v>
      </c>
      <c r="G998" s="34" t="n">
        <v>15160</v>
      </c>
      <c r="H998" s="34" t="n">
        <v>16310</v>
      </c>
      <c r="I998" s="36" t="n">
        <f aca="false">$E998/F998-1</f>
        <v>0.0316875460574797</v>
      </c>
      <c r="J998" s="36" t="n">
        <f aca="false">$E998/G998-1</f>
        <v>-0.0765171503957783</v>
      </c>
      <c r="K998" s="36" t="n">
        <f aca="false">$E998/H998-1</f>
        <v>-0.141630901287554</v>
      </c>
      <c r="L998" s="37"/>
      <c r="M998" s="37"/>
      <c r="N998" s="34" t="n">
        <v>17190</v>
      </c>
      <c r="O998" s="34" t="n">
        <v>13200</v>
      </c>
      <c r="P998" s="38"/>
      <c r="Q998" s="38"/>
    </row>
    <row r="999" customFormat="false" ht="15" hidden="false" customHeight="false" outlineLevel="0" collapsed="false">
      <c r="A999" s="34" t="n">
        <v>991</v>
      </c>
      <c r="B999" s="35" t="s">
        <v>2054</v>
      </c>
      <c r="C999" s="35" t="s">
        <v>2055</v>
      </c>
      <c r="D999" s="35" t="s">
        <v>116</v>
      </c>
      <c r="E999" s="34" t="n">
        <v>24690</v>
      </c>
      <c r="F999" s="34" t="n">
        <v>24160</v>
      </c>
      <c r="G999" s="34" t="n">
        <v>25000</v>
      </c>
      <c r="H999" s="34" t="n">
        <v>25490</v>
      </c>
      <c r="I999" s="36" t="n">
        <f aca="false">$E999/F999-1</f>
        <v>0.0219370860927153</v>
      </c>
      <c r="J999" s="36" t="n">
        <f aca="false">$E999/G999-1</f>
        <v>-0.0124</v>
      </c>
      <c r="K999" s="36" t="n">
        <f aca="false">$E999/H999-1</f>
        <v>-0.0313848568065909</v>
      </c>
      <c r="L999" s="37"/>
      <c r="M999" s="37"/>
      <c r="N999" s="34" t="n">
        <v>26190</v>
      </c>
      <c r="O999" s="34" t="n">
        <v>21700</v>
      </c>
      <c r="P999" s="38"/>
      <c r="Q999" s="38"/>
    </row>
    <row r="1000" customFormat="false" ht="15" hidden="false" customHeight="false" outlineLevel="0" collapsed="false">
      <c r="A1000" s="34" t="n">
        <v>992</v>
      </c>
      <c r="B1000" s="35" t="s">
        <v>2056</v>
      </c>
      <c r="C1000" s="35" t="s">
        <v>2057</v>
      </c>
      <c r="D1000" s="35" t="s">
        <v>116</v>
      </c>
      <c r="E1000" s="34" t="n">
        <v>28270</v>
      </c>
      <c r="F1000" s="34" t="n">
        <v>27360</v>
      </c>
      <c r="G1000" s="34" t="n">
        <v>29860</v>
      </c>
      <c r="H1000" s="34" t="n">
        <v>30360</v>
      </c>
      <c r="I1000" s="36" t="n">
        <f aca="false">$E1000/F1000-1</f>
        <v>0.0332602339181287</v>
      </c>
      <c r="J1000" s="36" t="n">
        <f aca="false">$E1000/G1000-1</f>
        <v>-0.0532484929671802</v>
      </c>
      <c r="K1000" s="36" t="n">
        <f aca="false">$E1000/H1000-1</f>
        <v>-0.0688405797101449</v>
      </c>
      <c r="L1000" s="37"/>
      <c r="M1000" s="37"/>
      <c r="N1000" s="34" t="n">
        <v>35550</v>
      </c>
      <c r="O1000" s="34" t="n">
        <v>26720</v>
      </c>
      <c r="P1000" s="38"/>
      <c r="Q1000" s="38"/>
    </row>
    <row r="1001" customFormat="false" ht="15" hidden="false" customHeight="false" outlineLevel="0" collapsed="false">
      <c r="A1001" s="34" t="n">
        <v>993</v>
      </c>
      <c r="B1001" s="35" t="s">
        <v>2058</v>
      </c>
      <c r="C1001" s="35" t="s">
        <v>2059</v>
      </c>
      <c r="D1001" s="35" t="s">
        <v>116</v>
      </c>
      <c r="E1001" s="34" t="n">
        <v>29600</v>
      </c>
      <c r="F1001" s="34" t="n">
        <v>29990</v>
      </c>
      <c r="G1001" s="34" t="n">
        <v>30190</v>
      </c>
      <c r="H1001" s="34" t="n">
        <v>28420</v>
      </c>
      <c r="I1001" s="36" t="n">
        <f aca="false">$E1001/F1001-1</f>
        <v>-0.0130043347782595</v>
      </c>
      <c r="J1001" s="36" t="n">
        <f aca="false">$E1001/G1001-1</f>
        <v>-0.0195428949983438</v>
      </c>
      <c r="K1001" s="36" t="n">
        <f aca="false">$E1001/H1001-1</f>
        <v>0.0415200562983815</v>
      </c>
      <c r="L1001" s="37"/>
      <c r="M1001" s="37"/>
      <c r="N1001" s="34" t="n">
        <v>30900</v>
      </c>
      <c r="O1001" s="34" t="n">
        <v>26200</v>
      </c>
      <c r="P1001" s="38"/>
      <c r="Q1001" s="38"/>
    </row>
    <row r="1002" customFormat="false" ht="15" hidden="false" customHeight="false" outlineLevel="0" collapsed="false">
      <c r="A1002" s="34" t="n">
        <v>994</v>
      </c>
      <c r="B1002" s="35" t="s">
        <v>2060</v>
      </c>
      <c r="C1002" s="35" t="s">
        <v>2061</v>
      </c>
      <c r="D1002" s="35" t="s">
        <v>116</v>
      </c>
      <c r="E1002" s="34" t="n">
        <v>14340</v>
      </c>
      <c r="F1002" s="34" t="n">
        <v>13990</v>
      </c>
      <c r="G1002" s="34" t="n">
        <v>14900</v>
      </c>
      <c r="H1002" s="34" t="n">
        <v>14500</v>
      </c>
      <c r="I1002" s="36" t="n">
        <f aca="false">$E1002/F1002-1</f>
        <v>0.0250178699070764</v>
      </c>
      <c r="J1002" s="36" t="n">
        <f aca="false">$E1002/G1002-1</f>
        <v>-0.0375838926174497</v>
      </c>
      <c r="K1002" s="36" t="n">
        <f aca="false">$E1002/H1002-1</f>
        <v>-0.0110344827586207</v>
      </c>
      <c r="L1002" s="37"/>
      <c r="M1002" s="37"/>
      <c r="N1002" s="34" t="n">
        <v>15850</v>
      </c>
      <c r="O1002" s="34" t="n">
        <v>13090</v>
      </c>
      <c r="P1002" s="38"/>
      <c r="Q1002" s="38"/>
    </row>
    <row r="1003" customFormat="false" ht="15" hidden="false" customHeight="false" outlineLevel="0" collapsed="false">
      <c r="A1003" s="34" t="n">
        <v>995</v>
      </c>
      <c r="B1003" s="35" t="s">
        <v>2062</v>
      </c>
      <c r="C1003" s="35" t="s">
        <v>2063</v>
      </c>
      <c r="D1003" s="35" t="s">
        <v>116</v>
      </c>
      <c r="E1003" s="34" t="n">
        <v>25600</v>
      </c>
      <c r="F1003" s="34" t="n">
        <v>25600</v>
      </c>
      <c r="G1003" s="34" t="n">
        <v>26360</v>
      </c>
      <c r="H1003" s="34" t="n">
        <v>25520</v>
      </c>
      <c r="I1003" s="36" t="n">
        <f aca="false">$E1003/F1003-1</f>
        <v>0</v>
      </c>
      <c r="J1003" s="36" t="n">
        <f aca="false">$E1003/G1003-1</f>
        <v>-0.0288315629742033</v>
      </c>
      <c r="K1003" s="36" t="n">
        <f aca="false">$E1003/H1003-1</f>
        <v>0.00313479623824442</v>
      </c>
      <c r="L1003" s="37"/>
      <c r="M1003" s="37"/>
      <c r="N1003" s="34" t="n">
        <v>28500</v>
      </c>
      <c r="O1003" s="34" t="n">
        <v>23340</v>
      </c>
      <c r="P1003" s="38"/>
      <c r="Q1003" s="38"/>
    </row>
    <row r="1004" customFormat="false" ht="15" hidden="false" customHeight="false" outlineLevel="0" collapsed="false">
      <c r="A1004" s="34" t="n">
        <v>996</v>
      </c>
      <c r="B1004" s="35" t="s">
        <v>2064</v>
      </c>
      <c r="C1004" s="35" t="s">
        <v>2065</v>
      </c>
      <c r="D1004" s="35" t="s">
        <v>116</v>
      </c>
      <c r="E1004" s="34" t="n">
        <v>12000</v>
      </c>
      <c r="F1004" s="34" t="n">
        <v>12150</v>
      </c>
      <c r="G1004" s="34" t="n">
        <v>11900</v>
      </c>
      <c r="H1004" s="34"/>
      <c r="I1004" s="36" t="n">
        <f aca="false">$E1004/F1004-1</f>
        <v>-0.0123456790123457</v>
      </c>
      <c r="J1004" s="36" t="n">
        <f aca="false">$E1004/G1004-1</f>
        <v>0.00840336134453779</v>
      </c>
      <c r="K1004" s="36" t="e">
        <f aca="false">$E1004/H1004-1</f>
        <v>#DIV/0!</v>
      </c>
      <c r="L1004" s="37"/>
      <c r="M1004" s="37"/>
      <c r="N1004" s="34"/>
      <c r="O1004" s="34"/>
      <c r="P1004" s="38"/>
      <c r="Q1004" s="38"/>
    </row>
    <row r="1005" customFormat="false" ht="15" hidden="false" customHeight="false" outlineLevel="0" collapsed="false">
      <c r="A1005" s="34" t="n">
        <v>997</v>
      </c>
      <c r="B1005" s="35" t="s">
        <v>2066</v>
      </c>
      <c r="C1005" s="35" t="s">
        <v>2067</v>
      </c>
      <c r="D1005" s="35" t="s">
        <v>116</v>
      </c>
      <c r="E1005" s="34" t="n">
        <v>20950</v>
      </c>
      <c r="F1005" s="34" t="n">
        <v>22800</v>
      </c>
      <c r="G1005" s="34" t="n">
        <v>26200</v>
      </c>
      <c r="H1005" s="34" t="n">
        <v>34175.39</v>
      </c>
      <c r="I1005" s="36" t="n">
        <f aca="false">$E1005/F1005-1</f>
        <v>-0.081140350877193</v>
      </c>
      <c r="J1005" s="36" t="n">
        <f aca="false">$E1005/G1005-1</f>
        <v>-0.200381679389313</v>
      </c>
      <c r="K1005" s="36" t="n">
        <f aca="false">$E1005/H1005-1</f>
        <v>-0.386985781288816</v>
      </c>
      <c r="L1005" s="37" t="n">
        <v>4.79</v>
      </c>
      <c r="M1005" s="37" t="n">
        <v>1.55</v>
      </c>
      <c r="N1005" s="34" t="n">
        <v>36142.78</v>
      </c>
      <c r="O1005" s="34" t="n">
        <v>20600</v>
      </c>
      <c r="P1005" s="38"/>
      <c r="Q1005" s="38"/>
    </row>
    <row r="1006" customFormat="false" ht="15" hidden="false" customHeight="false" outlineLevel="0" collapsed="false">
      <c r="A1006" s="34" t="n">
        <v>998</v>
      </c>
      <c r="B1006" s="35" t="s">
        <v>2068</v>
      </c>
      <c r="C1006" s="35" t="s">
        <v>2069</v>
      </c>
      <c r="D1006" s="35" t="s">
        <v>111</v>
      </c>
      <c r="E1006" s="34" t="n">
        <v>45000</v>
      </c>
      <c r="F1006" s="34" t="n">
        <v>33700</v>
      </c>
      <c r="G1006" s="34" t="n">
        <v>33700</v>
      </c>
      <c r="H1006" s="34" t="n">
        <v>26182.08</v>
      </c>
      <c r="I1006" s="36" t="n">
        <f aca="false">$E1006/F1006-1</f>
        <v>0.335311572700297</v>
      </c>
      <c r="J1006" s="36" t="n">
        <f aca="false">$E1006/G1006-1</f>
        <v>0.335311572700297</v>
      </c>
      <c r="K1006" s="36" t="n">
        <f aca="false">$E1006/H1006-1</f>
        <v>0.718732812671873</v>
      </c>
      <c r="L1006" s="37" t="n">
        <v>-1051.63</v>
      </c>
      <c r="M1006" s="37" t="n">
        <v>4.05</v>
      </c>
      <c r="N1006" s="34"/>
      <c r="O1006" s="34"/>
      <c r="P1006" s="38"/>
      <c r="Q1006" s="38"/>
    </row>
    <row r="1007" customFormat="false" ht="15" hidden="false" customHeight="false" outlineLevel="0" collapsed="false">
      <c r="A1007" s="34" t="n">
        <v>999</v>
      </c>
      <c r="B1007" s="35" t="s">
        <v>2070</v>
      </c>
      <c r="C1007" s="35" t="s">
        <v>2071</v>
      </c>
      <c r="D1007" s="35" t="s">
        <v>116</v>
      </c>
      <c r="E1007" s="34" t="n">
        <v>14700</v>
      </c>
      <c r="F1007" s="34" t="n">
        <v>14100</v>
      </c>
      <c r="G1007" s="34" t="n">
        <v>14500</v>
      </c>
      <c r="H1007" s="34" t="n">
        <v>13900</v>
      </c>
      <c r="I1007" s="36" t="n">
        <f aca="false">$E1007/F1007-1</f>
        <v>0.0425531914893618</v>
      </c>
      <c r="J1007" s="36" t="n">
        <f aca="false">$E1007/G1007-1</f>
        <v>0.0137931034482759</v>
      </c>
      <c r="K1007" s="36" t="n">
        <f aca="false">$E1007/H1007-1</f>
        <v>0.0575539568345325</v>
      </c>
      <c r="L1007" s="37" t="n">
        <v>2.97</v>
      </c>
      <c r="M1007" s="37" t="n">
        <v>0.71</v>
      </c>
      <c r="N1007" s="34" t="n">
        <v>18550</v>
      </c>
      <c r="O1007" s="34" t="n">
        <v>11000</v>
      </c>
      <c r="P1007" s="38"/>
      <c r="Q1007" s="38"/>
    </row>
    <row r="1008" customFormat="false" ht="15" hidden="false" customHeight="false" outlineLevel="0" collapsed="false">
      <c r="A1008" s="34" t="n">
        <v>1000</v>
      </c>
      <c r="B1008" s="35" t="s">
        <v>2072</v>
      </c>
      <c r="C1008" s="35" t="s">
        <v>2073</v>
      </c>
      <c r="D1008" s="35" t="s">
        <v>111</v>
      </c>
      <c r="E1008" s="34" t="n">
        <v>12697</v>
      </c>
      <c r="F1008" s="34" t="n">
        <v>12800</v>
      </c>
      <c r="G1008" s="34" t="n">
        <v>12620</v>
      </c>
      <c r="H1008" s="34" t="n">
        <v>10400</v>
      </c>
      <c r="I1008" s="36" t="n">
        <f aca="false">$E1008/F1008-1</f>
        <v>-0.00804687500000001</v>
      </c>
      <c r="J1008" s="36" t="n">
        <f aca="false">$E1008/G1008-1</f>
        <v>0.00610142630744859</v>
      </c>
      <c r="K1008" s="36" t="n">
        <f aca="false">$E1008/H1008-1</f>
        <v>0.220865384615385</v>
      </c>
      <c r="L1008" s="37" t="n">
        <v>5.14</v>
      </c>
      <c r="M1008" s="37" t="n">
        <v>1.41</v>
      </c>
      <c r="N1008" s="34" t="n">
        <v>17600</v>
      </c>
      <c r="O1008" s="34" t="n">
        <v>9425</v>
      </c>
      <c r="P1008" s="38"/>
      <c r="Q1008" s="38"/>
    </row>
    <row r="1009" customFormat="false" ht="15" hidden="false" customHeight="false" outlineLevel="0" collapsed="false">
      <c r="A1009" s="34" t="n">
        <v>1001</v>
      </c>
      <c r="B1009" s="35" t="s">
        <v>2074</v>
      </c>
      <c r="C1009" s="35" t="s">
        <v>2075</v>
      </c>
      <c r="D1009" s="35" t="s">
        <v>111</v>
      </c>
      <c r="E1009" s="34" t="n">
        <v>3000</v>
      </c>
      <c r="F1009" s="34" t="n">
        <v>2700</v>
      </c>
      <c r="G1009" s="34" t="n">
        <v>2800</v>
      </c>
      <c r="H1009" s="34" t="n">
        <v>3500</v>
      </c>
      <c r="I1009" s="36" t="n">
        <f aca="false">$E1009/F1009-1</f>
        <v>0.111111111111111</v>
      </c>
      <c r="J1009" s="36" t="n">
        <f aca="false">$E1009/G1009-1</f>
        <v>0.0714285714285714</v>
      </c>
      <c r="K1009" s="36" t="n">
        <f aca="false">$E1009/H1009-1</f>
        <v>-0.142857142857143</v>
      </c>
      <c r="L1009" s="37"/>
      <c r="M1009" s="37"/>
      <c r="N1009" s="34" t="n">
        <v>4757</v>
      </c>
      <c r="O1009" s="34" t="n">
        <v>2400</v>
      </c>
      <c r="P1009" s="38"/>
      <c r="Q1009" s="38"/>
    </row>
    <row r="1010" customFormat="false" ht="15" hidden="false" customHeight="false" outlineLevel="0" collapsed="false">
      <c r="A1010" s="34" t="n">
        <v>1002</v>
      </c>
      <c r="B1010" s="35" t="s">
        <v>2076</v>
      </c>
      <c r="C1010" s="35" t="s">
        <v>2077</v>
      </c>
      <c r="D1010" s="35" t="s">
        <v>116</v>
      </c>
      <c r="E1010" s="34" t="n">
        <v>10650</v>
      </c>
      <c r="F1010" s="34" t="n">
        <v>10350</v>
      </c>
      <c r="G1010" s="34" t="n">
        <v>8080</v>
      </c>
      <c r="H1010" s="34" t="n">
        <v>10100</v>
      </c>
      <c r="I1010" s="36" t="n">
        <f aca="false">$E1010/F1010-1</f>
        <v>0.0289855072463767</v>
      </c>
      <c r="J1010" s="36" t="n">
        <f aca="false">$E1010/G1010-1</f>
        <v>0.318069306930693</v>
      </c>
      <c r="K1010" s="36" t="n">
        <f aca="false">$E1010/H1010-1</f>
        <v>0.0544554455445545</v>
      </c>
      <c r="L1010" s="37" t="n">
        <v>20.53</v>
      </c>
      <c r="M1010" s="37" t="n">
        <v>0.18</v>
      </c>
      <c r="N1010" s="34" t="n">
        <v>11095.4</v>
      </c>
      <c r="O1010" s="34" t="n">
        <v>7530</v>
      </c>
      <c r="P1010" s="38"/>
      <c r="Q1010" s="38"/>
    </row>
    <row r="1011" customFormat="false" ht="15" hidden="false" customHeight="false" outlineLevel="0" collapsed="false">
      <c r="A1011" s="34" t="n">
        <v>1003</v>
      </c>
      <c r="B1011" s="35" t="s">
        <v>49</v>
      </c>
      <c r="C1011" s="35" t="s">
        <v>2078</v>
      </c>
      <c r="D1011" s="35" t="s">
        <v>116</v>
      </c>
      <c r="E1011" s="34" t="n">
        <v>44750</v>
      </c>
      <c r="F1011" s="34" t="n">
        <v>43550</v>
      </c>
      <c r="G1011" s="34" t="n">
        <v>44207.1</v>
      </c>
      <c r="H1011" s="34" t="n">
        <v>43969.36</v>
      </c>
      <c r="I1011" s="36" t="n">
        <f aca="false">$E1011/F1011-1</f>
        <v>0.0275545350172215</v>
      </c>
      <c r="J1011" s="36" t="n">
        <f aca="false">$E1011/G1011-1</f>
        <v>0.0122808327169166</v>
      </c>
      <c r="K1011" s="36" t="n">
        <f aca="false">$E1011/H1011-1</f>
        <v>0.0177541815482418</v>
      </c>
      <c r="L1011" s="37" t="n">
        <v>12.02</v>
      </c>
      <c r="M1011" s="37" t="n">
        <v>2.93</v>
      </c>
      <c r="N1011" s="34" t="n">
        <v>50241.72</v>
      </c>
      <c r="O1011" s="34" t="n">
        <v>39482.69</v>
      </c>
      <c r="P1011" s="38" t="n">
        <v>18.825</v>
      </c>
      <c r="Q1011" s="38" t="n">
        <v>3.13</v>
      </c>
    </row>
    <row r="1012" customFormat="false" ht="15" hidden="false" customHeight="false" outlineLevel="0" collapsed="false">
      <c r="A1012" s="34" t="n">
        <v>1004</v>
      </c>
      <c r="B1012" s="35" t="s">
        <v>2079</v>
      </c>
      <c r="C1012" s="35" t="s">
        <v>2080</v>
      </c>
      <c r="D1012" s="35" t="s">
        <v>111</v>
      </c>
      <c r="E1012" s="34"/>
      <c r="F1012" s="34"/>
      <c r="G1012" s="34"/>
      <c r="H1012" s="34"/>
      <c r="I1012" s="36" t="e">
        <f aca="false">$E1012/F1012-1</f>
        <v>#DIV/0!</v>
      </c>
      <c r="J1012" s="36" t="e">
        <f aca="false">$E1012/G1012-1</f>
        <v>#DIV/0!</v>
      </c>
      <c r="K1012" s="36" t="e">
        <f aca="false">$E1012/H1012-1</f>
        <v>#DIV/0!</v>
      </c>
      <c r="L1012" s="37"/>
      <c r="M1012" s="37"/>
      <c r="N1012" s="34"/>
      <c r="O1012" s="34"/>
      <c r="P1012" s="38"/>
      <c r="Q1012" s="38"/>
    </row>
    <row r="1013" customFormat="false" ht="15" hidden="false" customHeight="false" outlineLevel="0" collapsed="false">
      <c r="A1013" s="34" t="n">
        <v>1005</v>
      </c>
      <c r="B1013" s="35" t="s">
        <v>2081</v>
      </c>
      <c r="C1013" s="35" t="s">
        <v>2082</v>
      </c>
      <c r="D1013" s="35" t="s">
        <v>133</v>
      </c>
      <c r="E1013" s="34" t="n">
        <v>23600</v>
      </c>
      <c r="F1013" s="34" t="n">
        <v>23600</v>
      </c>
      <c r="G1013" s="34" t="n">
        <v>23600</v>
      </c>
      <c r="H1013" s="34" t="n">
        <v>23877.9</v>
      </c>
      <c r="I1013" s="36" t="n">
        <f aca="false">$E1013/F1013-1</f>
        <v>0</v>
      </c>
      <c r="J1013" s="36" t="n">
        <f aca="false">$E1013/G1013-1</f>
        <v>0</v>
      </c>
      <c r="K1013" s="36" t="n">
        <f aca="false">$E1013/H1013-1</f>
        <v>-0.0116383769091922</v>
      </c>
      <c r="L1013" s="37" t="n">
        <v>14.5</v>
      </c>
      <c r="M1013" s="37" t="n">
        <v>1.9</v>
      </c>
      <c r="N1013" s="34" t="n">
        <v>23877.9</v>
      </c>
      <c r="O1013" s="34" t="n">
        <v>23600</v>
      </c>
      <c r="P1013" s="38"/>
      <c r="Q1013" s="38"/>
    </row>
    <row r="1014" customFormat="false" ht="15" hidden="false" customHeight="false" outlineLevel="0" collapsed="false">
      <c r="A1014" s="34" t="n">
        <v>1006</v>
      </c>
      <c r="B1014" s="35" t="s">
        <v>2083</v>
      </c>
      <c r="C1014" s="35" t="s">
        <v>2084</v>
      </c>
      <c r="D1014" s="35" t="s">
        <v>133</v>
      </c>
      <c r="E1014" s="34" t="n">
        <v>7600</v>
      </c>
      <c r="F1014" s="34" t="n">
        <v>7600</v>
      </c>
      <c r="G1014" s="34" t="n">
        <v>7600</v>
      </c>
      <c r="H1014" s="34" t="n">
        <v>8000</v>
      </c>
      <c r="I1014" s="36" t="n">
        <f aca="false">$E1014/F1014-1</f>
        <v>0</v>
      </c>
      <c r="J1014" s="36" t="n">
        <f aca="false">$E1014/G1014-1</f>
        <v>0</v>
      </c>
      <c r="K1014" s="36" t="n">
        <f aca="false">$E1014/H1014-1</f>
        <v>-0.05</v>
      </c>
      <c r="L1014" s="37" t="n">
        <v>139.68</v>
      </c>
      <c r="M1014" s="37" t="n">
        <v>0.59</v>
      </c>
      <c r="N1014" s="34" t="n">
        <v>12500</v>
      </c>
      <c r="O1014" s="34" t="n">
        <v>5500</v>
      </c>
      <c r="P1014" s="38"/>
      <c r="Q1014" s="38"/>
    </row>
    <row r="1015" customFormat="false" ht="15" hidden="false" customHeight="false" outlineLevel="0" collapsed="false">
      <c r="A1015" s="34" t="n">
        <v>1007</v>
      </c>
      <c r="B1015" s="35" t="s">
        <v>2085</v>
      </c>
      <c r="C1015" s="35" t="s">
        <v>2086</v>
      </c>
      <c r="D1015" s="35" t="s">
        <v>133</v>
      </c>
      <c r="E1015" s="34" t="n">
        <v>18000</v>
      </c>
      <c r="F1015" s="34" t="n">
        <v>18000</v>
      </c>
      <c r="G1015" s="34" t="n">
        <v>19700</v>
      </c>
      <c r="H1015" s="34" t="n">
        <v>19600</v>
      </c>
      <c r="I1015" s="36" t="n">
        <f aca="false">$E1015/F1015-1</f>
        <v>0</v>
      </c>
      <c r="J1015" s="36" t="n">
        <f aca="false">$E1015/G1015-1</f>
        <v>-0.0862944162436549</v>
      </c>
      <c r="K1015" s="36" t="n">
        <f aca="false">$E1015/H1015-1</f>
        <v>-0.0816326530612245</v>
      </c>
      <c r="L1015" s="37" t="n">
        <v>126.76</v>
      </c>
      <c r="M1015" s="37" t="n">
        <v>1.56</v>
      </c>
      <c r="N1015" s="34" t="n">
        <v>32600</v>
      </c>
      <c r="O1015" s="34" t="n">
        <v>18000</v>
      </c>
      <c r="P1015" s="38"/>
      <c r="Q1015" s="38"/>
    </row>
    <row r="1016" customFormat="false" ht="15" hidden="false" customHeight="false" outlineLevel="0" collapsed="false">
      <c r="A1016" s="34" t="n">
        <v>1008</v>
      </c>
      <c r="B1016" s="35" t="s">
        <v>2087</v>
      </c>
      <c r="C1016" s="35" t="s">
        <v>2088</v>
      </c>
      <c r="D1016" s="35" t="s">
        <v>133</v>
      </c>
      <c r="E1016" s="34" t="n">
        <v>14200</v>
      </c>
      <c r="F1016" s="34" t="n">
        <v>14500</v>
      </c>
      <c r="G1016" s="34" t="n">
        <v>14500</v>
      </c>
      <c r="H1016" s="34" t="n">
        <v>12921.27</v>
      </c>
      <c r="I1016" s="36" t="n">
        <f aca="false">$E1016/F1016-1</f>
        <v>-0.0206896551724138</v>
      </c>
      <c r="J1016" s="36" t="n">
        <f aca="false">$E1016/G1016-1</f>
        <v>-0.0206896551724138</v>
      </c>
      <c r="K1016" s="36" t="n">
        <f aca="false">$E1016/H1016-1</f>
        <v>0.0989631824116359</v>
      </c>
      <c r="L1016" s="37" t="n">
        <v>12.46</v>
      </c>
      <c r="M1016" s="37" t="n">
        <v>0.67</v>
      </c>
      <c r="N1016" s="34" t="n">
        <v>15351.46</v>
      </c>
      <c r="O1016" s="34" t="n">
        <v>11294.81</v>
      </c>
      <c r="P1016" s="38"/>
      <c r="Q1016" s="38"/>
    </row>
    <row r="1017" customFormat="false" ht="15" hidden="false" customHeight="false" outlineLevel="0" collapsed="false">
      <c r="A1017" s="34" t="n">
        <v>1009</v>
      </c>
      <c r="B1017" s="35" t="s">
        <v>2089</v>
      </c>
      <c r="C1017" s="35" t="s">
        <v>2090</v>
      </c>
      <c r="D1017" s="35" t="s">
        <v>133</v>
      </c>
      <c r="E1017" s="34" t="n">
        <v>9700</v>
      </c>
      <c r="F1017" s="34" t="n">
        <v>9700</v>
      </c>
      <c r="G1017" s="34" t="n">
        <v>10300</v>
      </c>
      <c r="H1017" s="34" t="n">
        <v>11020.02</v>
      </c>
      <c r="I1017" s="36" t="n">
        <f aca="false">$E1017/F1017-1</f>
        <v>0</v>
      </c>
      <c r="J1017" s="36" t="n">
        <f aca="false">$E1017/G1017-1</f>
        <v>-0.058252427184466</v>
      </c>
      <c r="K1017" s="36" t="n">
        <f aca="false">$E1017/H1017-1</f>
        <v>-0.119783811644625</v>
      </c>
      <c r="L1017" s="37" t="n">
        <v>31.23</v>
      </c>
      <c r="M1017" s="37" t="n">
        <v>0.76</v>
      </c>
      <c r="N1017" s="34" t="n">
        <v>12047.31</v>
      </c>
      <c r="O1017" s="34" t="n">
        <v>9600</v>
      </c>
      <c r="P1017" s="38"/>
      <c r="Q1017" s="38"/>
    </row>
    <row r="1018" customFormat="false" ht="15" hidden="false" customHeight="false" outlineLevel="0" collapsed="false">
      <c r="A1018" s="34" t="n">
        <v>1010</v>
      </c>
      <c r="B1018" s="35" t="s">
        <v>2091</v>
      </c>
      <c r="C1018" s="35" t="s">
        <v>2092</v>
      </c>
      <c r="D1018" s="35" t="s">
        <v>133</v>
      </c>
      <c r="E1018" s="34" t="n">
        <v>30400</v>
      </c>
      <c r="F1018" s="34" t="n">
        <v>25700</v>
      </c>
      <c r="G1018" s="34" t="n">
        <v>26000</v>
      </c>
      <c r="H1018" s="34" t="n">
        <v>26557.96</v>
      </c>
      <c r="I1018" s="36" t="n">
        <f aca="false">$E1018/F1018-1</f>
        <v>0.182879377431907</v>
      </c>
      <c r="J1018" s="36" t="n">
        <f aca="false">$E1018/G1018-1</f>
        <v>0.169230769230769</v>
      </c>
      <c r="K1018" s="36" t="n">
        <f aca="false">$E1018/H1018-1</f>
        <v>0.144666231894317</v>
      </c>
      <c r="L1018" s="37" t="n">
        <v>5.94</v>
      </c>
      <c r="M1018" s="37" t="n">
        <v>1.7</v>
      </c>
      <c r="N1018" s="34" t="n">
        <v>37794.02</v>
      </c>
      <c r="O1018" s="34" t="n">
        <v>21729.24</v>
      </c>
      <c r="P1018" s="38"/>
      <c r="Q1018" s="38"/>
    </row>
    <row r="1019" customFormat="false" ht="15" hidden="false" customHeight="false" outlineLevel="0" collapsed="false">
      <c r="A1019" s="34" t="n">
        <v>1011</v>
      </c>
      <c r="B1019" s="35" t="s">
        <v>2093</v>
      </c>
      <c r="C1019" s="35" t="s">
        <v>2094</v>
      </c>
      <c r="D1019" s="35" t="s">
        <v>133</v>
      </c>
      <c r="E1019" s="34" t="n">
        <v>13400</v>
      </c>
      <c r="F1019" s="34" t="n">
        <v>13600</v>
      </c>
      <c r="G1019" s="34" t="n">
        <v>12700</v>
      </c>
      <c r="H1019" s="34" t="n">
        <v>14720</v>
      </c>
      <c r="I1019" s="36" t="n">
        <f aca="false">$E1019/F1019-1</f>
        <v>-0.0147058823529411</v>
      </c>
      <c r="J1019" s="36" t="n">
        <f aca="false">$E1019/G1019-1</f>
        <v>0.0551181102362204</v>
      </c>
      <c r="K1019" s="36" t="n">
        <f aca="false">$E1019/H1019-1</f>
        <v>-0.0896739130434783</v>
      </c>
      <c r="L1019" s="37" t="n">
        <v>10.99</v>
      </c>
      <c r="M1019" s="37" t="n">
        <v>0.59</v>
      </c>
      <c r="N1019" s="34" t="n">
        <v>16560</v>
      </c>
      <c r="O1019" s="34" t="n">
        <v>12604</v>
      </c>
      <c r="P1019" s="38"/>
      <c r="Q1019" s="38"/>
    </row>
    <row r="1020" customFormat="false" ht="15" hidden="false" customHeight="false" outlineLevel="0" collapsed="false">
      <c r="A1020" s="34" t="n">
        <v>1012</v>
      </c>
      <c r="B1020" s="35" t="s">
        <v>2095</v>
      </c>
      <c r="C1020" s="35" t="s">
        <v>2096</v>
      </c>
      <c r="D1020" s="35" t="s">
        <v>111</v>
      </c>
      <c r="E1020" s="34" t="n">
        <v>8166</v>
      </c>
      <c r="F1020" s="34" t="n">
        <v>8127</v>
      </c>
      <c r="G1020" s="34" t="n">
        <v>8783</v>
      </c>
      <c r="H1020" s="34" t="n">
        <v>10212.94</v>
      </c>
      <c r="I1020" s="36" t="n">
        <f aca="false">$E1020/F1020-1</f>
        <v>0.00479881875230714</v>
      </c>
      <c r="J1020" s="36" t="n">
        <f aca="false">$E1020/G1020-1</f>
        <v>-0.0702493453261983</v>
      </c>
      <c r="K1020" s="36" t="n">
        <f aca="false">$E1020/H1020-1</f>
        <v>-0.200426126071435</v>
      </c>
      <c r="L1020" s="37" t="n">
        <v>4.49</v>
      </c>
      <c r="M1020" s="37" t="n">
        <v>0.4</v>
      </c>
      <c r="N1020" s="34" t="n">
        <v>11516.22</v>
      </c>
      <c r="O1020" s="34" t="n">
        <v>8020</v>
      </c>
      <c r="P1020" s="38"/>
      <c r="Q1020" s="38"/>
    </row>
    <row r="1021" customFormat="false" ht="15" hidden="false" customHeight="false" outlineLevel="0" collapsed="false">
      <c r="A1021" s="34" t="n">
        <v>1013</v>
      </c>
      <c r="B1021" s="35" t="s">
        <v>2097</v>
      </c>
      <c r="C1021" s="35" t="s">
        <v>2098</v>
      </c>
      <c r="D1021" s="35" t="s">
        <v>133</v>
      </c>
      <c r="E1021" s="34" t="n">
        <v>6200</v>
      </c>
      <c r="F1021" s="34" t="n">
        <v>6500</v>
      </c>
      <c r="G1021" s="34" t="n">
        <v>7100</v>
      </c>
      <c r="H1021" s="34" t="n">
        <v>10036.08</v>
      </c>
      <c r="I1021" s="36" t="n">
        <f aca="false">$E1021/F1021-1</f>
        <v>-0.0461538461538461</v>
      </c>
      <c r="J1021" s="36" t="n">
        <f aca="false">$E1021/G1021-1</f>
        <v>-0.126760563380282</v>
      </c>
      <c r="K1021" s="36" t="n">
        <f aca="false">$E1021/H1021-1</f>
        <v>-0.382228918063626</v>
      </c>
      <c r="L1021" s="37" t="n">
        <v>-170.82</v>
      </c>
      <c r="M1021" s="37" t="n">
        <v>0.37</v>
      </c>
      <c r="N1021" s="34" t="n">
        <v>12213.72</v>
      </c>
      <c r="O1021" s="34" t="n">
        <v>6200</v>
      </c>
      <c r="P1021" s="38"/>
      <c r="Q1021" s="38"/>
    </row>
    <row r="1022" customFormat="false" ht="15" hidden="false" customHeight="false" outlineLevel="0" collapsed="false">
      <c r="A1022" s="34" t="n">
        <v>1014</v>
      </c>
      <c r="B1022" s="35" t="s">
        <v>2099</v>
      </c>
      <c r="C1022" s="35" t="s">
        <v>2100</v>
      </c>
      <c r="D1022" s="35" t="s">
        <v>111</v>
      </c>
      <c r="E1022" s="34" t="n">
        <v>13055</v>
      </c>
      <c r="F1022" s="34" t="n">
        <v>12903</v>
      </c>
      <c r="G1022" s="34" t="n">
        <v>13678</v>
      </c>
      <c r="H1022" s="34" t="n">
        <v>17312</v>
      </c>
      <c r="I1022" s="36" t="n">
        <f aca="false">$E1022/F1022-1</f>
        <v>0.0117802061536076</v>
      </c>
      <c r="J1022" s="36" t="n">
        <f aca="false">$E1022/G1022-1</f>
        <v>-0.0455475946775844</v>
      </c>
      <c r="K1022" s="36" t="n">
        <f aca="false">$E1022/H1022-1</f>
        <v>-0.245898798521257</v>
      </c>
      <c r="L1022" s="37" t="n">
        <v>10.56</v>
      </c>
      <c r="M1022" s="37" t="n">
        <v>0.72</v>
      </c>
      <c r="N1022" s="34" t="n">
        <v>19466</v>
      </c>
      <c r="O1022" s="34" t="n">
        <v>12278</v>
      </c>
      <c r="P1022" s="38"/>
      <c r="Q1022" s="38"/>
    </row>
    <row r="1023" customFormat="false" ht="15" hidden="false" customHeight="false" outlineLevel="0" collapsed="false">
      <c r="A1023" s="34" t="n">
        <v>1015</v>
      </c>
      <c r="B1023" s="35" t="s">
        <v>2101</v>
      </c>
      <c r="C1023" s="35" t="s">
        <v>2102</v>
      </c>
      <c r="D1023" s="35" t="s">
        <v>133</v>
      </c>
      <c r="E1023" s="34" t="n">
        <v>9000</v>
      </c>
      <c r="F1023" s="34" t="n">
        <v>9900</v>
      </c>
      <c r="G1023" s="34" t="n">
        <v>9900</v>
      </c>
      <c r="H1023" s="34" t="n">
        <v>9300</v>
      </c>
      <c r="I1023" s="36" t="n">
        <f aca="false">$E1023/F1023-1</f>
        <v>-0.0909090909090909</v>
      </c>
      <c r="J1023" s="36" t="n">
        <f aca="false">$E1023/G1023-1</f>
        <v>-0.0909090909090909</v>
      </c>
      <c r="K1023" s="36" t="n">
        <f aca="false">$E1023/H1023-1</f>
        <v>-0.032258064516129</v>
      </c>
      <c r="L1023" s="37" t="n">
        <v>-2.23</v>
      </c>
      <c r="M1023" s="37" t="n">
        <v>0.48</v>
      </c>
      <c r="N1023" s="34" t="n">
        <v>13292.15</v>
      </c>
      <c r="O1023" s="34" t="n">
        <v>8900</v>
      </c>
      <c r="P1023" s="38"/>
      <c r="Q1023" s="38"/>
    </row>
    <row r="1024" customFormat="false" ht="15" hidden="false" customHeight="false" outlineLevel="0" collapsed="false">
      <c r="A1024" s="34" t="n">
        <v>1016</v>
      </c>
      <c r="B1024" s="35" t="s">
        <v>2103</v>
      </c>
      <c r="C1024" s="35" t="s">
        <v>2104</v>
      </c>
      <c r="D1024" s="35" t="s">
        <v>111</v>
      </c>
      <c r="E1024" s="34" t="n">
        <v>12006</v>
      </c>
      <c r="F1024" s="34" t="n">
        <v>11700</v>
      </c>
      <c r="G1024" s="34" t="n">
        <v>13090</v>
      </c>
      <c r="H1024" s="34" t="n">
        <v>12358</v>
      </c>
      <c r="I1024" s="36" t="n">
        <f aca="false">$E1024/F1024-1</f>
        <v>0.0261538461538462</v>
      </c>
      <c r="J1024" s="36" t="n">
        <f aca="false">$E1024/G1024-1</f>
        <v>-0.0828113063407181</v>
      </c>
      <c r="K1024" s="36" t="n">
        <f aca="false">$E1024/H1024-1</f>
        <v>-0.0284835733937531</v>
      </c>
      <c r="L1024" s="37" t="n">
        <v>213.04</v>
      </c>
      <c r="M1024" s="37" t="n">
        <v>1.02</v>
      </c>
      <c r="N1024" s="34" t="n">
        <v>13892.5</v>
      </c>
      <c r="O1024" s="34" t="n">
        <v>11448</v>
      </c>
      <c r="P1024" s="38"/>
      <c r="Q1024" s="38"/>
    </row>
    <row r="1025" customFormat="false" ht="15" hidden="false" customHeight="false" outlineLevel="0" collapsed="false">
      <c r="A1025" s="34" t="n">
        <v>1017</v>
      </c>
      <c r="B1025" s="35" t="s">
        <v>2105</v>
      </c>
      <c r="C1025" s="35" t="s">
        <v>2106</v>
      </c>
      <c r="D1025" s="35" t="s">
        <v>116</v>
      </c>
      <c r="E1025" s="34" t="n">
        <v>9640</v>
      </c>
      <c r="F1025" s="34" t="n">
        <v>10300</v>
      </c>
      <c r="G1025" s="34" t="n">
        <v>13600</v>
      </c>
      <c r="H1025" s="34" t="n">
        <v>16350</v>
      </c>
      <c r="I1025" s="36" t="n">
        <f aca="false">$E1025/F1025-1</f>
        <v>-0.0640776699029126</v>
      </c>
      <c r="J1025" s="36" t="n">
        <f aca="false">$E1025/G1025-1</f>
        <v>-0.291176470588235</v>
      </c>
      <c r="K1025" s="36" t="n">
        <f aca="false">$E1025/H1025-1</f>
        <v>-0.41039755351682</v>
      </c>
      <c r="L1025" s="37" t="n">
        <v>44</v>
      </c>
      <c r="M1025" s="37" t="n">
        <v>0.65</v>
      </c>
      <c r="N1025" s="34" t="n">
        <v>19000</v>
      </c>
      <c r="O1025" s="34" t="n">
        <v>9630</v>
      </c>
      <c r="P1025" s="38"/>
      <c r="Q1025" s="38"/>
    </row>
    <row r="1026" customFormat="false" ht="15" hidden="false" customHeight="false" outlineLevel="0" collapsed="false">
      <c r="A1026" s="34" t="n">
        <v>1018</v>
      </c>
      <c r="B1026" s="35" t="s">
        <v>2107</v>
      </c>
      <c r="C1026" s="35" t="s">
        <v>2108</v>
      </c>
      <c r="D1026" s="35" t="s">
        <v>116</v>
      </c>
      <c r="E1026" s="34" t="n">
        <v>5820</v>
      </c>
      <c r="F1026" s="34" t="n">
        <v>5820</v>
      </c>
      <c r="G1026" s="34" t="n">
        <v>5930</v>
      </c>
      <c r="H1026" s="34" t="n">
        <v>7547.2</v>
      </c>
      <c r="I1026" s="36" t="n">
        <f aca="false">$E1026/F1026-1</f>
        <v>0</v>
      </c>
      <c r="J1026" s="36" t="n">
        <f aca="false">$E1026/G1026-1</f>
        <v>-0.0185497470489039</v>
      </c>
      <c r="K1026" s="36" t="n">
        <f aca="false">$E1026/H1026-1</f>
        <v>-0.228853084587662</v>
      </c>
      <c r="L1026" s="37" t="n">
        <v>20.66</v>
      </c>
      <c r="M1026" s="37" t="n">
        <v>0.57</v>
      </c>
      <c r="N1026" s="34" t="n">
        <v>9905.7</v>
      </c>
      <c r="O1026" s="34" t="n">
        <v>5680</v>
      </c>
      <c r="P1026" s="38"/>
      <c r="Q1026" s="38"/>
    </row>
    <row r="1027" customFormat="false" ht="15" hidden="false" customHeight="false" outlineLevel="0" collapsed="false">
      <c r="A1027" s="34" t="n">
        <v>1019</v>
      </c>
      <c r="B1027" s="35" t="s">
        <v>2109</v>
      </c>
      <c r="C1027" s="35" t="s">
        <v>2110</v>
      </c>
      <c r="D1027" s="35" t="s">
        <v>133</v>
      </c>
      <c r="E1027" s="34" t="n">
        <v>11100</v>
      </c>
      <c r="F1027" s="34" t="n">
        <v>11100</v>
      </c>
      <c r="G1027" s="34" t="n">
        <v>10400</v>
      </c>
      <c r="H1027" s="34" t="n">
        <v>12300</v>
      </c>
      <c r="I1027" s="36" t="n">
        <f aca="false">$E1027/F1027-1</f>
        <v>0</v>
      </c>
      <c r="J1027" s="36" t="n">
        <f aca="false">$E1027/G1027-1</f>
        <v>0.0673076923076923</v>
      </c>
      <c r="K1027" s="36" t="n">
        <f aca="false">$E1027/H1027-1</f>
        <v>-0.0975609756097561</v>
      </c>
      <c r="L1027" s="37" t="n">
        <v>1.69</v>
      </c>
      <c r="M1027" s="37" t="n">
        <v>0.71</v>
      </c>
      <c r="N1027" s="34" t="n">
        <v>15900</v>
      </c>
      <c r="O1027" s="34" t="n">
        <v>8100</v>
      </c>
      <c r="P1027" s="38"/>
      <c r="Q1027" s="38"/>
    </row>
    <row r="1028" customFormat="false" ht="15" hidden="false" customHeight="false" outlineLevel="0" collapsed="false">
      <c r="A1028" s="34" t="n">
        <v>1020</v>
      </c>
      <c r="B1028" s="35" t="s">
        <v>2111</v>
      </c>
      <c r="C1028" s="35" t="s">
        <v>2112</v>
      </c>
      <c r="D1028" s="35" t="s">
        <v>111</v>
      </c>
      <c r="E1028" s="34" t="n">
        <v>8920</v>
      </c>
      <c r="F1028" s="34" t="n">
        <v>8688</v>
      </c>
      <c r="G1028" s="34" t="n">
        <v>8429</v>
      </c>
      <c r="H1028" s="34" t="n">
        <v>10641</v>
      </c>
      <c r="I1028" s="36" t="n">
        <f aca="false">$E1028/F1028-1</f>
        <v>0.0267034990791897</v>
      </c>
      <c r="J1028" s="36" t="n">
        <f aca="false">$E1028/G1028-1</f>
        <v>0.05825127535888</v>
      </c>
      <c r="K1028" s="36" t="n">
        <f aca="false">$E1028/H1028-1</f>
        <v>-0.161732919838361</v>
      </c>
      <c r="L1028" s="37" t="n">
        <v>17.46</v>
      </c>
      <c r="M1028" s="37" t="n">
        <v>0.76</v>
      </c>
      <c r="N1028" s="34" t="n">
        <v>11900</v>
      </c>
      <c r="O1028" s="34" t="n">
        <v>8066</v>
      </c>
      <c r="P1028" s="38"/>
      <c r="Q1028" s="38"/>
    </row>
    <row r="1029" customFormat="false" ht="15" hidden="false" customHeight="false" outlineLevel="0" collapsed="false">
      <c r="A1029" s="34" t="n">
        <v>1021</v>
      </c>
      <c r="B1029" s="35" t="s">
        <v>2113</v>
      </c>
      <c r="C1029" s="35" t="s">
        <v>2114</v>
      </c>
      <c r="D1029" s="35" t="s">
        <v>111</v>
      </c>
      <c r="E1029" s="34" t="n">
        <v>4800</v>
      </c>
      <c r="F1029" s="34" t="n">
        <v>4800</v>
      </c>
      <c r="G1029" s="34" t="n">
        <v>4800</v>
      </c>
      <c r="H1029" s="34" t="n">
        <v>4800</v>
      </c>
      <c r="I1029" s="36" t="n">
        <f aca="false">$E1029/F1029-1</f>
        <v>0</v>
      </c>
      <c r="J1029" s="36" t="n">
        <f aca="false">$E1029/G1029-1</f>
        <v>0</v>
      </c>
      <c r="K1029" s="36" t="n">
        <f aca="false">$E1029/H1029-1</f>
        <v>0</v>
      </c>
      <c r="L1029" s="37" t="n">
        <v>3.24</v>
      </c>
      <c r="M1029" s="37" t="n">
        <v>-0.09</v>
      </c>
      <c r="N1029" s="34" t="n">
        <v>4800</v>
      </c>
      <c r="O1029" s="34" t="n">
        <v>4500</v>
      </c>
      <c r="P1029" s="38"/>
      <c r="Q1029" s="38"/>
    </row>
    <row r="1030" customFormat="false" ht="15" hidden="false" customHeight="false" outlineLevel="0" collapsed="false">
      <c r="A1030" s="34" t="n">
        <v>1022</v>
      </c>
      <c r="B1030" s="35" t="s">
        <v>2115</v>
      </c>
      <c r="C1030" s="35" t="s">
        <v>2116</v>
      </c>
      <c r="D1030" s="35" t="s">
        <v>111</v>
      </c>
      <c r="E1030" s="34" t="n">
        <v>13200</v>
      </c>
      <c r="F1030" s="34" t="n">
        <v>13800</v>
      </c>
      <c r="G1030" s="34" t="n">
        <v>14784</v>
      </c>
      <c r="H1030" s="34" t="n">
        <v>19396</v>
      </c>
      <c r="I1030" s="36" t="n">
        <f aca="false">$E1030/F1030-1</f>
        <v>-0.0434782608695652</v>
      </c>
      <c r="J1030" s="36" t="n">
        <f aca="false">$E1030/G1030-1</f>
        <v>-0.107142857142857</v>
      </c>
      <c r="K1030" s="36" t="n">
        <f aca="false">$E1030/H1030-1</f>
        <v>-0.319447308723448</v>
      </c>
      <c r="L1030" s="37" t="n">
        <v>27.59</v>
      </c>
      <c r="M1030" s="37" t="n">
        <v>1.24</v>
      </c>
      <c r="N1030" s="34"/>
      <c r="O1030" s="34"/>
      <c r="P1030" s="38"/>
      <c r="Q1030" s="38"/>
    </row>
    <row r="1031" customFormat="false" ht="15" hidden="false" customHeight="false" outlineLevel="0" collapsed="false">
      <c r="A1031" s="34" t="n">
        <v>1023</v>
      </c>
      <c r="B1031" s="35" t="s">
        <v>2117</v>
      </c>
      <c r="C1031" s="35" t="s">
        <v>2118</v>
      </c>
      <c r="D1031" s="35" t="s">
        <v>116</v>
      </c>
      <c r="E1031" s="34" t="n">
        <v>9060</v>
      </c>
      <c r="F1031" s="34" t="n">
        <v>9140</v>
      </c>
      <c r="G1031" s="34" t="n">
        <v>9300</v>
      </c>
      <c r="H1031" s="34" t="n">
        <v>10300</v>
      </c>
      <c r="I1031" s="36" t="n">
        <f aca="false">$E1031/F1031-1</f>
        <v>-0.00875273522975928</v>
      </c>
      <c r="J1031" s="36" t="n">
        <f aca="false">$E1031/G1031-1</f>
        <v>-0.0258064516129032</v>
      </c>
      <c r="K1031" s="36" t="n">
        <f aca="false">$E1031/H1031-1</f>
        <v>-0.120388349514563</v>
      </c>
      <c r="L1031" s="37" t="n">
        <v>5.6</v>
      </c>
      <c r="M1031" s="37" t="n">
        <v>0.53</v>
      </c>
      <c r="N1031" s="34" t="n">
        <v>14300</v>
      </c>
      <c r="O1031" s="34" t="n">
        <v>9060</v>
      </c>
      <c r="P1031" s="38"/>
      <c r="Q1031" s="38"/>
    </row>
    <row r="1032" customFormat="false" ht="15" hidden="false" customHeight="false" outlineLevel="0" collapsed="false">
      <c r="A1032" s="34" t="n">
        <v>1024</v>
      </c>
      <c r="B1032" s="35" t="s">
        <v>2119</v>
      </c>
      <c r="C1032" s="35" t="s">
        <v>2120</v>
      </c>
      <c r="D1032" s="35" t="s">
        <v>116</v>
      </c>
      <c r="E1032" s="34" t="n">
        <v>11650</v>
      </c>
      <c r="F1032" s="34" t="n">
        <v>11550</v>
      </c>
      <c r="G1032" s="34" t="n">
        <v>11650</v>
      </c>
      <c r="H1032" s="34" t="n">
        <v>8964.76</v>
      </c>
      <c r="I1032" s="36" t="n">
        <f aca="false">$E1032/F1032-1</f>
        <v>0.00865800865800859</v>
      </c>
      <c r="J1032" s="36" t="n">
        <f aca="false">$E1032/G1032-1</f>
        <v>0</v>
      </c>
      <c r="K1032" s="36" t="n">
        <f aca="false">$E1032/H1032-1</f>
        <v>0.299532837465811</v>
      </c>
      <c r="L1032" s="37" t="n">
        <v>4.73</v>
      </c>
      <c r="M1032" s="37" t="n">
        <v>1.06</v>
      </c>
      <c r="N1032" s="34" t="n">
        <v>14040.7</v>
      </c>
      <c r="O1032" s="34" t="n">
        <v>8187</v>
      </c>
      <c r="P1032" s="38"/>
      <c r="Q1032" s="38"/>
    </row>
    <row r="1033" customFormat="false" ht="15" hidden="false" customHeight="false" outlineLevel="0" collapsed="false">
      <c r="A1033" s="34" t="n">
        <v>1025</v>
      </c>
      <c r="B1033" s="35" t="s">
        <v>2121</v>
      </c>
      <c r="C1033" s="35" t="s">
        <v>2122</v>
      </c>
      <c r="D1033" s="35" t="s">
        <v>111</v>
      </c>
      <c r="E1033" s="34" t="n">
        <v>4896</v>
      </c>
      <c r="F1033" s="34" t="n">
        <v>4879</v>
      </c>
      <c r="G1033" s="34" t="n">
        <v>4952</v>
      </c>
      <c r="H1033" s="34" t="n">
        <v>4863</v>
      </c>
      <c r="I1033" s="36" t="n">
        <f aca="false">$E1033/F1033-1</f>
        <v>0.00348432055749126</v>
      </c>
      <c r="J1033" s="36" t="n">
        <f aca="false">$E1033/G1033-1</f>
        <v>-0.0113085621970921</v>
      </c>
      <c r="K1033" s="36" t="n">
        <f aca="false">$E1033/H1033-1</f>
        <v>0.0067859346082666</v>
      </c>
      <c r="L1033" s="37" t="n">
        <v>114.02</v>
      </c>
      <c r="M1033" s="37" t="n">
        <v>0.44</v>
      </c>
      <c r="N1033" s="34" t="n">
        <v>8900</v>
      </c>
      <c r="O1033" s="34" t="n">
        <v>4222</v>
      </c>
      <c r="P1033" s="38"/>
      <c r="Q1033" s="38"/>
    </row>
    <row r="1034" customFormat="false" ht="15" hidden="false" customHeight="false" outlineLevel="0" collapsed="false">
      <c r="A1034" s="34" t="n">
        <v>1026</v>
      </c>
      <c r="B1034" s="35" t="s">
        <v>2123</v>
      </c>
      <c r="C1034" s="35" t="s">
        <v>2124</v>
      </c>
      <c r="D1034" s="35" t="s">
        <v>111</v>
      </c>
      <c r="E1034" s="34" t="n">
        <v>1500</v>
      </c>
      <c r="F1034" s="34" t="n">
        <v>1500</v>
      </c>
      <c r="G1034" s="34" t="n">
        <v>1600</v>
      </c>
      <c r="H1034" s="34" t="n">
        <v>1900</v>
      </c>
      <c r="I1034" s="36" t="n">
        <f aca="false">$E1034/F1034-1</f>
        <v>0</v>
      </c>
      <c r="J1034" s="36" t="n">
        <f aca="false">$E1034/G1034-1</f>
        <v>-0.0625</v>
      </c>
      <c r="K1034" s="36" t="n">
        <f aca="false">$E1034/H1034-1</f>
        <v>-0.210526315789474</v>
      </c>
      <c r="L1034" s="37" t="n">
        <v>584.5</v>
      </c>
      <c r="M1034" s="37" t="n">
        <v>0.33</v>
      </c>
      <c r="N1034" s="34" t="n">
        <v>2421</v>
      </c>
      <c r="O1034" s="34" t="n">
        <v>1476</v>
      </c>
      <c r="P1034" s="38"/>
      <c r="Q1034" s="38"/>
    </row>
    <row r="1035" customFormat="false" ht="15" hidden="false" customHeight="false" outlineLevel="0" collapsed="false">
      <c r="A1035" s="34" t="n">
        <v>1027</v>
      </c>
      <c r="B1035" s="35" t="s">
        <v>2125</v>
      </c>
      <c r="C1035" s="35" t="s">
        <v>2126</v>
      </c>
      <c r="D1035" s="35" t="s">
        <v>133</v>
      </c>
      <c r="E1035" s="34" t="n">
        <v>1700</v>
      </c>
      <c r="F1035" s="34" t="n">
        <v>1700</v>
      </c>
      <c r="G1035" s="34" t="n">
        <v>1800</v>
      </c>
      <c r="H1035" s="34" t="n">
        <v>2700</v>
      </c>
      <c r="I1035" s="36" t="n">
        <f aca="false">$E1035/F1035-1</f>
        <v>0</v>
      </c>
      <c r="J1035" s="36" t="n">
        <f aca="false">$E1035/G1035-1</f>
        <v>-0.0555555555555556</v>
      </c>
      <c r="K1035" s="36" t="n">
        <f aca="false">$E1035/H1035-1</f>
        <v>-0.37037037037037</v>
      </c>
      <c r="L1035" s="37" t="n">
        <v>-26.62</v>
      </c>
      <c r="M1035" s="37" t="n">
        <v>0.11</v>
      </c>
      <c r="N1035" s="34" t="n">
        <v>3400</v>
      </c>
      <c r="O1035" s="34" t="n">
        <v>1600</v>
      </c>
      <c r="P1035" s="38"/>
      <c r="Q1035" s="38"/>
    </row>
    <row r="1036" customFormat="false" ht="15" hidden="false" customHeight="false" outlineLevel="0" collapsed="false">
      <c r="A1036" s="34" t="n">
        <v>1028</v>
      </c>
      <c r="B1036" s="35" t="s">
        <v>2127</v>
      </c>
      <c r="C1036" s="35" t="s">
        <v>2128</v>
      </c>
      <c r="D1036" s="35" t="s">
        <v>116</v>
      </c>
      <c r="E1036" s="34" t="n">
        <v>17500</v>
      </c>
      <c r="F1036" s="34" t="n">
        <v>17500</v>
      </c>
      <c r="G1036" s="34" t="n">
        <v>21582.84</v>
      </c>
      <c r="H1036" s="34" t="n">
        <v>21825.89</v>
      </c>
      <c r="I1036" s="36" t="n">
        <f aca="false">$E1036/F1036-1</f>
        <v>0</v>
      </c>
      <c r="J1036" s="36" t="n">
        <f aca="false">$E1036/G1036-1</f>
        <v>-0.189170655947039</v>
      </c>
      <c r="K1036" s="36" t="n">
        <f aca="false">$E1036/H1036-1</f>
        <v>-0.198199935947629</v>
      </c>
      <c r="L1036" s="37" t="n">
        <v>4.07</v>
      </c>
      <c r="M1036" s="37" t="n">
        <v>0.82</v>
      </c>
      <c r="N1036" s="34" t="n">
        <v>35436.69</v>
      </c>
      <c r="O1036" s="34" t="n">
        <v>15208.29</v>
      </c>
      <c r="P1036" s="38"/>
      <c r="Q1036" s="38"/>
    </row>
    <row r="1037" customFormat="false" ht="15" hidden="false" customHeight="false" outlineLevel="0" collapsed="false">
      <c r="A1037" s="34" t="n">
        <v>1029</v>
      </c>
      <c r="B1037" s="35" t="s">
        <v>2129</v>
      </c>
      <c r="C1037" s="35" t="s">
        <v>2130</v>
      </c>
      <c r="D1037" s="35" t="s">
        <v>116</v>
      </c>
      <c r="E1037" s="34" t="n">
        <v>12900</v>
      </c>
      <c r="F1037" s="34" t="n">
        <v>12550</v>
      </c>
      <c r="G1037" s="34" t="n">
        <v>13250</v>
      </c>
      <c r="H1037" s="34" t="n">
        <v>12071.7</v>
      </c>
      <c r="I1037" s="36" t="n">
        <f aca="false">$E1037/F1037-1</f>
        <v>0.0278884462151394</v>
      </c>
      <c r="J1037" s="36" t="n">
        <f aca="false">$E1037/G1037-1</f>
        <v>-0.0264150943396226</v>
      </c>
      <c r="K1037" s="36" t="n">
        <f aca="false">$E1037/H1037-1</f>
        <v>0.0686150252242848</v>
      </c>
      <c r="L1037" s="37" t="n">
        <v>8.97</v>
      </c>
      <c r="M1037" s="37" t="n">
        <v>1.02</v>
      </c>
      <c r="N1037" s="34" t="n">
        <v>14788.94</v>
      </c>
      <c r="O1037" s="34" t="n">
        <v>11002.62</v>
      </c>
      <c r="P1037" s="38"/>
      <c r="Q1037" s="38"/>
    </row>
    <row r="1038" customFormat="false" ht="15" hidden="false" customHeight="false" outlineLevel="0" collapsed="false">
      <c r="A1038" s="34" t="n">
        <v>1030</v>
      </c>
      <c r="B1038" s="35" t="s">
        <v>2131</v>
      </c>
      <c r="C1038" s="35" t="s">
        <v>2132</v>
      </c>
      <c r="D1038" s="35" t="s">
        <v>133</v>
      </c>
      <c r="E1038" s="34" t="n">
        <v>34000</v>
      </c>
      <c r="F1038" s="34" t="n">
        <v>34000</v>
      </c>
      <c r="G1038" s="34" t="n">
        <v>34800</v>
      </c>
      <c r="H1038" s="34" t="n">
        <v>38000</v>
      </c>
      <c r="I1038" s="36" t="n">
        <f aca="false">$E1038/F1038-1</f>
        <v>0</v>
      </c>
      <c r="J1038" s="36" t="n">
        <f aca="false">$E1038/G1038-1</f>
        <v>-0.0229885057471264</v>
      </c>
      <c r="K1038" s="36" t="n">
        <f aca="false">$E1038/H1038-1</f>
        <v>-0.105263157894737</v>
      </c>
      <c r="L1038" s="37" t="n">
        <v>16.41</v>
      </c>
      <c r="M1038" s="37" t="n">
        <v>3.14</v>
      </c>
      <c r="N1038" s="34" t="n">
        <v>38000</v>
      </c>
      <c r="O1038" s="34" t="n">
        <v>31200</v>
      </c>
      <c r="P1038" s="38"/>
      <c r="Q1038" s="38"/>
    </row>
    <row r="1039" customFormat="false" ht="15" hidden="false" customHeight="false" outlineLevel="0" collapsed="false">
      <c r="A1039" s="34" t="n">
        <v>1031</v>
      </c>
      <c r="B1039" s="35" t="s">
        <v>2133</v>
      </c>
      <c r="C1039" s="35" t="s">
        <v>2134</v>
      </c>
      <c r="D1039" s="35" t="s">
        <v>133</v>
      </c>
      <c r="E1039" s="34" t="n">
        <v>11000</v>
      </c>
      <c r="F1039" s="34" t="n">
        <v>10800</v>
      </c>
      <c r="G1039" s="34" t="n">
        <v>10900</v>
      </c>
      <c r="H1039" s="34" t="n">
        <v>9400</v>
      </c>
      <c r="I1039" s="36" t="n">
        <f aca="false">$E1039/F1039-1</f>
        <v>0.0185185185185186</v>
      </c>
      <c r="J1039" s="36" t="n">
        <f aca="false">$E1039/G1039-1</f>
        <v>0.00917431192660545</v>
      </c>
      <c r="K1039" s="36" t="n">
        <f aca="false">$E1039/H1039-1</f>
        <v>0.170212765957447</v>
      </c>
      <c r="L1039" s="37" t="n">
        <v>25.39</v>
      </c>
      <c r="M1039" s="37" t="n">
        <v>0.75</v>
      </c>
      <c r="N1039" s="34" t="n">
        <v>12600</v>
      </c>
      <c r="O1039" s="34" t="n">
        <v>7700</v>
      </c>
      <c r="P1039" s="38"/>
      <c r="Q1039" s="38"/>
    </row>
    <row r="1040" customFormat="false" ht="15" hidden="false" customHeight="false" outlineLevel="0" collapsed="false">
      <c r="A1040" s="34" t="n">
        <v>1032</v>
      </c>
      <c r="B1040" s="35" t="s">
        <v>2135</v>
      </c>
      <c r="C1040" s="35" t="s">
        <v>2136</v>
      </c>
      <c r="D1040" s="35" t="s">
        <v>116</v>
      </c>
      <c r="E1040" s="34" t="n">
        <v>15050</v>
      </c>
      <c r="F1040" s="34" t="n">
        <v>15550</v>
      </c>
      <c r="G1040" s="34" t="n">
        <v>16400</v>
      </c>
      <c r="H1040" s="34" t="n">
        <v>14478.26</v>
      </c>
      <c r="I1040" s="36" t="n">
        <f aca="false">$E1040/F1040-1</f>
        <v>-0.0321543408360129</v>
      </c>
      <c r="J1040" s="36" t="n">
        <f aca="false">$E1040/G1040-1</f>
        <v>-0.0823170731707317</v>
      </c>
      <c r="K1040" s="36" t="n">
        <f aca="false">$E1040/H1040-1</f>
        <v>0.0394895519212943</v>
      </c>
      <c r="L1040" s="37" t="n">
        <v>17.29</v>
      </c>
      <c r="M1040" s="37" t="n">
        <v>1.22</v>
      </c>
      <c r="N1040" s="34" t="n">
        <v>19166.07</v>
      </c>
      <c r="O1040" s="34" t="n">
        <v>13524.11</v>
      </c>
      <c r="P1040" s="38" t="n">
        <v>15.62</v>
      </c>
      <c r="Q1040" s="38" t="n">
        <v>1.94</v>
      </c>
    </row>
    <row r="1041" customFormat="false" ht="15" hidden="false" customHeight="false" outlineLevel="0" collapsed="false">
      <c r="A1041" s="34" t="n">
        <v>1033</v>
      </c>
      <c r="B1041" s="35" t="s">
        <v>2137</v>
      </c>
      <c r="C1041" s="35" t="s">
        <v>2138</v>
      </c>
      <c r="D1041" s="35" t="s">
        <v>111</v>
      </c>
      <c r="E1041" s="34" t="n">
        <v>50976</v>
      </c>
      <c r="F1041" s="34" t="n">
        <v>50990</v>
      </c>
      <c r="G1041" s="34" t="n">
        <v>48000</v>
      </c>
      <c r="H1041" s="34" t="n">
        <v>39547</v>
      </c>
      <c r="I1041" s="36" t="n">
        <f aca="false">$E1041/F1041-1</f>
        <v>-0.000274563639929393</v>
      </c>
      <c r="J1041" s="36" t="n">
        <f aca="false">$E1041/G1041-1</f>
        <v>0.0620000000000001</v>
      </c>
      <c r="K1041" s="36" t="n">
        <f aca="false">$E1041/H1041-1</f>
        <v>0.288997901231446</v>
      </c>
      <c r="L1041" s="37" t="n">
        <v>32.4</v>
      </c>
      <c r="M1041" s="37" t="n">
        <v>2.5</v>
      </c>
      <c r="N1041" s="34" t="n">
        <v>64700</v>
      </c>
      <c r="O1041" s="34" t="n">
        <v>35284</v>
      </c>
      <c r="P1041" s="38"/>
      <c r="Q1041" s="38"/>
    </row>
    <row r="1042" customFormat="false" ht="15" hidden="false" customHeight="false" outlineLevel="0" collapsed="false">
      <c r="A1042" s="34" t="n">
        <v>1034</v>
      </c>
      <c r="B1042" s="35" t="s">
        <v>2139</v>
      </c>
      <c r="C1042" s="35" t="s">
        <v>2140</v>
      </c>
      <c r="D1042" s="35" t="s">
        <v>116</v>
      </c>
      <c r="E1042" s="34" t="n">
        <v>7260</v>
      </c>
      <c r="F1042" s="34" t="n">
        <v>7520</v>
      </c>
      <c r="G1042" s="34" t="n">
        <v>7730</v>
      </c>
      <c r="H1042" s="34" t="n">
        <v>8420</v>
      </c>
      <c r="I1042" s="36" t="n">
        <f aca="false">$E1042/F1042-1</f>
        <v>-0.0345744680851063</v>
      </c>
      <c r="J1042" s="36" t="n">
        <f aca="false">$E1042/G1042-1</f>
        <v>-0.0608020698576973</v>
      </c>
      <c r="K1042" s="36" t="n">
        <f aca="false">$E1042/H1042-1</f>
        <v>-0.137767220902613</v>
      </c>
      <c r="L1042" s="37" t="n">
        <v>9.38</v>
      </c>
      <c r="M1042" s="37" t="n">
        <v>0.66</v>
      </c>
      <c r="N1042" s="34" t="n">
        <v>8800</v>
      </c>
      <c r="O1042" s="34" t="n">
        <v>6470</v>
      </c>
      <c r="P1042" s="38"/>
      <c r="Q1042" s="38"/>
    </row>
    <row r="1043" customFormat="false" ht="15" hidden="false" customHeight="false" outlineLevel="0" collapsed="false">
      <c r="A1043" s="34" t="n">
        <v>1035</v>
      </c>
      <c r="B1043" s="35" t="s">
        <v>2141</v>
      </c>
      <c r="C1043" s="35" t="s">
        <v>2141</v>
      </c>
      <c r="D1043" s="35" t="s">
        <v>116</v>
      </c>
      <c r="E1043" s="34" t="n">
        <v>11700</v>
      </c>
      <c r="F1043" s="34" t="n">
        <v>11500</v>
      </c>
      <c r="G1043" s="34" t="n">
        <v>13400</v>
      </c>
      <c r="H1043" s="34" t="n">
        <v>16114.56</v>
      </c>
      <c r="I1043" s="36" t="n">
        <f aca="false">$E1043/F1043-1</f>
        <v>0.017391304347826</v>
      </c>
      <c r="J1043" s="36" t="n">
        <f aca="false">$E1043/G1043-1</f>
        <v>-0.126865671641791</v>
      </c>
      <c r="K1043" s="36" t="n">
        <f aca="false">$E1043/H1043-1</f>
        <v>-0.273948528535685</v>
      </c>
      <c r="L1043" s="37" t="n">
        <v>4.53</v>
      </c>
      <c r="M1043" s="37" t="n">
        <v>0.83</v>
      </c>
      <c r="N1043" s="34" t="n">
        <v>18775.68</v>
      </c>
      <c r="O1043" s="34" t="n">
        <v>11200</v>
      </c>
      <c r="P1043" s="38" t="n">
        <v>5.46</v>
      </c>
      <c r="Q1043" s="38" t="n">
        <v>0.89</v>
      </c>
    </row>
    <row r="1044" customFormat="false" ht="15" hidden="false" customHeight="false" outlineLevel="0" collapsed="false">
      <c r="A1044" s="34" t="n">
        <v>1036</v>
      </c>
      <c r="B1044" s="35" t="s">
        <v>2142</v>
      </c>
      <c r="C1044" s="35" t="s">
        <v>2143</v>
      </c>
      <c r="D1044" s="35" t="s">
        <v>116</v>
      </c>
      <c r="E1044" s="34" t="n">
        <v>6100</v>
      </c>
      <c r="F1044" s="34" t="n">
        <v>6080</v>
      </c>
      <c r="G1044" s="34" t="n">
        <v>6280</v>
      </c>
      <c r="H1044" s="34" t="n">
        <v>7780</v>
      </c>
      <c r="I1044" s="36" t="n">
        <f aca="false">$E1044/F1044-1</f>
        <v>0.00328947368421062</v>
      </c>
      <c r="J1044" s="36" t="n">
        <f aca="false">$E1044/G1044-1</f>
        <v>-0.0286624203821656</v>
      </c>
      <c r="K1044" s="36" t="n">
        <f aca="false">$E1044/H1044-1</f>
        <v>-0.215938303341902</v>
      </c>
      <c r="L1044" s="37" t="n">
        <v>7.02</v>
      </c>
      <c r="M1044" s="37" t="n">
        <v>0.4</v>
      </c>
      <c r="N1044" s="34" t="n">
        <v>8533.5</v>
      </c>
      <c r="O1044" s="34" t="n">
        <v>5870</v>
      </c>
      <c r="P1044" s="38"/>
      <c r="Q1044" s="38"/>
    </row>
    <row r="1045" customFormat="false" ht="15" hidden="false" customHeight="false" outlineLevel="0" collapsed="false">
      <c r="A1045" s="34" t="n">
        <v>1037</v>
      </c>
      <c r="B1045" s="35" t="s">
        <v>2144</v>
      </c>
      <c r="C1045" s="35" t="s">
        <v>2145</v>
      </c>
      <c r="D1045" s="35" t="s">
        <v>111</v>
      </c>
      <c r="E1045" s="34" t="n">
        <v>39000</v>
      </c>
      <c r="F1045" s="34" t="n">
        <v>40000</v>
      </c>
      <c r="G1045" s="34" t="n">
        <v>41500</v>
      </c>
      <c r="H1045" s="34" t="n">
        <v>35556.18</v>
      </c>
      <c r="I1045" s="36" t="n">
        <f aca="false">$E1045/F1045-1</f>
        <v>-0.025</v>
      </c>
      <c r="J1045" s="36" t="n">
        <f aca="false">$E1045/G1045-1</f>
        <v>-0.0602409638554217</v>
      </c>
      <c r="K1045" s="36" t="n">
        <f aca="false">$E1045/H1045-1</f>
        <v>0.0968557364711282</v>
      </c>
      <c r="L1045" s="37" t="n">
        <v>4.44</v>
      </c>
      <c r="M1045" s="37" t="n">
        <v>0.54</v>
      </c>
      <c r="N1045" s="34" t="n">
        <v>41700</v>
      </c>
      <c r="O1045" s="34" t="n">
        <v>32359.07</v>
      </c>
      <c r="P1045" s="38"/>
      <c r="Q1045" s="38"/>
    </row>
    <row r="1046" customFormat="false" ht="15" hidden="false" customHeight="false" outlineLevel="0" collapsed="false">
      <c r="A1046" s="34" t="n">
        <v>1038</v>
      </c>
      <c r="B1046" s="35" t="s">
        <v>2146</v>
      </c>
      <c r="C1046" s="35" t="s">
        <v>2147</v>
      </c>
      <c r="D1046" s="35" t="s">
        <v>116</v>
      </c>
      <c r="E1046" s="34" t="n">
        <v>47200</v>
      </c>
      <c r="F1046" s="34" t="n">
        <v>47150</v>
      </c>
      <c r="G1046" s="34" t="n">
        <v>47800</v>
      </c>
      <c r="H1046" s="34" t="n">
        <v>61800</v>
      </c>
      <c r="I1046" s="36" t="n">
        <f aca="false">$E1046/F1046-1</f>
        <v>0.00106044538706263</v>
      </c>
      <c r="J1046" s="36" t="n">
        <f aca="false">$E1046/G1046-1</f>
        <v>-0.0125523012552301</v>
      </c>
      <c r="K1046" s="36" t="n">
        <f aca="false">$E1046/H1046-1</f>
        <v>-0.236245954692557</v>
      </c>
      <c r="L1046" s="37" t="n">
        <v>23.01</v>
      </c>
      <c r="M1046" s="37" t="n">
        <v>3.65</v>
      </c>
      <c r="N1046" s="34" t="n">
        <v>81300</v>
      </c>
      <c r="O1046" s="34" t="n">
        <v>47100</v>
      </c>
      <c r="P1046" s="38"/>
      <c r="Q1046" s="38"/>
    </row>
    <row r="1047" customFormat="false" ht="15" hidden="false" customHeight="false" outlineLevel="0" collapsed="false">
      <c r="A1047" s="34" t="n">
        <v>1039</v>
      </c>
      <c r="B1047" s="35" t="s">
        <v>2148</v>
      </c>
      <c r="C1047" s="35" t="s">
        <v>2149</v>
      </c>
      <c r="D1047" s="35" t="s">
        <v>111</v>
      </c>
      <c r="E1047" s="34" t="n">
        <v>24295</v>
      </c>
      <c r="F1047" s="34" t="n">
        <v>23092</v>
      </c>
      <c r="G1047" s="34" t="n">
        <v>26693</v>
      </c>
      <c r="H1047" s="34" t="n">
        <v>30027</v>
      </c>
      <c r="I1047" s="36" t="n">
        <f aca="false">$E1047/F1047-1</f>
        <v>0.0520959639702061</v>
      </c>
      <c r="J1047" s="36" t="n">
        <f aca="false">$E1047/G1047-1</f>
        <v>-0.0898362866669165</v>
      </c>
      <c r="K1047" s="36" t="n">
        <f aca="false">$E1047/H1047-1</f>
        <v>-0.190894861291504</v>
      </c>
      <c r="L1047" s="37" t="n">
        <v>9.84</v>
      </c>
      <c r="M1047" s="37" t="n">
        <v>1.2</v>
      </c>
      <c r="N1047" s="34" t="n">
        <v>38170</v>
      </c>
      <c r="O1047" s="34" t="n">
        <v>23092</v>
      </c>
      <c r="P1047" s="38"/>
      <c r="Q1047" s="38"/>
    </row>
    <row r="1048" customFormat="false" ht="15" hidden="false" customHeight="false" outlineLevel="0" collapsed="false">
      <c r="A1048" s="34" t="n">
        <v>1040</v>
      </c>
      <c r="B1048" s="35" t="s">
        <v>2150</v>
      </c>
      <c r="C1048" s="35" t="s">
        <v>2151</v>
      </c>
      <c r="D1048" s="35" t="s">
        <v>116</v>
      </c>
      <c r="E1048" s="34" t="n">
        <v>19400</v>
      </c>
      <c r="F1048" s="34" t="n">
        <v>17650</v>
      </c>
      <c r="G1048" s="34" t="n">
        <v>21200</v>
      </c>
      <c r="H1048" s="34" t="n">
        <v>29150</v>
      </c>
      <c r="I1048" s="36" t="n">
        <f aca="false">$E1048/F1048-1</f>
        <v>0.0991501416430596</v>
      </c>
      <c r="J1048" s="36" t="n">
        <f aca="false">$E1048/G1048-1</f>
        <v>-0.0849056603773585</v>
      </c>
      <c r="K1048" s="36" t="n">
        <f aca="false">$E1048/H1048-1</f>
        <v>-0.334476843910806</v>
      </c>
      <c r="L1048" s="37" t="n">
        <v>21.88</v>
      </c>
      <c r="M1048" s="37" t="n">
        <v>1.15</v>
      </c>
      <c r="N1048" s="34" t="n">
        <v>38633.02</v>
      </c>
      <c r="O1048" s="34" t="n">
        <v>17150</v>
      </c>
      <c r="P1048" s="38" t="n">
        <v>18.84</v>
      </c>
      <c r="Q1048" s="38" t="n">
        <v>2.425</v>
      </c>
    </row>
    <row r="1049" customFormat="false" ht="15" hidden="false" customHeight="false" outlineLevel="0" collapsed="false">
      <c r="A1049" s="34" t="n">
        <v>1041</v>
      </c>
      <c r="B1049" s="35" t="s">
        <v>2152</v>
      </c>
      <c r="C1049" s="35" t="s">
        <v>2153</v>
      </c>
      <c r="D1049" s="35" t="s">
        <v>111</v>
      </c>
      <c r="E1049" s="34" t="n">
        <v>34100</v>
      </c>
      <c r="F1049" s="34" t="n">
        <v>34100</v>
      </c>
      <c r="G1049" s="34" t="n">
        <v>40100</v>
      </c>
      <c r="H1049" s="34" t="n">
        <v>34994.6</v>
      </c>
      <c r="I1049" s="36" t="n">
        <f aca="false">$E1049/F1049-1</f>
        <v>0</v>
      </c>
      <c r="J1049" s="36" t="n">
        <f aca="false">$E1049/G1049-1</f>
        <v>-0.149625935162095</v>
      </c>
      <c r="K1049" s="36" t="n">
        <f aca="false">$E1049/H1049-1</f>
        <v>-0.0255639441513833</v>
      </c>
      <c r="L1049" s="37" t="n">
        <v>8.02</v>
      </c>
      <c r="M1049" s="37" t="n">
        <v>1.77</v>
      </c>
      <c r="N1049" s="34" t="n">
        <v>40669.4</v>
      </c>
      <c r="O1049" s="34" t="n">
        <v>29414.38</v>
      </c>
      <c r="P1049" s="38"/>
      <c r="Q1049" s="38"/>
    </row>
    <row r="1050" customFormat="false" ht="15" hidden="false" customHeight="false" outlineLevel="0" collapsed="false">
      <c r="A1050" s="34" t="n">
        <v>1042</v>
      </c>
      <c r="B1050" s="35" t="s">
        <v>2154</v>
      </c>
      <c r="C1050" s="35" t="s">
        <v>2155</v>
      </c>
      <c r="D1050" s="35" t="s">
        <v>133</v>
      </c>
      <c r="E1050" s="34" t="n">
        <v>39600</v>
      </c>
      <c r="F1050" s="34" t="n">
        <v>38300</v>
      </c>
      <c r="G1050" s="34" t="n">
        <v>39183.48</v>
      </c>
      <c r="H1050" s="34" t="n">
        <v>33547.5</v>
      </c>
      <c r="I1050" s="36" t="n">
        <f aca="false">$E1050/F1050-1</f>
        <v>0.0339425587467364</v>
      </c>
      <c r="J1050" s="36" t="n">
        <f aca="false">$E1050/G1050-1</f>
        <v>0.0106299899855755</v>
      </c>
      <c r="K1050" s="36" t="n">
        <f aca="false">$E1050/H1050-1</f>
        <v>0.180415828303152</v>
      </c>
      <c r="L1050" s="37" t="n">
        <v>5.31</v>
      </c>
      <c r="M1050" s="37" t="n">
        <v>1.38</v>
      </c>
      <c r="N1050" s="34" t="n">
        <v>39899.16</v>
      </c>
      <c r="O1050" s="34" t="n">
        <v>32652.9</v>
      </c>
      <c r="P1050" s="38"/>
      <c r="Q1050" s="38"/>
    </row>
    <row r="1051" customFormat="false" ht="15" hidden="false" customHeight="false" outlineLevel="0" collapsed="false">
      <c r="A1051" s="34" t="n">
        <v>1043</v>
      </c>
      <c r="B1051" s="35" t="s">
        <v>2156</v>
      </c>
      <c r="C1051" s="35" t="s">
        <v>2157</v>
      </c>
      <c r="D1051" s="35" t="s">
        <v>116</v>
      </c>
      <c r="E1051" s="34" t="n">
        <v>48000</v>
      </c>
      <c r="F1051" s="34" t="n">
        <v>47000</v>
      </c>
      <c r="G1051" s="34" t="n">
        <v>47700</v>
      </c>
      <c r="H1051" s="34" t="n">
        <v>47000</v>
      </c>
      <c r="I1051" s="36" t="n">
        <f aca="false">$E1051/F1051-1</f>
        <v>0.0212765957446808</v>
      </c>
      <c r="J1051" s="36" t="n">
        <f aca="false">$E1051/G1051-1</f>
        <v>0.00628930817610063</v>
      </c>
      <c r="K1051" s="36" t="n">
        <f aca="false">$E1051/H1051-1</f>
        <v>0.0212765957446808</v>
      </c>
      <c r="L1051" s="37" t="n">
        <v>9.16</v>
      </c>
      <c r="M1051" s="37" t="n">
        <v>1.77</v>
      </c>
      <c r="N1051" s="34" t="n">
        <v>53900</v>
      </c>
      <c r="O1051" s="34" t="n">
        <v>42200</v>
      </c>
      <c r="P1051" s="38"/>
      <c r="Q1051" s="38"/>
    </row>
    <row r="1052" customFormat="false" ht="15" hidden="false" customHeight="false" outlineLevel="0" collapsed="false">
      <c r="A1052" s="34" t="n">
        <v>1044</v>
      </c>
      <c r="B1052" s="35" t="s">
        <v>2158</v>
      </c>
      <c r="C1052" s="35" t="s">
        <v>2159</v>
      </c>
      <c r="D1052" s="35" t="s">
        <v>116</v>
      </c>
      <c r="E1052" s="34" t="n">
        <v>25000</v>
      </c>
      <c r="F1052" s="34" t="n">
        <v>25400</v>
      </c>
      <c r="G1052" s="34" t="n">
        <v>26450</v>
      </c>
      <c r="H1052" s="34" t="n">
        <v>27026.68</v>
      </c>
      <c r="I1052" s="36" t="n">
        <f aca="false">$E1052/F1052-1</f>
        <v>-0.015748031496063</v>
      </c>
      <c r="J1052" s="36" t="n">
        <f aca="false">$E1052/G1052-1</f>
        <v>-0.054820415879017</v>
      </c>
      <c r="K1052" s="36" t="n">
        <f aca="false">$E1052/H1052-1</f>
        <v>-0.0749881228474973</v>
      </c>
      <c r="L1052" s="37" t="n">
        <v>9.42</v>
      </c>
      <c r="M1052" s="37" t="n">
        <v>1.54</v>
      </c>
      <c r="N1052" s="34" t="n">
        <v>28291.36</v>
      </c>
      <c r="O1052" s="34" t="n">
        <v>25000</v>
      </c>
      <c r="P1052" s="38"/>
      <c r="Q1052" s="38"/>
    </row>
    <row r="1053" customFormat="false" ht="15" hidden="false" customHeight="false" outlineLevel="0" collapsed="false">
      <c r="A1053" s="34" t="n">
        <v>1045</v>
      </c>
      <c r="B1053" s="35" t="s">
        <v>2160</v>
      </c>
      <c r="C1053" s="35" t="s">
        <v>2161</v>
      </c>
      <c r="D1053" s="35" t="s">
        <v>337</v>
      </c>
      <c r="E1053" s="34"/>
      <c r="F1053" s="34"/>
      <c r="G1053" s="34"/>
      <c r="H1053" s="34" t="n">
        <v>1000</v>
      </c>
      <c r="I1053" s="36" t="e">
        <f aca="false">$E1053/F1053-1</f>
        <v>#DIV/0!</v>
      </c>
      <c r="J1053" s="36" t="e">
        <f aca="false">$E1053/G1053-1</f>
        <v>#DIV/0!</v>
      </c>
      <c r="K1053" s="36" t="n">
        <f aca="false">$E1053/H1053-1</f>
        <v>-1</v>
      </c>
      <c r="L1053" s="37"/>
      <c r="M1053" s="37"/>
      <c r="N1053" s="34"/>
      <c r="O1053" s="34"/>
      <c r="P1053" s="38"/>
      <c r="Q1053" s="38"/>
    </row>
    <row r="1054" customFormat="false" ht="15" hidden="false" customHeight="false" outlineLevel="0" collapsed="false">
      <c r="A1054" s="34" t="n">
        <v>1046</v>
      </c>
      <c r="B1054" s="35" t="s">
        <v>2162</v>
      </c>
      <c r="C1054" s="35" t="s">
        <v>2163</v>
      </c>
      <c r="D1054" s="35" t="s">
        <v>111</v>
      </c>
      <c r="E1054" s="34" t="n">
        <v>4190</v>
      </c>
      <c r="F1054" s="34" t="n">
        <v>4061</v>
      </c>
      <c r="G1054" s="34" t="n">
        <v>4200</v>
      </c>
      <c r="H1054" s="34" t="n">
        <v>4140</v>
      </c>
      <c r="I1054" s="36" t="n">
        <f aca="false">$E1054/F1054-1</f>
        <v>0.0317655749815315</v>
      </c>
      <c r="J1054" s="36" t="n">
        <f aca="false">$E1054/G1054-1</f>
        <v>-0.00238095238095237</v>
      </c>
      <c r="K1054" s="36" t="n">
        <f aca="false">$E1054/H1054-1</f>
        <v>0.0120772946859904</v>
      </c>
      <c r="L1054" s="37" t="n">
        <v>2.59</v>
      </c>
      <c r="M1054" s="37" t="n">
        <v>0.21</v>
      </c>
      <c r="N1054" s="34" t="n">
        <v>5577</v>
      </c>
      <c r="O1054" s="34" t="n">
        <v>3786</v>
      </c>
      <c r="P1054" s="38"/>
      <c r="Q1054" s="38"/>
    </row>
    <row r="1055" customFormat="false" ht="15" hidden="false" customHeight="false" outlineLevel="0" collapsed="false">
      <c r="A1055" s="34" t="n">
        <v>1047</v>
      </c>
      <c r="B1055" s="35" t="s">
        <v>2164</v>
      </c>
      <c r="C1055" s="35" t="s">
        <v>2165</v>
      </c>
      <c r="D1055" s="35" t="s">
        <v>133</v>
      </c>
      <c r="E1055" s="34" t="n">
        <v>11900</v>
      </c>
      <c r="F1055" s="34" t="n">
        <v>10400</v>
      </c>
      <c r="G1055" s="34" t="n">
        <v>12500</v>
      </c>
      <c r="H1055" s="34" t="n">
        <v>18300</v>
      </c>
      <c r="I1055" s="36" t="n">
        <f aca="false">$E1055/F1055-1</f>
        <v>0.144230769230769</v>
      </c>
      <c r="J1055" s="36" t="n">
        <f aca="false">$E1055/G1055-1</f>
        <v>-0.048</v>
      </c>
      <c r="K1055" s="36" t="n">
        <f aca="false">$E1055/H1055-1</f>
        <v>-0.349726775956284</v>
      </c>
      <c r="L1055" s="37" t="n">
        <v>3.58</v>
      </c>
      <c r="M1055" s="37" t="n">
        <v>0.41</v>
      </c>
      <c r="N1055" s="34" t="n">
        <v>25300</v>
      </c>
      <c r="O1055" s="34" t="n">
        <v>10000</v>
      </c>
      <c r="P1055" s="38"/>
      <c r="Q1055" s="38"/>
    </row>
    <row r="1056" customFormat="false" ht="15" hidden="false" customHeight="false" outlineLevel="0" collapsed="false">
      <c r="A1056" s="34" t="n">
        <v>1048</v>
      </c>
      <c r="B1056" s="35" t="s">
        <v>2166</v>
      </c>
      <c r="C1056" s="35" t="s">
        <v>2167</v>
      </c>
      <c r="D1056" s="35" t="s">
        <v>111</v>
      </c>
      <c r="E1056" s="34" t="n">
        <v>2200</v>
      </c>
      <c r="F1056" s="34" t="n">
        <v>2216</v>
      </c>
      <c r="G1056" s="34" t="n">
        <v>2300</v>
      </c>
      <c r="H1056" s="34" t="n">
        <v>1700</v>
      </c>
      <c r="I1056" s="36" t="n">
        <f aca="false">$E1056/F1056-1</f>
        <v>-0.00722021660649819</v>
      </c>
      <c r="J1056" s="36" t="n">
        <f aca="false">$E1056/G1056-1</f>
        <v>-0.0434782608695652</v>
      </c>
      <c r="K1056" s="36" t="n">
        <f aca="false">$E1056/H1056-1</f>
        <v>0.294117647058824</v>
      </c>
      <c r="L1056" s="37" t="n">
        <v>-2.48</v>
      </c>
      <c r="M1056" s="37" t="n">
        <v>-0.06</v>
      </c>
      <c r="N1056" s="34" t="n">
        <v>2300</v>
      </c>
      <c r="O1056" s="34" t="n">
        <v>1373</v>
      </c>
      <c r="P1056" s="38"/>
      <c r="Q1056" s="38"/>
    </row>
    <row r="1057" customFormat="false" ht="15" hidden="false" customHeight="false" outlineLevel="0" collapsed="false">
      <c r="A1057" s="34" t="n">
        <v>1049</v>
      </c>
      <c r="B1057" s="35" t="s">
        <v>2168</v>
      </c>
      <c r="C1057" s="35" t="s">
        <v>2169</v>
      </c>
      <c r="D1057" s="35" t="s">
        <v>111</v>
      </c>
      <c r="E1057" s="34" t="n">
        <v>3600</v>
      </c>
      <c r="F1057" s="34" t="n">
        <v>4100</v>
      </c>
      <c r="G1057" s="34" t="n">
        <v>5200</v>
      </c>
      <c r="H1057" s="34" t="n">
        <v>3700</v>
      </c>
      <c r="I1057" s="36" t="n">
        <f aca="false">$E1057/F1057-1</f>
        <v>-0.121951219512195</v>
      </c>
      <c r="J1057" s="36" t="n">
        <f aca="false">$E1057/G1057-1</f>
        <v>-0.307692307692308</v>
      </c>
      <c r="K1057" s="36" t="n">
        <f aca="false">$E1057/H1057-1</f>
        <v>-0.027027027027027</v>
      </c>
      <c r="L1057" s="37" t="n">
        <v>4.97</v>
      </c>
      <c r="M1057" s="37" t="n">
        <v>0.61</v>
      </c>
      <c r="N1057" s="34" t="n">
        <v>6742</v>
      </c>
      <c r="O1057" s="34" t="n">
        <v>3250</v>
      </c>
      <c r="P1057" s="38"/>
      <c r="Q1057" s="38"/>
    </row>
    <row r="1058" customFormat="false" ht="15" hidden="false" customHeight="false" outlineLevel="0" collapsed="false">
      <c r="A1058" s="34" t="n">
        <v>1050</v>
      </c>
      <c r="B1058" s="35" t="s">
        <v>2170</v>
      </c>
      <c r="C1058" s="35" t="s">
        <v>2171</v>
      </c>
      <c r="D1058" s="35" t="s">
        <v>111</v>
      </c>
      <c r="E1058" s="34" t="n">
        <v>8700</v>
      </c>
      <c r="F1058" s="34" t="n">
        <v>8500</v>
      </c>
      <c r="G1058" s="34" t="n">
        <v>9800</v>
      </c>
      <c r="H1058" s="34" t="n">
        <v>7200</v>
      </c>
      <c r="I1058" s="36" t="n">
        <f aca="false">$E1058/F1058-1</f>
        <v>0.0235294117647058</v>
      </c>
      <c r="J1058" s="36" t="n">
        <f aca="false">$E1058/G1058-1</f>
        <v>-0.112244897959184</v>
      </c>
      <c r="K1058" s="36" t="n">
        <f aca="false">$E1058/H1058-1</f>
        <v>0.208333333333333</v>
      </c>
      <c r="L1058" s="37" t="n">
        <v>5.23</v>
      </c>
      <c r="M1058" s="37" t="n">
        <v>2.55</v>
      </c>
      <c r="N1058" s="34" t="n">
        <v>9800</v>
      </c>
      <c r="O1058" s="34" t="n">
        <v>6268</v>
      </c>
      <c r="P1058" s="38"/>
      <c r="Q1058" s="38"/>
    </row>
    <row r="1059" customFormat="false" ht="15" hidden="false" customHeight="false" outlineLevel="0" collapsed="false">
      <c r="A1059" s="34" t="n">
        <v>1051</v>
      </c>
      <c r="B1059" s="35" t="s">
        <v>2172</v>
      </c>
      <c r="C1059" s="35" t="s">
        <v>2173</v>
      </c>
      <c r="D1059" s="35" t="s">
        <v>111</v>
      </c>
      <c r="E1059" s="34" t="n">
        <v>1900</v>
      </c>
      <c r="F1059" s="34" t="n">
        <v>1900</v>
      </c>
      <c r="G1059" s="34" t="n">
        <v>2200</v>
      </c>
      <c r="H1059" s="34" t="n">
        <v>1800</v>
      </c>
      <c r="I1059" s="36" t="n">
        <f aca="false">$E1059/F1059-1</f>
        <v>0</v>
      </c>
      <c r="J1059" s="36" t="n">
        <f aca="false">$E1059/G1059-1</f>
        <v>-0.136363636363636</v>
      </c>
      <c r="K1059" s="36" t="n">
        <f aca="false">$E1059/H1059-1</f>
        <v>0.0555555555555556</v>
      </c>
      <c r="L1059" s="37" t="n">
        <v>-3.38</v>
      </c>
      <c r="M1059" s="37" t="n">
        <v>-1.11</v>
      </c>
      <c r="N1059" s="34" t="n">
        <v>2516</v>
      </c>
      <c r="O1059" s="34" t="n">
        <v>1600</v>
      </c>
      <c r="P1059" s="38"/>
      <c r="Q1059" s="38"/>
    </row>
    <row r="1060" customFormat="false" ht="15" hidden="false" customHeight="false" outlineLevel="0" collapsed="false">
      <c r="A1060" s="34" t="n">
        <v>1052</v>
      </c>
      <c r="B1060" s="35" t="s">
        <v>2174</v>
      </c>
      <c r="C1060" s="35" t="s">
        <v>2175</v>
      </c>
      <c r="D1060" s="35" t="s">
        <v>133</v>
      </c>
      <c r="E1060" s="34" t="n">
        <v>7000</v>
      </c>
      <c r="F1060" s="34" t="n">
        <v>7000</v>
      </c>
      <c r="G1060" s="34" t="n">
        <v>7100</v>
      </c>
      <c r="H1060" s="34" t="n">
        <v>8382.12</v>
      </c>
      <c r="I1060" s="36" t="n">
        <f aca="false">$E1060/F1060-1</f>
        <v>0</v>
      </c>
      <c r="J1060" s="36" t="n">
        <f aca="false">$E1060/G1060-1</f>
        <v>-0.0140845070422535</v>
      </c>
      <c r="K1060" s="36" t="n">
        <f aca="false">$E1060/H1060-1</f>
        <v>-0.164889073408637</v>
      </c>
      <c r="L1060" s="37" t="n">
        <v>8.74</v>
      </c>
      <c r="M1060" s="37" t="n">
        <v>0.39</v>
      </c>
      <c r="N1060" s="34" t="n">
        <v>9293.22</v>
      </c>
      <c r="O1060" s="34" t="n">
        <v>6900</v>
      </c>
      <c r="P1060" s="38"/>
      <c r="Q1060" s="38"/>
    </row>
    <row r="1061" customFormat="false" ht="15" hidden="false" customHeight="false" outlineLevel="0" collapsed="false">
      <c r="A1061" s="34" t="n">
        <v>1053</v>
      </c>
      <c r="B1061" s="35" t="s">
        <v>2176</v>
      </c>
      <c r="C1061" s="35" t="s">
        <v>2177</v>
      </c>
      <c r="D1061" s="35" t="s">
        <v>133</v>
      </c>
      <c r="E1061" s="34" t="n">
        <v>65000</v>
      </c>
      <c r="F1061" s="34" t="n">
        <v>66000</v>
      </c>
      <c r="G1061" s="34" t="n">
        <v>60000</v>
      </c>
      <c r="H1061" s="34" t="n">
        <v>54435.61</v>
      </c>
      <c r="I1061" s="36" t="n">
        <f aca="false">$E1061/F1061-1</f>
        <v>-0.0151515151515151</v>
      </c>
      <c r="J1061" s="36" t="n">
        <f aca="false">$E1061/G1061-1</f>
        <v>0.0833333333333333</v>
      </c>
      <c r="K1061" s="36" t="n">
        <f aca="false">$E1061/H1061-1</f>
        <v>0.19407130736663</v>
      </c>
      <c r="L1061" s="37" t="n">
        <v>6.71</v>
      </c>
      <c r="M1061" s="37" t="n">
        <v>0.77</v>
      </c>
      <c r="N1061" s="34" t="n">
        <v>67000</v>
      </c>
      <c r="O1061" s="34" t="n">
        <v>54435.61</v>
      </c>
      <c r="P1061" s="38"/>
      <c r="Q1061" s="38"/>
    </row>
    <row r="1062" customFormat="false" ht="15" hidden="false" customHeight="false" outlineLevel="0" collapsed="false">
      <c r="A1062" s="34" t="n">
        <v>1054</v>
      </c>
      <c r="B1062" s="35" t="s">
        <v>2178</v>
      </c>
      <c r="C1062" s="35" t="s">
        <v>2179</v>
      </c>
      <c r="D1062" s="35" t="s">
        <v>111</v>
      </c>
      <c r="E1062" s="34" t="n">
        <v>1933</v>
      </c>
      <c r="F1062" s="34" t="n">
        <v>2000</v>
      </c>
      <c r="G1062" s="34" t="n">
        <v>2000</v>
      </c>
      <c r="H1062" s="34" t="n">
        <v>2300</v>
      </c>
      <c r="I1062" s="36" t="n">
        <f aca="false">$E1062/F1062-1</f>
        <v>-0.0335</v>
      </c>
      <c r="J1062" s="36" t="n">
        <f aca="false">$E1062/G1062-1</f>
        <v>-0.0335</v>
      </c>
      <c r="K1062" s="36" t="n">
        <f aca="false">$E1062/H1062-1</f>
        <v>-0.159565217391304</v>
      </c>
      <c r="L1062" s="37" t="n">
        <v>-3.67</v>
      </c>
      <c r="M1062" s="37" t="n">
        <v>0.58</v>
      </c>
      <c r="N1062" s="34" t="n">
        <v>2600</v>
      </c>
      <c r="O1062" s="34" t="n">
        <v>1860</v>
      </c>
      <c r="P1062" s="38"/>
      <c r="Q1062" s="38"/>
    </row>
    <row r="1063" customFormat="false" ht="15" hidden="false" customHeight="false" outlineLevel="0" collapsed="false">
      <c r="A1063" s="34" t="n">
        <v>1055</v>
      </c>
      <c r="B1063" s="35" t="s">
        <v>2180</v>
      </c>
      <c r="C1063" s="35" t="s">
        <v>2181</v>
      </c>
      <c r="D1063" s="35" t="s">
        <v>111</v>
      </c>
      <c r="E1063" s="34" t="n">
        <v>2600</v>
      </c>
      <c r="F1063" s="34" t="n">
        <v>2600</v>
      </c>
      <c r="G1063" s="34" t="n">
        <v>2900</v>
      </c>
      <c r="H1063" s="34" t="n">
        <v>2800</v>
      </c>
      <c r="I1063" s="36" t="n">
        <f aca="false">$E1063/F1063-1</f>
        <v>0</v>
      </c>
      <c r="J1063" s="36" t="n">
        <f aca="false">$E1063/G1063-1</f>
        <v>-0.103448275862069</v>
      </c>
      <c r="K1063" s="36" t="n">
        <f aca="false">$E1063/H1063-1</f>
        <v>-0.0714285714285714</v>
      </c>
      <c r="L1063" s="37" t="n">
        <v>35.89</v>
      </c>
      <c r="M1063" s="37" t="n">
        <v>0.2</v>
      </c>
      <c r="N1063" s="34" t="n">
        <v>3100</v>
      </c>
      <c r="O1063" s="34" t="n">
        <v>2600</v>
      </c>
      <c r="P1063" s="38"/>
      <c r="Q1063" s="38"/>
    </row>
    <row r="1064" customFormat="false" ht="15" hidden="false" customHeight="false" outlineLevel="0" collapsed="false">
      <c r="A1064" s="34" t="n">
        <v>1056</v>
      </c>
      <c r="B1064" s="35" t="s">
        <v>2182</v>
      </c>
      <c r="C1064" s="35" t="s">
        <v>2183</v>
      </c>
      <c r="D1064" s="35" t="s">
        <v>111</v>
      </c>
      <c r="E1064" s="34" t="n">
        <v>6500</v>
      </c>
      <c r="F1064" s="34" t="n">
        <v>6500</v>
      </c>
      <c r="G1064" s="34" t="n">
        <v>7000</v>
      </c>
      <c r="H1064" s="34" t="n">
        <v>7000</v>
      </c>
      <c r="I1064" s="36" t="n">
        <f aca="false">$E1064/F1064-1</f>
        <v>0</v>
      </c>
      <c r="J1064" s="36" t="n">
        <f aca="false">$E1064/G1064-1</f>
        <v>-0.0714285714285714</v>
      </c>
      <c r="K1064" s="36" t="n">
        <f aca="false">$E1064/H1064-1</f>
        <v>-0.0714285714285714</v>
      </c>
      <c r="L1064" s="37" t="n">
        <v>11.96</v>
      </c>
      <c r="M1064" s="37" t="n">
        <v>0.6</v>
      </c>
      <c r="N1064" s="34" t="n">
        <v>9318</v>
      </c>
      <c r="O1064" s="34" t="n">
        <v>5200</v>
      </c>
      <c r="P1064" s="38"/>
      <c r="Q1064" s="38"/>
    </row>
    <row r="1065" customFormat="false" ht="15" hidden="false" customHeight="false" outlineLevel="0" collapsed="false">
      <c r="A1065" s="34" t="n">
        <v>1057</v>
      </c>
      <c r="B1065" s="35" t="s">
        <v>2184</v>
      </c>
      <c r="C1065" s="35" t="s">
        <v>2185</v>
      </c>
      <c r="D1065" s="35" t="s">
        <v>111</v>
      </c>
      <c r="E1065" s="34" t="n">
        <v>15000</v>
      </c>
      <c r="F1065" s="34" t="n">
        <v>15000</v>
      </c>
      <c r="G1065" s="34" t="n">
        <v>15000</v>
      </c>
      <c r="H1065" s="34" t="n">
        <v>16300</v>
      </c>
      <c r="I1065" s="36" t="n">
        <f aca="false">$E1065/F1065-1</f>
        <v>0</v>
      </c>
      <c r="J1065" s="36" t="n">
        <f aca="false">$E1065/G1065-1</f>
        <v>0</v>
      </c>
      <c r="K1065" s="36" t="n">
        <f aca="false">$E1065/H1065-1</f>
        <v>-0.0797546012269939</v>
      </c>
      <c r="L1065" s="37" t="n">
        <v>3.22</v>
      </c>
      <c r="M1065" s="37" t="n">
        <v>0.43</v>
      </c>
      <c r="N1065" s="34" t="n">
        <v>16300</v>
      </c>
      <c r="O1065" s="34" t="n">
        <v>15000</v>
      </c>
      <c r="P1065" s="38"/>
      <c r="Q1065" s="38"/>
    </row>
    <row r="1066" customFormat="false" ht="15" hidden="false" customHeight="false" outlineLevel="0" collapsed="false">
      <c r="A1066" s="34" t="n">
        <v>1058</v>
      </c>
      <c r="B1066" s="35" t="s">
        <v>2186</v>
      </c>
      <c r="C1066" s="35" t="s">
        <v>2187</v>
      </c>
      <c r="D1066" s="35" t="s">
        <v>111</v>
      </c>
      <c r="E1066" s="34" t="n">
        <v>1500</v>
      </c>
      <c r="F1066" s="34" t="n">
        <v>1500</v>
      </c>
      <c r="G1066" s="34" t="n">
        <v>1500</v>
      </c>
      <c r="H1066" s="34" t="n">
        <v>1500</v>
      </c>
      <c r="I1066" s="36" t="n">
        <f aca="false">$E1066/F1066-1</f>
        <v>0</v>
      </c>
      <c r="J1066" s="36" t="n">
        <f aca="false">$E1066/G1066-1</f>
        <v>0</v>
      </c>
      <c r="K1066" s="36" t="n">
        <f aca="false">$E1066/H1066-1</f>
        <v>0</v>
      </c>
      <c r="L1066" s="37" t="n">
        <v>-0.23</v>
      </c>
      <c r="M1066" s="37" t="n">
        <v>-0.15</v>
      </c>
      <c r="N1066" s="34" t="n">
        <v>1500</v>
      </c>
      <c r="O1066" s="34" t="n">
        <v>1500</v>
      </c>
      <c r="P1066" s="38"/>
      <c r="Q1066" s="38"/>
    </row>
    <row r="1067" customFormat="false" ht="15" hidden="false" customHeight="false" outlineLevel="0" collapsed="false">
      <c r="A1067" s="34" t="n">
        <v>1059</v>
      </c>
      <c r="B1067" s="35" t="s">
        <v>2188</v>
      </c>
      <c r="C1067" s="35" t="s">
        <v>2189</v>
      </c>
      <c r="D1067" s="35" t="s">
        <v>133</v>
      </c>
      <c r="E1067" s="34" t="n">
        <v>10600</v>
      </c>
      <c r="F1067" s="34" t="n">
        <v>10000</v>
      </c>
      <c r="G1067" s="34" t="n">
        <v>10500</v>
      </c>
      <c r="H1067" s="34" t="n">
        <v>10755.34</v>
      </c>
      <c r="I1067" s="36" t="n">
        <f aca="false">$E1067/F1067-1</f>
        <v>0.0600000000000001</v>
      </c>
      <c r="J1067" s="36" t="n">
        <f aca="false">$E1067/G1067-1</f>
        <v>0.00952380952380949</v>
      </c>
      <c r="K1067" s="36" t="n">
        <f aca="false">$E1067/H1067-1</f>
        <v>-0.0144430580530229</v>
      </c>
      <c r="L1067" s="37" t="n">
        <v>10.01</v>
      </c>
      <c r="M1067" s="37" t="n">
        <v>0.53</v>
      </c>
      <c r="N1067" s="34" t="n">
        <v>11992.68</v>
      </c>
      <c r="O1067" s="34" t="n">
        <v>9800</v>
      </c>
      <c r="P1067" s="38"/>
      <c r="Q1067" s="38"/>
    </row>
    <row r="1068" customFormat="false" ht="15" hidden="false" customHeight="false" outlineLevel="0" collapsed="false">
      <c r="A1068" s="34" t="n">
        <v>1060</v>
      </c>
      <c r="B1068" s="35" t="s">
        <v>2190</v>
      </c>
      <c r="C1068" s="35" t="s">
        <v>2191</v>
      </c>
      <c r="D1068" s="35" t="s">
        <v>133</v>
      </c>
      <c r="E1068" s="34" t="n">
        <v>7800</v>
      </c>
      <c r="F1068" s="34" t="n">
        <v>8200</v>
      </c>
      <c r="G1068" s="34" t="n">
        <v>8500</v>
      </c>
      <c r="H1068" s="34" t="n">
        <v>9100</v>
      </c>
      <c r="I1068" s="36" t="n">
        <f aca="false">$E1068/F1068-1</f>
        <v>-0.0487804878048781</v>
      </c>
      <c r="J1068" s="36" t="n">
        <f aca="false">$E1068/G1068-1</f>
        <v>-0.0823529411764706</v>
      </c>
      <c r="K1068" s="36" t="n">
        <f aca="false">$E1068/H1068-1</f>
        <v>-0.142857142857143</v>
      </c>
      <c r="L1068" s="37" t="n">
        <v>9.43</v>
      </c>
      <c r="M1068" s="37" t="n">
        <v>0.56</v>
      </c>
      <c r="N1068" s="34" t="n">
        <v>12000</v>
      </c>
      <c r="O1068" s="34" t="n">
        <v>7800</v>
      </c>
      <c r="P1068" s="38"/>
      <c r="Q1068" s="38"/>
    </row>
    <row r="1069" customFormat="false" ht="15" hidden="false" customHeight="false" outlineLevel="0" collapsed="false">
      <c r="A1069" s="34" t="n">
        <v>1061</v>
      </c>
      <c r="B1069" s="35" t="s">
        <v>2192</v>
      </c>
      <c r="C1069" s="35" t="s">
        <v>2193</v>
      </c>
      <c r="D1069" s="35" t="s">
        <v>111</v>
      </c>
      <c r="E1069" s="34" t="n">
        <v>24275</v>
      </c>
      <c r="F1069" s="34" t="n">
        <v>23896</v>
      </c>
      <c r="G1069" s="34" t="n">
        <v>19405</v>
      </c>
      <c r="H1069" s="34" t="n">
        <v>15966.65</v>
      </c>
      <c r="I1069" s="36" t="n">
        <f aca="false">$E1069/F1069-1</f>
        <v>0.0158603950451959</v>
      </c>
      <c r="J1069" s="36" t="n">
        <f aca="false">$E1069/G1069-1</f>
        <v>0.250966245812935</v>
      </c>
      <c r="K1069" s="36" t="n">
        <f aca="false">$E1069/H1069-1</f>
        <v>0.520356493065233</v>
      </c>
      <c r="L1069" s="37" t="n">
        <v>8.74</v>
      </c>
      <c r="M1069" s="37" t="n">
        <v>1.95</v>
      </c>
      <c r="N1069" s="34" t="n">
        <v>24765</v>
      </c>
      <c r="O1069" s="34" t="n">
        <v>15171.78</v>
      </c>
      <c r="P1069" s="38"/>
      <c r="Q1069" s="38"/>
    </row>
    <row r="1070" customFormat="false" ht="15" hidden="false" customHeight="false" outlineLevel="0" collapsed="false">
      <c r="A1070" s="34" t="n">
        <v>1062</v>
      </c>
      <c r="B1070" s="35" t="s">
        <v>2194</v>
      </c>
      <c r="C1070" s="35" t="s">
        <v>2195</v>
      </c>
      <c r="D1070" s="35" t="s">
        <v>111</v>
      </c>
      <c r="E1070" s="34" t="n">
        <v>15000</v>
      </c>
      <c r="F1070" s="34" t="n">
        <v>15000</v>
      </c>
      <c r="G1070" s="34" t="n">
        <v>15000</v>
      </c>
      <c r="H1070" s="34" t="n">
        <v>15800</v>
      </c>
      <c r="I1070" s="36" t="n">
        <f aca="false">$E1070/F1070-1</f>
        <v>0</v>
      </c>
      <c r="J1070" s="36" t="n">
        <f aca="false">$E1070/G1070-1</f>
        <v>0</v>
      </c>
      <c r="K1070" s="36" t="n">
        <f aca="false">$E1070/H1070-1</f>
        <v>-0.0506329113924051</v>
      </c>
      <c r="L1070" s="37" t="n">
        <v>5.86</v>
      </c>
      <c r="M1070" s="37" t="n">
        <v>0.71</v>
      </c>
      <c r="N1070" s="34" t="n">
        <v>24000</v>
      </c>
      <c r="O1070" s="34" t="n">
        <v>12800</v>
      </c>
      <c r="P1070" s="38"/>
      <c r="Q1070" s="38"/>
    </row>
    <row r="1071" customFormat="false" ht="15" hidden="false" customHeight="false" outlineLevel="0" collapsed="false">
      <c r="A1071" s="34" t="n">
        <v>1063</v>
      </c>
      <c r="B1071" s="35" t="s">
        <v>2196</v>
      </c>
      <c r="C1071" s="35" t="s">
        <v>2197</v>
      </c>
      <c r="D1071" s="35" t="s">
        <v>116</v>
      </c>
      <c r="E1071" s="34" t="n">
        <v>8550</v>
      </c>
      <c r="F1071" s="34" t="n">
        <v>8890</v>
      </c>
      <c r="G1071" s="34" t="n">
        <v>8954.64</v>
      </c>
      <c r="H1071" s="34" t="n">
        <v>14136.5</v>
      </c>
      <c r="I1071" s="36" t="n">
        <f aca="false">$E1071/F1071-1</f>
        <v>-0.0382452193475815</v>
      </c>
      <c r="J1071" s="36" t="n">
        <f aca="false">$E1071/G1071-1</f>
        <v>-0.0451877462410548</v>
      </c>
      <c r="K1071" s="36" t="n">
        <f aca="false">$E1071/H1071-1</f>
        <v>-0.395182683125243</v>
      </c>
      <c r="L1071" s="37" t="n">
        <v>-25.39</v>
      </c>
      <c r="M1071" s="37" t="n">
        <v>0.78</v>
      </c>
      <c r="N1071" s="34" t="n">
        <v>16552.97</v>
      </c>
      <c r="O1071" s="34" t="n">
        <v>8000</v>
      </c>
      <c r="P1071" s="38"/>
      <c r="Q1071" s="38"/>
    </row>
    <row r="1072" customFormat="false" ht="15" hidden="false" customHeight="false" outlineLevel="0" collapsed="false">
      <c r="A1072" s="34" t="n">
        <v>1064</v>
      </c>
      <c r="B1072" s="35" t="s">
        <v>2198</v>
      </c>
      <c r="C1072" s="35" t="s">
        <v>2199</v>
      </c>
      <c r="D1072" s="35" t="s">
        <v>116</v>
      </c>
      <c r="E1072" s="34" t="n">
        <v>23000</v>
      </c>
      <c r="F1072" s="34" t="n">
        <v>23000</v>
      </c>
      <c r="G1072" s="34" t="n">
        <v>22397.76</v>
      </c>
      <c r="H1072" s="34" t="n">
        <v>21457.05</v>
      </c>
      <c r="I1072" s="36" t="n">
        <f aca="false">$E1072/F1072-1</f>
        <v>0</v>
      </c>
      <c r="J1072" s="36" t="n">
        <f aca="false">$E1072/G1072-1</f>
        <v>0.026888403126027</v>
      </c>
      <c r="K1072" s="36" t="n">
        <f aca="false">$E1072/H1072-1</f>
        <v>0.0719087665825451</v>
      </c>
      <c r="L1072" s="37" t="n">
        <v>7.53</v>
      </c>
      <c r="M1072" s="37" t="n">
        <v>2.03</v>
      </c>
      <c r="N1072" s="34" t="n">
        <v>23851.96</v>
      </c>
      <c r="O1072" s="34" t="n">
        <v>20060.77</v>
      </c>
      <c r="P1072" s="38"/>
      <c r="Q1072" s="38"/>
    </row>
    <row r="1073" customFormat="false" ht="15" hidden="false" customHeight="false" outlineLevel="0" collapsed="false">
      <c r="A1073" s="34" t="n">
        <v>1065</v>
      </c>
      <c r="B1073" s="35" t="s">
        <v>2200</v>
      </c>
      <c r="C1073" s="35" t="s">
        <v>2201</v>
      </c>
      <c r="D1073" s="35" t="s">
        <v>133</v>
      </c>
      <c r="E1073" s="34" t="n">
        <v>19500</v>
      </c>
      <c r="F1073" s="34" t="n">
        <v>19800</v>
      </c>
      <c r="G1073" s="34" t="n">
        <v>19800</v>
      </c>
      <c r="H1073" s="34" t="n">
        <v>26000</v>
      </c>
      <c r="I1073" s="36" t="n">
        <f aca="false">$E1073/F1073-1</f>
        <v>-0.0151515151515151</v>
      </c>
      <c r="J1073" s="36" t="n">
        <f aca="false">$E1073/G1073-1</f>
        <v>-0.0151515151515151</v>
      </c>
      <c r="K1073" s="36" t="n">
        <f aca="false">$E1073/H1073-1</f>
        <v>-0.25</v>
      </c>
      <c r="L1073" s="37" t="n">
        <v>8.83</v>
      </c>
      <c r="M1073" s="37" t="n">
        <v>0.82</v>
      </c>
      <c r="N1073" s="34" t="n">
        <v>28181.35</v>
      </c>
      <c r="O1073" s="34" t="n">
        <v>16200</v>
      </c>
      <c r="P1073" s="38"/>
      <c r="Q1073" s="38"/>
    </row>
    <row r="1074" customFormat="false" ht="15" hidden="false" customHeight="false" outlineLevel="0" collapsed="false">
      <c r="A1074" s="34" t="n">
        <v>1066</v>
      </c>
      <c r="B1074" s="35" t="s">
        <v>2202</v>
      </c>
      <c r="C1074" s="35" t="s">
        <v>2203</v>
      </c>
      <c r="D1074" s="35" t="s">
        <v>116</v>
      </c>
      <c r="E1074" s="34" t="n">
        <v>3810</v>
      </c>
      <c r="F1074" s="34" t="n">
        <v>3930</v>
      </c>
      <c r="G1074" s="34" t="n">
        <v>3880</v>
      </c>
      <c r="H1074" s="34" t="n">
        <v>3920</v>
      </c>
      <c r="I1074" s="36" t="n">
        <f aca="false">$E1074/F1074-1</f>
        <v>-0.0305343511450382</v>
      </c>
      <c r="J1074" s="36" t="n">
        <f aca="false">$E1074/G1074-1</f>
        <v>-0.0180412371134021</v>
      </c>
      <c r="K1074" s="36" t="n">
        <f aca="false">$E1074/H1074-1</f>
        <v>-0.0280612244897959</v>
      </c>
      <c r="L1074" s="37" t="n">
        <v>6.57</v>
      </c>
      <c r="M1074" s="37" t="n">
        <v>0.29</v>
      </c>
      <c r="N1074" s="34" t="n">
        <v>4280</v>
      </c>
      <c r="O1074" s="34" t="n">
        <v>3720</v>
      </c>
      <c r="P1074" s="38"/>
      <c r="Q1074" s="38"/>
    </row>
    <row r="1075" customFormat="false" ht="15" hidden="false" customHeight="false" outlineLevel="0" collapsed="false">
      <c r="A1075" s="34" t="n">
        <v>1067</v>
      </c>
      <c r="B1075" s="35" t="s">
        <v>2204</v>
      </c>
      <c r="C1075" s="35" t="s">
        <v>2205</v>
      </c>
      <c r="D1075" s="35" t="s">
        <v>111</v>
      </c>
      <c r="E1075" s="34" t="n">
        <v>68600</v>
      </c>
      <c r="F1075" s="34" t="n">
        <v>74900</v>
      </c>
      <c r="G1075" s="34" t="n">
        <v>66959.2</v>
      </c>
      <c r="H1075" s="34" t="n">
        <v>70826.84</v>
      </c>
      <c r="I1075" s="36" t="n">
        <f aca="false">$E1075/F1075-1</f>
        <v>-0.0841121495327103</v>
      </c>
      <c r="J1075" s="36" t="n">
        <f aca="false">$E1075/G1075-1</f>
        <v>0.02450447436648</v>
      </c>
      <c r="K1075" s="36" t="n">
        <f aca="false">$E1075/H1075-1</f>
        <v>-0.0314406233569081</v>
      </c>
      <c r="L1075" s="37" t="n">
        <v>4.69</v>
      </c>
      <c r="M1075" s="37" t="n">
        <v>1.01</v>
      </c>
      <c r="N1075" s="34" t="n">
        <v>74900</v>
      </c>
      <c r="O1075" s="34" t="n">
        <v>62393.8</v>
      </c>
      <c r="P1075" s="38"/>
      <c r="Q1075" s="38"/>
    </row>
    <row r="1076" customFormat="false" ht="15" hidden="false" customHeight="false" outlineLevel="0" collapsed="false">
      <c r="A1076" s="34" t="n">
        <v>1068</v>
      </c>
      <c r="B1076" s="35" t="s">
        <v>2206</v>
      </c>
      <c r="C1076" s="35" t="s">
        <v>2207</v>
      </c>
      <c r="D1076" s="35" t="s">
        <v>111</v>
      </c>
      <c r="E1076" s="34" t="n">
        <v>15600</v>
      </c>
      <c r="F1076" s="34" t="n">
        <v>15400</v>
      </c>
      <c r="G1076" s="34" t="n">
        <v>14400</v>
      </c>
      <c r="H1076" s="34" t="n">
        <v>13034.45</v>
      </c>
      <c r="I1076" s="36" t="n">
        <f aca="false">$E1076/F1076-1</f>
        <v>0.0129870129870129</v>
      </c>
      <c r="J1076" s="36" t="n">
        <f aca="false">$E1076/G1076-1</f>
        <v>0.0833333333333333</v>
      </c>
      <c r="K1076" s="36" t="n">
        <f aca="false">$E1076/H1076-1</f>
        <v>0.196828404727472</v>
      </c>
      <c r="L1076" s="37" t="n">
        <v>3.9</v>
      </c>
      <c r="M1076" s="37" t="n">
        <v>0.87</v>
      </c>
      <c r="N1076" s="34" t="n">
        <v>16000</v>
      </c>
      <c r="O1076" s="34" t="n">
        <v>12537.68</v>
      </c>
      <c r="P1076" s="38"/>
      <c r="Q1076" s="38"/>
    </row>
    <row r="1077" customFormat="false" ht="15" hidden="false" customHeight="false" outlineLevel="0" collapsed="false">
      <c r="A1077" s="34" t="n">
        <v>1069</v>
      </c>
      <c r="B1077" s="35" t="s">
        <v>2208</v>
      </c>
      <c r="C1077" s="35" t="s">
        <v>2209</v>
      </c>
      <c r="D1077" s="35" t="s">
        <v>111</v>
      </c>
      <c r="E1077" s="34" t="n">
        <v>1800</v>
      </c>
      <c r="F1077" s="34" t="n">
        <v>1800</v>
      </c>
      <c r="G1077" s="34" t="n">
        <v>1800</v>
      </c>
      <c r="H1077" s="34" t="n">
        <v>1800</v>
      </c>
      <c r="I1077" s="36" t="n">
        <f aca="false">$E1077/F1077-1</f>
        <v>0</v>
      </c>
      <c r="J1077" s="36" t="n">
        <f aca="false">$E1077/G1077-1</f>
        <v>0</v>
      </c>
      <c r="K1077" s="36" t="n">
        <f aca="false">$E1077/H1077-1</f>
        <v>0</v>
      </c>
      <c r="L1077" s="37" t="n">
        <v>-0.71</v>
      </c>
      <c r="M1077" s="37" t="n">
        <v>0.28</v>
      </c>
      <c r="N1077" s="34" t="n">
        <v>1800</v>
      </c>
      <c r="O1077" s="34" t="n">
        <v>1800</v>
      </c>
      <c r="P1077" s="38"/>
      <c r="Q1077" s="38"/>
    </row>
    <row r="1078" customFormat="false" ht="15" hidden="false" customHeight="false" outlineLevel="0" collapsed="false">
      <c r="A1078" s="34" t="n">
        <v>1070</v>
      </c>
      <c r="B1078" s="35" t="s">
        <v>2210</v>
      </c>
      <c r="C1078" s="35" t="s">
        <v>2211</v>
      </c>
      <c r="D1078" s="35" t="s">
        <v>111</v>
      </c>
      <c r="E1078" s="34" t="n">
        <v>20500</v>
      </c>
      <c r="F1078" s="34" t="n">
        <v>18200</v>
      </c>
      <c r="G1078" s="34" t="n">
        <v>20692</v>
      </c>
      <c r="H1078" s="34" t="n">
        <v>21225</v>
      </c>
      <c r="I1078" s="36" t="n">
        <f aca="false">$E1078/F1078-1</f>
        <v>0.126373626373626</v>
      </c>
      <c r="J1078" s="36" t="n">
        <f aca="false">$E1078/G1078-1</f>
        <v>-0.00927894838584964</v>
      </c>
      <c r="K1078" s="36" t="n">
        <f aca="false">$E1078/H1078-1</f>
        <v>-0.0341578327444052</v>
      </c>
      <c r="L1078" s="37" t="n">
        <v>10.27</v>
      </c>
      <c r="M1078" s="37" t="n">
        <v>1.67</v>
      </c>
      <c r="N1078" s="34" t="n">
        <v>24641</v>
      </c>
      <c r="O1078" s="34" t="n">
        <v>17800</v>
      </c>
      <c r="P1078" s="38"/>
      <c r="Q1078" s="38"/>
    </row>
    <row r="1079" customFormat="false" ht="15" hidden="false" customHeight="false" outlineLevel="0" collapsed="false">
      <c r="A1079" s="34" t="n">
        <v>1071</v>
      </c>
      <c r="B1079" s="35" t="s">
        <v>2212</v>
      </c>
      <c r="C1079" s="35" t="s">
        <v>2213</v>
      </c>
      <c r="D1079" s="35" t="s">
        <v>111</v>
      </c>
      <c r="E1079" s="34" t="n">
        <v>33000</v>
      </c>
      <c r="F1079" s="34" t="n">
        <v>38700</v>
      </c>
      <c r="G1079" s="34" t="n">
        <v>39000</v>
      </c>
      <c r="H1079" s="34" t="n">
        <v>35662.54</v>
      </c>
      <c r="I1079" s="36" t="n">
        <f aca="false">$E1079/F1079-1</f>
        <v>-0.147286821705426</v>
      </c>
      <c r="J1079" s="36" t="n">
        <f aca="false">$E1079/G1079-1</f>
        <v>-0.153846153846154</v>
      </c>
      <c r="K1079" s="36" t="n">
        <f aca="false">$E1079/H1079-1</f>
        <v>-0.0746592923555081</v>
      </c>
      <c r="L1079" s="37" t="n">
        <v>8.16</v>
      </c>
      <c r="M1079" s="37" t="n">
        <v>2.7</v>
      </c>
      <c r="N1079" s="34" t="n">
        <v>40485.3</v>
      </c>
      <c r="O1079" s="34" t="n">
        <v>32097.21</v>
      </c>
      <c r="P1079" s="38"/>
      <c r="Q1079" s="38"/>
    </row>
    <row r="1080" customFormat="false" ht="15" hidden="false" customHeight="false" outlineLevel="0" collapsed="false">
      <c r="A1080" s="34" t="n">
        <v>1072</v>
      </c>
      <c r="B1080" s="35" t="s">
        <v>2214</v>
      </c>
      <c r="C1080" s="35" t="s">
        <v>2215</v>
      </c>
      <c r="D1080" s="35" t="s">
        <v>111</v>
      </c>
      <c r="E1080" s="34" t="n">
        <v>6852</v>
      </c>
      <c r="F1080" s="34" t="n">
        <v>6500</v>
      </c>
      <c r="G1080" s="34" t="n">
        <v>6500</v>
      </c>
      <c r="H1080" s="34" t="n">
        <v>7080</v>
      </c>
      <c r="I1080" s="36" t="n">
        <f aca="false">$E1080/F1080-1</f>
        <v>0.0541538461538462</v>
      </c>
      <c r="J1080" s="36" t="n">
        <f aca="false">$E1080/G1080-1</f>
        <v>0.0541538461538462</v>
      </c>
      <c r="K1080" s="36" t="n">
        <f aca="false">$E1080/H1080-1</f>
        <v>-0.0322033898305085</v>
      </c>
      <c r="L1080" s="37" t="n">
        <v>11.55</v>
      </c>
      <c r="M1080" s="37" t="n">
        <v>1.95</v>
      </c>
      <c r="N1080" s="34" t="n">
        <v>10142</v>
      </c>
      <c r="O1080" s="34" t="n">
        <v>3987</v>
      </c>
      <c r="P1080" s="38"/>
      <c r="Q1080" s="38"/>
    </row>
    <row r="1081" customFormat="false" ht="15" hidden="false" customHeight="false" outlineLevel="0" collapsed="false">
      <c r="A1081" s="34" t="n">
        <v>1073</v>
      </c>
      <c r="B1081" s="35" t="s">
        <v>2216</v>
      </c>
      <c r="C1081" s="35" t="s">
        <v>2217</v>
      </c>
      <c r="D1081" s="35" t="s">
        <v>111</v>
      </c>
      <c r="E1081" s="34" t="n">
        <v>26500</v>
      </c>
      <c r="F1081" s="34" t="n">
        <v>26500</v>
      </c>
      <c r="G1081" s="34" t="n">
        <v>26500</v>
      </c>
      <c r="H1081" s="34" t="n">
        <v>19189.8</v>
      </c>
      <c r="I1081" s="36" t="n">
        <f aca="false">$E1081/F1081-1</f>
        <v>0</v>
      </c>
      <c r="J1081" s="36" t="n">
        <f aca="false">$E1081/G1081-1</f>
        <v>0</v>
      </c>
      <c r="K1081" s="36" t="n">
        <f aca="false">$E1081/H1081-1</f>
        <v>0.380941958748919</v>
      </c>
      <c r="L1081" s="37" t="n">
        <v>6.96</v>
      </c>
      <c r="M1081" s="37" t="n">
        <v>1.65</v>
      </c>
      <c r="N1081" s="34" t="n">
        <v>26500.2</v>
      </c>
      <c r="O1081" s="34" t="n">
        <v>13707</v>
      </c>
      <c r="P1081" s="38"/>
      <c r="Q1081" s="38"/>
    </row>
    <row r="1082" customFormat="false" ht="15" hidden="false" customHeight="false" outlineLevel="0" collapsed="false">
      <c r="A1082" s="34" t="n">
        <v>1074</v>
      </c>
      <c r="B1082" s="35" t="s">
        <v>2218</v>
      </c>
      <c r="C1082" s="35" t="s">
        <v>2219</v>
      </c>
      <c r="D1082" s="35" t="s">
        <v>111</v>
      </c>
      <c r="E1082" s="34" t="n">
        <v>13000</v>
      </c>
      <c r="F1082" s="34" t="n">
        <v>13000.4</v>
      </c>
      <c r="G1082" s="34" t="n">
        <v>13000.4</v>
      </c>
      <c r="H1082" s="34" t="n">
        <v>12628.96</v>
      </c>
      <c r="I1082" s="36" t="n">
        <f aca="false">$E1082/F1082-1</f>
        <v>-3.07682840527956E-005</v>
      </c>
      <c r="J1082" s="36" t="n">
        <f aca="false">$E1082/G1082-1</f>
        <v>-3.07682840527956E-005</v>
      </c>
      <c r="K1082" s="36" t="n">
        <f aca="false">$E1082/H1082-1</f>
        <v>0.0293800914722986</v>
      </c>
      <c r="L1082" s="37" t="n">
        <v>7.58</v>
      </c>
      <c r="M1082" s="37" t="n">
        <v>0.81</v>
      </c>
      <c r="N1082" s="34" t="n">
        <v>13278.98</v>
      </c>
      <c r="O1082" s="34" t="n">
        <v>11607.5</v>
      </c>
      <c r="P1082" s="38"/>
      <c r="Q1082" s="38"/>
    </row>
    <row r="1083" customFormat="false" ht="15" hidden="false" customHeight="false" outlineLevel="0" collapsed="false">
      <c r="A1083" s="34" t="n">
        <v>1075</v>
      </c>
      <c r="B1083" s="35" t="s">
        <v>2220</v>
      </c>
      <c r="C1083" s="35" t="s">
        <v>2221</v>
      </c>
      <c r="D1083" s="35" t="s">
        <v>111</v>
      </c>
      <c r="E1083" s="34" t="n">
        <v>295000</v>
      </c>
      <c r="F1083" s="34" t="n">
        <v>295000</v>
      </c>
      <c r="G1083" s="34" t="n">
        <v>285000</v>
      </c>
      <c r="H1083" s="34" t="n">
        <v>210119.02</v>
      </c>
      <c r="I1083" s="36" t="n">
        <f aca="false">$E1083/F1083-1</f>
        <v>0</v>
      </c>
      <c r="J1083" s="36" t="n">
        <f aca="false">$E1083/G1083-1</f>
        <v>0.0350877192982457</v>
      </c>
      <c r="K1083" s="36" t="n">
        <f aca="false">$E1083/H1083-1</f>
        <v>0.40396619020972</v>
      </c>
      <c r="L1083" s="37" t="n">
        <v>31.6</v>
      </c>
      <c r="M1083" s="37" t="n">
        <v>6.09</v>
      </c>
      <c r="N1083" s="34" t="n">
        <v>295000</v>
      </c>
      <c r="O1083" s="34" t="n">
        <v>162364.7</v>
      </c>
      <c r="P1083" s="38"/>
      <c r="Q1083" s="38"/>
    </row>
    <row r="1084" customFormat="false" ht="15" hidden="false" customHeight="false" outlineLevel="0" collapsed="false">
      <c r="A1084" s="34" t="n">
        <v>1076</v>
      </c>
      <c r="B1084" s="35" t="s">
        <v>2222</v>
      </c>
      <c r="C1084" s="35" t="s">
        <v>2223</v>
      </c>
      <c r="D1084" s="35" t="s">
        <v>116</v>
      </c>
      <c r="E1084" s="34" t="n">
        <v>4220</v>
      </c>
      <c r="F1084" s="34" t="n">
        <v>4340</v>
      </c>
      <c r="G1084" s="34" t="n">
        <v>4080</v>
      </c>
      <c r="H1084" s="34" t="n">
        <v>6050</v>
      </c>
      <c r="I1084" s="36" t="n">
        <f aca="false">$E1084/F1084-1</f>
        <v>-0.0276497695852534</v>
      </c>
      <c r="J1084" s="36" t="n">
        <f aca="false">$E1084/G1084-1</f>
        <v>0.0343137254901962</v>
      </c>
      <c r="K1084" s="36" t="n">
        <f aca="false">$E1084/H1084-1</f>
        <v>-0.302479338842975</v>
      </c>
      <c r="L1084" s="37" t="n">
        <v>6.96</v>
      </c>
      <c r="M1084" s="37" t="n">
        <v>0.36</v>
      </c>
      <c r="N1084" s="34" t="n">
        <v>8330</v>
      </c>
      <c r="O1084" s="34" t="n">
        <v>3830</v>
      </c>
      <c r="P1084" s="38"/>
      <c r="Q1084" s="38"/>
    </row>
    <row r="1085" customFormat="false" ht="15" hidden="false" customHeight="false" outlineLevel="0" collapsed="false">
      <c r="A1085" s="34" t="n">
        <v>1077</v>
      </c>
      <c r="B1085" s="35" t="s">
        <v>2224</v>
      </c>
      <c r="C1085" s="35" t="s">
        <v>2225</v>
      </c>
      <c r="D1085" s="35" t="s">
        <v>111</v>
      </c>
      <c r="E1085" s="34" t="n">
        <v>4088</v>
      </c>
      <c r="F1085" s="34" t="n">
        <v>4200</v>
      </c>
      <c r="G1085" s="34" t="n">
        <v>4075</v>
      </c>
      <c r="H1085" s="34" t="n">
        <v>4026</v>
      </c>
      <c r="I1085" s="36" t="n">
        <f aca="false">$E1085/F1085-1</f>
        <v>-0.0266666666666666</v>
      </c>
      <c r="J1085" s="36" t="n">
        <f aca="false">$E1085/G1085-1</f>
        <v>0.00319018404907978</v>
      </c>
      <c r="K1085" s="36" t="n">
        <f aca="false">$E1085/H1085-1</f>
        <v>0.0153999006458023</v>
      </c>
      <c r="L1085" s="37" t="n">
        <v>11</v>
      </c>
      <c r="M1085" s="37" t="n">
        <v>0.31</v>
      </c>
      <c r="N1085" s="34" t="n">
        <v>6603</v>
      </c>
      <c r="O1085" s="34" t="n">
        <v>3391</v>
      </c>
      <c r="P1085" s="38"/>
      <c r="Q1085" s="38"/>
    </row>
    <row r="1086" customFormat="false" ht="15" hidden="false" customHeight="false" outlineLevel="0" collapsed="false">
      <c r="A1086" s="34" t="n">
        <v>1078</v>
      </c>
      <c r="B1086" s="35" t="s">
        <v>2226</v>
      </c>
      <c r="C1086" s="35" t="s">
        <v>2227</v>
      </c>
      <c r="D1086" s="35" t="s">
        <v>116</v>
      </c>
      <c r="E1086" s="34" t="n">
        <v>6340</v>
      </c>
      <c r="F1086" s="34" t="n">
        <v>6300</v>
      </c>
      <c r="G1086" s="34" t="n">
        <v>6720</v>
      </c>
      <c r="H1086" s="34" t="n">
        <v>6064</v>
      </c>
      <c r="I1086" s="36" t="n">
        <f aca="false">$E1086/F1086-1</f>
        <v>0.00634920634920633</v>
      </c>
      <c r="J1086" s="36" t="n">
        <f aca="false">$E1086/G1086-1</f>
        <v>-0.0565476190476191</v>
      </c>
      <c r="K1086" s="36" t="n">
        <f aca="false">$E1086/H1086-1</f>
        <v>0.0455145118733509</v>
      </c>
      <c r="L1086" s="37" t="n">
        <v>15.46</v>
      </c>
      <c r="M1086" s="37" t="n">
        <v>0.57</v>
      </c>
      <c r="N1086" s="34" t="n">
        <v>7020</v>
      </c>
      <c r="O1086" s="34" t="n">
        <v>5650</v>
      </c>
      <c r="P1086" s="38"/>
      <c r="Q1086" s="38"/>
    </row>
    <row r="1087" customFormat="false" ht="15" hidden="false" customHeight="false" outlineLevel="0" collapsed="false">
      <c r="A1087" s="34" t="n">
        <v>1079</v>
      </c>
      <c r="B1087" s="35" t="s">
        <v>2228</v>
      </c>
      <c r="C1087" s="35" t="s">
        <v>2229</v>
      </c>
      <c r="D1087" s="35" t="s">
        <v>116</v>
      </c>
      <c r="E1087" s="34"/>
      <c r="F1087" s="34"/>
      <c r="G1087" s="34"/>
      <c r="H1087" s="34"/>
      <c r="I1087" s="36" t="e">
        <f aca="false">$E1087/F1087-1</f>
        <v>#DIV/0!</v>
      </c>
      <c r="J1087" s="36" t="e">
        <f aca="false">$E1087/G1087-1</f>
        <v>#DIV/0!</v>
      </c>
      <c r="K1087" s="36" t="e">
        <f aca="false">$E1087/H1087-1</f>
        <v>#DIV/0!</v>
      </c>
      <c r="L1087" s="37"/>
      <c r="M1087" s="37"/>
      <c r="N1087" s="34"/>
      <c r="O1087" s="34"/>
      <c r="P1087" s="38"/>
      <c r="Q1087" s="38"/>
    </row>
    <row r="1088" customFormat="false" ht="15" hidden="false" customHeight="false" outlineLevel="0" collapsed="false">
      <c r="A1088" s="34" t="n">
        <v>1080</v>
      </c>
      <c r="B1088" s="35" t="s">
        <v>2230</v>
      </c>
      <c r="C1088" s="35" t="s">
        <v>2231</v>
      </c>
      <c r="D1088" s="35" t="s">
        <v>133</v>
      </c>
      <c r="E1088" s="34" t="n">
        <v>29500</v>
      </c>
      <c r="F1088" s="34" t="n">
        <v>27459.18</v>
      </c>
      <c r="G1088" s="34" t="n">
        <v>27065.5</v>
      </c>
      <c r="H1088" s="34" t="n">
        <v>21061.88</v>
      </c>
      <c r="I1088" s="36" t="n">
        <f aca="false">$E1088/F1088-1</f>
        <v>0.0743219571742493</v>
      </c>
      <c r="J1088" s="36" t="n">
        <f aca="false">$E1088/G1088-1</f>
        <v>0.0899484583695109</v>
      </c>
      <c r="K1088" s="36" t="n">
        <f aca="false">$E1088/H1088-1</f>
        <v>0.400634701175773</v>
      </c>
      <c r="L1088" s="37" t="n">
        <v>10.95</v>
      </c>
      <c r="M1088" s="37" t="n">
        <v>1.71</v>
      </c>
      <c r="N1088" s="34" t="n">
        <v>29500</v>
      </c>
      <c r="O1088" s="34" t="n">
        <v>18233.21</v>
      </c>
      <c r="P1088" s="38"/>
      <c r="Q1088" s="38"/>
    </row>
    <row r="1089" customFormat="false" ht="15" hidden="false" customHeight="false" outlineLevel="0" collapsed="false">
      <c r="A1089" s="34" t="n">
        <v>1081</v>
      </c>
      <c r="B1089" s="35" t="s">
        <v>2232</v>
      </c>
      <c r="C1089" s="35" t="s">
        <v>2233</v>
      </c>
      <c r="D1089" s="35" t="s">
        <v>133</v>
      </c>
      <c r="E1089" s="34" t="n">
        <v>18200</v>
      </c>
      <c r="F1089" s="34" t="n">
        <v>18104</v>
      </c>
      <c r="G1089" s="34" t="n">
        <v>18104</v>
      </c>
      <c r="H1089" s="34" t="n">
        <v>18375.56</v>
      </c>
      <c r="I1089" s="36" t="n">
        <f aca="false">$E1089/F1089-1</f>
        <v>0.00530269553689799</v>
      </c>
      <c r="J1089" s="36" t="n">
        <f aca="false">$E1089/G1089-1</f>
        <v>0.00530269553689799</v>
      </c>
      <c r="K1089" s="36" t="n">
        <f aca="false">$E1089/H1089-1</f>
        <v>-0.00955399454492822</v>
      </c>
      <c r="L1089" s="37" t="n">
        <v>8.29</v>
      </c>
      <c r="M1089" s="37" t="n">
        <v>0.92</v>
      </c>
      <c r="N1089" s="34" t="n">
        <v>19914.4</v>
      </c>
      <c r="O1089" s="34" t="n">
        <v>17470.36</v>
      </c>
      <c r="P1089" s="38"/>
      <c r="Q1089" s="38"/>
    </row>
    <row r="1090" customFormat="false" ht="15" hidden="false" customHeight="false" outlineLevel="0" collapsed="false">
      <c r="A1090" s="34" t="n">
        <v>1082</v>
      </c>
      <c r="B1090" s="35" t="s">
        <v>2234</v>
      </c>
      <c r="C1090" s="35" t="s">
        <v>2235</v>
      </c>
      <c r="D1090" s="35" t="s">
        <v>111</v>
      </c>
      <c r="E1090" s="34" t="n">
        <v>104160</v>
      </c>
      <c r="F1090" s="34" t="n">
        <v>109455</v>
      </c>
      <c r="G1090" s="34" t="n">
        <v>99877</v>
      </c>
      <c r="H1090" s="34" t="n">
        <v>55934</v>
      </c>
      <c r="I1090" s="36" t="n">
        <f aca="false">$E1090/F1090-1</f>
        <v>-0.0483760449499795</v>
      </c>
      <c r="J1090" s="36" t="n">
        <f aca="false">$E1090/G1090-1</f>
        <v>0.042882745777306</v>
      </c>
      <c r="K1090" s="36" t="n">
        <f aca="false">$E1090/H1090-1</f>
        <v>0.862194729502628</v>
      </c>
      <c r="L1090" s="37" t="n">
        <v>5.84</v>
      </c>
      <c r="M1090" s="37" t="n">
        <v>3.35</v>
      </c>
      <c r="N1090" s="34" t="n">
        <v>172483</v>
      </c>
      <c r="O1090" s="34" t="n">
        <v>49192</v>
      </c>
      <c r="P1090" s="38"/>
      <c r="Q1090" s="38"/>
    </row>
    <row r="1091" customFormat="false" ht="15" hidden="false" customHeight="false" outlineLevel="0" collapsed="false">
      <c r="A1091" s="34" t="n">
        <v>1083</v>
      </c>
      <c r="B1091" s="35" t="s">
        <v>2236</v>
      </c>
      <c r="C1091" s="35" t="s">
        <v>2237</v>
      </c>
      <c r="D1091" s="35" t="s">
        <v>111</v>
      </c>
      <c r="E1091" s="34" t="n">
        <v>3200</v>
      </c>
      <c r="F1091" s="34" t="n">
        <v>3700</v>
      </c>
      <c r="G1091" s="34" t="n">
        <v>3500</v>
      </c>
      <c r="H1091" s="34" t="n">
        <v>2100</v>
      </c>
      <c r="I1091" s="36" t="n">
        <f aca="false">$E1091/F1091-1</f>
        <v>-0.135135135135135</v>
      </c>
      <c r="J1091" s="36" t="n">
        <f aca="false">$E1091/G1091-1</f>
        <v>-0.0857142857142857</v>
      </c>
      <c r="K1091" s="36" t="n">
        <f aca="false">$E1091/H1091-1</f>
        <v>0.523809523809524</v>
      </c>
      <c r="L1091" s="37" t="n">
        <v>-45.47</v>
      </c>
      <c r="M1091" s="37" t="n">
        <v>0.51</v>
      </c>
      <c r="N1091" s="34" t="n">
        <v>3925</v>
      </c>
      <c r="O1091" s="34" t="n">
        <v>1682</v>
      </c>
      <c r="P1091" s="38"/>
      <c r="Q1091" s="38"/>
    </row>
    <row r="1092" customFormat="false" ht="15" hidden="false" customHeight="false" outlineLevel="0" collapsed="false">
      <c r="A1092" s="34" t="n">
        <v>1084</v>
      </c>
      <c r="B1092" s="35" t="s">
        <v>2238</v>
      </c>
      <c r="C1092" s="35" t="s">
        <v>2239</v>
      </c>
      <c r="D1092" s="35" t="s">
        <v>116</v>
      </c>
      <c r="E1092" s="34" t="n">
        <v>12350</v>
      </c>
      <c r="F1092" s="34" t="n">
        <v>12200</v>
      </c>
      <c r="G1092" s="34" t="n">
        <v>12850</v>
      </c>
      <c r="H1092" s="34" t="n">
        <v>11050</v>
      </c>
      <c r="I1092" s="36" t="n">
        <f aca="false">$E1092/F1092-1</f>
        <v>0.0122950819672132</v>
      </c>
      <c r="J1092" s="36" t="n">
        <f aca="false">$E1092/G1092-1</f>
        <v>-0.0389105058365759</v>
      </c>
      <c r="K1092" s="36" t="n">
        <f aca="false">$E1092/H1092-1</f>
        <v>0.117647058823529</v>
      </c>
      <c r="L1092" s="37" t="n">
        <v>9.7</v>
      </c>
      <c r="M1092" s="37" t="n">
        <v>0.9</v>
      </c>
      <c r="N1092" s="34" t="n">
        <v>16250</v>
      </c>
      <c r="O1092" s="34" t="n">
        <v>10750</v>
      </c>
      <c r="P1092" s="38"/>
      <c r="Q1092" s="38"/>
    </row>
    <row r="1093" customFormat="false" ht="15" hidden="false" customHeight="false" outlineLevel="0" collapsed="false">
      <c r="A1093" s="34" t="n">
        <v>1085</v>
      </c>
      <c r="B1093" s="35" t="s">
        <v>2240</v>
      </c>
      <c r="C1093" s="35" t="s">
        <v>2241</v>
      </c>
      <c r="D1093" s="35" t="s">
        <v>116</v>
      </c>
      <c r="E1093" s="34" t="n">
        <v>29400</v>
      </c>
      <c r="F1093" s="34" t="n">
        <v>29450</v>
      </c>
      <c r="G1093" s="34" t="n">
        <v>30000</v>
      </c>
      <c r="H1093" s="34" t="n">
        <v>31567.76</v>
      </c>
      <c r="I1093" s="36" t="n">
        <f aca="false">$E1093/F1093-1</f>
        <v>-0.00169779286926997</v>
      </c>
      <c r="J1093" s="36" t="n">
        <f aca="false">$E1093/G1093-1</f>
        <v>-0.02</v>
      </c>
      <c r="K1093" s="36" t="n">
        <f aca="false">$E1093/H1093-1</f>
        <v>-0.0686700608468893</v>
      </c>
      <c r="L1093" s="37" t="n">
        <v>5.44</v>
      </c>
      <c r="M1093" s="37" t="n">
        <v>1.3</v>
      </c>
      <c r="N1093" s="34" t="n">
        <v>34024.57</v>
      </c>
      <c r="O1093" s="34" t="n">
        <v>29300</v>
      </c>
      <c r="P1093" s="38"/>
      <c r="Q1093" s="38"/>
    </row>
    <row r="1094" customFormat="false" ht="15" hidden="false" customHeight="false" outlineLevel="0" collapsed="false">
      <c r="A1094" s="34" t="n">
        <v>1086</v>
      </c>
      <c r="B1094" s="35" t="s">
        <v>2242</v>
      </c>
      <c r="C1094" s="35" t="s">
        <v>2243</v>
      </c>
      <c r="D1094" s="35" t="s">
        <v>116</v>
      </c>
      <c r="E1094" s="34" t="n">
        <v>40000</v>
      </c>
      <c r="F1094" s="34" t="n">
        <v>40000</v>
      </c>
      <c r="G1094" s="34" t="n">
        <v>41000</v>
      </c>
      <c r="H1094" s="34" t="n">
        <v>39331.3</v>
      </c>
      <c r="I1094" s="36" t="n">
        <f aca="false">$E1094/F1094-1</f>
        <v>0</v>
      </c>
      <c r="J1094" s="36" t="n">
        <f aca="false">$E1094/G1094-1</f>
        <v>-0.024390243902439</v>
      </c>
      <c r="K1094" s="36" t="n">
        <f aca="false">$E1094/H1094-1</f>
        <v>0.0170017263604305</v>
      </c>
      <c r="L1094" s="37" t="n">
        <v>10.15</v>
      </c>
      <c r="M1094" s="37" t="n">
        <v>1.43</v>
      </c>
      <c r="N1094" s="34" t="n">
        <v>45769.45</v>
      </c>
      <c r="O1094" s="34" t="n">
        <v>35494.68</v>
      </c>
      <c r="P1094" s="38"/>
      <c r="Q1094" s="38"/>
    </row>
    <row r="1095" customFormat="false" ht="15" hidden="false" customHeight="false" outlineLevel="0" collapsed="false">
      <c r="A1095" s="34" t="n">
        <v>1087</v>
      </c>
      <c r="B1095" s="35" t="s">
        <v>2244</v>
      </c>
      <c r="C1095" s="35" t="s">
        <v>2245</v>
      </c>
      <c r="D1095" s="35" t="s">
        <v>133</v>
      </c>
      <c r="E1095" s="34" t="n">
        <v>13400</v>
      </c>
      <c r="F1095" s="34" t="n">
        <v>14800</v>
      </c>
      <c r="G1095" s="34" t="n">
        <v>15300</v>
      </c>
      <c r="H1095" s="34" t="n">
        <v>15800</v>
      </c>
      <c r="I1095" s="36" t="n">
        <f aca="false">$E1095/F1095-1</f>
        <v>-0.0945945945945946</v>
      </c>
      <c r="J1095" s="36" t="n">
        <f aca="false">$E1095/G1095-1</f>
        <v>-0.124183006535948</v>
      </c>
      <c r="K1095" s="36" t="n">
        <f aca="false">$E1095/H1095-1</f>
        <v>-0.151898734177215</v>
      </c>
      <c r="L1095" s="37" t="n">
        <v>28.14</v>
      </c>
      <c r="M1095" s="37" t="n">
        <v>1.32</v>
      </c>
      <c r="N1095" s="34" t="n">
        <v>20500</v>
      </c>
      <c r="O1095" s="34" t="n">
        <v>13400</v>
      </c>
      <c r="P1095" s="38"/>
      <c r="Q1095" s="38"/>
    </row>
    <row r="1096" customFormat="false" ht="15" hidden="false" customHeight="false" outlineLevel="0" collapsed="false">
      <c r="A1096" s="34" t="n">
        <v>1088</v>
      </c>
      <c r="B1096" s="35" t="s">
        <v>2246</v>
      </c>
      <c r="C1096" s="35" t="s">
        <v>2247</v>
      </c>
      <c r="D1096" s="35" t="s">
        <v>116</v>
      </c>
      <c r="E1096" s="34" t="n">
        <v>7550</v>
      </c>
      <c r="F1096" s="34" t="n">
        <v>7590</v>
      </c>
      <c r="G1096" s="34" t="n">
        <v>8320</v>
      </c>
      <c r="H1096" s="34" t="n">
        <v>9449</v>
      </c>
      <c r="I1096" s="36" t="n">
        <f aca="false">$E1096/F1096-1</f>
        <v>-0.00527009222661401</v>
      </c>
      <c r="J1096" s="36" t="n">
        <f aca="false">$E1096/G1096-1</f>
        <v>-0.0925480769230769</v>
      </c>
      <c r="K1096" s="36" t="n">
        <f aca="false">$E1096/H1096-1</f>
        <v>-0.20097364800508</v>
      </c>
      <c r="L1096" s="37" t="n">
        <v>10.18</v>
      </c>
      <c r="M1096" s="37" t="n">
        <v>0.55</v>
      </c>
      <c r="N1096" s="34" t="n">
        <v>11197.06</v>
      </c>
      <c r="O1096" s="34" t="n">
        <v>7550</v>
      </c>
      <c r="P1096" s="38"/>
      <c r="Q1096" s="38"/>
    </row>
    <row r="1097" customFormat="false" ht="15" hidden="false" customHeight="false" outlineLevel="0" collapsed="false">
      <c r="A1097" s="34" t="n">
        <v>1089</v>
      </c>
      <c r="B1097" s="35" t="s">
        <v>2248</v>
      </c>
      <c r="C1097" s="35" t="s">
        <v>2249</v>
      </c>
      <c r="D1097" s="35" t="s">
        <v>116</v>
      </c>
      <c r="E1097" s="34" t="n">
        <v>15100</v>
      </c>
      <c r="F1097" s="34" t="n">
        <v>14550</v>
      </c>
      <c r="G1097" s="34" t="n">
        <v>14900</v>
      </c>
      <c r="H1097" s="34" t="n">
        <v>16480.65</v>
      </c>
      <c r="I1097" s="36" t="n">
        <f aca="false">$E1097/F1097-1</f>
        <v>0.0378006872852235</v>
      </c>
      <c r="J1097" s="36" t="n">
        <f aca="false">$E1097/G1097-1</f>
        <v>0.0134228187919463</v>
      </c>
      <c r="K1097" s="36" t="n">
        <f aca="false">$E1097/H1097-1</f>
        <v>-0.0837740016322173</v>
      </c>
      <c r="L1097" s="37" t="n">
        <v>8.1</v>
      </c>
      <c r="M1097" s="37" t="n">
        <v>1.11</v>
      </c>
      <c r="N1097" s="34" t="n">
        <v>18054</v>
      </c>
      <c r="O1097" s="34" t="n">
        <v>14000</v>
      </c>
      <c r="P1097" s="38"/>
      <c r="Q1097" s="38"/>
    </row>
    <row r="1098" customFormat="false" ht="15" hidden="false" customHeight="false" outlineLevel="0" collapsed="false">
      <c r="A1098" s="34" t="n">
        <v>1090</v>
      </c>
      <c r="B1098" s="35" t="s">
        <v>2250</v>
      </c>
      <c r="C1098" s="35" t="s">
        <v>2251</v>
      </c>
      <c r="D1098" s="35" t="s">
        <v>111</v>
      </c>
      <c r="E1098" s="34" t="n">
        <v>478</v>
      </c>
      <c r="F1098" s="34" t="n">
        <v>430</v>
      </c>
      <c r="G1098" s="34" t="n">
        <v>600</v>
      </c>
      <c r="H1098" s="34" t="n">
        <v>900</v>
      </c>
      <c r="I1098" s="36" t="n">
        <f aca="false">$E1098/F1098-1</f>
        <v>0.111627906976744</v>
      </c>
      <c r="J1098" s="36" t="n">
        <f aca="false">$E1098/G1098-1</f>
        <v>-0.203333333333333</v>
      </c>
      <c r="K1098" s="36" t="n">
        <f aca="false">$E1098/H1098-1</f>
        <v>-0.468888888888889</v>
      </c>
      <c r="L1098" s="37" t="n">
        <v>-0.21</v>
      </c>
      <c r="M1098" s="37" t="n">
        <v>-0.02</v>
      </c>
      <c r="N1098" s="34" t="n">
        <v>1000</v>
      </c>
      <c r="O1098" s="34" t="n">
        <v>400</v>
      </c>
      <c r="P1098" s="38"/>
      <c r="Q1098" s="38"/>
    </row>
    <row r="1099" customFormat="false" ht="15" hidden="false" customHeight="false" outlineLevel="0" collapsed="false">
      <c r="A1099" s="34" t="n">
        <v>1091</v>
      </c>
      <c r="B1099" s="35" t="s">
        <v>2252</v>
      </c>
      <c r="C1099" s="35" t="s">
        <v>2253</v>
      </c>
      <c r="D1099" s="35" t="s">
        <v>111</v>
      </c>
      <c r="E1099" s="34" t="n">
        <v>19500</v>
      </c>
      <c r="F1099" s="34" t="n">
        <v>19500</v>
      </c>
      <c r="G1099" s="34" t="n">
        <v>20000</v>
      </c>
      <c r="H1099" s="34" t="n">
        <v>22900</v>
      </c>
      <c r="I1099" s="36" t="n">
        <f aca="false">$E1099/F1099-1</f>
        <v>0</v>
      </c>
      <c r="J1099" s="36" t="n">
        <f aca="false">$E1099/G1099-1</f>
        <v>-0.025</v>
      </c>
      <c r="K1099" s="36" t="n">
        <f aca="false">$E1099/H1099-1</f>
        <v>-0.148471615720524</v>
      </c>
      <c r="L1099" s="37" t="n">
        <v>7.21</v>
      </c>
      <c r="M1099" s="37" t="n">
        <v>1.22</v>
      </c>
      <c r="N1099" s="34" t="n">
        <v>27000</v>
      </c>
      <c r="O1099" s="34" t="n">
        <v>18100</v>
      </c>
      <c r="P1099" s="38"/>
      <c r="Q1099" s="38"/>
    </row>
    <row r="1100" customFormat="false" ht="15" hidden="false" customHeight="false" outlineLevel="0" collapsed="false">
      <c r="A1100" s="34" t="n">
        <v>1092</v>
      </c>
      <c r="B1100" s="35" t="s">
        <v>2254</v>
      </c>
      <c r="C1100" s="35" t="s">
        <v>2255</v>
      </c>
      <c r="D1100" s="35" t="s">
        <v>111</v>
      </c>
      <c r="E1100" s="34" t="n">
        <v>23000</v>
      </c>
      <c r="F1100" s="34" t="n">
        <v>23000</v>
      </c>
      <c r="G1100" s="34" t="n">
        <v>24500</v>
      </c>
      <c r="H1100" s="34" t="n">
        <v>23030</v>
      </c>
      <c r="I1100" s="36" t="n">
        <f aca="false">$E1100/F1100-1</f>
        <v>0</v>
      </c>
      <c r="J1100" s="36" t="n">
        <f aca="false">$E1100/G1100-1</f>
        <v>-0.0612244897959183</v>
      </c>
      <c r="K1100" s="36" t="n">
        <f aca="false">$E1100/H1100-1</f>
        <v>-0.00130264871906205</v>
      </c>
      <c r="L1100" s="37" t="n">
        <v>8.08</v>
      </c>
      <c r="M1100" s="37" t="n">
        <v>1.13</v>
      </c>
      <c r="N1100" s="34" t="n">
        <v>24900</v>
      </c>
      <c r="O1100" s="34" t="n">
        <v>21600</v>
      </c>
      <c r="P1100" s="38"/>
      <c r="Q1100" s="38"/>
    </row>
    <row r="1101" customFormat="false" ht="15" hidden="false" customHeight="false" outlineLevel="0" collapsed="false">
      <c r="A1101" s="34" t="n">
        <v>1093</v>
      </c>
      <c r="B1101" s="35" t="s">
        <v>2256</v>
      </c>
      <c r="C1101" s="35" t="s">
        <v>2257</v>
      </c>
      <c r="D1101" s="35" t="s">
        <v>116</v>
      </c>
      <c r="E1101" s="34" t="n">
        <v>4800</v>
      </c>
      <c r="F1101" s="34" t="n">
        <v>4800</v>
      </c>
      <c r="G1101" s="34" t="n">
        <v>5080</v>
      </c>
      <c r="H1101" s="34" t="n">
        <v>6292.62</v>
      </c>
      <c r="I1101" s="36" t="n">
        <f aca="false">$E1101/F1101-1</f>
        <v>0</v>
      </c>
      <c r="J1101" s="36" t="n">
        <f aca="false">$E1101/G1101-1</f>
        <v>-0.0551181102362205</v>
      </c>
      <c r="K1101" s="36" t="n">
        <f aca="false">$E1101/H1101-1</f>
        <v>-0.237201674342325</v>
      </c>
      <c r="L1101" s="37" t="n">
        <v>-36.52</v>
      </c>
      <c r="M1101" s="37" t="n">
        <v>0.38</v>
      </c>
      <c r="N1101" s="34" t="n">
        <v>7421.3</v>
      </c>
      <c r="O1101" s="34" t="n">
        <v>4740</v>
      </c>
      <c r="P1101" s="38"/>
      <c r="Q1101" s="38"/>
    </row>
    <row r="1102" customFormat="false" ht="15" hidden="false" customHeight="false" outlineLevel="0" collapsed="false">
      <c r="A1102" s="34" t="n">
        <v>1094</v>
      </c>
      <c r="B1102" s="35" t="s">
        <v>2258</v>
      </c>
      <c r="C1102" s="35" t="s">
        <v>2259</v>
      </c>
      <c r="D1102" s="35" t="s">
        <v>133</v>
      </c>
      <c r="E1102" s="34" t="n">
        <v>4400</v>
      </c>
      <c r="F1102" s="34" t="n">
        <v>4600</v>
      </c>
      <c r="G1102" s="34" t="n">
        <v>5000</v>
      </c>
      <c r="H1102" s="34" t="n">
        <v>5000</v>
      </c>
      <c r="I1102" s="36" t="n">
        <f aca="false">$E1102/F1102-1</f>
        <v>-0.0434782608695652</v>
      </c>
      <c r="J1102" s="36" t="n">
        <f aca="false">$E1102/G1102-1</f>
        <v>-0.12</v>
      </c>
      <c r="K1102" s="36" t="n">
        <f aca="false">$E1102/H1102-1</f>
        <v>-0.12</v>
      </c>
      <c r="L1102" s="37" t="n">
        <v>9.16</v>
      </c>
      <c r="M1102" s="37" t="n">
        <v>0.41</v>
      </c>
      <c r="N1102" s="34" t="n">
        <v>6818.25</v>
      </c>
      <c r="O1102" s="34" t="n">
        <v>4000</v>
      </c>
      <c r="P1102" s="38"/>
      <c r="Q1102" s="38"/>
    </row>
    <row r="1103" customFormat="false" ht="15" hidden="false" customHeight="false" outlineLevel="0" collapsed="false">
      <c r="A1103" s="34" t="n">
        <v>1095</v>
      </c>
      <c r="B1103" s="35" t="s">
        <v>2260</v>
      </c>
      <c r="C1103" s="35" t="s">
        <v>2261</v>
      </c>
      <c r="D1103" s="35" t="s">
        <v>116</v>
      </c>
      <c r="E1103" s="34" t="n">
        <v>5760</v>
      </c>
      <c r="F1103" s="34" t="n">
        <v>5550</v>
      </c>
      <c r="G1103" s="34" t="n">
        <v>5470</v>
      </c>
      <c r="H1103" s="34" t="n">
        <v>6350</v>
      </c>
      <c r="I1103" s="36" t="n">
        <f aca="false">$E1103/F1103-1</f>
        <v>0.0378378378378379</v>
      </c>
      <c r="J1103" s="36" t="n">
        <f aca="false">$E1103/G1103-1</f>
        <v>0.0530164533820841</v>
      </c>
      <c r="K1103" s="36" t="n">
        <f aca="false">$E1103/H1103-1</f>
        <v>-0.0929133858267717</v>
      </c>
      <c r="L1103" s="37" t="n">
        <v>5.84</v>
      </c>
      <c r="M1103" s="37" t="n">
        <v>0.52</v>
      </c>
      <c r="N1103" s="34" t="n">
        <v>7390</v>
      </c>
      <c r="O1103" s="34" t="n">
        <v>5310</v>
      </c>
      <c r="P1103" s="38"/>
      <c r="Q1103" s="38"/>
    </row>
    <row r="1104" customFormat="false" ht="15" hidden="false" customHeight="false" outlineLevel="0" collapsed="false">
      <c r="A1104" s="34" t="n">
        <v>1096</v>
      </c>
      <c r="B1104" s="35" t="s">
        <v>2262</v>
      </c>
      <c r="C1104" s="35" t="s">
        <v>2263</v>
      </c>
      <c r="D1104" s="35" t="s">
        <v>116</v>
      </c>
      <c r="E1104" s="34" t="n">
        <v>16850</v>
      </c>
      <c r="F1104" s="34" t="n">
        <v>16000</v>
      </c>
      <c r="G1104" s="34" t="n">
        <v>16900</v>
      </c>
      <c r="H1104" s="34" t="n">
        <v>17000</v>
      </c>
      <c r="I1104" s="36" t="n">
        <f aca="false">$E1104/F1104-1</f>
        <v>0.0531250000000001</v>
      </c>
      <c r="J1104" s="36" t="n">
        <f aca="false">$E1104/G1104-1</f>
        <v>-0.00295857988165682</v>
      </c>
      <c r="K1104" s="36" t="n">
        <f aca="false">$E1104/H1104-1</f>
        <v>-0.00882352941176468</v>
      </c>
      <c r="L1104" s="37" t="n">
        <v>11.98</v>
      </c>
      <c r="M1104" s="37" t="n">
        <v>1.04</v>
      </c>
      <c r="N1104" s="34" t="n">
        <v>17200</v>
      </c>
      <c r="O1104" s="34" t="n">
        <v>15500</v>
      </c>
      <c r="P1104" s="38"/>
      <c r="Q1104" s="38"/>
    </row>
    <row r="1105" customFormat="false" ht="15" hidden="false" customHeight="false" outlineLevel="0" collapsed="false">
      <c r="A1105" s="34" t="n">
        <v>1097</v>
      </c>
      <c r="B1105" s="35" t="s">
        <v>2264</v>
      </c>
      <c r="C1105" s="35" t="s">
        <v>2265</v>
      </c>
      <c r="D1105" s="35" t="s">
        <v>116</v>
      </c>
      <c r="E1105" s="34" t="n">
        <v>66900</v>
      </c>
      <c r="F1105" s="34" t="n">
        <v>60100</v>
      </c>
      <c r="G1105" s="34" t="n">
        <v>59500</v>
      </c>
      <c r="H1105" s="34" t="n">
        <v>56800</v>
      </c>
      <c r="I1105" s="36" t="n">
        <f aca="false">$E1105/F1105-1</f>
        <v>0.113144758735441</v>
      </c>
      <c r="J1105" s="36" t="n">
        <f aca="false">$E1105/G1105-1</f>
        <v>0.12436974789916</v>
      </c>
      <c r="K1105" s="36" t="n">
        <f aca="false">$E1105/H1105-1</f>
        <v>0.177816901408451</v>
      </c>
      <c r="L1105" s="37" t="n">
        <v>14.96</v>
      </c>
      <c r="M1105" s="37" t="n">
        <v>1.89</v>
      </c>
      <c r="N1105" s="34" t="n">
        <v>86000</v>
      </c>
      <c r="O1105" s="34" t="n">
        <v>46214.52</v>
      </c>
      <c r="P1105" s="38" t="n">
        <v>19.54</v>
      </c>
      <c r="Q1105" s="38" t="n">
        <v>1.69</v>
      </c>
    </row>
    <row r="1106" customFormat="false" ht="15" hidden="false" customHeight="false" outlineLevel="0" collapsed="false">
      <c r="A1106" s="34" t="n">
        <v>1098</v>
      </c>
      <c r="B1106" s="35" t="s">
        <v>2266</v>
      </c>
      <c r="C1106" s="35" t="s">
        <v>2267</v>
      </c>
      <c r="D1106" s="35" t="s">
        <v>116</v>
      </c>
      <c r="E1106" s="34" t="n">
        <v>23800</v>
      </c>
      <c r="F1106" s="34" t="n">
        <v>26700</v>
      </c>
      <c r="G1106" s="34" t="n">
        <v>25750</v>
      </c>
      <c r="H1106" s="34" t="n">
        <v>29500</v>
      </c>
      <c r="I1106" s="36" t="n">
        <f aca="false">$E1106/F1106-1</f>
        <v>-0.108614232209738</v>
      </c>
      <c r="J1106" s="36" t="n">
        <f aca="false">$E1106/G1106-1</f>
        <v>-0.0757281553398058</v>
      </c>
      <c r="K1106" s="36" t="n">
        <f aca="false">$E1106/H1106-1</f>
        <v>-0.193220338983051</v>
      </c>
      <c r="L1106" s="37" t="n">
        <v>194.85</v>
      </c>
      <c r="M1106" s="37" t="n">
        <v>2.15</v>
      </c>
      <c r="N1106" s="34"/>
      <c r="O1106" s="34"/>
      <c r="P1106" s="38"/>
      <c r="Q1106" s="38"/>
    </row>
    <row r="1107" customFormat="false" ht="15" hidden="false" customHeight="false" outlineLevel="0" collapsed="false">
      <c r="A1107" s="34" t="n">
        <v>1099</v>
      </c>
      <c r="B1107" s="35" t="s">
        <v>2268</v>
      </c>
      <c r="C1107" s="35" t="s">
        <v>2269</v>
      </c>
      <c r="D1107" s="35" t="s">
        <v>133</v>
      </c>
      <c r="E1107" s="34" t="n">
        <v>4800</v>
      </c>
      <c r="F1107" s="34" t="n">
        <v>4700</v>
      </c>
      <c r="G1107" s="34" t="n">
        <v>6500</v>
      </c>
      <c r="H1107" s="34" t="n">
        <v>5900</v>
      </c>
      <c r="I1107" s="36" t="n">
        <f aca="false">$E1107/F1107-1</f>
        <v>0.0212765957446808</v>
      </c>
      <c r="J1107" s="36" t="n">
        <f aca="false">$E1107/G1107-1</f>
        <v>-0.261538461538462</v>
      </c>
      <c r="K1107" s="36" t="n">
        <f aca="false">$E1107/H1107-1</f>
        <v>-0.186440677966102</v>
      </c>
      <c r="L1107" s="37" t="n">
        <v>19.79</v>
      </c>
      <c r="M1107" s="37" t="n">
        <v>0.43</v>
      </c>
      <c r="N1107" s="34" t="n">
        <v>7000</v>
      </c>
      <c r="O1107" s="34" t="n">
        <v>4600</v>
      </c>
      <c r="P1107" s="38"/>
      <c r="Q1107" s="38"/>
    </row>
    <row r="1108" customFormat="false" ht="15" hidden="false" customHeight="false" outlineLevel="0" collapsed="false">
      <c r="A1108" s="34" t="n">
        <v>1100</v>
      </c>
      <c r="B1108" s="35" t="s">
        <v>2270</v>
      </c>
      <c r="C1108" s="35" t="s">
        <v>2271</v>
      </c>
      <c r="D1108" s="35" t="s">
        <v>116</v>
      </c>
      <c r="E1108" s="34" t="n">
        <v>8220</v>
      </c>
      <c r="F1108" s="34" t="n">
        <v>8100</v>
      </c>
      <c r="G1108" s="34" t="n">
        <v>8080</v>
      </c>
      <c r="H1108" s="34" t="n">
        <v>11550</v>
      </c>
      <c r="I1108" s="36" t="n">
        <f aca="false">$E1108/F1108-1</f>
        <v>0.0148148148148148</v>
      </c>
      <c r="J1108" s="36" t="n">
        <f aca="false">$E1108/G1108-1</f>
        <v>0.0173267326732673</v>
      </c>
      <c r="K1108" s="36" t="n">
        <f aca="false">$E1108/H1108-1</f>
        <v>-0.288311688311688</v>
      </c>
      <c r="L1108" s="37" t="n">
        <v>-12.45</v>
      </c>
      <c r="M1108" s="37" t="n">
        <v>0.83</v>
      </c>
      <c r="N1108" s="34" t="n">
        <v>14783.2</v>
      </c>
      <c r="O1108" s="34" t="n">
        <v>7860</v>
      </c>
      <c r="P1108" s="38"/>
      <c r="Q1108" s="38"/>
    </row>
    <row r="1109" customFormat="false" ht="15" hidden="false" customHeight="false" outlineLevel="0" collapsed="false">
      <c r="A1109" s="34" t="n">
        <v>1101</v>
      </c>
      <c r="B1109" s="35" t="s">
        <v>2272</v>
      </c>
      <c r="C1109" s="35" t="s">
        <v>2273</v>
      </c>
      <c r="D1109" s="35" t="s">
        <v>133</v>
      </c>
      <c r="E1109" s="34" t="n">
        <v>11700</v>
      </c>
      <c r="F1109" s="34" t="n">
        <v>11400</v>
      </c>
      <c r="G1109" s="34" t="n">
        <v>14000</v>
      </c>
      <c r="H1109" s="34" t="n">
        <v>20095.64</v>
      </c>
      <c r="I1109" s="36" t="n">
        <f aca="false">$E1109/F1109-1</f>
        <v>0.0263157894736843</v>
      </c>
      <c r="J1109" s="36" t="n">
        <f aca="false">$E1109/G1109-1</f>
        <v>-0.164285714285714</v>
      </c>
      <c r="K1109" s="36" t="n">
        <f aca="false">$E1109/H1109-1</f>
        <v>-0.417784156165218</v>
      </c>
      <c r="L1109" s="37" t="n">
        <v>36.36</v>
      </c>
      <c r="M1109" s="37" t="n">
        <v>1.11</v>
      </c>
      <c r="N1109" s="34" t="n">
        <v>30381.56</v>
      </c>
      <c r="O1109" s="34" t="n">
        <v>10800</v>
      </c>
      <c r="P1109" s="38"/>
      <c r="Q1109" s="38"/>
    </row>
    <row r="1110" customFormat="false" ht="15" hidden="false" customHeight="false" outlineLevel="0" collapsed="false">
      <c r="A1110" s="34" t="n">
        <v>1102</v>
      </c>
      <c r="B1110" s="35" t="s">
        <v>2274</v>
      </c>
      <c r="C1110" s="35" t="s">
        <v>2275</v>
      </c>
      <c r="D1110" s="35" t="s">
        <v>116</v>
      </c>
      <c r="E1110" s="34" t="n">
        <v>5780</v>
      </c>
      <c r="F1110" s="34" t="n">
        <v>5700</v>
      </c>
      <c r="G1110" s="34" t="n">
        <v>6690</v>
      </c>
      <c r="H1110" s="34" t="n">
        <v>10000</v>
      </c>
      <c r="I1110" s="36" t="n">
        <f aca="false">$E1110/F1110-1</f>
        <v>0.0140350877192983</v>
      </c>
      <c r="J1110" s="36" t="n">
        <f aca="false">$E1110/G1110-1</f>
        <v>-0.136023916292975</v>
      </c>
      <c r="K1110" s="36" t="n">
        <f aca="false">$E1110/H1110-1</f>
        <v>-0.422</v>
      </c>
      <c r="L1110" s="37" t="n">
        <v>10.21</v>
      </c>
      <c r="M1110" s="37" t="n">
        <v>0.46</v>
      </c>
      <c r="N1110" s="34" t="n">
        <v>15900</v>
      </c>
      <c r="O1110" s="34" t="n">
        <v>5700</v>
      </c>
      <c r="P1110" s="38"/>
      <c r="Q1110" s="38"/>
    </row>
    <row r="1111" customFormat="false" ht="15" hidden="false" customHeight="false" outlineLevel="0" collapsed="false">
      <c r="A1111" s="34" t="n">
        <v>1103</v>
      </c>
      <c r="B1111" s="35" t="s">
        <v>2276</v>
      </c>
      <c r="C1111" s="35" t="s">
        <v>2277</v>
      </c>
      <c r="D1111" s="35" t="s">
        <v>111</v>
      </c>
      <c r="E1111" s="34" t="n">
        <v>5591</v>
      </c>
      <c r="F1111" s="34" t="n">
        <v>5583</v>
      </c>
      <c r="G1111" s="34" t="n">
        <v>6499</v>
      </c>
      <c r="H1111" s="34" t="n">
        <v>8671</v>
      </c>
      <c r="I1111" s="36" t="n">
        <f aca="false">$E1111/F1111-1</f>
        <v>0.00143292136843987</v>
      </c>
      <c r="J1111" s="36" t="n">
        <f aca="false">$E1111/G1111-1</f>
        <v>-0.139713802123404</v>
      </c>
      <c r="K1111" s="36" t="n">
        <f aca="false">$E1111/H1111-1</f>
        <v>-0.355207011878676</v>
      </c>
      <c r="L1111" s="37" t="n">
        <v>26.35</v>
      </c>
      <c r="M1111" s="37" t="n">
        <v>0.5</v>
      </c>
      <c r="N1111" s="34" t="n">
        <v>10657</v>
      </c>
      <c r="O1111" s="34" t="n">
        <v>5491</v>
      </c>
      <c r="P1111" s="38"/>
      <c r="Q1111" s="38"/>
    </row>
    <row r="1112" customFormat="false" ht="15" hidden="false" customHeight="false" outlineLevel="0" collapsed="false">
      <c r="A1112" s="34" t="n">
        <v>1104</v>
      </c>
      <c r="B1112" s="35" t="s">
        <v>2278</v>
      </c>
      <c r="C1112" s="35" t="s">
        <v>2279</v>
      </c>
      <c r="D1112" s="35" t="s">
        <v>133</v>
      </c>
      <c r="E1112" s="34" t="n">
        <v>6100</v>
      </c>
      <c r="F1112" s="34" t="n">
        <v>5900</v>
      </c>
      <c r="G1112" s="34" t="n">
        <v>6800</v>
      </c>
      <c r="H1112" s="34" t="n">
        <v>7504.65</v>
      </c>
      <c r="I1112" s="36" t="n">
        <f aca="false">$E1112/F1112-1</f>
        <v>0.0338983050847457</v>
      </c>
      <c r="J1112" s="36" t="n">
        <f aca="false">$E1112/G1112-1</f>
        <v>-0.102941176470588</v>
      </c>
      <c r="K1112" s="36" t="n">
        <f aca="false">$E1112/H1112-1</f>
        <v>-0.18717062088172</v>
      </c>
      <c r="L1112" s="37" t="n">
        <v>5.25</v>
      </c>
      <c r="M1112" s="37" t="n">
        <v>0.55</v>
      </c>
      <c r="N1112" s="34" t="n">
        <v>8987.05</v>
      </c>
      <c r="O1112" s="34" t="n">
        <v>5900</v>
      </c>
      <c r="P1112" s="38"/>
      <c r="Q1112" s="38"/>
    </row>
    <row r="1113" customFormat="false" ht="15" hidden="false" customHeight="false" outlineLevel="0" collapsed="false">
      <c r="A1113" s="34" t="n">
        <v>1105</v>
      </c>
      <c r="B1113" s="35" t="s">
        <v>25</v>
      </c>
      <c r="C1113" s="35" t="s">
        <v>2280</v>
      </c>
      <c r="D1113" s="35" t="s">
        <v>116</v>
      </c>
      <c r="E1113" s="34" t="n">
        <v>29750</v>
      </c>
      <c r="F1113" s="34" t="n">
        <v>27500</v>
      </c>
      <c r="G1113" s="34" t="n">
        <v>31450</v>
      </c>
      <c r="H1113" s="34" t="n">
        <v>26200</v>
      </c>
      <c r="I1113" s="36" t="n">
        <f aca="false">$E1113/F1113-1</f>
        <v>0.0818181818181818</v>
      </c>
      <c r="J1113" s="36" t="n">
        <f aca="false">$E1113/G1113-1</f>
        <v>-0.0540540540540541</v>
      </c>
      <c r="K1113" s="36" t="n">
        <f aca="false">$E1113/H1113-1</f>
        <v>0.135496183206107</v>
      </c>
      <c r="L1113" s="37" t="n">
        <v>16.69</v>
      </c>
      <c r="M1113" s="37" t="n">
        <v>1.96</v>
      </c>
      <c r="N1113" s="34" t="n">
        <v>45750</v>
      </c>
      <c r="O1113" s="34" t="n">
        <v>24893.98</v>
      </c>
      <c r="P1113" s="38" t="n">
        <v>26.06</v>
      </c>
      <c r="Q1113" s="38" t="n">
        <v>2.17</v>
      </c>
    </row>
    <row r="1114" customFormat="false" ht="15" hidden="false" customHeight="false" outlineLevel="0" collapsed="false">
      <c r="A1114" s="34" t="n">
        <v>1106</v>
      </c>
      <c r="B1114" s="35" t="s">
        <v>2281</v>
      </c>
      <c r="C1114" s="35" t="s">
        <v>2282</v>
      </c>
      <c r="D1114" s="35" t="s">
        <v>111</v>
      </c>
      <c r="E1114" s="34" t="n">
        <v>27356</v>
      </c>
      <c r="F1114" s="34" t="n">
        <v>27453</v>
      </c>
      <c r="G1114" s="34" t="n">
        <v>25897</v>
      </c>
      <c r="H1114" s="34"/>
      <c r="I1114" s="36" t="n">
        <f aca="false">$E1114/F1114-1</f>
        <v>-0.00353331147779845</v>
      </c>
      <c r="J1114" s="36" t="n">
        <f aca="false">$E1114/G1114-1</f>
        <v>0.0563385720353709</v>
      </c>
      <c r="K1114" s="36" t="e">
        <f aca="false">$E1114/H1114-1</f>
        <v>#DIV/0!</v>
      </c>
      <c r="L1114" s="37"/>
      <c r="M1114" s="37"/>
      <c r="N1114" s="34"/>
      <c r="O1114" s="34"/>
      <c r="P1114" s="38"/>
      <c r="Q1114" s="38"/>
    </row>
    <row r="1115" customFormat="false" ht="15" hidden="false" customHeight="false" outlineLevel="0" collapsed="false">
      <c r="A1115" s="34" t="n">
        <v>1107</v>
      </c>
      <c r="B1115" s="35" t="s">
        <v>2283</v>
      </c>
      <c r="C1115" s="35" t="s">
        <v>2284</v>
      </c>
      <c r="D1115" s="35" t="s">
        <v>111</v>
      </c>
      <c r="E1115" s="34" t="n">
        <v>5100</v>
      </c>
      <c r="F1115" s="34" t="n">
        <v>5100</v>
      </c>
      <c r="G1115" s="34" t="n">
        <v>5966</v>
      </c>
      <c r="H1115" s="34" t="n">
        <v>7384</v>
      </c>
      <c r="I1115" s="36" t="n">
        <f aca="false">$E1115/F1115-1</f>
        <v>0</v>
      </c>
      <c r="J1115" s="36" t="n">
        <f aca="false">$E1115/G1115-1</f>
        <v>-0.145155883338921</v>
      </c>
      <c r="K1115" s="36" t="n">
        <f aca="false">$E1115/H1115-1</f>
        <v>-0.30931744312026</v>
      </c>
      <c r="L1115" s="37" t="n">
        <v>28.42</v>
      </c>
      <c r="M1115" s="37" t="n">
        <v>0.48</v>
      </c>
      <c r="N1115" s="34" t="n">
        <v>9868</v>
      </c>
      <c r="O1115" s="34" t="n">
        <v>5077</v>
      </c>
      <c r="P1115" s="38"/>
      <c r="Q1115" s="38"/>
    </row>
    <row r="1116" customFormat="false" ht="15" hidden="false" customHeight="false" outlineLevel="0" collapsed="false">
      <c r="A1116" s="34" t="n">
        <v>1108</v>
      </c>
      <c r="B1116" s="35" t="s">
        <v>2285</v>
      </c>
      <c r="C1116" s="35" t="s">
        <v>2286</v>
      </c>
      <c r="D1116" s="35" t="s">
        <v>133</v>
      </c>
      <c r="E1116" s="34" t="n">
        <v>10300</v>
      </c>
      <c r="F1116" s="34" t="n">
        <v>10300</v>
      </c>
      <c r="G1116" s="34" t="n">
        <v>12300</v>
      </c>
      <c r="H1116" s="34" t="n">
        <v>16000.16</v>
      </c>
      <c r="I1116" s="36" t="n">
        <f aca="false">$E1116/F1116-1</f>
        <v>0</v>
      </c>
      <c r="J1116" s="36" t="n">
        <f aca="false">$E1116/G1116-1</f>
        <v>-0.16260162601626</v>
      </c>
      <c r="K1116" s="36" t="n">
        <f aca="false">$E1116/H1116-1</f>
        <v>-0.356256437435626</v>
      </c>
      <c r="L1116" s="37" t="n">
        <v>9.17</v>
      </c>
      <c r="M1116" s="37" t="n">
        <v>0.73</v>
      </c>
      <c r="N1116" s="34" t="n">
        <v>22363.86</v>
      </c>
      <c r="O1116" s="34" t="n">
        <v>10000</v>
      </c>
      <c r="P1116" s="38"/>
      <c r="Q1116" s="38"/>
    </row>
    <row r="1117" customFormat="false" ht="15" hidden="false" customHeight="false" outlineLevel="0" collapsed="false">
      <c r="A1117" s="34" t="n">
        <v>1109</v>
      </c>
      <c r="B1117" s="35" t="s">
        <v>2287</v>
      </c>
      <c r="C1117" s="35" t="s">
        <v>2288</v>
      </c>
      <c r="D1117" s="35" t="s">
        <v>116</v>
      </c>
      <c r="E1117" s="34" t="n">
        <v>24600</v>
      </c>
      <c r="F1117" s="34" t="n">
        <v>24300</v>
      </c>
      <c r="G1117" s="34" t="n">
        <v>27100</v>
      </c>
      <c r="H1117" s="34" t="n">
        <v>32363.96</v>
      </c>
      <c r="I1117" s="36" t="n">
        <f aca="false">$E1117/F1117-1</f>
        <v>0.0123456790123457</v>
      </c>
      <c r="J1117" s="36" t="n">
        <f aca="false">$E1117/G1117-1</f>
        <v>-0.0922509225092251</v>
      </c>
      <c r="K1117" s="36" t="n">
        <f aca="false">$E1117/H1117-1</f>
        <v>-0.239895241497023</v>
      </c>
      <c r="L1117" s="37" t="n">
        <v>14.54</v>
      </c>
      <c r="M1117" s="37" t="n">
        <v>1.72</v>
      </c>
      <c r="N1117" s="34" t="n">
        <v>41773.14</v>
      </c>
      <c r="O1117" s="34" t="n">
        <v>23600</v>
      </c>
      <c r="P1117" s="38"/>
      <c r="Q1117" s="38"/>
    </row>
    <row r="1118" customFormat="false" ht="15" hidden="false" customHeight="false" outlineLevel="0" collapsed="false">
      <c r="A1118" s="34" t="n">
        <v>1110</v>
      </c>
      <c r="B1118" s="35" t="s">
        <v>2289</v>
      </c>
      <c r="C1118" s="35" t="s">
        <v>2290</v>
      </c>
      <c r="D1118" s="35" t="s">
        <v>116</v>
      </c>
      <c r="E1118" s="34" t="n">
        <v>12000</v>
      </c>
      <c r="F1118" s="34" t="n">
        <v>11900</v>
      </c>
      <c r="G1118" s="34" t="n">
        <v>12050</v>
      </c>
      <c r="H1118" s="34" t="n">
        <v>12541.16</v>
      </c>
      <c r="I1118" s="36" t="n">
        <f aca="false">$E1118/F1118-1</f>
        <v>0.00840336134453779</v>
      </c>
      <c r="J1118" s="36" t="n">
        <f aca="false">$E1118/G1118-1</f>
        <v>-0.00414937759336098</v>
      </c>
      <c r="K1118" s="36" t="n">
        <f aca="false">$E1118/H1118-1</f>
        <v>-0.0431507133311432</v>
      </c>
      <c r="L1118" s="37" t="n">
        <v>12.94</v>
      </c>
      <c r="M1118" s="37" t="n">
        <v>1.11</v>
      </c>
      <c r="N1118" s="34" t="n">
        <v>12999.48</v>
      </c>
      <c r="O1118" s="34" t="n">
        <v>9457.96</v>
      </c>
      <c r="P1118" s="38"/>
      <c r="Q1118" s="38"/>
    </row>
    <row r="1119" customFormat="false" ht="15" hidden="false" customHeight="false" outlineLevel="0" collapsed="false">
      <c r="A1119" s="34" t="n">
        <v>1111</v>
      </c>
      <c r="B1119" s="35" t="s">
        <v>54</v>
      </c>
      <c r="C1119" s="35" t="s">
        <v>2291</v>
      </c>
      <c r="D1119" s="35" t="s">
        <v>116</v>
      </c>
      <c r="E1119" s="34" t="n">
        <v>16650</v>
      </c>
      <c r="F1119" s="34" t="n">
        <v>16300</v>
      </c>
      <c r="G1119" s="34" t="n">
        <v>18000</v>
      </c>
      <c r="H1119" s="34" t="n">
        <v>23822.94</v>
      </c>
      <c r="I1119" s="36" t="n">
        <f aca="false">$E1119/F1119-1</f>
        <v>0.0214723926380369</v>
      </c>
      <c r="J1119" s="36" t="n">
        <f aca="false">$E1119/G1119-1</f>
        <v>-0.075</v>
      </c>
      <c r="K1119" s="36" t="n">
        <f aca="false">$E1119/H1119-1</f>
        <v>-0.301093819654501</v>
      </c>
      <c r="L1119" s="37" t="n">
        <v>6.22</v>
      </c>
      <c r="M1119" s="37" t="n">
        <v>0.84</v>
      </c>
      <c r="N1119" s="34" t="n">
        <v>27521.88</v>
      </c>
      <c r="O1119" s="34" t="n">
        <v>15700</v>
      </c>
      <c r="P1119" s="38" t="n">
        <v>9.85</v>
      </c>
      <c r="Q1119" s="38" t="n">
        <v>1.36</v>
      </c>
    </row>
    <row r="1120" customFormat="false" ht="15" hidden="false" customHeight="false" outlineLevel="0" collapsed="false">
      <c r="A1120" s="34" t="n">
        <v>1112</v>
      </c>
      <c r="B1120" s="35" t="s">
        <v>2292</v>
      </c>
      <c r="C1120" s="35" t="s">
        <v>2293</v>
      </c>
      <c r="D1120" s="35" t="s">
        <v>111</v>
      </c>
      <c r="E1120" s="34" t="n">
        <v>5800</v>
      </c>
      <c r="F1120" s="34" t="n">
        <v>5800</v>
      </c>
      <c r="G1120" s="34" t="n">
        <v>7000</v>
      </c>
      <c r="H1120" s="34" t="n">
        <v>8600</v>
      </c>
      <c r="I1120" s="36" t="n">
        <f aca="false">$E1120/F1120-1</f>
        <v>0</v>
      </c>
      <c r="J1120" s="36" t="n">
        <f aca="false">$E1120/G1120-1</f>
        <v>-0.171428571428571</v>
      </c>
      <c r="K1120" s="36" t="n">
        <f aca="false">$E1120/H1120-1</f>
        <v>-0.325581395348837</v>
      </c>
      <c r="L1120" s="37" t="n">
        <v>44.02</v>
      </c>
      <c r="M1120" s="37" t="n">
        <v>0.49</v>
      </c>
      <c r="N1120" s="34" t="n">
        <v>10000</v>
      </c>
      <c r="O1120" s="34" t="n">
        <v>5800</v>
      </c>
      <c r="P1120" s="38"/>
      <c r="Q1120" s="38"/>
    </row>
    <row r="1121" customFormat="false" ht="15" hidden="false" customHeight="false" outlineLevel="0" collapsed="false">
      <c r="A1121" s="34" t="n">
        <v>1113</v>
      </c>
      <c r="B1121" s="35" t="s">
        <v>2294</v>
      </c>
      <c r="C1121" s="35" t="s">
        <v>2295</v>
      </c>
      <c r="D1121" s="35" t="s">
        <v>116</v>
      </c>
      <c r="E1121" s="34" t="n">
        <v>2200</v>
      </c>
      <c r="F1121" s="34" t="n">
        <v>2130</v>
      </c>
      <c r="G1121" s="34" t="n">
        <v>2810</v>
      </c>
      <c r="H1121" s="34" t="n">
        <v>3700</v>
      </c>
      <c r="I1121" s="36" t="n">
        <f aca="false">$E1121/F1121-1</f>
        <v>0.0328638497652582</v>
      </c>
      <c r="J1121" s="36" t="n">
        <f aca="false">$E1121/G1121-1</f>
        <v>-0.217081850533808</v>
      </c>
      <c r="K1121" s="36" t="n">
        <f aca="false">$E1121/H1121-1</f>
        <v>-0.405405405405405</v>
      </c>
      <c r="L1121" s="37" t="n">
        <v>9.07</v>
      </c>
      <c r="M1121" s="37" t="n">
        <v>0.84</v>
      </c>
      <c r="N1121" s="34" t="n">
        <v>5260</v>
      </c>
      <c r="O1121" s="34" t="n">
        <v>2050</v>
      </c>
      <c r="P1121" s="38"/>
      <c r="Q1121" s="38"/>
    </row>
    <row r="1122" customFormat="false" ht="15" hidden="false" customHeight="false" outlineLevel="0" collapsed="false">
      <c r="A1122" s="34" t="n">
        <v>1114</v>
      </c>
      <c r="B1122" s="35" t="s">
        <v>2296</v>
      </c>
      <c r="C1122" s="35" t="s">
        <v>2297</v>
      </c>
      <c r="D1122" s="35" t="s">
        <v>116</v>
      </c>
      <c r="E1122" s="34" t="n">
        <v>30000</v>
      </c>
      <c r="F1122" s="34" t="n">
        <v>27700</v>
      </c>
      <c r="G1122" s="34" t="n">
        <v>34450</v>
      </c>
      <c r="H1122" s="34" t="n">
        <v>36937.5</v>
      </c>
      <c r="I1122" s="36" t="n">
        <f aca="false">$E1122/F1122-1</f>
        <v>0.0830324909747293</v>
      </c>
      <c r="J1122" s="36" t="n">
        <f aca="false">$E1122/G1122-1</f>
        <v>-0.129172714078375</v>
      </c>
      <c r="K1122" s="36" t="n">
        <f aca="false">$E1122/H1122-1</f>
        <v>-0.187817258883249</v>
      </c>
      <c r="L1122" s="37" t="n">
        <v>8.72</v>
      </c>
      <c r="M1122" s="37" t="n">
        <v>1.2</v>
      </c>
      <c r="N1122" s="34" t="n">
        <v>50727.5</v>
      </c>
      <c r="O1122" s="34" t="n">
        <v>26050</v>
      </c>
      <c r="P1122" s="38"/>
      <c r="Q1122" s="38"/>
    </row>
    <row r="1123" customFormat="false" ht="15" hidden="false" customHeight="false" outlineLevel="0" collapsed="false">
      <c r="A1123" s="34" t="n">
        <v>1115</v>
      </c>
      <c r="B1123" s="35" t="s">
        <v>2298</v>
      </c>
      <c r="C1123" s="35" t="s">
        <v>2299</v>
      </c>
      <c r="D1123" s="35" t="s">
        <v>133</v>
      </c>
      <c r="E1123" s="34" t="n">
        <v>24700</v>
      </c>
      <c r="F1123" s="34" t="n">
        <v>24700</v>
      </c>
      <c r="G1123" s="34" t="n">
        <v>24700</v>
      </c>
      <c r="H1123" s="34" t="n">
        <v>26800</v>
      </c>
      <c r="I1123" s="36" t="n">
        <f aca="false">$E1123/F1123-1</f>
        <v>0</v>
      </c>
      <c r="J1123" s="36" t="n">
        <f aca="false">$E1123/G1123-1</f>
        <v>0</v>
      </c>
      <c r="K1123" s="36" t="n">
        <f aca="false">$E1123/H1123-1</f>
        <v>-0.0783582089552238</v>
      </c>
      <c r="L1123" s="37" t="n">
        <v>148.31</v>
      </c>
      <c r="M1123" s="37" t="n">
        <v>1.94</v>
      </c>
      <c r="N1123" s="34" t="n">
        <v>29900</v>
      </c>
      <c r="O1123" s="34" t="n">
        <v>14600</v>
      </c>
      <c r="P1123" s="38"/>
      <c r="Q1123" s="38"/>
    </row>
    <row r="1124" customFormat="false" ht="15" hidden="false" customHeight="false" outlineLevel="0" collapsed="false">
      <c r="A1124" s="34" t="n">
        <v>1116</v>
      </c>
      <c r="B1124" s="35" t="s">
        <v>2300</v>
      </c>
      <c r="C1124" s="35" t="s">
        <v>2301</v>
      </c>
      <c r="D1124" s="35" t="s">
        <v>133</v>
      </c>
      <c r="E1124" s="34" t="n">
        <v>2700</v>
      </c>
      <c r="F1124" s="34" t="n">
        <v>2900</v>
      </c>
      <c r="G1124" s="34" t="n">
        <v>4200</v>
      </c>
      <c r="H1124" s="34" t="n">
        <v>7300</v>
      </c>
      <c r="I1124" s="36" t="n">
        <f aca="false">$E1124/F1124-1</f>
        <v>-0.0689655172413793</v>
      </c>
      <c r="J1124" s="36" t="n">
        <f aca="false">$E1124/G1124-1</f>
        <v>-0.357142857142857</v>
      </c>
      <c r="K1124" s="36" t="n">
        <f aca="false">$E1124/H1124-1</f>
        <v>-0.63013698630137</v>
      </c>
      <c r="L1124" s="37" t="n">
        <v>1.33</v>
      </c>
      <c r="M1124" s="37" t="n">
        <v>0.15</v>
      </c>
      <c r="N1124" s="34" t="n">
        <v>8400</v>
      </c>
      <c r="O1124" s="34" t="n">
        <v>2700</v>
      </c>
      <c r="P1124" s="38"/>
      <c r="Q1124" s="38"/>
    </row>
    <row r="1125" customFormat="false" ht="15" hidden="false" customHeight="false" outlineLevel="0" collapsed="false">
      <c r="A1125" s="34" t="n">
        <v>1117</v>
      </c>
      <c r="B1125" s="35" t="s">
        <v>2302</v>
      </c>
      <c r="C1125" s="35" t="s">
        <v>2303</v>
      </c>
      <c r="D1125" s="35" t="s">
        <v>111</v>
      </c>
      <c r="E1125" s="34" t="n">
        <v>4955</v>
      </c>
      <c r="F1125" s="34" t="n">
        <v>4336</v>
      </c>
      <c r="G1125" s="34" t="n">
        <v>4523</v>
      </c>
      <c r="H1125" s="34" t="n">
        <v>5109.82</v>
      </c>
      <c r="I1125" s="36" t="n">
        <f aca="false">$E1125/F1125-1</f>
        <v>0.142758302583026</v>
      </c>
      <c r="J1125" s="36" t="n">
        <f aca="false">$E1125/G1125-1</f>
        <v>0.0955118284324563</v>
      </c>
      <c r="K1125" s="36" t="n">
        <f aca="false">$E1125/H1125-1</f>
        <v>-0.0302985232356521</v>
      </c>
      <c r="L1125" s="37" t="n">
        <v>2.4</v>
      </c>
      <c r="M1125" s="37" t="n">
        <v>0.47</v>
      </c>
      <c r="N1125" s="34" t="n">
        <v>8656.4</v>
      </c>
      <c r="O1125" s="34" t="n">
        <v>4136.65</v>
      </c>
      <c r="P1125" s="38"/>
      <c r="Q1125" s="38"/>
    </row>
    <row r="1126" customFormat="false" ht="15" hidden="false" customHeight="false" outlineLevel="0" collapsed="false">
      <c r="A1126" s="34" t="n">
        <v>1118</v>
      </c>
      <c r="B1126" s="35" t="s">
        <v>2304</v>
      </c>
      <c r="C1126" s="35" t="s">
        <v>2305</v>
      </c>
      <c r="D1126" s="35" t="s">
        <v>133</v>
      </c>
      <c r="E1126" s="34" t="n">
        <v>15200</v>
      </c>
      <c r="F1126" s="34" t="n">
        <v>15300</v>
      </c>
      <c r="G1126" s="34" t="n">
        <v>16200</v>
      </c>
      <c r="H1126" s="34" t="n">
        <v>18900</v>
      </c>
      <c r="I1126" s="36" t="n">
        <f aca="false">$E1126/F1126-1</f>
        <v>-0.00653594771241828</v>
      </c>
      <c r="J1126" s="36" t="n">
        <f aca="false">$E1126/G1126-1</f>
        <v>-0.0617283950617285</v>
      </c>
      <c r="K1126" s="36" t="n">
        <f aca="false">$E1126/H1126-1</f>
        <v>-0.195767195767196</v>
      </c>
      <c r="L1126" s="37" t="n">
        <v>5.76</v>
      </c>
      <c r="M1126" s="37" t="n">
        <v>0.67</v>
      </c>
      <c r="N1126" s="34" t="n">
        <v>26000</v>
      </c>
      <c r="O1126" s="34" t="n">
        <v>14000</v>
      </c>
      <c r="P1126" s="38"/>
      <c r="Q1126" s="38"/>
    </row>
    <row r="1127" customFormat="false" ht="15" hidden="false" customHeight="false" outlineLevel="0" collapsed="false">
      <c r="A1127" s="34" t="n">
        <v>1119</v>
      </c>
      <c r="B1127" s="35" t="s">
        <v>2306</v>
      </c>
      <c r="C1127" s="35" t="s">
        <v>2307</v>
      </c>
      <c r="D1127" s="35" t="s">
        <v>111</v>
      </c>
      <c r="E1127" s="34" t="n">
        <v>2300</v>
      </c>
      <c r="F1127" s="34" t="n">
        <v>2300</v>
      </c>
      <c r="G1127" s="34" t="n">
        <v>2300</v>
      </c>
      <c r="H1127" s="34" t="n">
        <v>2300</v>
      </c>
      <c r="I1127" s="36" t="n">
        <f aca="false">$E1127/F1127-1</f>
        <v>0</v>
      </c>
      <c r="J1127" s="36" t="n">
        <f aca="false">$E1127/G1127-1</f>
        <v>0</v>
      </c>
      <c r="K1127" s="36" t="n">
        <f aca="false">$E1127/H1127-1</f>
        <v>0</v>
      </c>
      <c r="L1127" s="37" t="n">
        <v>-0.45</v>
      </c>
      <c r="M1127" s="37" t="n">
        <v>1.22</v>
      </c>
      <c r="N1127" s="34" t="n">
        <v>2300</v>
      </c>
      <c r="O1127" s="34" t="n">
        <v>2300</v>
      </c>
      <c r="P1127" s="38"/>
      <c r="Q1127" s="38"/>
    </row>
    <row r="1128" customFormat="false" ht="15" hidden="false" customHeight="false" outlineLevel="0" collapsed="false">
      <c r="A1128" s="34" t="n">
        <v>1120</v>
      </c>
      <c r="B1128" s="35" t="s">
        <v>2308</v>
      </c>
      <c r="C1128" s="35" t="s">
        <v>2309</v>
      </c>
      <c r="D1128" s="35" t="s">
        <v>133</v>
      </c>
      <c r="E1128" s="34" t="n">
        <v>5900</v>
      </c>
      <c r="F1128" s="34" t="n">
        <v>6000</v>
      </c>
      <c r="G1128" s="34" t="n">
        <v>6200</v>
      </c>
      <c r="H1128" s="34" t="n">
        <v>8500</v>
      </c>
      <c r="I1128" s="36" t="n">
        <f aca="false">$E1128/F1128-1</f>
        <v>-0.0166666666666667</v>
      </c>
      <c r="J1128" s="36" t="n">
        <f aca="false">$E1128/G1128-1</f>
        <v>-0.0483870967741935</v>
      </c>
      <c r="K1128" s="36" t="n">
        <f aca="false">$E1128/H1128-1</f>
        <v>-0.305882352941177</v>
      </c>
      <c r="L1128" s="37" t="n">
        <v>31.06</v>
      </c>
      <c r="M1128" s="37" t="n">
        <v>0.55</v>
      </c>
      <c r="N1128" s="34" t="n">
        <v>10700</v>
      </c>
      <c r="O1128" s="34" t="n">
        <v>5700</v>
      </c>
      <c r="P1128" s="38"/>
      <c r="Q1128" s="38"/>
    </row>
    <row r="1129" customFormat="false" ht="15" hidden="false" customHeight="false" outlineLevel="0" collapsed="false">
      <c r="A1129" s="34" t="n">
        <v>1121</v>
      </c>
      <c r="B1129" s="35" t="s">
        <v>2310</v>
      </c>
      <c r="C1129" s="35" t="s">
        <v>2311</v>
      </c>
      <c r="D1129" s="35" t="s">
        <v>116</v>
      </c>
      <c r="E1129" s="34" t="n">
        <v>10300</v>
      </c>
      <c r="F1129" s="34" t="n">
        <v>9300</v>
      </c>
      <c r="G1129" s="34" t="n">
        <v>9800</v>
      </c>
      <c r="H1129" s="34" t="n">
        <v>10450</v>
      </c>
      <c r="I1129" s="36" t="n">
        <f aca="false">$E1129/F1129-1</f>
        <v>0.10752688172043</v>
      </c>
      <c r="J1129" s="36" t="n">
        <f aca="false">$E1129/G1129-1</f>
        <v>0.0510204081632653</v>
      </c>
      <c r="K1129" s="36" t="n">
        <f aca="false">$E1129/H1129-1</f>
        <v>-0.0143540669856459</v>
      </c>
      <c r="L1129" s="37" t="n">
        <v>16.54</v>
      </c>
      <c r="M1129" s="37" t="n">
        <v>0.37</v>
      </c>
      <c r="N1129" s="34" t="n">
        <v>12400</v>
      </c>
      <c r="O1129" s="34" t="n">
        <v>8700</v>
      </c>
      <c r="P1129" s="38"/>
      <c r="Q1129" s="38"/>
    </row>
    <row r="1130" customFormat="false" ht="15" hidden="false" customHeight="false" outlineLevel="0" collapsed="false">
      <c r="A1130" s="34" t="n">
        <v>1122</v>
      </c>
      <c r="B1130" s="35" t="s">
        <v>2312</v>
      </c>
      <c r="C1130" s="35" t="s">
        <v>2313</v>
      </c>
      <c r="D1130" s="35" t="s">
        <v>111</v>
      </c>
      <c r="E1130" s="34" t="n">
        <v>499</v>
      </c>
      <c r="F1130" s="34" t="n">
        <v>491</v>
      </c>
      <c r="G1130" s="34" t="n">
        <v>500</v>
      </c>
      <c r="H1130" s="34" t="n">
        <v>700</v>
      </c>
      <c r="I1130" s="36" t="n">
        <f aca="false">$E1130/F1130-1</f>
        <v>0.0162932790224033</v>
      </c>
      <c r="J1130" s="36" t="n">
        <f aca="false">$E1130/G1130-1</f>
        <v>-0.002</v>
      </c>
      <c r="K1130" s="36" t="n">
        <f aca="false">$E1130/H1130-1</f>
        <v>-0.287142857142857</v>
      </c>
      <c r="L1130" s="37" t="n">
        <v>-0.08</v>
      </c>
      <c r="M1130" s="37" t="n">
        <v>-0.09</v>
      </c>
      <c r="N1130" s="34" t="n">
        <v>1632</v>
      </c>
      <c r="O1130" s="34" t="n">
        <v>400</v>
      </c>
      <c r="P1130" s="38"/>
      <c r="Q1130" s="38"/>
    </row>
    <row r="1131" customFormat="false" ht="15" hidden="false" customHeight="false" outlineLevel="0" collapsed="false">
      <c r="A1131" s="34" t="n">
        <v>1123</v>
      </c>
      <c r="B1131" s="35" t="s">
        <v>2314</v>
      </c>
      <c r="C1131" s="35" t="s">
        <v>2315</v>
      </c>
      <c r="D1131" s="35" t="s">
        <v>111</v>
      </c>
      <c r="E1131" s="34" t="n">
        <v>599</v>
      </c>
      <c r="F1131" s="34" t="n">
        <v>617</v>
      </c>
      <c r="G1131" s="34" t="n">
        <v>700</v>
      </c>
      <c r="H1131" s="34" t="n">
        <v>1100</v>
      </c>
      <c r="I1131" s="36" t="n">
        <f aca="false">$E1131/F1131-1</f>
        <v>-0.0291734197730956</v>
      </c>
      <c r="J1131" s="36" t="n">
        <f aca="false">$E1131/G1131-1</f>
        <v>-0.144285714285714</v>
      </c>
      <c r="K1131" s="36" t="n">
        <f aca="false">$E1131/H1131-1</f>
        <v>-0.455454545454545</v>
      </c>
      <c r="L1131" s="37" t="n">
        <v>-0.06</v>
      </c>
      <c r="M1131" s="37" t="n">
        <v>1.71</v>
      </c>
      <c r="N1131" s="34" t="n">
        <v>1400</v>
      </c>
      <c r="O1131" s="34" t="n">
        <v>599</v>
      </c>
      <c r="P1131" s="38"/>
      <c r="Q1131" s="38"/>
    </row>
    <row r="1132" customFormat="false" ht="15" hidden="false" customHeight="false" outlineLevel="0" collapsed="false">
      <c r="A1132" s="34" t="n">
        <v>1124</v>
      </c>
      <c r="B1132" s="35" t="s">
        <v>2316</v>
      </c>
      <c r="C1132" s="35" t="s">
        <v>2317</v>
      </c>
      <c r="D1132" s="35" t="s">
        <v>111</v>
      </c>
      <c r="E1132" s="34" t="n">
        <v>6200</v>
      </c>
      <c r="F1132" s="34" t="n">
        <v>6300</v>
      </c>
      <c r="G1132" s="34" t="n">
        <v>9100</v>
      </c>
      <c r="H1132" s="34" t="n">
        <v>9600</v>
      </c>
      <c r="I1132" s="36" t="n">
        <f aca="false">$E1132/F1132-1</f>
        <v>-0.0158730158730159</v>
      </c>
      <c r="J1132" s="36" t="n">
        <f aca="false">$E1132/G1132-1</f>
        <v>-0.318681318681319</v>
      </c>
      <c r="K1132" s="36" t="n">
        <f aca="false">$E1132/H1132-1</f>
        <v>-0.354166666666667</v>
      </c>
      <c r="L1132" s="37" t="n">
        <v>6.72</v>
      </c>
      <c r="M1132" s="37" t="n">
        <v>0.5</v>
      </c>
      <c r="N1132" s="34" t="n">
        <v>12600</v>
      </c>
      <c r="O1132" s="34" t="n">
        <v>5500</v>
      </c>
      <c r="P1132" s="38"/>
      <c r="Q1132" s="38"/>
    </row>
    <row r="1133" customFormat="false" ht="15" hidden="false" customHeight="false" outlineLevel="0" collapsed="false">
      <c r="A1133" s="34" t="n">
        <v>1125</v>
      </c>
      <c r="B1133" s="35" t="s">
        <v>2318</v>
      </c>
      <c r="C1133" s="35" t="s">
        <v>2319</v>
      </c>
      <c r="D1133" s="35" t="s">
        <v>116</v>
      </c>
      <c r="E1133" s="34" t="n">
        <v>4400</v>
      </c>
      <c r="F1133" s="34" t="n">
        <v>4130</v>
      </c>
      <c r="G1133" s="34" t="n">
        <v>5130</v>
      </c>
      <c r="H1133" s="34" t="n">
        <v>7819.2</v>
      </c>
      <c r="I1133" s="36" t="n">
        <f aca="false">$E1133/F1133-1</f>
        <v>0.0653753026634383</v>
      </c>
      <c r="J1133" s="36" t="n">
        <f aca="false">$E1133/G1133-1</f>
        <v>-0.142300194931774</v>
      </c>
      <c r="K1133" s="36" t="n">
        <f aca="false">$E1133/H1133-1</f>
        <v>-0.437282586453857</v>
      </c>
      <c r="L1133" s="37" t="n">
        <v>10.56</v>
      </c>
      <c r="M1133" s="37" t="n">
        <v>0.42</v>
      </c>
      <c r="N1133" s="34" t="n">
        <v>11190.7</v>
      </c>
      <c r="O1133" s="34" t="n">
        <v>4130</v>
      </c>
      <c r="P1133" s="38"/>
      <c r="Q1133" s="38"/>
    </row>
    <row r="1134" customFormat="false" ht="15" hidden="false" customHeight="false" outlineLevel="0" collapsed="false">
      <c r="A1134" s="34" t="n">
        <v>1126</v>
      </c>
      <c r="B1134" s="35" t="s">
        <v>2320</v>
      </c>
      <c r="C1134" s="35" t="s">
        <v>2321</v>
      </c>
      <c r="D1134" s="35" t="s">
        <v>116</v>
      </c>
      <c r="E1134" s="34" t="n">
        <v>3100</v>
      </c>
      <c r="F1134" s="34" t="n">
        <v>3000</v>
      </c>
      <c r="G1134" s="34" t="n">
        <v>3620</v>
      </c>
      <c r="H1134" s="34" t="n">
        <v>4690</v>
      </c>
      <c r="I1134" s="36" t="n">
        <f aca="false">$E1134/F1134-1</f>
        <v>0.0333333333333334</v>
      </c>
      <c r="J1134" s="36" t="n">
        <f aca="false">$E1134/G1134-1</f>
        <v>-0.143646408839779</v>
      </c>
      <c r="K1134" s="36" t="n">
        <f aca="false">$E1134/H1134-1</f>
        <v>-0.339019189765458</v>
      </c>
      <c r="L1134" s="37" t="n">
        <v>84.18</v>
      </c>
      <c r="M1134" s="37" t="n">
        <v>0.27</v>
      </c>
      <c r="N1134" s="34" t="n">
        <v>5650</v>
      </c>
      <c r="O1134" s="34" t="n">
        <v>2950</v>
      </c>
      <c r="P1134" s="38"/>
      <c r="Q1134" s="38"/>
    </row>
    <row r="1135" customFormat="false" ht="15" hidden="false" customHeight="false" outlineLevel="0" collapsed="false">
      <c r="A1135" s="34" t="n">
        <v>1127</v>
      </c>
      <c r="B1135" s="35" t="s">
        <v>2322</v>
      </c>
      <c r="C1135" s="35" t="s">
        <v>2323</v>
      </c>
      <c r="D1135" s="35" t="s">
        <v>133</v>
      </c>
      <c r="E1135" s="34" t="n">
        <v>20400</v>
      </c>
      <c r="F1135" s="34" t="n">
        <v>20800</v>
      </c>
      <c r="G1135" s="34" t="n">
        <v>21300</v>
      </c>
      <c r="H1135" s="34" t="n">
        <v>24500</v>
      </c>
      <c r="I1135" s="36" t="n">
        <f aca="false">$E1135/F1135-1</f>
        <v>-0.0192307692307693</v>
      </c>
      <c r="J1135" s="36" t="n">
        <f aca="false">$E1135/G1135-1</f>
        <v>-0.0422535211267606</v>
      </c>
      <c r="K1135" s="36" t="n">
        <f aca="false">$E1135/H1135-1</f>
        <v>-0.16734693877551</v>
      </c>
      <c r="L1135" s="37" t="n">
        <v>-28.12</v>
      </c>
      <c r="M1135" s="37" t="n">
        <v>2.18</v>
      </c>
      <c r="N1135" s="34" t="n">
        <v>35900</v>
      </c>
      <c r="O1135" s="34" t="n">
        <v>13500</v>
      </c>
      <c r="P1135" s="38"/>
      <c r="Q1135" s="38"/>
    </row>
    <row r="1136" customFormat="false" ht="15" hidden="false" customHeight="false" outlineLevel="0" collapsed="false">
      <c r="A1136" s="34" t="n">
        <v>1128</v>
      </c>
      <c r="B1136" s="35" t="s">
        <v>2324</v>
      </c>
      <c r="C1136" s="35" t="s">
        <v>2325</v>
      </c>
      <c r="D1136" s="35" t="s">
        <v>111</v>
      </c>
      <c r="E1136" s="34" t="n">
        <v>8101</v>
      </c>
      <c r="F1136" s="34" t="n">
        <v>7984</v>
      </c>
      <c r="G1136" s="34" t="n">
        <v>8511</v>
      </c>
      <c r="H1136" s="34"/>
      <c r="I1136" s="36" t="n">
        <f aca="false">$E1136/F1136-1</f>
        <v>0.0146543086172344</v>
      </c>
      <c r="J1136" s="36" t="n">
        <f aca="false">$E1136/G1136-1</f>
        <v>-0.0481729526495124</v>
      </c>
      <c r="K1136" s="36" t="e">
        <f aca="false">$E1136/H1136-1</f>
        <v>#DIV/0!</v>
      </c>
      <c r="L1136" s="37" t="n">
        <v>3.42</v>
      </c>
      <c r="M1136" s="37" t="n">
        <v>0.64</v>
      </c>
      <c r="N1136" s="34"/>
      <c r="O1136" s="34"/>
      <c r="P1136" s="38"/>
      <c r="Q1136" s="38"/>
    </row>
    <row r="1137" customFormat="false" ht="15" hidden="false" customHeight="false" outlineLevel="0" collapsed="false">
      <c r="A1137" s="34" t="n">
        <v>1129</v>
      </c>
      <c r="B1137" s="35" t="s">
        <v>23</v>
      </c>
      <c r="C1137" s="35" t="s">
        <v>2326</v>
      </c>
      <c r="D1137" s="35" t="s">
        <v>116</v>
      </c>
      <c r="E1137" s="34" t="n">
        <v>24550</v>
      </c>
      <c r="F1137" s="34" t="n">
        <v>22500</v>
      </c>
      <c r="G1137" s="34" t="n">
        <v>29350</v>
      </c>
      <c r="H1137" s="34" t="n">
        <v>30070.92</v>
      </c>
      <c r="I1137" s="36" t="n">
        <f aca="false">$E1137/F1137-1</f>
        <v>0.0911111111111111</v>
      </c>
      <c r="J1137" s="36" t="n">
        <f aca="false">$E1137/G1137-1</f>
        <v>-0.163543441226576</v>
      </c>
      <c r="K1137" s="36" t="n">
        <f aca="false">$E1137/H1137-1</f>
        <v>-0.183596644199778</v>
      </c>
      <c r="L1137" s="37" t="n">
        <v>23.42</v>
      </c>
      <c r="M1137" s="37" t="n">
        <v>1.62</v>
      </c>
      <c r="N1137" s="34" t="n">
        <v>45106.38</v>
      </c>
      <c r="O1137" s="34" t="n">
        <v>20300</v>
      </c>
      <c r="P1137" s="38" t="n">
        <v>24.045</v>
      </c>
      <c r="Q1137" s="38" t="n">
        <v>1.59</v>
      </c>
    </row>
    <row r="1138" customFormat="false" ht="15" hidden="false" customHeight="false" outlineLevel="0" collapsed="false">
      <c r="A1138" s="34" t="n">
        <v>1130</v>
      </c>
      <c r="B1138" s="35" t="s">
        <v>81</v>
      </c>
      <c r="C1138" s="35" t="s">
        <v>2327</v>
      </c>
      <c r="D1138" s="35" t="s">
        <v>116</v>
      </c>
      <c r="E1138" s="34" t="n">
        <v>77200</v>
      </c>
      <c r="F1138" s="34" t="n">
        <v>77000</v>
      </c>
      <c r="G1138" s="34" t="n">
        <v>76000</v>
      </c>
      <c r="H1138" s="34" t="n">
        <v>59279.8</v>
      </c>
      <c r="I1138" s="36" t="n">
        <f aca="false">$E1138/F1138-1</f>
        <v>0.00259740259740249</v>
      </c>
      <c r="J1138" s="36" t="n">
        <f aca="false">$E1138/G1138-1</f>
        <v>0.0157894736842106</v>
      </c>
      <c r="K1138" s="36" t="n">
        <f aca="false">$E1138/H1138-1</f>
        <v>0.302298590750981</v>
      </c>
      <c r="L1138" s="37" t="n">
        <v>12.74</v>
      </c>
      <c r="M1138" s="37" t="n">
        <v>2.44</v>
      </c>
      <c r="N1138" s="34" t="n">
        <v>82019.92</v>
      </c>
      <c r="O1138" s="34" t="n">
        <v>55781.32</v>
      </c>
      <c r="P1138" s="38" t="n">
        <v>16.44</v>
      </c>
      <c r="Q1138" s="38" t="n">
        <v>2.35</v>
      </c>
    </row>
    <row r="1139" customFormat="false" ht="15" hidden="false" customHeight="false" outlineLevel="0" collapsed="false">
      <c r="A1139" s="34" t="n">
        <v>1131</v>
      </c>
      <c r="B1139" s="35" t="s">
        <v>2328</v>
      </c>
      <c r="C1139" s="35" t="s">
        <v>2329</v>
      </c>
      <c r="D1139" s="35" t="s">
        <v>133</v>
      </c>
      <c r="E1139" s="34" t="n">
        <v>13600</v>
      </c>
      <c r="F1139" s="34" t="n">
        <v>13600</v>
      </c>
      <c r="G1139" s="34" t="n">
        <v>13600</v>
      </c>
      <c r="H1139" s="34" t="n">
        <v>16500</v>
      </c>
      <c r="I1139" s="36" t="n">
        <f aca="false">$E1139/F1139-1</f>
        <v>0</v>
      </c>
      <c r="J1139" s="36" t="n">
        <f aca="false">$E1139/G1139-1</f>
        <v>0</v>
      </c>
      <c r="K1139" s="36" t="n">
        <f aca="false">$E1139/H1139-1</f>
        <v>-0.175757575757576</v>
      </c>
      <c r="L1139" s="37" t="n">
        <v>29.66</v>
      </c>
      <c r="M1139" s="37" t="n">
        <v>1.29</v>
      </c>
      <c r="N1139" s="34" t="n">
        <v>17000</v>
      </c>
      <c r="O1139" s="34" t="n">
        <v>13500</v>
      </c>
      <c r="P1139" s="38"/>
      <c r="Q1139" s="38"/>
    </row>
    <row r="1140" customFormat="false" ht="15" hidden="false" customHeight="false" outlineLevel="0" collapsed="false">
      <c r="A1140" s="34" t="n">
        <v>1132</v>
      </c>
      <c r="B1140" s="35" t="s">
        <v>2330</v>
      </c>
      <c r="C1140" s="35" t="s">
        <v>2331</v>
      </c>
      <c r="D1140" s="35" t="s">
        <v>116</v>
      </c>
      <c r="E1140" s="34" t="n">
        <v>66600</v>
      </c>
      <c r="F1140" s="34" t="n">
        <v>68800</v>
      </c>
      <c r="G1140" s="34" t="n">
        <v>72900</v>
      </c>
      <c r="H1140" s="34" t="n">
        <v>75223.68</v>
      </c>
      <c r="I1140" s="36" t="n">
        <f aca="false">$E1140/F1140-1</f>
        <v>-0.0319767441860465</v>
      </c>
      <c r="J1140" s="36" t="n">
        <f aca="false">$E1140/G1140-1</f>
        <v>-0.0864197530864198</v>
      </c>
      <c r="K1140" s="36" t="n">
        <f aca="false">$E1140/H1140-1</f>
        <v>-0.11464049618418</v>
      </c>
      <c r="L1140" s="37" t="n">
        <v>5.72</v>
      </c>
      <c r="M1140" s="37" t="n">
        <v>0.75</v>
      </c>
      <c r="N1140" s="34" t="n">
        <v>80875.2</v>
      </c>
      <c r="O1140" s="34" t="n">
        <v>66600</v>
      </c>
      <c r="P1140" s="38"/>
      <c r="Q1140" s="38"/>
    </row>
    <row r="1141" customFormat="false" ht="15" hidden="false" customHeight="false" outlineLevel="0" collapsed="false">
      <c r="A1141" s="34" t="n">
        <v>1133</v>
      </c>
      <c r="B1141" s="35" t="s">
        <v>2332</v>
      </c>
      <c r="C1141" s="35" t="s">
        <v>2333</v>
      </c>
      <c r="D1141" s="35" t="s">
        <v>111</v>
      </c>
      <c r="E1141" s="34" t="n">
        <v>1905</v>
      </c>
      <c r="F1141" s="34" t="n">
        <v>1906</v>
      </c>
      <c r="G1141" s="34" t="n">
        <v>2000</v>
      </c>
      <c r="H1141" s="34" t="n">
        <v>2224</v>
      </c>
      <c r="I1141" s="36" t="n">
        <f aca="false">$E1141/F1141-1</f>
        <v>-0.000524658971668424</v>
      </c>
      <c r="J1141" s="36" t="n">
        <f aca="false">$E1141/G1141-1</f>
        <v>-0.0475</v>
      </c>
      <c r="K1141" s="36" t="n">
        <f aca="false">$E1141/H1141-1</f>
        <v>-0.143435251798561</v>
      </c>
      <c r="L1141" s="37" t="n">
        <v>58.3</v>
      </c>
      <c r="M1141" s="37" t="n">
        <v>0.18</v>
      </c>
      <c r="N1141" s="34" t="n">
        <v>3001</v>
      </c>
      <c r="O1141" s="34" t="n">
        <v>1800</v>
      </c>
      <c r="P1141" s="38"/>
      <c r="Q1141" s="38"/>
    </row>
    <row r="1142" customFormat="false" ht="15" hidden="false" customHeight="false" outlineLevel="0" collapsed="false">
      <c r="A1142" s="34" t="n">
        <v>1134</v>
      </c>
      <c r="B1142" s="35" t="s">
        <v>51</v>
      </c>
      <c r="C1142" s="35" t="s">
        <v>2334</v>
      </c>
      <c r="D1142" s="35" t="s">
        <v>116</v>
      </c>
      <c r="E1142" s="34" t="n">
        <v>16550</v>
      </c>
      <c r="F1142" s="34" t="n">
        <v>16150</v>
      </c>
      <c r="G1142" s="34" t="n">
        <v>18700</v>
      </c>
      <c r="H1142" s="34" t="n">
        <v>24371.7</v>
      </c>
      <c r="I1142" s="36" t="n">
        <f aca="false">$E1142/F1142-1</f>
        <v>0.0247678018575852</v>
      </c>
      <c r="J1142" s="36" t="n">
        <f aca="false">$E1142/G1142-1</f>
        <v>-0.114973262032086</v>
      </c>
      <c r="K1142" s="36" t="n">
        <f aca="false">$E1142/H1142-1</f>
        <v>-0.320933705896593</v>
      </c>
      <c r="L1142" s="37" t="n">
        <v>9.18</v>
      </c>
      <c r="M1142" s="37" t="n">
        <v>0.99</v>
      </c>
      <c r="N1142" s="34" t="n">
        <v>31870.68</v>
      </c>
      <c r="O1142" s="34" t="n">
        <v>15500</v>
      </c>
      <c r="P1142" s="38" t="n">
        <v>12.94</v>
      </c>
      <c r="Q1142" s="38" t="n">
        <v>1.56</v>
      </c>
    </row>
    <row r="1143" customFormat="false" ht="15" hidden="false" customHeight="false" outlineLevel="0" collapsed="false">
      <c r="A1143" s="34" t="n">
        <v>1135</v>
      </c>
      <c r="B1143" s="35" t="s">
        <v>2335</v>
      </c>
      <c r="C1143" s="35" t="s">
        <v>2336</v>
      </c>
      <c r="D1143" s="35" t="s">
        <v>133</v>
      </c>
      <c r="E1143" s="34" t="n">
        <v>20000</v>
      </c>
      <c r="F1143" s="34" t="n">
        <v>20000</v>
      </c>
      <c r="G1143" s="34" t="n">
        <v>17800</v>
      </c>
      <c r="H1143" s="34" t="n">
        <v>15180.69</v>
      </c>
      <c r="I1143" s="36" t="n">
        <f aca="false">$E1143/F1143-1</f>
        <v>0</v>
      </c>
      <c r="J1143" s="36" t="n">
        <f aca="false">$E1143/G1143-1</f>
        <v>0.123595505617978</v>
      </c>
      <c r="K1143" s="36" t="n">
        <f aca="false">$E1143/H1143-1</f>
        <v>0.317463171963857</v>
      </c>
      <c r="L1143" s="37" t="n">
        <v>8.24</v>
      </c>
      <c r="M1143" s="37" t="n">
        <v>1.13</v>
      </c>
      <c r="N1143" s="34" t="n">
        <v>22158.15</v>
      </c>
      <c r="O1143" s="34" t="n">
        <v>13577.76</v>
      </c>
      <c r="P1143" s="38"/>
      <c r="Q1143" s="38"/>
    </row>
    <row r="1144" customFormat="false" ht="15" hidden="false" customHeight="false" outlineLevel="0" collapsed="false">
      <c r="A1144" s="34" t="n">
        <v>1136</v>
      </c>
      <c r="B1144" s="35" t="s">
        <v>2337</v>
      </c>
      <c r="C1144" s="35" t="s">
        <v>2338</v>
      </c>
      <c r="D1144" s="35" t="s">
        <v>116</v>
      </c>
      <c r="E1144" s="34" t="n">
        <v>7150</v>
      </c>
      <c r="F1144" s="34" t="n">
        <v>7180</v>
      </c>
      <c r="G1144" s="34" t="n">
        <v>6800</v>
      </c>
      <c r="H1144" s="34" t="n">
        <v>7310</v>
      </c>
      <c r="I1144" s="36" t="n">
        <f aca="false">$E1144/F1144-1</f>
        <v>-0.00417827298050144</v>
      </c>
      <c r="J1144" s="36" t="n">
        <f aca="false">$E1144/G1144-1</f>
        <v>0.0514705882352942</v>
      </c>
      <c r="K1144" s="36" t="n">
        <f aca="false">$E1144/H1144-1</f>
        <v>-0.0218878248974008</v>
      </c>
      <c r="L1144" s="37" t="n">
        <v>-11.48</v>
      </c>
      <c r="M1144" s="37" t="n">
        <v>0.65</v>
      </c>
      <c r="N1144" s="34" t="n">
        <v>8050</v>
      </c>
      <c r="O1144" s="34" t="n">
        <v>6080</v>
      </c>
      <c r="P1144" s="38"/>
      <c r="Q1144" s="38"/>
    </row>
    <row r="1145" customFormat="false" ht="15" hidden="false" customHeight="false" outlineLevel="0" collapsed="false">
      <c r="A1145" s="34" t="n">
        <v>1137</v>
      </c>
      <c r="B1145" s="35" t="s">
        <v>77</v>
      </c>
      <c r="C1145" s="35" t="s">
        <v>2339</v>
      </c>
      <c r="D1145" s="35" t="s">
        <v>116</v>
      </c>
      <c r="E1145" s="34" t="n">
        <v>10750</v>
      </c>
      <c r="F1145" s="34" t="n">
        <v>10700</v>
      </c>
      <c r="G1145" s="34" t="n">
        <v>11500</v>
      </c>
      <c r="H1145" s="34" t="n">
        <v>12114.9</v>
      </c>
      <c r="I1145" s="36" t="n">
        <f aca="false">$E1145/F1145-1</f>
        <v>0.00467289719626174</v>
      </c>
      <c r="J1145" s="36" t="n">
        <f aca="false">$E1145/G1145-1</f>
        <v>-0.0652173913043478</v>
      </c>
      <c r="K1145" s="36" t="n">
        <f aca="false">$E1145/H1145-1</f>
        <v>-0.112662919215181</v>
      </c>
      <c r="L1145" s="37" t="n">
        <v>13.22</v>
      </c>
      <c r="M1145" s="37" t="n">
        <v>0.73</v>
      </c>
      <c r="N1145" s="34" t="n">
        <v>16114.74</v>
      </c>
      <c r="O1145" s="34" t="n">
        <v>10050</v>
      </c>
      <c r="P1145" s="38" t="n">
        <v>14.18</v>
      </c>
      <c r="Q1145" s="38" t="n">
        <v>1.02</v>
      </c>
    </row>
    <row r="1146" customFormat="false" ht="15" hidden="false" customHeight="false" outlineLevel="0" collapsed="false">
      <c r="A1146" s="34" t="n">
        <v>1138</v>
      </c>
      <c r="B1146" s="35" t="s">
        <v>2340</v>
      </c>
      <c r="C1146" s="35" t="s">
        <v>2341</v>
      </c>
      <c r="D1146" s="35" t="s">
        <v>111</v>
      </c>
      <c r="E1146" s="34"/>
      <c r="F1146" s="34"/>
      <c r="G1146" s="34"/>
      <c r="H1146" s="34"/>
      <c r="I1146" s="36" t="e">
        <f aca="false">$E1146/F1146-1</f>
        <v>#DIV/0!</v>
      </c>
      <c r="J1146" s="36" t="e">
        <f aca="false">$E1146/G1146-1</f>
        <v>#DIV/0!</v>
      </c>
      <c r="K1146" s="36" t="e">
        <f aca="false">$E1146/H1146-1</f>
        <v>#DIV/0!</v>
      </c>
      <c r="L1146" s="37"/>
      <c r="M1146" s="37"/>
      <c r="N1146" s="34"/>
      <c r="O1146" s="34"/>
      <c r="P1146" s="38"/>
      <c r="Q1146" s="38"/>
    </row>
    <row r="1147" customFormat="false" ht="15" hidden="false" customHeight="false" outlineLevel="0" collapsed="false">
      <c r="A1147" s="34" t="n">
        <v>1139</v>
      </c>
      <c r="B1147" s="35" t="s">
        <v>2342</v>
      </c>
      <c r="C1147" s="35" t="s">
        <v>2343</v>
      </c>
      <c r="D1147" s="35" t="s">
        <v>111</v>
      </c>
      <c r="E1147" s="34" t="n">
        <v>3900</v>
      </c>
      <c r="F1147" s="34" t="n">
        <v>3958</v>
      </c>
      <c r="G1147" s="34" t="n">
        <v>4212</v>
      </c>
      <c r="H1147" s="34" t="n">
        <v>4363</v>
      </c>
      <c r="I1147" s="36" t="n">
        <f aca="false">$E1147/F1147-1</f>
        <v>-0.0146538655886812</v>
      </c>
      <c r="J1147" s="36" t="n">
        <f aca="false">$E1147/G1147-1</f>
        <v>-0.0740740740740741</v>
      </c>
      <c r="K1147" s="36" t="n">
        <f aca="false">$E1147/H1147-1</f>
        <v>-0.106119642447857</v>
      </c>
      <c r="L1147" s="37" t="n">
        <v>12.75</v>
      </c>
      <c r="M1147" s="37" t="n">
        <v>0.36</v>
      </c>
      <c r="N1147" s="34" t="n">
        <v>5311</v>
      </c>
      <c r="O1147" s="34" t="n">
        <v>3711</v>
      </c>
      <c r="P1147" s="38"/>
      <c r="Q1147" s="38"/>
    </row>
    <row r="1148" customFormat="false" ht="15" hidden="false" customHeight="false" outlineLevel="0" collapsed="false">
      <c r="A1148" s="34" t="n">
        <v>1140</v>
      </c>
      <c r="B1148" s="35" t="s">
        <v>2344</v>
      </c>
      <c r="C1148" s="35" t="s">
        <v>2345</v>
      </c>
      <c r="D1148" s="35" t="s">
        <v>116</v>
      </c>
      <c r="E1148" s="34" t="n">
        <v>2430</v>
      </c>
      <c r="F1148" s="34" t="n">
        <v>2410</v>
      </c>
      <c r="G1148" s="34" t="n">
        <v>3180</v>
      </c>
      <c r="H1148" s="34" t="n">
        <v>3700</v>
      </c>
      <c r="I1148" s="36" t="n">
        <f aca="false">$E1148/F1148-1</f>
        <v>0.00829875518672196</v>
      </c>
      <c r="J1148" s="36" t="n">
        <f aca="false">$E1148/G1148-1</f>
        <v>-0.235849056603774</v>
      </c>
      <c r="K1148" s="36" t="n">
        <f aca="false">$E1148/H1148-1</f>
        <v>-0.343243243243243</v>
      </c>
      <c r="L1148" s="37" t="n">
        <v>-3.07</v>
      </c>
      <c r="M1148" s="37" t="n">
        <v>0.24</v>
      </c>
      <c r="N1148" s="34" t="n">
        <v>4370</v>
      </c>
      <c r="O1148" s="34" t="n">
        <v>2410</v>
      </c>
      <c r="P1148" s="38"/>
      <c r="Q1148" s="38"/>
    </row>
    <row r="1149" customFormat="false" ht="15" hidden="false" customHeight="false" outlineLevel="0" collapsed="false">
      <c r="A1149" s="34" t="n">
        <v>1141</v>
      </c>
      <c r="B1149" s="35" t="s">
        <v>2346</v>
      </c>
      <c r="C1149" s="35" t="s">
        <v>2347</v>
      </c>
      <c r="D1149" s="35" t="s">
        <v>116</v>
      </c>
      <c r="E1149" s="34" t="n">
        <v>4750</v>
      </c>
      <c r="F1149" s="34" t="n">
        <v>4720</v>
      </c>
      <c r="G1149" s="34" t="n">
        <v>4880</v>
      </c>
      <c r="H1149" s="34" t="n">
        <v>6890</v>
      </c>
      <c r="I1149" s="36" t="n">
        <f aca="false">$E1149/F1149-1</f>
        <v>0.00635593220338993</v>
      </c>
      <c r="J1149" s="36" t="n">
        <f aca="false">$E1149/G1149-1</f>
        <v>-0.0266393442622951</v>
      </c>
      <c r="K1149" s="36" t="n">
        <f aca="false">$E1149/H1149-1</f>
        <v>-0.310595065312046</v>
      </c>
      <c r="L1149" s="37" t="n">
        <v>32.09</v>
      </c>
      <c r="M1149" s="37" t="n">
        <v>0.4</v>
      </c>
      <c r="N1149" s="34" t="n">
        <v>8700</v>
      </c>
      <c r="O1149" s="34" t="n">
        <v>4720</v>
      </c>
      <c r="P1149" s="38"/>
      <c r="Q1149" s="38"/>
    </row>
    <row r="1150" customFormat="false" ht="15" hidden="false" customHeight="false" outlineLevel="0" collapsed="false">
      <c r="A1150" s="34" t="n">
        <v>1142</v>
      </c>
      <c r="B1150" s="35" t="s">
        <v>2348</v>
      </c>
      <c r="C1150" s="35" t="s">
        <v>2349</v>
      </c>
      <c r="D1150" s="35" t="s">
        <v>111</v>
      </c>
      <c r="E1150" s="34" t="n">
        <v>497</v>
      </c>
      <c r="F1150" s="34" t="n">
        <v>404</v>
      </c>
      <c r="G1150" s="34" t="n">
        <v>500</v>
      </c>
      <c r="H1150" s="34" t="n">
        <v>500</v>
      </c>
      <c r="I1150" s="36" t="n">
        <f aca="false">$E1150/F1150-1</f>
        <v>0.23019801980198</v>
      </c>
      <c r="J1150" s="36" t="n">
        <f aca="false">$E1150/G1150-1</f>
        <v>-0.00600000000000001</v>
      </c>
      <c r="K1150" s="36" t="n">
        <f aca="false">$E1150/H1150-1</f>
        <v>-0.00600000000000001</v>
      </c>
      <c r="L1150" s="37" t="n">
        <v>-2.58</v>
      </c>
      <c r="M1150" s="37" t="n">
        <v>0.08</v>
      </c>
      <c r="N1150" s="34" t="n">
        <v>800</v>
      </c>
      <c r="O1150" s="34" t="n">
        <v>400</v>
      </c>
      <c r="P1150" s="38"/>
      <c r="Q1150" s="38"/>
    </row>
    <row r="1151" customFormat="false" ht="15" hidden="false" customHeight="false" outlineLevel="0" collapsed="false">
      <c r="A1151" s="34" t="n">
        <v>1143</v>
      </c>
      <c r="B1151" s="35" t="s">
        <v>2350</v>
      </c>
      <c r="C1151" s="35" t="s">
        <v>2351</v>
      </c>
      <c r="D1151" s="35" t="s">
        <v>116</v>
      </c>
      <c r="E1151" s="34" t="n">
        <v>51600</v>
      </c>
      <c r="F1151" s="34" t="n">
        <v>50100</v>
      </c>
      <c r="G1151" s="34" t="n">
        <v>49500</v>
      </c>
      <c r="H1151" s="34" t="n">
        <v>50783.2</v>
      </c>
      <c r="I1151" s="36" t="n">
        <f aca="false">$E1151/F1151-1</f>
        <v>0.0299401197604789</v>
      </c>
      <c r="J1151" s="36" t="n">
        <f aca="false">$E1151/G1151-1</f>
        <v>0.0424242424242425</v>
      </c>
      <c r="K1151" s="36" t="n">
        <f aca="false">$E1151/H1151-1</f>
        <v>0.0160840592952001</v>
      </c>
      <c r="L1151" s="37" t="n">
        <v>29.94</v>
      </c>
      <c r="M1151" s="37" t="n">
        <v>2.43</v>
      </c>
      <c r="N1151" s="34" t="n">
        <v>54005.98</v>
      </c>
      <c r="O1151" s="34" t="n">
        <v>41600</v>
      </c>
      <c r="P1151" s="38" t="n">
        <v>26.89</v>
      </c>
      <c r="Q1151" s="38" t="n">
        <v>2.315</v>
      </c>
    </row>
    <row r="1152" customFormat="false" ht="15" hidden="false" customHeight="false" outlineLevel="0" collapsed="false">
      <c r="A1152" s="34" t="n">
        <v>1144</v>
      </c>
      <c r="B1152" s="35" t="s">
        <v>2352</v>
      </c>
      <c r="C1152" s="35" t="s">
        <v>2353</v>
      </c>
      <c r="D1152" s="35" t="s">
        <v>111</v>
      </c>
      <c r="E1152" s="34" t="n">
        <v>5300</v>
      </c>
      <c r="F1152" s="34" t="n">
        <v>5300</v>
      </c>
      <c r="G1152" s="34" t="n">
        <v>5300</v>
      </c>
      <c r="H1152" s="34" t="n">
        <v>6900</v>
      </c>
      <c r="I1152" s="36" t="n">
        <f aca="false">$E1152/F1152-1</f>
        <v>0</v>
      </c>
      <c r="J1152" s="36" t="n">
        <f aca="false">$E1152/G1152-1</f>
        <v>0</v>
      </c>
      <c r="K1152" s="36" t="n">
        <f aca="false">$E1152/H1152-1</f>
        <v>-0.231884057971015</v>
      </c>
      <c r="L1152" s="37" t="n">
        <v>31.6</v>
      </c>
      <c r="M1152" s="37" t="n">
        <v>0.17</v>
      </c>
      <c r="N1152" s="34" t="n">
        <v>8300</v>
      </c>
      <c r="O1152" s="34" t="n">
        <v>5289</v>
      </c>
      <c r="P1152" s="38"/>
      <c r="Q1152" s="38"/>
    </row>
    <row r="1153" customFormat="false" ht="15" hidden="false" customHeight="false" outlineLevel="0" collapsed="false">
      <c r="A1153" s="34" t="n">
        <v>1145</v>
      </c>
      <c r="B1153" s="35" t="s">
        <v>2354</v>
      </c>
      <c r="C1153" s="35" t="s">
        <v>2355</v>
      </c>
      <c r="D1153" s="35" t="s">
        <v>133</v>
      </c>
      <c r="E1153" s="34" t="n">
        <v>12000</v>
      </c>
      <c r="F1153" s="34" t="n">
        <v>12200</v>
      </c>
      <c r="G1153" s="34" t="n">
        <v>13400</v>
      </c>
      <c r="H1153" s="34" t="n">
        <v>11636.48</v>
      </c>
      <c r="I1153" s="36" t="n">
        <f aca="false">$E1153/F1153-1</f>
        <v>-0.0163934426229508</v>
      </c>
      <c r="J1153" s="36" t="n">
        <f aca="false">$E1153/G1153-1</f>
        <v>-0.104477611940298</v>
      </c>
      <c r="K1153" s="36" t="n">
        <f aca="false">$E1153/H1153-1</f>
        <v>0.031239687603124</v>
      </c>
      <c r="L1153" s="37" t="n">
        <v>5.9</v>
      </c>
      <c r="M1153" s="37" t="n">
        <v>1.06</v>
      </c>
      <c r="N1153" s="34" t="n">
        <v>14600.15</v>
      </c>
      <c r="O1153" s="34" t="n">
        <v>10272.83</v>
      </c>
      <c r="P1153" s="38"/>
      <c r="Q1153" s="38"/>
    </row>
    <row r="1154" customFormat="false" ht="15" hidden="false" customHeight="false" outlineLevel="0" collapsed="false">
      <c r="A1154" s="34" t="n">
        <v>1146</v>
      </c>
      <c r="B1154" s="35" t="s">
        <v>57</v>
      </c>
      <c r="C1154" s="35" t="s">
        <v>2356</v>
      </c>
      <c r="D1154" s="35" t="s">
        <v>116</v>
      </c>
      <c r="E1154" s="34" t="n">
        <v>67400</v>
      </c>
      <c r="F1154" s="34" t="n">
        <v>66100</v>
      </c>
      <c r="G1154" s="34" t="n">
        <v>68600</v>
      </c>
      <c r="H1154" s="34" t="n">
        <v>77000</v>
      </c>
      <c r="I1154" s="36" t="n">
        <f aca="false">$E1154/F1154-1</f>
        <v>0.0196671709531013</v>
      </c>
      <c r="J1154" s="36" t="n">
        <f aca="false">$E1154/G1154-1</f>
        <v>-0.0174927113702624</v>
      </c>
      <c r="K1154" s="36" t="n">
        <f aca="false">$E1154/H1154-1</f>
        <v>-0.124675324675325</v>
      </c>
      <c r="L1154" s="37" t="n">
        <v>14.54</v>
      </c>
      <c r="M1154" s="37" t="n">
        <v>2.46</v>
      </c>
      <c r="N1154" s="34" t="n">
        <v>88500</v>
      </c>
      <c r="O1154" s="34" t="n">
        <v>63900</v>
      </c>
      <c r="P1154" s="38" t="n">
        <v>46.89</v>
      </c>
      <c r="Q1154" s="38" t="n">
        <v>3.855</v>
      </c>
    </row>
    <row r="1155" customFormat="false" ht="15" hidden="false" customHeight="false" outlineLevel="0" collapsed="false">
      <c r="A1155" s="34" t="n">
        <v>1147</v>
      </c>
      <c r="B1155" s="35" t="s">
        <v>2357</v>
      </c>
      <c r="C1155" s="35" t="s">
        <v>2358</v>
      </c>
      <c r="D1155" s="35" t="s">
        <v>133</v>
      </c>
      <c r="E1155" s="34" t="n">
        <v>2300</v>
      </c>
      <c r="F1155" s="34" t="n">
        <v>2300</v>
      </c>
      <c r="G1155" s="34" t="n">
        <v>2700</v>
      </c>
      <c r="H1155" s="34" t="n">
        <v>3100</v>
      </c>
      <c r="I1155" s="36" t="n">
        <f aca="false">$E1155/F1155-1</f>
        <v>0</v>
      </c>
      <c r="J1155" s="36" t="n">
        <f aca="false">$E1155/G1155-1</f>
        <v>-0.148148148148148</v>
      </c>
      <c r="K1155" s="36" t="n">
        <f aca="false">$E1155/H1155-1</f>
        <v>-0.258064516129032</v>
      </c>
      <c r="L1155" s="37" t="n">
        <v>19.54</v>
      </c>
      <c r="M1155" s="37" t="n">
        <v>0.21</v>
      </c>
      <c r="N1155" s="34" t="n">
        <v>4600</v>
      </c>
      <c r="O1155" s="34" t="n">
        <v>2300</v>
      </c>
      <c r="P1155" s="38"/>
      <c r="Q1155" s="38"/>
    </row>
    <row r="1156" customFormat="false" ht="15" hidden="false" customHeight="false" outlineLevel="0" collapsed="false">
      <c r="A1156" s="34" t="n">
        <v>1148</v>
      </c>
      <c r="B1156" s="35" t="s">
        <v>2359</v>
      </c>
      <c r="C1156" s="35" t="s">
        <v>2360</v>
      </c>
      <c r="D1156" s="35" t="s">
        <v>111</v>
      </c>
      <c r="E1156" s="34" t="n">
        <v>7011</v>
      </c>
      <c r="F1156" s="34" t="n">
        <v>6524</v>
      </c>
      <c r="G1156" s="34" t="n">
        <v>6923</v>
      </c>
      <c r="H1156" s="34" t="n">
        <v>6668</v>
      </c>
      <c r="I1156" s="36" t="n">
        <f aca="false">$E1156/F1156-1</f>
        <v>0.0746474555487431</v>
      </c>
      <c r="J1156" s="36" t="n">
        <f aca="false">$E1156/G1156-1</f>
        <v>0.0127112523472483</v>
      </c>
      <c r="K1156" s="36" t="n">
        <f aca="false">$E1156/H1156-1</f>
        <v>0.0514397120575885</v>
      </c>
      <c r="L1156" s="37" t="n">
        <v>4.38</v>
      </c>
      <c r="M1156" s="37" t="n">
        <v>0.6</v>
      </c>
      <c r="N1156" s="34" t="n">
        <v>10436.43</v>
      </c>
      <c r="O1156" s="34" t="n">
        <v>6146</v>
      </c>
      <c r="P1156" s="38"/>
      <c r="Q1156" s="38"/>
    </row>
    <row r="1157" customFormat="false" ht="15" hidden="false" customHeight="false" outlineLevel="0" collapsed="false">
      <c r="A1157" s="34" t="n">
        <v>1149</v>
      </c>
      <c r="B1157" s="35" t="s">
        <v>2361</v>
      </c>
      <c r="C1157" s="35" t="s">
        <v>2362</v>
      </c>
      <c r="D1157" s="35" t="s">
        <v>111</v>
      </c>
      <c r="E1157" s="34" t="n">
        <v>5600</v>
      </c>
      <c r="F1157" s="34" t="n">
        <v>8100</v>
      </c>
      <c r="G1157" s="34" t="n">
        <v>8100</v>
      </c>
      <c r="H1157" s="34" t="n">
        <v>4500</v>
      </c>
      <c r="I1157" s="36" t="n">
        <f aca="false">$E1157/F1157-1</f>
        <v>-0.308641975308642</v>
      </c>
      <c r="J1157" s="36" t="n">
        <f aca="false">$E1157/G1157-1</f>
        <v>-0.308641975308642</v>
      </c>
      <c r="K1157" s="36" t="n">
        <f aca="false">$E1157/H1157-1</f>
        <v>0.244444444444444</v>
      </c>
      <c r="L1157" s="37" t="n">
        <v>-11.59</v>
      </c>
      <c r="M1157" s="37" t="n">
        <v>0.91</v>
      </c>
      <c r="N1157" s="34" t="n">
        <v>8100</v>
      </c>
      <c r="O1157" s="34" t="n">
        <v>3573</v>
      </c>
      <c r="P1157" s="38"/>
      <c r="Q1157" s="38"/>
    </row>
    <row r="1158" customFormat="false" ht="15" hidden="false" customHeight="false" outlineLevel="0" collapsed="false">
      <c r="A1158" s="34" t="n">
        <v>1150</v>
      </c>
      <c r="B1158" s="35" t="s">
        <v>2363</v>
      </c>
      <c r="C1158" s="35" t="s">
        <v>2364</v>
      </c>
      <c r="D1158" s="35" t="s">
        <v>111</v>
      </c>
      <c r="E1158" s="34" t="n">
        <v>800</v>
      </c>
      <c r="F1158" s="34" t="n">
        <v>766</v>
      </c>
      <c r="G1158" s="34" t="n">
        <v>800</v>
      </c>
      <c r="H1158" s="34" t="n">
        <v>600</v>
      </c>
      <c r="I1158" s="36" t="n">
        <f aca="false">$E1158/F1158-1</f>
        <v>0.0443864229765014</v>
      </c>
      <c r="J1158" s="36" t="n">
        <f aca="false">$E1158/G1158-1</f>
        <v>0</v>
      </c>
      <c r="K1158" s="36" t="n">
        <f aca="false">$E1158/H1158-1</f>
        <v>0.333333333333333</v>
      </c>
      <c r="L1158" s="37" t="n">
        <v>-19.03</v>
      </c>
      <c r="M1158" s="37" t="n">
        <v>0.08</v>
      </c>
      <c r="N1158" s="34" t="n">
        <v>802</v>
      </c>
      <c r="O1158" s="34" t="n">
        <v>500</v>
      </c>
      <c r="P1158" s="38"/>
      <c r="Q1158" s="38"/>
    </row>
    <row r="1159" customFormat="false" ht="15" hidden="false" customHeight="false" outlineLevel="0" collapsed="false">
      <c r="A1159" s="34" t="n">
        <v>1151</v>
      </c>
      <c r="B1159" s="35" t="s">
        <v>2365</v>
      </c>
      <c r="C1159" s="35" t="s">
        <v>2366</v>
      </c>
      <c r="D1159" s="35" t="s">
        <v>133</v>
      </c>
      <c r="E1159" s="34" t="n">
        <v>7200</v>
      </c>
      <c r="F1159" s="34" t="n">
        <v>7000</v>
      </c>
      <c r="G1159" s="34" t="n">
        <v>7300</v>
      </c>
      <c r="H1159" s="34" t="n">
        <v>8200</v>
      </c>
      <c r="I1159" s="36" t="n">
        <f aca="false">$E1159/F1159-1</f>
        <v>0.0285714285714285</v>
      </c>
      <c r="J1159" s="36" t="n">
        <f aca="false">$E1159/G1159-1</f>
        <v>-0.0136986301369864</v>
      </c>
      <c r="K1159" s="36" t="n">
        <f aca="false">$E1159/H1159-1</f>
        <v>-0.121951219512195</v>
      </c>
      <c r="L1159" s="37" t="n">
        <v>8.88</v>
      </c>
      <c r="M1159" s="37" t="n">
        <v>0.6</v>
      </c>
      <c r="N1159" s="34" t="n">
        <v>16900</v>
      </c>
      <c r="O1159" s="34" t="n">
        <v>6700</v>
      </c>
      <c r="P1159" s="38"/>
      <c r="Q1159" s="38"/>
    </row>
    <row r="1160" customFormat="false" ht="15" hidden="false" customHeight="false" outlineLevel="0" collapsed="false">
      <c r="A1160" s="34" t="n">
        <v>1152</v>
      </c>
      <c r="B1160" s="35" t="s">
        <v>2367</v>
      </c>
      <c r="C1160" s="35" t="s">
        <v>2368</v>
      </c>
      <c r="D1160" s="35" t="s">
        <v>133</v>
      </c>
      <c r="E1160" s="34" t="n">
        <v>25700</v>
      </c>
      <c r="F1160" s="34" t="n">
        <v>25500</v>
      </c>
      <c r="G1160" s="34" t="n">
        <v>26200</v>
      </c>
      <c r="H1160" s="34" t="n">
        <v>27000</v>
      </c>
      <c r="I1160" s="36" t="n">
        <f aca="false">$E1160/F1160-1</f>
        <v>0.00784313725490193</v>
      </c>
      <c r="J1160" s="36" t="n">
        <f aca="false">$E1160/G1160-1</f>
        <v>-0.0190839694656488</v>
      </c>
      <c r="K1160" s="36" t="n">
        <f aca="false">$E1160/H1160-1</f>
        <v>-0.0481481481481482</v>
      </c>
      <c r="L1160" s="37" t="n">
        <v>49.62</v>
      </c>
      <c r="M1160" s="37" t="n">
        <v>2.29</v>
      </c>
      <c r="N1160" s="34" t="n">
        <v>29200</v>
      </c>
      <c r="O1160" s="34" t="n">
        <v>24800</v>
      </c>
      <c r="P1160" s="38"/>
      <c r="Q1160" s="38"/>
    </row>
    <row r="1161" customFormat="false" ht="15" hidden="false" customHeight="false" outlineLevel="0" collapsed="false">
      <c r="A1161" s="34" t="n">
        <v>1153</v>
      </c>
      <c r="B1161" s="35" t="s">
        <v>2369</v>
      </c>
      <c r="C1161" s="35" t="s">
        <v>2370</v>
      </c>
      <c r="D1161" s="35" t="s">
        <v>111</v>
      </c>
      <c r="E1161" s="34" t="n">
        <v>6000</v>
      </c>
      <c r="F1161" s="34" t="n">
        <v>6000</v>
      </c>
      <c r="G1161" s="34" t="n">
        <v>6000</v>
      </c>
      <c r="H1161" s="34" t="n">
        <v>3600</v>
      </c>
      <c r="I1161" s="36" t="n">
        <f aca="false">$E1161/F1161-1</f>
        <v>0</v>
      </c>
      <c r="J1161" s="36" t="n">
        <f aca="false">$E1161/G1161-1</f>
        <v>0</v>
      </c>
      <c r="K1161" s="36" t="n">
        <f aca="false">$E1161/H1161-1</f>
        <v>0.666666666666667</v>
      </c>
      <c r="L1161" s="37" t="n">
        <v>7.3</v>
      </c>
      <c r="M1161" s="37" t="n">
        <v>11.33</v>
      </c>
      <c r="N1161" s="34" t="n">
        <v>7000</v>
      </c>
      <c r="O1161" s="34" t="n">
        <v>3550</v>
      </c>
      <c r="P1161" s="38"/>
      <c r="Q1161" s="38"/>
    </row>
    <row r="1162" customFormat="false" ht="15" hidden="false" customHeight="false" outlineLevel="0" collapsed="false">
      <c r="A1162" s="34" t="n">
        <v>1154</v>
      </c>
      <c r="B1162" s="35" t="s">
        <v>2371</v>
      </c>
      <c r="C1162" s="35" t="s">
        <v>2372</v>
      </c>
      <c r="D1162" s="35" t="s">
        <v>116</v>
      </c>
      <c r="E1162" s="34" t="n">
        <v>20800</v>
      </c>
      <c r="F1162" s="34" t="n">
        <v>20800</v>
      </c>
      <c r="G1162" s="34" t="n">
        <v>22150</v>
      </c>
      <c r="H1162" s="34" t="n">
        <v>20674.29</v>
      </c>
      <c r="I1162" s="36" t="n">
        <f aca="false">$E1162/F1162-1</f>
        <v>0</v>
      </c>
      <c r="J1162" s="36" t="n">
        <f aca="false">$E1162/G1162-1</f>
        <v>-0.0609480812641083</v>
      </c>
      <c r="K1162" s="36" t="n">
        <f aca="false">$E1162/H1162-1</f>
        <v>0.00608049901592755</v>
      </c>
      <c r="L1162" s="37" t="n">
        <v>4.27</v>
      </c>
      <c r="M1162" s="37" t="n">
        <v>0.97</v>
      </c>
      <c r="N1162" s="34" t="n">
        <v>26770.56</v>
      </c>
      <c r="O1162" s="34" t="n">
        <v>20050</v>
      </c>
      <c r="P1162" s="38"/>
      <c r="Q1162" s="38"/>
    </row>
    <row r="1163" customFormat="false" ht="15" hidden="false" customHeight="false" outlineLevel="0" collapsed="false">
      <c r="A1163" s="34" t="n">
        <v>1155</v>
      </c>
      <c r="B1163" s="35" t="s">
        <v>89</v>
      </c>
      <c r="C1163" s="35" t="s">
        <v>2373</v>
      </c>
      <c r="D1163" s="35" t="s">
        <v>116</v>
      </c>
      <c r="E1163" s="34" t="n">
        <v>20650</v>
      </c>
      <c r="F1163" s="34" t="n">
        <v>21400</v>
      </c>
      <c r="G1163" s="34" t="n">
        <v>21600</v>
      </c>
      <c r="H1163" s="34" t="n">
        <v>22550</v>
      </c>
      <c r="I1163" s="36" t="n">
        <f aca="false">$E1163/F1163-1</f>
        <v>-0.0350467289719626</v>
      </c>
      <c r="J1163" s="36" t="n">
        <f aca="false">$E1163/G1163-1</f>
        <v>-0.0439814814814815</v>
      </c>
      <c r="K1163" s="36" t="n">
        <f aca="false">$E1163/H1163-1</f>
        <v>-0.0842572062084257</v>
      </c>
      <c r="L1163" s="37" t="n">
        <v>7.22</v>
      </c>
      <c r="M1163" s="37" t="n">
        <v>1.27</v>
      </c>
      <c r="N1163" s="34" t="n">
        <v>31350</v>
      </c>
      <c r="O1163" s="34" t="n">
        <v>17650</v>
      </c>
      <c r="P1163" s="38" t="n">
        <v>17.39</v>
      </c>
      <c r="Q1163" s="38" t="n">
        <v>1.58</v>
      </c>
    </row>
    <row r="1164" customFormat="false" ht="15" hidden="false" customHeight="false" outlineLevel="0" collapsed="false">
      <c r="A1164" s="34" t="n">
        <v>1156</v>
      </c>
      <c r="B1164" s="35" t="s">
        <v>2374</v>
      </c>
      <c r="C1164" s="35" t="s">
        <v>2375</v>
      </c>
      <c r="D1164" s="35" t="s">
        <v>133</v>
      </c>
      <c r="E1164" s="34" t="n">
        <v>8300</v>
      </c>
      <c r="F1164" s="34" t="n">
        <v>8300</v>
      </c>
      <c r="G1164" s="34" t="n">
        <v>9700</v>
      </c>
      <c r="H1164" s="34" t="n">
        <v>8600</v>
      </c>
      <c r="I1164" s="36" t="n">
        <f aca="false">$E1164/F1164-1</f>
        <v>0</v>
      </c>
      <c r="J1164" s="36" t="n">
        <f aca="false">$E1164/G1164-1</f>
        <v>-0.144329896907217</v>
      </c>
      <c r="K1164" s="36" t="n">
        <f aca="false">$E1164/H1164-1</f>
        <v>-0.0348837209302325</v>
      </c>
      <c r="L1164" s="37" t="n">
        <v>-216.8</v>
      </c>
      <c r="M1164" s="37" t="n">
        <v>0.46</v>
      </c>
      <c r="N1164" s="34" t="n">
        <v>12200</v>
      </c>
      <c r="O1164" s="34" t="n">
        <v>7100</v>
      </c>
      <c r="P1164" s="38"/>
      <c r="Q1164" s="38"/>
    </row>
    <row r="1165" customFormat="false" ht="15" hidden="false" customHeight="false" outlineLevel="0" collapsed="false">
      <c r="A1165" s="34" t="n">
        <v>1157</v>
      </c>
      <c r="B1165" s="35" t="s">
        <v>2376</v>
      </c>
      <c r="C1165" s="35" t="s">
        <v>2377</v>
      </c>
      <c r="D1165" s="35" t="s">
        <v>116</v>
      </c>
      <c r="E1165" s="34" t="n">
        <v>6040</v>
      </c>
      <c r="F1165" s="34" t="n">
        <v>5920</v>
      </c>
      <c r="G1165" s="34" t="n">
        <v>5900</v>
      </c>
      <c r="H1165" s="34" t="n">
        <v>6440</v>
      </c>
      <c r="I1165" s="36" t="n">
        <f aca="false">$E1165/F1165-1</f>
        <v>0.0202702702702702</v>
      </c>
      <c r="J1165" s="36" t="n">
        <f aca="false">$E1165/G1165-1</f>
        <v>0.0237288135593221</v>
      </c>
      <c r="K1165" s="36" t="n">
        <f aca="false">$E1165/H1165-1</f>
        <v>-0.062111801242236</v>
      </c>
      <c r="L1165" s="37" t="n">
        <v>17.36</v>
      </c>
      <c r="M1165" s="37" t="n">
        <v>0.44</v>
      </c>
      <c r="N1165" s="34" t="n">
        <v>8481.9</v>
      </c>
      <c r="O1165" s="34" t="n">
        <v>5300</v>
      </c>
      <c r="P1165" s="38"/>
      <c r="Q1165" s="38"/>
    </row>
    <row r="1166" customFormat="false" ht="15" hidden="false" customHeight="false" outlineLevel="0" collapsed="false">
      <c r="A1166" s="34" t="n">
        <v>1158</v>
      </c>
      <c r="B1166" s="35" t="s">
        <v>2378</v>
      </c>
      <c r="C1166" s="35" t="s">
        <v>2379</v>
      </c>
      <c r="D1166" s="35" t="s">
        <v>111</v>
      </c>
      <c r="E1166" s="34" t="n">
        <v>803</v>
      </c>
      <c r="F1166" s="34" t="n">
        <v>868</v>
      </c>
      <c r="G1166" s="34" t="n">
        <v>1000</v>
      </c>
      <c r="H1166" s="34" t="n">
        <v>1600</v>
      </c>
      <c r="I1166" s="36" t="n">
        <f aca="false">$E1166/F1166-1</f>
        <v>-0.0748847926267281</v>
      </c>
      <c r="J1166" s="36" t="n">
        <f aca="false">$E1166/G1166-1</f>
        <v>-0.197</v>
      </c>
      <c r="K1166" s="36" t="n">
        <f aca="false">$E1166/H1166-1</f>
        <v>-0.498125</v>
      </c>
      <c r="L1166" s="37" t="n">
        <v>-14.26</v>
      </c>
      <c r="M1166" s="37" t="n">
        <v>0.07</v>
      </c>
      <c r="N1166" s="34" t="n">
        <v>1939</v>
      </c>
      <c r="O1166" s="34" t="n">
        <v>803</v>
      </c>
      <c r="P1166" s="38"/>
      <c r="Q1166" s="38"/>
    </row>
    <row r="1167" customFormat="false" ht="15" hidden="false" customHeight="false" outlineLevel="0" collapsed="false">
      <c r="A1167" s="34" t="n">
        <v>1159</v>
      </c>
      <c r="B1167" s="35" t="s">
        <v>2380</v>
      </c>
      <c r="C1167" s="35" t="s">
        <v>2381</v>
      </c>
      <c r="D1167" s="35" t="s">
        <v>116</v>
      </c>
      <c r="E1167" s="34" t="n">
        <v>2570</v>
      </c>
      <c r="F1167" s="34" t="n">
        <v>2590</v>
      </c>
      <c r="G1167" s="34" t="n">
        <v>2910</v>
      </c>
      <c r="H1167" s="34" t="n">
        <v>4770</v>
      </c>
      <c r="I1167" s="36" t="n">
        <f aca="false">$E1167/F1167-1</f>
        <v>-0.00772200772200771</v>
      </c>
      <c r="J1167" s="36" t="n">
        <f aca="false">$E1167/G1167-1</f>
        <v>-0.116838487972509</v>
      </c>
      <c r="K1167" s="36" t="n">
        <f aca="false">$E1167/H1167-1</f>
        <v>-0.461215932914046</v>
      </c>
      <c r="L1167" s="37" t="n">
        <v>-2.31</v>
      </c>
      <c r="M1167" s="37" t="n">
        <v>0.26</v>
      </c>
      <c r="N1167" s="34" t="n">
        <v>7030</v>
      </c>
      <c r="O1167" s="34" t="n">
        <v>2550</v>
      </c>
      <c r="P1167" s="38"/>
      <c r="Q1167" s="38"/>
    </row>
    <row r="1168" customFormat="false" ht="15" hidden="false" customHeight="false" outlineLevel="0" collapsed="false">
      <c r="A1168" s="34" t="n">
        <v>1160</v>
      </c>
      <c r="B1168" s="35" t="s">
        <v>2382</v>
      </c>
      <c r="C1168" s="35" t="s">
        <v>2383</v>
      </c>
      <c r="D1168" s="35" t="s">
        <v>133</v>
      </c>
      <c r="E1168" s="34" t="n">
        <v>80600</v>
      </c>
      <c r="F1168" s="34" t="n">
        <v>78500</v>
      </c>
      <c r="G1168" s="34" t="n">
        <v>77700</v>
      </c>
      <c r="H1168" s="34" t="n">
        <v>66500</v>
      </c>
      <c r="I1168" s="36" t="n">
        <f aca="false">$E1168/F1168-1</f>
        <v>0.0267515923566879</v>
      </c>
      <c r="J1168" s="36" t="n">
        <f aca="false">$E1168/G1168-1</f>
        <v>0.0373230373230373</v>
      </c>
      <c r="K1168" s="36" t="n">
        <f aca="false">$E1168/H1168-1</f>
        <v>0.21203007518797</v>
      </c>
      <c r="L1168" s="37" t="n">
        <v>4.73</v>
      </c>
      <c r="M1168" s="37" t="n">
        <v>3.39</v>
      </c>
      <c r="N1168" s="34" t="n">
        <v>113400</v>
      </c>
      <c r="O1168" s="34" t="n">
        <v>65000</v>
      </c>
      <c r="P1168" s="38"/>
      <c r="Q1168" s="38"/>
    </row>
    <row r="1169" customFormat="false" ht="15" hidden="false" customHeight="false" outlineLevel="0" collapsed="false">
      <c r="A1169" s="34" t="n">
        <v>1161</v>
      </c>
      <c r="B1169" s="35" t="s">
        <v>2384</v>
      </c>
      <c r="C1169" s="35" t="s">
        <v>2385</v>
      </c>
      <c r="D1169" s="35" t="s">
        <v>116</v>
      </c>
      <c r="E1169" s="34" t="n">
        <v>6490</v>
      </c>
      <c r="F1169" s="34" t="n">
        <v>6750</v>
      </c>
      <c r="G1169" s="34" t="n">
        <v>5080</v>
      </c>
      <c r="H1169" s="34" t="n">
        <v>5020</v>
      </c>
      <c r="I1169" s="36" t="n">
        <f aca="false">$E1169/F1169-1</f>
        <v>-0.0385185185185185</v>
      </c>
      <c r="J1169" s="36" t="n">
        <f aca="false">$E1169/G1169-1</f>
        <v>0.27755905511811</v>
      </c>
      <c r="K1169" s="36" t="n">
        <f aca="false">$E1169/H1169-1</f>
        <v>0.292828685258964</v>
      </c>
      <c r="L1169" s="37" t="n">
        <v>5.67</v>
      </c>
      <c r="M1169" s="37" t="n">
        <v>0.61</v>
      </c>
      <c r="N1169" s="34" t="n">
        <v>7220</v>
      </c>
      <c r="O1169" s="34" t="n">
        <v>2890</v>
      </c>
      <c r="P1169" s="38"/>
      <c r="Q1169" s="38"/>
    </row>
    <row r="1170" customFormat="false" ht="15" hidden="false" customHeight="false" outlineLevel="0" collapsed="false">
      <c r="A1170" s="34" t="n">
        <v>1162</v>
      </c>
      <c r="B1170" s="35" t="s">
        <v>2386</v>
      </c>
      <c r="C1170" s="35" t="s">
        <v>2387</v>
      </c>
      <c r="D1170" s="35" t="s">
        <v>133</v>
      </c>
      <c r="E1170" s="34" t="n">
        <v>6000</v>
      </c>
      <c r="F1170" s="34" t="n">
        <v>5400</v>
      </c>
      <c r="G1170" s="34" t="n">
        <v>5900</v>
      </c>
      <c r="H1170" s="34" t="n">
        <v>6700</v>
      </c>
      <c r="I1170" s="36" t="n">
        <f aca="false">$E1170/F1170-1</f>
        <v>0.111111111111111</v>
      </c>
      <c r="J1170" s="36" t="n">
        <f aca="false">$E1170/G1170-1</f>
        <v>0.0169491525423728</v>
      </c>
      <c r="K1170" s="36" t="n">
        <f aca="false">$E1170/H1170-1</f>
        <v>-0.104477611940298</v>
      </c>
      <c r="L1170" s="37" t="n">
        <v>2.98</v>
      </c>
      <c r="M1170" s="37" t="n">
        <v>0.54</v>
      </c>
      <c r="N1170" s="34" t="n">
        <v>8500</v>
      </c>
      <c r="O1170" s="34" t="n">
        <v>5200</v>
      </c>
      <c r="P1170" s="38"/>
      <c r="Q1170" s="38"/>
    </row>
    <row r="1171" customFormat="false" ht="15" hidden="false" customHeight="false" outlineLevel="0" collapsed="false">
      <c r="A1171" s="34" t="n">
        <v>1163</v>
      </c>
      <c r="B1171" s="35" t="s">
        <v>2388</v>
      </c>
      <c r="C1171" s="35" t="s">
        <v>2389</v>
      </c>
      <c r="D1171" s="35" t="s">
        <v>116</v>
      </c>
      <c r="E1171" s="34" t="n">
        <v>48650</v>
      </c>
      <c r="F1171" s="34" t="n">
        <v>48100</v>
      </c>
      <c r="G1171" s="34" t="n">
        <v>48049.38</v>
      </c>
      <c r="H1171" s="34" t="n">
        <v>46393</v>
      </c>
      <c r="I1171" s="36" t="n">
        <f aca="false">$E1171/F1171-1</f>
        <v>0.0114345114345114</v>
      </c>
      <c r="J1171" s="36" t="n">
        <f aca="false">$E1171/G1171-1</f>
        <v>0.0125000572327885</v>
      </c>
      <c r="K1171" s="36" t="n">
        <f aca="false">$E1171/H1171-1</f>
        <v>0.0486495807557175</v>
      </c>
      <c r="L1171" s="37" t="n">
        <v>10.18</v>
      </c>
      <c r="M1171" s="37" t="n">
        <v>1.84</v>
      </c>
      <c r="N1171" s="34" t="n">
        <v>57600.79</v>
      </c>
      <c r="O1171" s="34" t="n">
        <v>42824.93</v>
      </c>
      <c r="P1171" s="38"/>
      <c r="Q1171" s="38"/>
    </row>
    <row r="1172" customFormat="false" ht="15" hidden="false" customHeight="false" outlineLevel="0" collapsed="false">
      <c r="A1172" s="34" t="n">
        <v>1164</v>
      </c>
      <c r="B1172" s="35" t="s">
        <v>2390</v>
      </c>
      <c r="C1172" s="35" t="s">
        <v>2391</v>
      </c>
      <c r="D1172" s="35" t="s">
        <v>133</v>
      </c>
      <c r="E1172" s="34" t="n">
        <v>2600</v>
      </c>
      <c r="F1172" s="34" t="n">
        <v>2600</v>
      </c>
      <c r="G1172" s="34" t="n">
        <v>2600</v>
      </c>
      <c r="H1172" s="34" t="n">
        <v>2800</v>
      </c>
      <c r="I1172" s="36" t="n">
        <f aca="false">$E1172/F1172-1</f>
        <v>0</v>
      </c>
      <c r="J1172" s="36" t="n">
        <f aca="false">$E1172/G1172-1</f>
        <v>0</v>
      </c>
      <c r="K1172" s="36" t="n">
        <f aca="false">$E1172/H1172-1</f>
        <v>-0.0714285714285714</v>
      </c>
      <c r="L1172" s="37" t="n">
        <v>6.75</v>
      </c>
      <c r="M1172" s="37" t="n">
        <v>0.24</v>
      </c>
      <c r="N1172" s="34" t="n">
        <v>3600</v>
      </c>
      <c r="O1172" s="34" t="n">
        <v>2500</v>
      </c>
      <c r="P1172" s="38"/>
      <c r="Q1172" s="38"/>
    </row>
    <row r="1173" customFormat="false" ht="15" hidden="false" customHeight="false" outlineLevel="0" collapsed="false">
      <c r="A1173" s="34" t="n">
        <v>1165</v>
      </c>
      <c r="B1173" s="35" t="s">
        <v>2392</v>
      </c>
      <c r="C1173" s="35" t="s">
        <v>2393</v>
      </c>
      <c r="D1173" s="35" t="s">
        <v>111</v>
      </c>
      <c r="E1173" s="34" t="n">
        <v>1800</v>
      </c>
      <c r="F1173" s="34" t="n">
        <v>1800</v>
      </c>
      <c r="G1173" s="34" t="n">
        <v>1800</v>
      </c>
      <c r="H1173" s="34" t="n">
        <v>1800</v>
      </c>
      <c r="I1173" s="36" t="n">
        <f aca="false">$E1173/F1173-1</f>
        <v>0</v>
      </c>
      <c r="J1173" s="36" t="n">
        <f aca="false">$E1173/G1173-1</f>
        <v>0</v>
      </c>
      <c r="K1173" s="36" t="n">
        <f aca="false">$E1173/H1173-1</f>
        <v>0</v>
      </c>
      <c r="L1173" s="37" t="n">
        <v>964.82</v>
      </c>
      <c r="M1173" s="37" t="n">
        <v>0.18</v>
      </c>
      <c r="N1173" s="34" t="n">
        <v>1800</v>
      </c>
      <c r="O1173" s="34" t="n">
        <v>1800</v>
      </c>
      <c r="P1173" s="38"/>
      <c r="Q1173" s="38"/>
    </row>
    <row r="1174" customFormat="false" ht="15" hidden="false" customHeight="false" outlineLevel="0" collapsed="false">
      <c r="A1174" s="34" t="n">
        <v>1166</v>
      </c>
      <c r="B1174" s="35" t="s">
        <v>2394</v>
      </c>
      <c r="C1174" s="35" t="s">
        <v>2395</v>
      </c>
      <c r="D1174" s="35" t="s">
        <v>116</v>
      </c>
      <c r="E1174" s="34" t="n">
        <v>2340</v>
      </c>
      <c r="F1174" s="34" t="n">
        <v>2350</v>
      </c>
      <c r="G1174" s="34" t="n">
        <v>2780</v>
      </c>
      <c r="H1174" s="34" t="n">
        <v>3230</v>
      </c>
      <c r="I1174" s="36" t="n">
        <f aca="false">$E1174/F1174-1</f>
        <v>-0.00425531914893618</v>
      </c>
      <c r="J1174" s="36" t="n">
        <f aca="false">$E1174/G1174-1</f>
        <v>-0.158273381294964</v>
      </c>
      <c r="K1174" s="36" t="n">
        <f aca="false">$E1174/H1174-1</f>
        <v>-0.275541795665635</v>
      </c>
      <c r="L1174" s="37" t="n">
        <v>317.33</v>
      </c>
      <c r="M1174" s="37" t="n">
        <v>0.23</v>
      </c>
      <c r="N1174" s="34" t="n">
        <v>3950</v>
      </c>
      <c r="O1174" s="34" t="n">
        <v>2230</v>
      </c>
      <c r="P1174" s="38"/>
      <c r="Q1174" s="38"/>
    </row>
    <row r="1175" customFormat="false" ht="15" hidden="false" customHeight="false" outlineLevel="0" collapsed="false">
      <c r="A1175" s="34" t="n">
        <v>1167</v>
      </c>
      <c r="B1175" s="35" t="s">
        <v>2396</v>
      </c>
      <c r="C1175" s="35" t="s">
        <v>2397</v>
      </c>
      <c r="D1175" s="35" t="s">
        <v>116</v>
      </c>
      <c r="E1175" s="34" t="n">
        <v>9690</v>
      </c>
      <c r="F1175" s="34" t="n">
        <v>9170</v>
      </c>
      <c r="G1175" s="34" t="n">
        <v>11350</v>
      </c>
      <c r="H1175" s="34" t="n">
        <v>8660</v>
      </c>
      <c r="I1175" s="36" t="n">
        <f aca="false">$E1175/F1175-1</f>
        <v>0.0567066521264994</v>
      </c>
      <c r="J1175" s="36" t="n">
        <f aca="false">$E1175/G1175-1</f>
        <v>-0.14625550660793</v>
      </c>
      <c r="K1175" s="36" t="n">
        <f aca="false">$E1175/H1175-1</f>
        <v>0.118937644341801</v>
      </c>
      <c r="L1175" s="37" t="n">
        <v>20.08</v>
      </c>
      <c r="M1175" s="37" t="n">
        <v>0.82</v>
      </c>
      <c r="N1175" s="34" t="n">
        <v>12000</v>
      </c>
      <c r="O1175" s="34" t="n">
        <v>6780</v>
      </c>
      <c r="P1175" s="38"/>
      <c r="Q1175" s="38"/>
    </row>
    <row r="1176" customFormat="false" ht="15" hidden="false" customHeight="false" outlineLevel="0" collapsed="false">
      <c r="A1176" s="34" t="n">
        <v>1168</v>
      </c>
      <c r="B1176" s="35" t="s">
        <v>2398</v>
      </c>
      <c r="C1176" s="35" t="s">
        <v>2399</v>
      </c>
      <c r="D1176" s="35" t="s">
        <v>111</v>
      </c>
      <c r="E1176" s="34" t="n">
        <v>46916</v>
      </c>
      <c r="F1176" s="34" t="n">
        <v>46575</v>
      </c>
      <c r="G1176" s="34" t="n">
        <v>46684</v>
      </c>
      <c r="H1176" s="34" t="n">
        <v>46214</v>
      </c>
      <c r="I1176" s="36" t="n">
        <f aca="false">$E1176/F1176-1</f>
        <v>0.00732152442297362</v>
      </c>
      <c r="J1176" s="36" t="n">
        <f aca="false">$E1176/G1176-1</f>
        <v>0.00496958272641601</v>
      </c>
      <c r="K1176" s="36" t="n">
        <f aca="false">$E1176/H1176-1</f>
        <v>0.0151902021032588</v>
      </c>
      <c r="L1176" s="37" t="n">
        <v>115.13</v>
      </c>
      <c r="M1176" s="37" t="n">
        <v>3.5</v>
      </c>
      <c r="N1176" s="34" t="n">
        <v>46916</v>
      </c>
      <c r="O1176" s="34" t="n">
        <v>44082</v>
      </c>
      <c r="P1176" s="38"/>
      <c r="Q1176" s="38"/>
    </row>
    <row r="1177" customFormat="false" ht="15" hidden="false" customHeight="false" outlineLevel="0" collapsed="false">
      <c r="A1177" s="34" t="n">
        <v>1169</v>
      </c>
      <c r="B1177" s="35" t="s">
        <v>2400</v>
      </c>
      <c r="C1177" s="35" t="s">
        <v>2401</v>
      </c>
      <c r="D1177" s="35" t="s">
        <v>133</v>
      </c>
      <c r="E1177" s="34" t="n">
        <v>2900</v>
      </c>
      <c r="F1177" s="34" t="n">
        <v>2700</v>
      </c>
      <c r="G1177" s="34" t="n">
        <v>2500</v>
      </c>
      <c r="H1177" s="34" t="n">
        <v>2900</v>
      </c>
      <c r="I1177" s="36" t="n">
        <f aca="false">$E1177/F1177-1</f>
        <v>0.0740740740740742</v>
      </c>
      <c r="J1177" s="36" t="n">
        <f aca="false">$E1177/G1177-1</f>
        <v>0.16</v>
      </c>
      <c r="K1177" s="36" t="n">
        <f aca="false">$E1177/H1177-1</f>
        <v>0</v>
      </c>
      <c r="L1177" s="37" t="n">
        <v>86.19</v>
      </c>
      <c r="M1177" s="37" t="n">
        <v>0.27</v>
      </c>
      <c r="N1177" s="34" t="n">
        <v>4300</v>
      </c>
      <c r="O1177" s="34" t="n">
        <v>1800</v>
      </c>
      <c r="P1177" s="38"/>
      <c r="Q1177" s="38"/>
    </row>
    <row r="1178" customFormat="false" ht="15" hidden="false" customHeight="false" outlineLevel="0" collapsed="false">
      <c r="A1178" s="34" t="n">
        <v>1170</v>
      </c>
      <c r="B1178" s="35" t="s">
        <v>2402</v>
      </c>
      <c r="C1178" s="35" t="s">
        <v>2403</v>
      </c>
      <c r="D1178" s="35" t="s">
        <v>111</v>
      </c>
      <c r="E1178" s="34" t="n">
        <v>22700</v>
      </c>
      <c r="F1178" s="34" t="n">
        <v>27100</v>
      </c>
      <c r="G1178" s="34" t="n">
        <v>29300</v>
      </c>
      <c r="H1178" s="34" t="n">
        <v>11072</v>
      </c>
      <c r="I1178" s="36" t="n">
        <f aca="false">$E1178/F1178-1</f>
        <v>-0.162361623616236</v>
      </c>
      <c r="J1178" s="36" t="n">
        <f aca="false">$E1178/G1178-1</f>
        <v>-0.225255972696246</v>
      </c>
      <c r="K1178" s="36" t="n">
        <f aca="false">$E1178/H1178-1</f>
        <v>1.05021676300578</v>
      </c>
      <c r="L1178" s="37" t="n">
        <v>30.8</v>
      </c>
      <c r="M1178" s="37" t="n">
        <v>30.16</v>
      </c>
      <c r="N1178" s="34" t="n">
        <v>32000</v>
      </c>
      <c r="O1178" s="34" t="n">
        <v>5700</v>
      </c>
      <c r="P1178" s="38"/>
      <c r="Q1178" s="38"/>
    </row>
    <row r="1179" customFormat="false" ht="15" hidden="false" customHeight="false" outlineLevel="0" collapsed="false">
      <c r="A1179" s="34" t="n">
        <v>1171</v>
      </c>
      <c r="B1179" s="35" t="s">
        <v>2404</v>
      </c>
      <c r="C1179" s="35" t="s">
        <v>2405</v>
      </c>
      <c r="D1179" s="35" t="s">
        <v>111</v>
      </c>
      <c r="E1179" s="34" t="n">
        <v>620407</v>
      </c>
      <c r="F1179" s="34" t="n">
        <v>499831</v>
      </c>
      <c r="G1179" s="34" t="n">
        <v>449269</v>
      </c>
      <c r="H1179" s="34" t="n">
        <v>365900</v>
      </c>
      <c r="I1179" s="36" t="n">
        <f aca="false">$E1179/F1179-1</f>
        <v>0.241233536935484</v>
      </c>
      <c r="J1179" s="36" t="n">
        <f aca="false">$E1179/G1179-1</f>
        <v>0.380925458912144</v>
      </c>
      <c r="K1179" s="36" t="n">
        <f aca="false">$E1179/H1179-1</f>
        <v>0.695564361847499</v>
      </c>
      <c r="L1179" s="37" t="n">
        <v>39.19</v>
      </c>
      <c r="M1179" s="37" t="n">
        <v>20.06</v>
      </c>
      <c r="N1179" s="34" t="n">
        <v>661036</v>
      </c>
      <c r="O1179" s="34" t="n">
        <v>309500</v>
      </c>
      <c r="P1179" s="38"/>
      <c r="Q1179" s="38"/>
    </row>
    <row r="1180" customFormat="false" ht="15" hidden="false" customHeight="false" outlineLevel="0" collapsed="false">
      <c r="A1180" s="34" t="n">
        <v>1172</v>
      </c>
      <c r="B1180" s="35" t="s">
        <v>2406</v>
      </c>
      <c r="C1180" s="35" t="s">
        <v>2407</v>
      </c>
      <c r="D1180" s="35" t="s">
        <v>111</v>
      </c>
      <c r="E1180" s="34" t="n">
        <v>4204</v>
      </c>
      <c r="F1180" s="34" t="n">
        <v>4160</v>
      </c>
      <c r="G1180" s="34" t="n">
        <v>4774</v>
      </c>
      <c r="H1180" s="34" t="n">
        <v>6305</v>
      </c>
      <c r="I1180" s="36" t="n">
        <f aca="false">$E1180/F1180-1</f>
        <v>0.010576923076923</v>
      </c>
      <c r="J1180" s="36" t="n">
        <f aca="false">$E1180/G1180-1</f>
        <v>-0.119396732299958</v>
      </c>
      <c r="K1180" s="36" t="n">
        <f aca="false">$E1180/H1180-1</f>
        <v>-0.333227597145123</v>
      </c>
      <c r="L1180" s="37" t="n">
        <v>6.22</v>
      </c>
      <c r="M1180" s="37" t="n">
        <v>0.73</v>
      </c>
      <c r="N1180" s="34" t="n">
        <v>8602</v>
      </c>
      <c r="O1180" s="34" t="n">
        <v>4082</v>
      </c>
      <c r="P1180" s="38"/>
      <c r="Q1180" s="38"/>
    </row>
    <row r="1181" customFormat="false" ht="15" hidden="false" customHeight="false" outlineLevel="0" collapsed="false">
      <c r="A1181" s="34" t="n">
        <v>1173</v>
      </c>
      <c r="B1181" s="35" t="s">
        <v>2408</v>
      </c>
      <c r="C1181" s="35" t="s">
        <v>2409</v>
      </c>
      <c r="D1181" s="35" t="s">
        <v>111</v>
      </c>
      <c r="E1181" s="34" t="n">
        <v>1300</v>
      </c>
      <c r="F1181" s="34" t="n">
        <v>1503</v>
      </c>
      <c r="G1181" s="34" t="n">
        <v>1890</v>
      </c>
      <c r="H1181" s="34" t="n">
        <v>1890</v>
      </c>
      <c r="I1181" s="36" t="n">
        <f aca="false">$E1181/F1181-1</f>
        <v>-0.135063206919494</v>
      </c>
      <c r="J1181" s="36" t="n">
        <f aca="false">$E1181/G1181-1</f>
        <v>-0.312169312169312</v>
      </c>
      <c r="K1181" s="36" t="n">
        <f aca="false">$E1181/H1181-1</f>
        <v>-0.312169312169312</v>
      </c>
      <c r="L1181" s="37" t="n">
        <v>-1</v>
      </c>
      <c r="M1181" s="37" t="n">
        <v>0.25</v>
      </c>
      <c r="N1181" s="34" t="n">
        <v>2890</v>
      </c>
      <c r="O1181" s="34" t="n">
        <v>1300</v>
      </c>
      <c r="P1181" s="38"/>
      <c r="Q1181" s="38"/>
    </row>
    <row r="1182" customFormat="false" ht="15" hidden="false" customHeight="false" outlineLevel="0" collapsed="false">
      <c r="A1182" s="34" t="n">
        <v>1174</v>
      </c>
      <c r="B1182" s="35" t="s">
        <v>2410</v>
      </c>
      <c r="C1182" s="35" t="s">
        <v>2411</v>
      </c>
      <c r="D1182" s="35" t="s">
        <v>116</v>
      </c>
      <c r="E1182" s="34" t="n">
        <v>7640</v>
      </c>
      <c r="F1182" s="34" t="n">
        <v>7410</v>
      </c>
      <c r="G1182" s="34" t="n">
        <v>8930</v>
      </c>
      <c r="H1182" s="34" t="n">
        <v>11495.58</v>
      </c>
      <c r="I1182" s="36" t="n">
        <f aca="false">$E1182/F1182-1</f>
        <v>0.0310391363022942</v>
      </c>
      <c r="J1182" s="36" t="n">
        <f aca="false">$E1182/G1182-1</f>
        <v>-0.144456886898096</v>
      </c>
      <c r="K1182" s="36" t="n">
        <f aca="false">$E1182/H1182-1</f>
        <v>-0.335396735092966</v>
      </c>
      <c r="L1182" s="37" t="n">
        <v>34.54</v>
      </c>
      <c r="M1182" s="37" t="n">
        <v>0.75</v>
      </c>
      <c r="N1182" s="34" t="n">
        <v>14953.6</v>
      </c>
      <c r="O1182" s="34" t="n">
        <v>7250</v>
      </c>
      <c r="P1182" s="38"/>
      <c r="Q1182" s="38"/>
    </row>
    <row r="1183" customFormat="false" ht="15" hidden="false" customHeight="false" outlineLevel="0" collapsed="false">
      <c r="A1183" s="34" t="n">
        <v>1175</v>
      </c>
      <c r="B1183" s="35" t="s">
        <v>73</v>
      </c>
      <c r="C1183" s="35" t="s">
        <v>2412</v>
      </c>
      <c r="D1183" s="35" t="s">
        <v>116</v>
      </c>
      <c r="E1183" s="34" t="n">
        <v>28000</v>
      </c>
      <c r="F1183" s="34" t="n">
        <v>27800</v>
      </c>
      <c r="G1183" s="34" t="n">
        <v>28800</v>
      </c>
      <c r="H1183" s="34" t="n">
        <v>35350</v>
      </c>
      <c r="I1183" s="36" t="n">
        <f aca="false">$E1183/F1183-1</f>
        <v>0.0071942446043165</v>
      </c>
      <c r="J1183" s="36" t="n">
        <f aca="false">$E1183/G1183-1</f>
        <v>-0.0277777777777778</v>
      </c>
      <c r="K1183" s="36" t="n">
        <f aca="false">$E1183/H1183-1</f>
        <v>-0.207920792079208</v>
      </c>
      <c r="L1183" s="37" t="n">
        <v>22.82</v>
      </c>
      <c r="M1183" s="37" t="n">
        <v>1.05</v>
      </c>
      <c r="N1183" s="34" t="n">
        <v>41150</v>
      </c>
      <c r="O1183" s="34" t="n">
        <v>26800</v>
      </c>
      <c r="P1183" s="38" t="n">
        <v>18.615</v>
      </c>
      <c r="Q1183" s="38" t="n">
        <v>1.31</v>
      </c>
    </row>
    <row r="1184" customFormat="false" ht="15" hidden="false" customHeight="false" outlineLevel="0" collapsed="false">
      <c r="A1184" s="34" t="n">
        <v>1176</v>
      </c>
      <c r="B1184" s="35" t="s">
        <v>2413</v>
      </c>
      <c r="C1184" s="35" t="s">
        <v>2414</v>
      </c>
      <c r="D1184" s="35" t="s">
        <v>111</v>
      </c>
      <c r="E1184" s="34" t="n">
        <v>59793</v>
      </c>
      <c r="F1184" s="34" t="n">
        <v>51955</v>
      </c>
      <c r="G1184" s="34" t="n">
        <v>59356</v>
      </c>
      <c r="H1184" s="34" t="n">
        <v>45828</v>
      </c>
      <c r="I1184" s="36" t="n">
        <f aca="false">$E1184/F1184-1</f>
        <v>0.150861322298143</v>
      </c>
      <c r="J1184" s="36" t="n">
        <f aca="false">$E1184/G1184-1</f>
        <v>0.00736235595390533</v>
      </c>
      <c r="K1184" s="36" t="n">
        <f aca="false">$E1184/H1184-1</f>
        <v>0.304726368159204</v>
      </c>
      <c r="L1184" s="37" t="n">
        <v>26.05</v>
      </c>
      <c r="M1184" s="37" t="n">
        <v>4.6</v>
      </c>
      <c r="N1184" s="34" t="n">
        <v>78064</v>
      </c>
      <c r="O1184" s="34" t="n">
        <v>41475</v>
      </c>
      <c r="P1184" s="38"/>
      <c r="Q1184" s="38"/>
    </row>
    <row r="1185" customFormat="false" ht="15" hidden="false" customHeight="false" outlineLevel="0" collapsed="false">
      <c r="A1185" s="34" t="n">
        <v>1177</v>
      </c>
      <c r="B1185" s="35" t="s">
        <v>2415</v>
      </c>
      <c r="C1185" s="35" t="s">
        <v>2416</v>
      </c>
      <c r="D1185" s="35" t="s">
        <v>133</v>
      </c>
      <c r="E1185" s="34" t="n">
        <v>7900</v>
      </c>
      <c r="F1185" s="34" t="n">
        <v>7100</v>
      </c>
      <c r="G1185" s="34" t="n">
        <v>7200</v>
      </c>
      <c r="H1185" s="34" t="n">
        <v>8700</v>
      </c>
      <c r="I1185" s="36" t="n">
        <f aca="false">$E1185/F1185-1</f>
        <v>0.112676056338028</v>
      </c>
      <c r="J1185" s="36" t="n">
        <f aca="false">$E1185/G1185-1</f>
        <v>0.0972222222222223</v>
      </c>
      <c r="K1185" s="36" t="n">
        <f aca="false">$E1185/H1185-1</f>
        <v>-0.0919540229885058</v>
      </c>
      <c r="L1185" s="37" t="n">
        <v>6.88</v>
      </c>
      <c r="M1185" s="37" t="n">
        <v>0.55</v>
      </c>
      <c r="N1185" s="34" t="n">
        <v>10900</v>
      </c>
      <c r="O1185" s="34" t="n">
        <v>7000</v>
      </c>
      <c r="P1185" s="38"/>
      <c r="Q1185" s="38"/>
    </row>
    <row r="1186" customFormat="false" ht="15" hidden="false" customHeight="false" outlineLevel="0" collapsed="false">
      <c r="A1186" s="34" t="n">
        <v>1178</v>
      </c>
      <c r="B1186" s="35" t="s">
        <v>2417</v>
      </c>
      <c r="C1186" s="35" t="s">
        <v>2418</v>
      </c>
      <c r="D1186" s="35" t="s">
        <v>111</v>
      </c>
      <c r="E1186" s="34" t="n">
        <v>38000</v>
      </c>
      <c r="F1186" s="34" t="n">
        <v>38000</v>
      </c>
      <c r="G1186" s="34" t="n">
        <v>32100</v>
      </c>
      <c r="H1186" s="34" t="n">
        <v>30850</v>
      </c>
      <c r="I1186" s="36" t="n">
        <f aca="false">$E1186/F1186-1</f>
        <v>0</v>
      </c>
      <c r="J1186" s="36" t="n">
        <f aca="false">$E1186/G1186-1</f>
        <v>0.183800623052959</v>
      </c>
      <c r="K1186" s="36" t="n">
        <f aca="false">$E1186/H1186-1</f>
        <v>0.231766612641815</v>
      </c>
      <c r="L1186" s="37" t="n">
        <v>63.5</v>
      </c>
      <c r="M1186" s="37" t="n">
        <v>4.01</v>
      </c>
      <c r="N1186" s="34" t="n">
        <v>42659</v>
      </c>
      <c r="O1186" s="34" t="n">
        <v>28850</v>
      </c>
      <c r="P1186" s="38"/>
      <c r="Q1186" s="38"/>
    </row>
    <row r="1187" customFormat="false" ht="15" hidden="false" customHeight="false" outlineLevel="0" collapsed="false">
      <c r="A1187" s="34" t="n">
        <v>1179</v>
      </c>
      <c r="B1187" s="35" t="s">
        <v>2419</v>
      </c>
      <c r="C1187" s="35" t="s">
        <v>2420</v>
      </c>
      <c r="D1187" s="35" t="s">
        <v>111</v>
      </c>
      <c r="E1187" s="34" t="n">
        <v>1400</v>
      </c>
      <c r="F1187" s="34" t="n">
        <v>1400</v>
      </c>
      <c r="G1187" s="34" t="n">
        <v>1400</v>
      </c>
      <c r="H1187" s="34" t="n">
        <v>1400</v>
      </c>
      <c r="I1187" s="36" t="n">
        <f aca="false">$E1187/F1187-1</f>
        <v>0</v>
      </c>
      <c r="J1187" s="36" t="n">
        <f aca="false">$E1187/G1187-1</f>
        <v>0</v>
      </c>
      <c r="K1187" s="36" t="n">
        <f aca="false">$E1187/H1187-1</f>
        <v>0</v>
      </c>
      <c r="L1187" s="37" t="n">
        <v>-0.14</v>
      </c>
      <c r="M1187" s="37" t="n">
        <v>1.05</v>
      </c>
      <c r="N1187" s="34" t="n">
        <v>1400</v>
      </c>
      <c r="O1187" s="34" t="n">
        <v>1400</v>
      </c>
      <c r="P1187" s="38"/>
      <c r="Q1187" s="38"/>
    </row>
    <row r="1188" customFormat="false" ht="15" hidden="false" customHeight="false" outlineLevel="0" collapsed="false">
      <c r="A1188" s="34" t="n">
        <v>1180</v>
      </c>
      <c r="B1188" s="35" t="s">
        <v>50</v>
      </c>
      <c r="C1188" s="35" t="s">
        <v>2421</v>
      </c>
      <c r="D1188" s="35" t="s">
        <v>116</v>
      </c>
      <c r="E1188" s="34" t="n">
        <v>29700</v>
      </c>
      <c r="F1188" s="34" t="n">
        <v>28950</v>
      </c>
      <c r="G1188" s="34" t="n">
        <v>33850</v>
      </c>
      <c r="H1188" s="34" t="n">
        <v>34181.06</v>
      </c>
      <c r="I1188" s="36" t="n">
        <f aca="false">$E1188/F1188-1</f>
        <v>0.0259067357512954</v>
      </c>
      <c r="J1188" s="36" t="n">
        <f aca="false">$E1188/G1188-1</f>
        <v>-0.122599704579025</v>
      </c>
      <c r="K1188" s="36" t="n">
        <f aca="false">$E1188/H1188-1</f>
        <v>-0.131097748285161</v>
      </c>
      <c r="L1188" s="37" t="n">
        <v>7.76</v>
      </c>
      <c r="M1188" s="37" t="n">
        <v>1.17</v>
      </c>
      <c r="N1188" s="34" t="n">
        <v>40449.22</v>
      </c>
      <c r="O1188" s="34" t="n">
        <v>28108.78</v>
      </c>
      <c r="P1188" s="38" t="n">
        <v>8.18</v>
      </c>
      <c r="Q1188" s="38" t="n">
        <v>1.25</v>
      </c>
    </row>
    <row r="1189" customFormat="false" ht="15" hidden="false" customHeight="false" outlineLevel="0" collapsed="false">
      <c r="A1189" s="34" t="n">
        <v>1181</v>
      </c>
      <c r="B1189" s="35" t="s">
        <v>2422</v>
      </c>
      <c r="C1189" s="35" t="s">
        <v>2423</v>
      </c>
      <c r="D1189" s="35" t="s">
        <v>111</v>
      </c>
      <c r="E1189" s="34" t="n">
        <v>6600</v>
      </c>
      <c r="F1189" s="34" t="n">
        <v>6600</v>
      </c>
      <c r="G1189" s="34" t="n">
        <v>6600</v>
      </c>
      <c r="H1189" s="34" t="n">
        <v>7000</v>
      </c>
      <c r="I1189" s="36" t="n">
        <f aca="false">$E1189/F1189-1</f>
        <v>0</v>
      </c>
      <c r="J1189" s="36" t="n">
        <f aca="false">$E1189/G1189-1</f>
        <v>0</v>
      </c>
      <c r="K1189" s="36" t="n">
        <f aca="false">$E1189/H1189-1</f>
        <v>-0.0571428571428572</v>
      </c>
      <c r="L1189" s="37" t="n">
        <v>13.56</v>
      </c>
      <c r="M1189" s="37" t="n">
        <v>0.42</v>
      </c>
      <c r="N1189" s="34" t="n">
        <v>7200</v>
      </c>
      <c r="O1189" s="34" t="n">
        <v>5420</v>
      </c>
      <c r="P1189" s="38"/>
      <c r="Q1189" s="38"/>
    </row>
    <row r="1190" customFormat="false" ht="15" hidden="false" customHeight="false" outlineLevel="0" collapsed="false">
      <c r="A1190" s="34" t="n">
        <v>1182</v>
      </c>
      <c r="B1190" s="35" t="s">
        <v>2424</v>
      </c>
      <c r="C1190" s="35" t="s">
        <v>2425</v>
      </c>
      <c r="D1190" s="35" t="s">
        <v>133</v>
      </c>
      <c r="E1190" s="34" t="n">
        <v>4000</v>
      </c>
      <c r="F1190" s="34" t="n">
        <v>4700</v>
      </c>
      <c r="G1190" s="34" t="n">
        <v>4500</v>
      </c>
      <c r="H1190" s="34" t="n">
        <v>4500</v>
      </c>
      <c r="I1190" s="36" t="n">
        <f aca="false">$E1190/F1190-1</f>
        <v>-0.148936170212766</v>
      </c>
      <c r="J1190" s="36" t="n">
        <f aca="false">$E1190/G1190-1</f>
        <v>-0.111111111111111</v>
      </c>
      <c r="K1190" s="36" t="n">
        <f aca="false">$E1190/H1190-1</f>
        <v>-0.111111111111111</v>
      </c>
      <c r="L1190" s="37" t="n">
        <v>23.92</v>
      </c>
      <c r="M1190" s="37" t="n">
        <v>0.25</v>
      </c>
      <c r="N1190" s="34" t="n">
        <v>5600</v>
      </c>
      <c r="O1190" s="34" t="n">
        <v>3700</v>
      </c>
      <c r="P1190" s="38"/>
      <c r="Q1190" s="38"/>
    </row>
    <row r="1191" customFormat="false" ht="15" hidden="false" customHeight="false" outlineLevel="0" collapsed="false">
      <c r="A1191" s="34" t="n">
        <v>1183</v>
      </c>
      <c r="B1191" s="35" t="s">
        <v>2426</v>
      </c>
      <c r="C1191" s="35" t="s">
        <v>2427</v>
      </c>
      <c r="D1191" s="35" t="s">
        <v>133</v>
      </c>
      <c r="E1191" s="34" t="n">
        <v>10200</v>
      </c>
      <c r="F1191" s="34" t="n">
        <v>10100</v>
      </c>
      <c r="G1191" s="34" t="n">
        <v>11000</v>
      </c>
      <c r="H1191" s="34" t="n">
        <v>12226.62</v>
      </c>
      <c r="I1191" s="36" t="n">
        <f aca="false">$E1191/F1191-1</f>
        <v>0.00990099009900991</v>
      </c>
      <c r="J1191" s="36" t="n">
        <f aca="false">$E1191/G1191-1</f>
        <v>-0.0727272727272728</v>
      </c>
      <c r="K1191" s="36" t="n">
        <f aca="false">$E1191/H1191-1</f>
        <v>-0.165754722073639</v>
      </c>
      <c r="L1191" s="37" t="n">
        <v>5.85</v>
      </c>
      <c r="M1191" s="37" t="n">
        <v>0.45</v>
      </c>
      <c r="N1191" s="34" t="n">
        <v>15259.58</v>
      </c>
      <c r="O1191" s="34" t="n">
        <v>9700</v>
      </c>
      <c r="P1191" s="38"/>
      <c r="Q1191" s="38"/>
    </row>
    <row r="1192" customFormat="false" ht="15" hidden="false" customHeight="false" outlineLevel="0" collapsed="false">
      <c r="A1192" s="34" t="n">
        <v>1184</v>
      </c>
      <c r="B1192" s="35" t="s">
        <v>2428</v>
      </c>
      <c r="C1192" s="35" t="s">
        <v>2429</v>
      </c>
      <c r="D1192" s="35" t="s">
        <v>111</v>
      </c>
      <c r="E1192" s="34"/>
      <c r="F1192" s="34"/>
      <c r="G1192" s="34"/>
      <c r="H1192" s="34"/>
      <c r="I1192" s="36" t="e">
        <f aca="false">$E1192/F1192-1</f>
        <v>#DIV/0!</v>
      </c>
      <c r="J1192" s="36" t="e">
        <f aca="false">$E1192/G1192-1</f>
        <v>#DIV/0!</v>
      </c>
      <c r="K1192" s="36" t="e">
        <f aca="false">$E1192/H1192-1</f>
        <v>#DIV/0!</v>
      </c>
      <c r="L1192" s="37"/>
      <c r="M1192" s="37"/>
      <c r="N1192" s="34"/>
      <c r="O1192" s="34"/>
      <c r="P1192" s="38"/>
      <c r="Q1192" s="38"/>
    </row>
    <row r="1193" customFormat="false" ht="15" hidden="false" customHeight="false" outlineLevel="0" collapsed="false">
      <c r="A1193" s="34" t="n">
        <v>1185</v>
      </c>
      <c r="B1193" s="35" t="s">
        <v>2430</v>
      </c>
      <c r="C1193" s="35" t="s">
        <v>2431</v>
      </c>
      <c r="D1193" s="35" t="s">
        <v>133</v>
      </c>
      <c r="E1193" s="34" t="n">
        <v>6000</v>
      </c>
      <c r="F1193" s="34" t="n">
        <v>6000</v>
      </c>
      <c r="G1193" s="34" t="n">
        <v>6500</v>
      </c>
      <c r="H1193" s="34" t="n">
        <v>7100</v>
      </c>
      <c r="I1193" s="36" t="n">
        <f aca="false">$E1193/F1193-1</f>
        <v>0</v>
      </c>
      <c r="J1193" s="36" t="n">
        <f aca="false">$E1193/G1193-1</f>
        <v>-0.0769230769230769</v>
      </c>
      <c r="K1193" s="36" t="n">
        <f aca="false">$E1193/H1193-1</f>
        <v>-0.154929577464789</v>
      </c>
      <c r="L1193" s="37" t="n">
        <v>6.44</v>
      </c>
      <c r="M1193" s="37" t="n">
        <v>0.49</v>
      </c>
      <c r="N1193" s="34" t="n">
        <v>9100</v>
      </c>
      <c r="O1193" s="34" t="n">
        <v>5900</v>
      </c>
      <c r="P1193" s="38"/>
      <c r="Q1193" s="38"/>
    </row>
    <row r="1194" customFormat="false" ht="15" hidden="false" customHeight="false" outlineLevel="0" collapsed="false">
      <c r="A1194" s="34" t="n">
        <v>1186</v>
      </c>
      <c r="B1194" s="35" t="s">
        <v>2432</v>
      </c>
      <c r="C1194" s="35" t="s">
        <v>2433</v>
      </c>
      <c r="D1194" s="35" t="s">
        <v>133</v>
      </c>
      <c r="E1194" s="34" t="n">
        <v>10700</v>
      </c>
      <c r="F1194" s="34" t="n">
        <v>10300</v>
      </c>
      <c r="G1194" s="34" t="n">
        <v>10100</v>
      </c>
      <c r="H1194" s="34" t="n">
        <v>13200.48</v>
      </c>
      <c r="I1194" s="36" t="n">
        <f aca="false">$E1194/F1194-1</f>
        <v>0.0388349514563107</v>
      </c>
      <c r="J1194" s="36" t="n">
        <f aca="false">$E1194/G1194-1</f>
        <v>0.0594059405940595</v>
      </c>
      <c r="K1194" s="36" t="n">
        <f aca="false">$E1194/H1194-1</f>
        <v>-0.189423414906125</v>
      </c>
      <c r="L1194" s="37" t="n">
        <v>4.24</v>
      </c>
      <c r="M1194" s="37" t="n">
        <v>0.6</v>
      </c>
      <c r="N1194" s="34" t="n">
        <v>16958.95</v>
      </c>
      <c r="O1194" s="34" t="n">
        <v>10000</v>
      </c>
      <c r="P1194" s="38"/>
      <c r="Q1194" s="38"/>
    </row>
    <row r="1195" customFormat="false" ht="15" hidden="false" customHeight="false" outlineLevel="0" collapsed="false">
      <c r="A1195" s="34" t="n">
        <v>1187</v>
      </c>
      <c r="B1195" s="35" t="s">
        <v>2434</v>
      </c>
      <c r="C1195" s="35" t="s">
        <v>2435</v>
      </c>
      <c r="D1195" s="35" t="s">
        <v>133</v>
      </c>
      <c r="E1195" s="34" t="n">
        <v>7300</v>
      </c>
      <c r="F1195" s="34" t="n">
        <v>7300</v>
      </c>
      <c r="G1195" s="34" t="n">
        <v>8100</v>
      </c>
      <c r="H1195" s="34" t="n">
        <v>7197.69</v>
      </c>
      <c r="I1195" s="36" t="n">
        <f aca="false">$E1195/F1195-1</f>
        <v>0</v>
      </c>
      <c r="J1195" s="36" t="n">
        <f aca="false">$E1195/G1195-1</f>
        <v>-0.0987654320987654</v>
      </c>
      <c r="K1195" s="36" t="n">
        <f aca="false">$E1195/H1195-1</f>
        <v>0.0142142826379019</v>
      </c>
      <c r="L1195" s="37" t="n">
        <v>2.32</v>
      </c>
      <c r="M1195" s="37" t="n">
        <v>0.51</v>
      </c>
      <c r="N1195" s="34" t="n">
        <v>9566.55</v>
      </c>
      <c r="O1195" s="34" t="n">
        <v>7106.58</v>
      </c>
      <c r="P1195" s="38"/>
      <c r="Q1195" s="38"/>
    </row>
    <row r="1196" customFormat="false" ht="15" hidden="false" customHeight="false" outlineLevel="0" collapsed="false">
      <c r="A1196" s="34" t="n">
        <v>1188</v>
      </c>
      <c r="B1196" s="35" t="s">
        <v>2436</v>
      </c>
      <c r="C1196" s="35" t="s">
        <v>2437</v>
      </c>
      <c r="D1196" s="35" t="s">
        <v>111</v>
      </c>
      <c r="E1196" s="34" t="n">
        <v>1851</v>
      </c>
      <c r="F1196" s="34" t="n">
        <v>1900</v>
      </c>
      <c r="G1196" s="34" t="n">
        <v>2493</v>
      </c>
      <c r="H1196" s="34" t="n">
        <v>3507</v>
      </c>
      <c r="I1196" s="36" t="n">
        <f aca="false">$E1196/F1196-1</f>
        <v>-0.0257894736842105</v>
      </c>
      <c r="J1196" s="36" t="n">
        <f aca="false">$E1196/G1196-1</f>
        <v>-0.257521058965102</v>
      </c>
      <c r="K1196" s="36" t="n">
        <f aca="false">$E1196/H1196-1</f>
        <v>-0.472198460222412</v>
      </c>
      <c r="L1196" s="37" t="n">
        <v>-13.61</v>
      </c>
      <c r="M1196" s="37" t="n">
        <v>0.18</v>
      </c>
      <c r="N1196" s="34" t="n">
        <v>4734</v>
      </c>
      <c r="O1196" s="34" t="n">
        <v>1807</v>
      </c>
      <c r="P1196" s="38"/>
      <c r="Q1196" s="38"/>
    </row>
    <row r="1197" customFormat="false" ht="15" hidden="false" customHeight="false" outlineLevel="0" collapsed="false">
      <c r="A1197" s="34" t="n">
        <v>1189</v>
      </c>
      <c r="B1197" s="35" t="s">
        <v>2438</v>
      </c>
      <c r="C1197" s="35" t="s">
        <v>2439</v>
      </c>
      <c r="D1197" s="35" t="s">
        <v>133</v>
      </c>
      <c r="E1197" s="34" t="n">
        <v>49400</v>
      </c>
      <c r="F1197" s="34" t="n">
        <v>48800</v>
      </c>
      <c r="G1197" s="34" t="n">
        <v>51100</v>
      </c>
      <c r="H1197" s="34" t="n">
        <v>52239</v>
      </c>
      <c r="I1197" s="36" t="n">
        <f aca="false">$E1197/F1197-1</f>
        <v>0.0122950819672132</v>
      </c>
      <c r="J1197" s="36" t="n">
        <f aca="false">$E1197/G1197-1</f>
        <v>-0.0332681017612525</v>
      </c>
      <c r="K1197" s="36" t="n">
        <f aca="false">$E1197/H1197-1</f>
        <v>-0.0543463695706273</v>
      </c>
      <c r="L1197" s="37" t="n">
        <v>8.56</v>
      </c>
      <c r="M1197" s="37" t="n">
        <v>0.83</v>
      </c>
      <c r="N1197" s="34" t="n">
        <v>61262.1</v>
      </c>
      <c r="O1197" s="34" t="n">
        <v>48300</v>
      </c>
      <c r="P1197" s="38"/>
      <c r="Q1197" s="38"/>
    </row>
    <row r="1198" customFormat="false" ht="15" hidden="false" customHeight="false" outlineLevel="0" collapsed="false">
      <c r="A1198" s="34" t="n">
        <v>1190</v>
      </c>
      <c r="B1198" s="35" t="s">
        <v>2440</v>
      </c>
      <c r="C1198" s="35" t="s">
        <v>2441</v>
      </c>
      <c r="D1198" s="35" t="s">
        <v>133</v>
      </c>
      <c r="E1198" s="34" t="n">
        <v>8400</v>
      </c>
      <c r="F1198" s="34" t="n">
        <v>8600</v>
      </c>
      <c r="G1198" s="34" t="n">
        <v>8673.18</v>
      </c>
      <c r="H1198" s="34" t="n">
        <v>9326</v>
      </c>
      <c r="I1198" s="36" t="n">
        <f aca="false">$E1198/F1198-1</f>
        <v>-0.0232558139534884</v>
      </c>
      <c r="J1198" s="36" t="n">
        <f aca="false">$E1198/G1198-1</f>
        <v>-0.0314970979502328</v>
      </c>
      <c r="K1198" s="36" t="n">
        <f aca="false">$E1198/H1198-1</f>
        <v>-0.0992923010937165</v>
      </c>
      <c r="L1198" s="37" t="n">
        <v>7.77</v>
      </c>
      <c r="M1198" s="37" t="n">
        <v>0.64</v>
      </c>
      <c r="N1198" s="34" t="n">
        <v>11470.98</v>
      </c>
      <c r="O1198" s="34" t="n">
        <v>7927.1</v>
      </c>
      <c r="P1198" s="38"/>
      <c r="Q1198" s="38"/>
    </row>
    <row r="1199" customFormat="false" ht="15" hidden="false" customHeight="false" outlineLevel="0" collapsed="false">
      <c r="A1199" s="34" t="n">
        <v>1191</v>
      </c>
      <c r="B1199" s="35" t="s">
        <v>2442</v>
      </c>
      <c r="C1199" s="35" t="s">
        <v>2443</v>
      </c>
      <c r="D1199" s="35" t="s">
        <v>133</v>
      </c>
      <c r="E1199" s="34" t="n">
        <v>7600</v>
      </c>
      <c r="F1199" s="34" t="n">
        <v>7492.5</v>
      </c>
      <c r="G1199" s="34" t="n">
        <v>7770</v>
      </c>
      <c r="H1199" s="34" t="n">
        <v>7955</v>
      </c>
      <c r="I1199" s="36" t="n">
        <f aca="false">$E1199/F1199-1</f>
        <v>0.0143476810143477</v>
      </c>
      <c r="J1199" s="36" t="n">
        <f aca="false">$E1199/G1199-1</f>
        <v>-0.0218790218790219</v>
      </c>
      <c r="K1199" s="36" t="n">
        <f aca="false">$E1199/H1199-1</f>
        <v>-0.0446260213702074</v>
      </c>
      <c r="L1199" s="37" t="n">
        <v>5.24</v>
      </c>
      <c r="M1199" s="37" t="n">
        <v>0.55</v>
      </c>
      <c r="N1199" s="34" t="n">
        <v>10822.5</v>
      </c>
      <c r="O1199" s="34" t="n">
        <v>7215</v>
      </c>
      <c r="P1199" s="38"/>
      <c r="Q1199" s="38"/>
    </row>
    <row r="1200" customFormat="false" ht="15" hidden="false" customHeight="false" outlineLevel="0" collapsed="false">
      <c r="A1200" s="34" t="n">
        <v>1192</v>
      </c>
      <c r="B1200" s="35" t="s">
        <v>2444</v>
      </c>
      <c r="C1200" s="35" t="s">
        <v>2445</v>
      </c>
      <c r="D1200" s="35" t="s">
        <v>133</v>
      </c>
      <c r="E1200" s="34" t="n">
        <v>8800</v>
      </c>
      <c r="F1200" s="34" t="n">
        <v>8800</v>
      </c>
      <c r="G1200" s="34" t="n">
        <v>9000</v>
      </c>
      <c r="H1200" s="34" t="n">
        <v>9393</v>
      </c>
      <c r="I1200" s="36" t="n">
        <f aca="false">$E1200/F1200-1</f>
        <v>0</v>
      </c>
      <c r="J1200" s="36" t="n">
        <f aca="false">$E1200/G1200-1</f>
        <v>-0.0222222222222223</v>
      </c>
      <c r="K1200" s="36" t="n">
        <f aca="false">$E1200/H1200-1</f>
        <v>-0.0631321196635792</v>
      </c>
      <c r="L1200" s="37" t="n">
        <v>5.23</v>
      </c>
      <c r="M1200" s="37" t="n">
        <v>0.63</v>
      </c>
      <c r="N1200" s="34" t="n">
        <v>11811</v>
      </c>
      <c r="O1200" s="34" t="n">
        <v>8600</v>
      </c>
      <c r="P1200" s="38"/>
      <c r="Q1200" s="38"/>
    </row>
    <row r="1201" customFormat="false" ht="15" hidden="false" customHeight="false" outlineLevel="0" collapsed="false">
      <c r="A1201" s="34" t="n">
        <v>1193</v>
      </c>
      <c r="B1201" s="35" t="s">
        <v>2446</v>
      </c>
      <c r="C1201" s="35" t="s">
        <v>2447</v>
      </c>
      <c r="D1201" s="35" t="s">
        <v>111</v>
      </c>
      <c r="E1201" s="34" t="n">
        <v>300</v>
      </c>
      <c r="F1201" s="34" t="n">
        <v>300</v>
      </c>
      <c r="G1201" s="34" t="n">
        <v>300</v>
      </c>
      <c r="H1201" s="34" t="n">
        <v>300</v>
      </c>
      <c r="I1201" s="36" t="n">
        <f aca="false">$E1201/F1201-1</f>
        <v>0</v>
      </c>
      <c r="J1201" s="36" t="n">
        <f aca="false">$E1201/G1201-1</f>
        <v>0</v>
      </c>
      <c r="K1201" s="36" t="n">
        <f aca="false">$E1201/H1201-1</f>
        <v>0</v>
      </c>
      <c r="L1201" s="37" t="n">
        <v>-0.3</v>
      </c>
      <c r="M1201" s="37" t="n">
        <v>0</v>
      </c>
      <c r="N1201" s="34" t="n">
        <v>300</v>
      </c>
      <c r="O1201" s="34" t="n">
        <v>300</v>
      </c>
      <c r="P1201" s="38"/>
      <c r="Q1201" s="38"/>
    </row>
    <row r="1202" customFormat="false" ht="15" hidden="false" customHeight="false" outlineLevel="0" collapsed="false">
      <c r="A1202" s="34" t="n">
        <v>1194</v>
      </c>
      <c r="B1202" s="35" t="s">
        <v>2448</v>
      </c>
      <c r="C1202" s="35" t="s">
        <v>2449</v>
      </c>
      <c r="D1202" s="35" t="s">
        <v>133</v>
      </c>
      <c r="E1202" s="34" t="n">
        <v>9100</v>
      </c>
      <c r="F1202" s="34" t="n">
        <v>9100</v>
      </c>
      <c r="G1202" s="34" t="n">
        <v>9100</v>
      </c>
      <c r="H1202" s="34" t="n">
        <v>11489.84</v>
      </c>
      <c r="I1202" s="36" t="n">
        <f aca="false">$E1202/F1202-1</f>
        <v>0</v>
      </c>
      <c r="J1202" s="36" t="n">
        <f aca="false">$E1202/G1202-1</f>
        <v>0</v>
      </c>
      <c r="K1202" s="36" t="n">
        <f aca="false">$E1202/H1202-1</f>
        <v>-0.207995933798904</v>
      </c>
      <c r="L1202" s="37" t="n">
        <v>44.98</v>
      </c>
      <c r="M1202" s="37" t="n">
        <v>0.68</v>
      </c>
      <c r="N1202" s="34" t="n">
        <v>15566.88</v>
      </c>
      <c r="O1202" s="34" t="n">
        <v>9100</v>
      </c>
      <c r="P1202" s="38"/>
      <c r="Q1202" s="38"/>
    </row>
    <row r="1203" customFormat="false" ht="15" hidden="false" customHeight="false" outlineLevel="0" collapsed="false">
      <c r="A1203" s="34" t="n">
        <v>1195</v>
      </c>
      <c r="B1203" s="35" t="s">
        <v>2450</v>
      </c>
      <c r="C1203" s="35" t="s">
        <v>2451</v>
      </c>
      <c r="D1203" s="35" t="s">
        <v>111</v>
      </c>
      <c r="E1203" s="34" t="n">
        <v>2300</v>
      </c>
      <c r="F1203" s="34" t="n">
        <v>2300</v>
      </c>
      <c r="G1203" s="34" t="n">
        <v>2300</v>
      </c>
      <c r="H1203" s="34" t="n">
        <v>2300</v>
      </c>
      <c r="I1203" s="36" t="n">
        <f aca="false">$E1203/F1203-1</f>
        <v>0</v>
      </c>
      <c r="J1203" s="36" t="n">
        <f aca="false">$E1203/G1203-1</f>
        <v>0</v>
      </c>
      <c r="K1203" s="36" t="n">
        <f aca="false">$E1203/H1203-1</f>
        <v>0</v>
      </c>
      <c r="L1203" s="37" t="n">
        <v>-15.36</v>
      </c>
      <c r="M1203" s="37" t="n">
        <v>0.52</v>
      </c>
      <c r="N1203" s="34" t="n">
        <v>2300</v>
      </c>
      <c r="O1203" s="34" t="n">
        <v>2300</v>
      </c>
      <c r="P1203" s="38"/>
      <c r="Q1203" s="38"/>
    </row>
    <row r="1204" customFormat="false" ht="15" hidden="false" customHeight="false" outlineLevel="0" collapsed="false">
      <c r="A1204" s="34" t="n">
        <v>1196</v>
      </c>
      <c r="B1204" s="35" t="s">
        <v>2452</v>
      </c>
      <c r="C1204" s="35" t="s">
        <v>2453</v>
      </c>
      <c r="D1204" s="35" t="s">
        <v>111</v>
      </c>
      <c r="E1204" s="34"/>
      <c r="F1204" s="34"/>
      <c r="G1204" s="34"/>
      <c r="H1204" s="34"/>
      <c r="I1204" s="36" t="e">
        <f aca="false">$E1204/F1204-1</f>
        <v>#DIV/0!</v>
      </c>
      <c r="J1204" s="36" t="e">
        <f aca="false">$E1204/G1204-1</f>
        <v>#DIV/0!</v>
      </c>
      <c r="K1204" s="36" t="e">
        <f aca="false">$E1204/H1204-1</f>
        <v>#DIV/0!</v>
      </c>
      <c r="L1204" s="37"/>
      <c r="M1204" s="37"/>
      <c r="N1204" s="34"/>
      <c r="O1204" s="34"/>
      <c r="P1204" s="38"/>
      <c r="Q1204" s="38"/>
    </row>
    <row r="1205" customFormat="false" ht="15" hidden="false" customHeight="false" outlineLevel="0" collapsed="false">
      <c r="A1205" s="34" t="n">
        <v>1197</v>
      </c>
      <c r="B1205" s="35" t="s">
        <v>2454</v>
      </c>
      <c r="C1205" s="35" t="s">
        <v>2455</v>
      </c>
      <c r="D1205" s="35" t="s">
        <v>133</v>
      </c>
      <c r="E1205" s="34" t="n">
        <v>6100</v>
      </c>
      <c r="F1205" s="34" t="n">
        <v>7249.22</v>
      </c>
      <c r="G1205" s="34" t="n">
        <v>6113.8</v>
      </c>
      <c r="H1205" s="34" t="n">
        <v>5502.42</v>
      </c>
      <c r="I1205" s="36" t="n">
        <f aca="false">$E1205/F1205-1</f>
        <v>-0.158530159106773</v>
      </c>
      <c r="J1205" s="36" t="n">
        <f aca="false">$E1205/G1205-1</f>
        <v>-0.00225718865517355</v>
      </c>
      <c r="K1205" s="36" t="n">
        <f aca="false">$E1205/H1205-1</f>
        <v>0.108603123716474</v>
      </c>
      <c r="L1205" s="37" t="n">
        <v>7.28</v>
      </c>
      <c r="M1205" s="37" t="n">
        <v>0.33</v>
      </c>
      <c r="N1205" s="34" t="n">
        <v>7685.92</v>
      </c>
      <c r="O1205" s="34" t="n">
        <v>5240.4</v>
      </c>
      <c r="P1205" s="38"/>
      <c r="Q1205" s="38"/>
    </row>
    <row r="1206" customFormat="false" ht="15" hidden="false" customHeight="false" outlineLevel="0" collapsed="false">
      <c r="A1206" s="34" t="n">
        <v>1198</v>
      </c>
      <c r="B1206" s="35" t="s">
        <v>69</v>
      </c>
      <c r="C1206" s="35" t="s">
        <v>2456</v>
      </c>
      <c r="D1206" s="35" t="s">
        <v>116</v>
      </c>
      <c r="E1206" s="34" t="n">
        <v>11050</v>
      </c>
      <c r="F1206" s="34" t="n">
        <v>10950</v>
      </c>
      <c r="G1206" s="34" t="n">
        <v>12000</v>
      </c>
      <c r="H1206" s="34" t="n">
        <v>13500.14</v>
      </c>
      <c r="I1206" s="36" t="n">
        <f aca="false">$E1206/F1206-1</f>
        <v>0.00913242009132431</v>
      </c>
      <c r="J1206" s="36" t="n">
        <f aca="false">$E1206/G1206-1</f>
        <v>-0.0791666666666667</v>
      </c>
      <c r="K1206" s="36" t="n">
        <f aca="false">$E1206/H1206-1</f>
        <v>-0.181489969733647</v>
      </c>
      <c r="L1206" s="37" t="n">
        <v>32.66</v>
      </c>
      <c r="M1206" s="37" t="n">
        <v>0.71</v>
      </c>
      <c r="N1206" s="34" t="n">
        <v>18091.09</v>
      </c>
      <c r="O1206" s="34" t="n">
        <v>10400</v>
      </c>
      <c r="P1206" s="38" t="n">
        <v>8.335</v>
      </c>
      <c r="Q1206" s="38" t="n">
        <v>0.96</v>
      </c>
    </row>
    <row r="1207" customFormat="false" ht="15" hidden="false" customHeight="false" outlineLevel="0" collapsed="false">
      <c r="A1207" s="34" t="n">
        <v>1199</v>
      </c>
      <c r="B1207" s="35" t="s">
        <v>2457</v>
      </c>
      <c r="C1207" s="35" t="s">
        <v>2458</v>
      </c>
      <c r="D1207" s="35" t="s">
        <v>111</v>
      </c>
      <c r="E1207" s="34" t="n">
        <v>10100</v>
      </c>
      <c r="F1207" s="34" t="n">
        <v>10100</v>
      </c>
      <c r="G1207" s="34" t="n">
        <v>10100</v>
      </c>
      <c r="H1207" s="34" t="n">
        <v>9900</v>
      </c>
      <c r="I1207" s="36" t="n">
        <f aca="false">$E1207/F1207-1</f>
        <v>0</v>
      </c>
      <c r="J1207" s="36" t="n">
        <f aca="false">$E1207/G1207-1</f>
        <v>0</v>
      </c>
      <c r="K1207" s="36" t="n">
        <f aca="false">$E1207/H1207-1</f>
        <v>0.0202020202020201</v>
      </c>
      <c r="L1207" s="37" t="n">
        <v>26.41</v>
      </c>
      <c r="M1207" s="37" t="n">
        <v>0.87</v>
      </c>
      <c r="N1207" s="34" t="n">
        <v>11000</v>
      </c>
      <c r="O1207" s="34" t="n">
        <v>7000</v>
      </c>
      <c r="P1207" s="38"/>
      <c r="Q1207" s="38"/>
    </row>
    <row r="1208" customFormat="false" ht="15" hidden="false" customHeight="false" outlineLevel="0" collapsed="false">
      <c r="A1208" s="34" t="n">
        <v>1200</v>
      </c>
      <c r="B1208" s="35" t="s">
        <v>2459</v>
      </c>
      <c r="C1208" s="35" t="s">
        <v>2460</v>
      </c>
      <c r="D1208" s="35" t="s">
        <v>111</v>
      </c>
      <c r="E1208" s="34" t="n">
        <v>3377</v>
      </c>
      <c r="F1208" s="34" t="n">
        <v>3086</v>
      </c>
      <c r="G1208" s="34" t="n">
        <v>4000</v>
      </c>
      <c r="H1208" s="34" t="n">
        <v>5300</v>
      </c>
      <c r="I1208" s="36" t="n">
        <f aca="false">$E1208/F1208-1</f>
        <v>0.0942968243681142</v>
      </c>
      <c r="J1208" s="36" t="n">
        <f aca="false">$E1208/G1208-1</f>
        <v>-0.15575</v>
      </c>
      <c r="K1208" s="36" t="n">
        <f aca="false">$E1208/H1208-1</f>
        <v>-0.362830188679245</v>
      </c>
      <c r="L1208" s="37" t="n">
        <v>-1.13</v>
      </c>
      <c r="M1208" s="37" t="n">
        <v>-0.99</v>
      </c>
      <c r="N1208" s="34" t="n">
        <v>8143</v>
      </c>
      <c r="O1208" s="34" t="n">
        <v>1800</v>
      </c>
      <c r="P1208" s="38"/>
      <c r="Q1208" s="38"/>
    </row>
    <row r="1209" customFormat="false" ht="15" hidden="false" customHeight="false" outlineLevel="0" collapsed="false">
      <c r="A1209" s="34" t="n">
        <v>1201</v>
      </c>
      <c r="B1209" s="35" t="s">
        <v>2461</v>
      </c>
      <c r="C1209" s="35" t="s">
        <v>2462</v>
      </c>
      <c r="D1209" s="35" t="s">
        <v>111</v>
      </c>
      <c r="E1209" s="34" t="n">
        <v>3685</v>
      </c>
      <c r="F1209" s="34" t="n">
        <v>3510</v>
      </c>
      <c r="G1209" s="34" t="n">
        <v>3600</v>
      </c>
      <c r="H1209" s="34" t="n">
        <v>3000</v>
      </c>
      <c r="I1209" s="36" t="n">
        <f aca="false">$E1209/F1209-1</f>
        <v>0.0498575498575498</v>
      </c>
      <c r="J1209" s="36" t="n">
        <f aca="false">$E1209/G1209-1</f>
        <v>0.023611111111111</v>
      </c>
      <c r="K1209" s="36" t="n">
        <f aca="false">$E1209/H1209-1</f>
        <v>0.228333333333333</v>
      </c>
      <c r="L1209" s="37" t="n">
        <v>12.57</v>
      </c>
      <c r="M1209" s="37" t="n">
        <v>0.76</v>
      </c>
      <c r="N1209" s="34" t="n">
        <v>4100</v>
      </c>
      <c r="O1209" s="34" t="n">
        <v>2800</v>
      </c>
      <c r="P1209" s="38"/>
      <c r="Q1209" s="38"/>
    </row>
    <row r="1210" customFormat="false" ht="15" hidden="false" customHeight="false" outlineLevel="0" collapsed="false">
      <c r="A1210" s="34" t="n">
        <v>1202</v>
      </c>
      <c r="B1210" s="35" t="s">
        <v>2463</v>
      </c>
      <c r="C1210" s="35" t="s">
        <v>2464</v>
      </c>
      <c r="D1210" s="35" t="s">
        <v>111</v>
      </c>
      <c r="E1210" s="34" t="n">
        <v>8200</v>
      </c>
      <c r="F1210" s="34" t="n">
        <v>8000</v>
      </c>
      <c r="G1210" s="34" t="n">
        <v>8400</v>
      </c>
      <c r="H1210" s="34" t="n">
        <v>8159</v>
      </c>
      <c r="I1210" s="36" t="n">
        <f aca="false">$E1210/F1210-1</f>
        <v>0.0249999999999999</v>
      </c>
      <c r="J1210" s="36" t="n">
        <f aca="false">$E1210/G1210-1</f>
        <v>-0.0238095238095238</v>
      </c>
      <c r="K1210" s="36" t="n">
        <f aca="false">$E1210/H1210-1</f>
        <v>0.00502512562814061</v>
      </c>
      <c r="L1210" s="37" t="n">
        <v>7.09</v>
      </c>
      <c r="M1210" s="37" t="n">
        <v>0.43</v>
      </c>
      <c r="N1210" s="34" t="n">
        <v>8900</v>
      </c>
      <c r="O1210" s="34" t="n">
        <v>7500</v>
      </c>
      <c r="P1210" s="38"/>
      <c r="Q1210" s="38"/>
    </row>
    <row r="1211" customFormat="false" ht="15" hidden="false" customHeight="false" outlineLevel="0" collapsed="false">
      <c r="A1211" s="34" t="n">
        <v>1203</v>
      </c>
      <c r="B1211" s="35" t="s">
        <v>2465</v>
      </c>
      <c r="C1211" s="35" t="s">
        <v>2466</v>
      </c>
      <c r="D1211" s="35" t="s">
        <v>116</v>
      </c>
      <c r="E1211" s="34" t="n">
        <v>3990</v>
      </c>
      <c r="F1211" s="34" t="n">
        <v>3930</v>
      </c>
      <c r="G1211" s="34" t="n">
        <v>4380</v>
      </c>
      <c r="H1211" s="34" t="n">
        <v>4740</v>
      </c>
      <c r="I1211" s="36" t="n">
        <f aca="false">$E1211/F1211-1</f>
        <v>0.0152671755725191</v>
      </c>
      <c r="J1211" s="36" t="n">
        <f aca="false">$E1211/G1211-1</f>
        <v>-0.089041095890411</v>
      </c>
      <c r="K1211" s="36" t="n">
        <f aca="false">$E1211/H1211-1</f>
        <v>-0.158227848101266</v>
      </c>
      <c r="L1211" s="37" t="n">
        <v>37.04</v>
      </c>
      <c r="M1211" s="37" t="n">
        <v>0.35</v>
      </c>
      <c r="N1211" s="34" t="n">
        <v>6320</v>
      </c>
      <c r="O1211" s="34" t="n">
        <v>3900</v>
      </c>
      <c r="P1211" s="38"/>
      <c r="Q1211" s="38"/>
    </row>
    <row r="1212" customFormat="false" ht="15" hidden="false" customHeight="false" outlineLevel="0" collapsed="false">
      <c r="A1212" s="34" t="n">
        <v>1204</v>
      </c>
      <c r="B1212" s="35" t="s">
        <v>2467</v>
      </c>
      <c r="C1212" s="35" t="s">
        <v>2468</v>
      </c>
      <c r="D1212" s="35" t="s">
        <v>116</v>
      </c>
      <c r="E1212" s="34" t="n">
        <v>5970</v>
      </c>
      <c r="F1212" s="34" t="n">
        <v>6000</v>
      </c>
      <c r="G1212" s="34" t="n">
        <v>6100</v>
      </c>
      <c r="H1212" s="34" t="n">
        <v>8170</v>
      </c>
      <c r="I1212" s="36" t="n">
        <f aca="false">$E1212/F1212-1</f>
        <v>-0.005</v>
      </c>
      <c r="J1212" s="36" t="n">
        <f aca="false">$E1212/G1212-1</f>
        <v>-0.021311475409836</v>
      </c>
      <c r="K1212" s="36" t="n">
        <f aca="false">$E1212/H1212-1</f>
        <v>-0.269277845777234</v>
      </c>
      <c r="L1212" s="37" t="n">
        <v>-28.46</v>
      </c>
      <c r="M1212" s="37" t="n">
        <v>0.47</v>
      </c>
      <c r="N1212" s="34" t="n">
        <v>10450</v>
      </c>
      <c r="O1212" s="34" t="n">
        <v>5960</v>
      </c>
      <c r="P1212" s="38"/>
      <c r="Q1212" s="38"/>
    </row>
    <row r="1213" customFormat="false" ht="15" hidden="false" customHeight="false" outlineLevel="0" collapsed="false">
      <c r="A1213" s="34" t="n">
        <v>1205</v>
      </c>
      <c r="B1213" s="35" t="s">
        <v>2469</v>
      </c>
      <c r="C1213" s="35" t="s">
        <v>2470</v>
      </c>
      <c r="D1213" s="35" t="s">
        <v>111</v>
      </c>
      <c r="E1213" s="34" t="n">
        <v>9166</v>
      </c>
      <c r="F1213" s="34" t="n">
        <v>8676</v>
      </c>
      <c r="G1213" s="34" t="n">
        <v>11411</v>
      </c>
      <c r="H1213" s="34" t="n">
        <v>7413</v>
      </c>
      <c r="I1213" s="36" t="n">
        <f aca="false">$E1213/F1213-1</f>
        <v>0.0564776394651914</v>
      </c>
      <c r="J1213" s="36" t="n">
        <f aca="false">$E1213/G1213-1</f>
        <v>-0.196739987731137</v>
      </c>
      <c r="K1213" s="36" t="n">
        <f aca="false">$E1213/H1213-1</f>
        <v>0.236476460272494</v>
      </c>
      <c r="L1213" s="37" t="n">
        <v>7.9</v>
      </c>
      <c r="M1213" s="37" t="n">
        <v>0.67</v>
      </c>
      <c r="N1213" s="34" t="n">
        <v>12036</v>
      </c>
      <c r="O1213" s="34" t="n">
        <v>7244</v>
      </c>
      <c r="P1213" s="38"/>
      <c r="Q1213" s="38"/>
    </row>
    <row r="1214" customFormat="false" ht="15" hidden="false" customHeight="false" outlineLevel="0" collapsed="false">
      <c r="A1214" s="34" t="n">
        <v>1206</v>
      </c>
      <c r="B1214" s="35" t="s">
        <v>62</v>
      </c>
      <c r="C1214" s="35" t="s">
        <v>2471</v>
      </c>
      <c r="D1214" s="35" t="s">
        <v>116</v>
      </c>
      <c r="E1214" s="34" t="n">
        <v>71000</v>
      </c>
      <c r="F1214" s="34" t="n">
        <v>69900</v>
      </c>
      <c r="G1214" s="34" t="n">
        <v>76314.25</v>
      </c>
      <c r="H1214" s="34" t="n">
        <v>87047.48</v>
      </c>
      <c r="I1214" s="36" t="n">
        <f aca="false">$E1214/F1214-1</f>
        <v>0.0157367668097281</v>
      </c>
      <c r="J1214" s="36" t="n">
        <f aca="false">$E1214/G1214-1</f>
        <v>-0.0696364047343714</v>
      </c>
      <c r="K1214" s="36" t="n">
        <f aca="false">$E1214/H1214-1</f>
        <v>-0.18435318288364</v>
      </c>
      <c r="L1214" s="37" t="n">
        <v>10.65</v>
      </c>
      <c r="M1214" s="37" t="n">
        <v>2.94</v>
      </c>
      <c r="N1214" s="34" t="n">
        <v>92266.39</v>
      </c>
      <c r="O1214" s="34" t="n">
        <v>62331.51</v>
      </c>
      <c r="P1214" s="38" t="n">
        <v>21.765</v>
      </c>
      <c r="Q1214" s="38" t="n">
        <v>3.49</v>
      </c>
    </row>
    <row r="1215" customFormat="false" ht="15" hidden="false" customHeight="false" outlineLevel="0" collapsed="false">
      <c r="A1215" s="34" t="n">
        <v>1207</v>
      </c>
      <c r="B1215" s="35" t="s">
        <v>27</v>
      </c>
      <c r="C1215" s="35" t="s">
        <v>2472</v>
      </c>
      <c r="D1215" s="35" t="s">
        <v>116</v>
      </c>
      <c r="E1215" s="34" t="n">
        <v>39400</v>
      </c>
      <c r="F1215" s="34" t="n">
        <v>36600</v>
      </c>
      <c r="G1215" s="34" t="n">
        <v>39400</v>
      </c>
      <c r="H1215" s="34" t="n">
        <v>38075.7</v>
      </c>
      <c r="I1215" s="36" t="n">
        <f aca="false">$E1215/F1215-1</f>
        <v>0.0765027322404372</v>
      </c>
      <c r="J1215" s="36" t="n">
        <f aca="false">$E1215/G1215-1</f>
        <v>0</v>
      </c>
      <c r="K1215" s="36" t="n">
        <f aca="false">$E1215/H1215-1</f>
        <v>0.0347807131582611</v>
      </c>
      <c r="L1215" s="37" t="n">
        <v>10.41</v>
      </c>
      <c r="M1215" s="37" t="n">
        <v>2.34</v>
      </c>
      <c r="N1215" s="34" t="n">
        <v>54672.8</v>
      </c>
      <c r="O1215" s="34" t="n">
        <v>33150</v>
      </c>
      <c r="P1215" s="38" t="n">
        <v>18.46</v>
      </c>
      <c r="Q1215" s="38" t="n">
        <v>3.33</v>
      </c>
    </row>
    <row r="1216" customFormat="false" ht="15" hidden="false" customHeight="false" outlineLevel="0" collapsed="false">
      <c r="A1216" s="34" t="n">
        <v>1208</v>
      </c>
      <c r="B1216" s="35" t="s">
        <v>2473</v>
      </c>
      <c r="C1216" s="35" t="s">
        <v>2474</v>
      </c>
      <c r="D1216" s="35" t="s">
        <v>111</v>
      </c>
      <c r="E1216" s="34" t="n">
        <v>19400</v>
      </c>
      <c r="F1216" s="34" t="n">
        <v>19400</v>
      </c>
      <c r="G1216" s="34" t="n">
        <v>19400</v>
      </c>
      <c r="H1216" s="34" t="n">
        <v>16000</v>
      </c>
      <c r="I1216" s="36" t="n">
        <f aca="false">$E1216/F1216-1</f>
        <v>0</v>
      </c>
      <c r="J1216" s="36" t="n">
        <f aca="false">$E1216/G1216-1</f>
        <v>0</v>
      </c>
      <c r="K1216" s="36" t="n">
        <f aca="false">$E1216/H1216-1</f>
        <v>0.2125</v>
      </c>
      <c r="L1216" s="37" t="n">
        <v>25.16</v>
      </c>
      <c r="M1216" s="37" t="n">
        <v>0.4</v>
      </c>
      <c r="N1216" s="34" t="n">
        <v>19400</v>
      </c>
      <c r="O1216" s="34" t="n">
        <v>14000</v>
      </c>
      <c r="P1216" s="38"/>
      <c r="Q1216" s="38"/>
    </row>
    <row r="1217" customFormat="false" ht="15" hidden="false" customHeight="false" outlineLevel="0" collapsed="false">
      <c r="A1217" s="34" t="n">
        <v>1209</v>
      </c>
      <c r="B1217" s="35" t="s">
        <v>2475</v>
      </c>
      <c r="C1217" s="35" t="s">
        <v>2476</v>
      </c>
      <c r="D1217" s="35" t="s">
        <v>111</v>
      </c>
      <c r="E1217" s="34" t="n">
        <v>8500</v>
      </c>
      <c r="F1217" s="34" t="n">
        <v>8500</v>
      </c>
      <c r="G1217" s="34" t="n">
        <v>6400</v>
      </c>
      <c r="H1217" s="34" t="n">
        <v>3200</v>
      </c>
      <c r="I1217" s="36" t="n">
        <f aca="false">$E1217/F1217-1</f>
        <v>0</v>
      </c>
      <c r="J1217" s="36" t="n">
        <f aca="false">$E1217/G1217-1</f>
        <v>0.328125</v>
      </c>
      <c r="K1217" s="36" t="n">
        <f aca="false">$E1217/H1217-1</f>
        <v>1.65625</v>
      </c>
      <c r="L1217" s="37" t="n">
        <v>24.74</v>
      </c>
      <c r="M1217" s="37" t="n">
        <v>0.87</v>
      </c>
      <c r="N1217" s="34" t="n">
        <v>8500</v>
      </c>
      <c r="O1217" s="34" t="n">
        <v>2900</v>
      </c>
      <c r="P1217" s="38"/>
      <c r="Q1217" s="38"/>
    </row>
    <row r="1218" customFormat="false" ht="15" hidden="false" customHeight="false" outlineLevel="0" collapsed="false">
      <c r="A1218" s="34" t="n">
        <v>1210</v>
      </c>
      <c r="B1218" s="35" t="s">
        <v>2477</v>
      </c>
      <c r="C1218" s="35" t="s">
        <v>2478</v>
      </c>
      <c r="D1218" s="35" t="s">
        <v>133</v>
      </c>
      <c r="E1218" s="34" t="n">
        <v>19600</v>
      </c>
      <c r="F1218" s="34" t="n">
        <v>19600</v>
      </c>
      <c r="G1218" s="34" t="n">
        <v>19600</v>
      </c>
      <c r="H1218" s="34" t="n">
        <v>19600</v>
      </c>
      <c r="I1218" s="36" t="n">
        <f aca="false">$E1218/F1218-1</f>
        <v>0</v>
      </c>
      <c r="J1218" s="36" t="n">
        <f aca="false">$E1218/G1218-1</f>
        <v>0</v>
      </c>
      <c r="K1218" s="36" t="n">
        <f aca="false">$E1218/H1218-1</f>
        <v>0</v>
      </c>
      <c r="L1218" s="37" t="n">
        <v>209.31</v>
      </c>
      <c r="M1218" s="37" t="n">
        <v>0.96</v>
      </c>
      <c r="N1218" s="34" t="n">
        <v>19600</v>
      </c>
      <c r="O1218" s="34" t="n">
        <v>19600</v>
      </c>
      <c r="P1218" s="38"/>
      <c r="Q1218" s="38"/>
    </row>
    <row r="1219" customFormat="false" ht="15" hidden="false" customHeight="false" outlineLevel="0" collapsed="false">
      <c r="A1219" s="34" t="n">
        <v>1211</v>
      </c>
      <c r="B1219" s="35" t="s">
        <v>2479</v>
      </c>
      <c r="C1219" s="35" t="s">
        <v>2480</v>
      </c>
      <c r="D1219" s="35" t="s">
        <v>133</v>
      </c>
      <c r="E1219" s="34" t="n">
        <v>19500</v>
      </c>
      <c r="F1219" s="34" t="n">
        <v>21600</v>
      </c>
      <c r="G1219" s="34" t="n">
        <v>21658</v>
      </c>
      <c r="H1219" s="34" t="n">
        <v>20972</v>
      </c>
      <c r="I1219" s="36" t="n">
        <f aca="false">$E1219/F1219-1</f>
        <v>-0.0972222222222222</v>
      </c>
      <c r="J1219" s="36" t="n">
        <f aca="false">$E1219/G1219-1</f>
        <v>-0.0996398559423769</v>
      </c>
      <c r="K1219" s="36" t="n">
        <f aca="false">$E1219/H1219-1</f>
        <v>-0.0701888231928285</v>
      </c>
      <c r="L1219" s="37" t="n">
        <v>5.67</v>
      </c>
      <c r="M1219" s="37" t="n">
        <v>1.08</v>
      </c>
      <c r="N1219" s="34" t="n">
        <v>25088</v>
      </c>
      <c r="O1219" s="34" t="n">
        <v>18326</v>
      </c>
      <c r="P1219" s="38"/>
      <c r="Q1219" s="38"/>
    </row>
    <row r="1220" customFormat="false" ht="15" hidden="false" customHeight="false" outlineLevel="0" collapsed="false">
      <c r="A1220" s="34" t="n">
        <v>1212</v>
      </c>
      <c r="B1220" s="35" t="s">
        <v>2481</v>
      </c>
      <c r="C1220" s="35" t="s">
        <v>2482</v>
      </c>
      <c r="D1220" s="35" t="s">
        <v>111</v>
      </c>
      <c r="E1220" s="34" t="n">
        <v>18900</v>
      </c>
      <c r="F1220" s="34" t="n">
        <v>18000</v>
      </c>
      <c r="G1220" s="34" t="n">
        <v>19100</v>
      </c>
      <c r="H1220" s="34" t="n">
        <v>18775</v>
      </c>
      <c r="I1220" s="36" t="n">
        <f aca="false">$E1220/F1220-1</f>
        <v>0.05</v>
      </c>
      <c r="J1220" s="36" t="n">
        <f aca="false">$E1220/G1220-1</f>
        <v>-0.0104712041884817</v>
      </c>
      <c r="K1220" s="36" t="n">
        <f aca="false">$E1220/H1220-1</f>
        <v>0.00665778961384822</v>
      </c>
      <c r="L1220" s="37" t="n">
        <v>23.65</v>
      </c>
      <c r="M1220" s="37" t="n">
        <v>1.26</v>
      </c>
      <c r="N1220" s="34" t="n">
        <v>19707</v>
      </c>
      <c r="O1220" s="34" t="n">
        <v>15151.28</v>
      </c>
      <c r="P1220" s="38"/>
      <c r="Q1220" s="38"/>
    </row>
    <row r="1221" customFormat="false" ht="15" hidden="false" customHeight="false" outlineLevel="0" collapsed="false">
      <c r="A1221" s="34" t="n">
        <v>1213</v>
      </c>
      <c r="B1221" s="35" t="s">
        <v>2483</v>
      </c>
      <c r="C1221" s="35" t="s">
        <v>2484</v>
      </c>
      <c r="D1221" s="35" t="s">
        <v>111</v>
      </c>
      <c r="E1221" s="34" t="n">
        <v>11200</v>
      </c>
      <c r="F1221" s="34" t="n">
        <v>11200</v>
      </c>
      <c r="G1221" s="34" t="n">
        <v>11200</v>
      </c>
      <c r="H1221" s="34" t="n">
        <v>12140</v>
      </c>
      <c r="I1221" s="36" t="n">
        <f aca="false">$E1221/F1221-1</f>
        <v>0</v>
      </c>
      <c r="J1221" s="36" t="n">
        <f aca="false">$E1221/G1221-1</f>
        <v>0</v>
      </c>
      <c r="K1221" s="36" t="n">
        <f aca="false">$E1221/H1221-1</f>
        <v>-0.0774299835255354</v>
      </c>
      <c r="L1221" s="37" t="n">
        <v>-27.08</v>
      </c>
      <c r="M1221" s="37" t="n">
        <v>0.92</v>
      </c>
      <c r="N1221" s="34" t="n">
        <v>16352</v>
      </c>
      <c r="O1221" s="34" t="n">
        <v>6489.4</v>
      </c>
      <c r="P1221" s="38"/>
      <c r="Q1221" s="38"/>
    </row>
    <row r="1222" customFormat="false" ht="15" hidden="false" customHeight="false" outlineLevel="0" collapsed="false">
      <c r="A1222" s="34" t="n">
        <v>1214</v>
      </c>
      <c r="B1222" s="35" t="s">
        <v>2485</v>
      </c>
      <c r="C1222" s="35" t="s">
        <v>2486</v>
      </c>
      <c r="D1222" s="35" t="s">
        <v>111</v>
      </c>
      <c r="E1222" s="34" t="n">
        <v>97600</v>
      </c>
      <c r="F1222" s="34" t="n">
        <v>97600</v>
      </c>
      <c r="G1222" s="34" t="n">
        <v>135000</v>
      </c>
      <c r="H1222" s="34" t="n">
        <v>114200</v>
      </c>
      <c r="I1222" s="36" t="n">
        <f aca="false">$E1222/F1222-1</f>
        <v>0</v>
      </c>
      <c r="J1222" s="36" t="n">
        <f aca="false">$E1222/G1222-1</f>
        <v>-0.277037037037037</v>
      </c>
      <c r="K1222" s="36" t="n">
        <f aca="false">$E1222/H1222-1</f>
        <v>-0.145359019264448</v>
      </c>
      <c r="L1222" s="37" t="n">
        <v>14.43</v>
      </c>
      <c r="M1222" s="37" t="n">
        <v>4.11</v>
      </c>
      <c r="N1222" s="34" t="n">
        <v>145600</v>
      </c>
      <c r="O1222" s="34" t="n">
        <v>97600</v>
      </c>
      <c r="P1222" s="38"/>
      <c r="Q1222" s="38"/>
    </row>
    <row r="1223" customFormat="false" ht="15" hidden="false" customHeight="false" outlineLevel="0" collapsed="false">
      <c r="A1223" s="34" t="n">
        <v>1215</v>
      </c>
      <c r="B1223" s="35" t="s">
        <v>2487</v>
      </c>
      <c r="C1223" s="35" t="s">
        <v>2488</v>
      </c>
      <c r="D1223" s="35" t="s">
        <v>111</v>
      </c>
      <c r="E1223" s="34" t="n">
        <v>11300</v>
      </c>
      <c r="F1223" s="34" t="n">
        <v>11300</v>
      </c>
      <c r="G1223" s="34" t="n">
        <v>8121.76</v>
      </c>
      <c r="H1223" s="34" t="n">
        <v>8121.76</v>
      </c>
      <c r="I1223" s="36" t="n">
        <f aca="false">$E1223/F1223-1</f>
        <v>0</v>
      </c>
      <c r="J1223" s="36" t="n">
        <f aca="false">$E1223/G1223-1</f>
        <v>0.391324047989598</v>
      </c>
      <c r="K1223" s="36" t="n">
        <f aca="false">$E1223/H1223-1</f>
        <v>0.391324047989598</v>
      </c>
      <c r="L1223" s="37" t="n">
        <v>2.74</v>
      </c>
      <c r="M1223" s="37" t="n">
        <v>0.31</v>
      </c>
      <c r="N1223" s="34" t="n">
        <v>13506.84</v>
      </c>
      <c r="O1223" s="34" t="n">
        <v>8121.76</v>
      </c>
      <c r="P1223" s="38"/>
      <c r="Q1223" s="38"/>
    </row>
    <row r="1224" customFormat="false" ht="15" hidden="false" customHeight="false" outlineLevel="0" collapsed="false">
      <c r="A1224" s="34" t="n">
        <v>1216</v>
      </c>
      <c r="B1224" s="35" t="s">
        <v>2489</v>
      </c>
      <c r="C1224" s="35" t="s">
        <v>2490</v>
      </c>
      <c r="D1224" s="35" t="s">
        <v>116</v>
      </c>
      <c r="E1224" s="34" t="n">
        <v>7500</v>
      </c>
      <c r="F1224" s="34" t="n">
        <v>7500</v>
      </c>
      <c r="G1224" s="34" t="n">
        <v>7600</v>
      </c>
      <c r="H1224" s="34" t="n">
        <v>8500</v>
      </c>
      <c r="I1224" s="36" t="n">
        <f aca="false">$E1224/F1224-1</f>
        <v>0</v>
      </c>
      <c r="J1224" s="36" t="n">
        <f aca="false">$E1224/G1224-1</f>
        <v>-0.0131578947368421</v>
      </c>
      <c r="K1224" s="36" t="n">
        <f aca="false">$E1224/H1224-1</f>
        <v>-0.117647058823529</v>
      </c>
      <c r="L1224" s="37" t="n">
        <v>14.79</v>
      </c>
      <c r="M1224" s="37" t="n">
        <v>0.65</v>
      </c>
      <c r="N1224" s="34" t="n">
        <v>10701.1</v>
      </c>
      <c r="O1224" s="34" t="n">
        <v>7310</v>
      </c>
      <c r="P1224" s="38"/>
      <c r="Q1224" s="38"/>
    </row>
    <row r="1225" customFormat="false" ht="15" hidden="false" customHeight="false" outlineLevel="0" collapsed="false">
      <c r="A1225" s="34" t="n">
        <v>1217</v>
      </c>
      <c r="B1225" s="35" t="s">
        <v>2491</v>
      </c>
      <c r="C1225" s="35" t="s">
        <v>2492</v>
      </c>
      <c r="D1225" s="35" t="s">
        <v>111</v>
      </c>
      <c r="E1225" s="34" t="n">
        <v>42100</v>
      </c>
      <c r="F1225" s="34" t="n">
        <v>42100</v>
      </c>
      <c r="G1225" s="34" t="n">
        <v>42000</v>
      </c>
      <c r="H1225" s="34" t="n">
        <v>38700.09</v>
      </c>
      <c r="I1225" s="36" t="n">
        <f aca="false">$E1225/F1225-1</f>
        <v>0</v>
      </c>
      <c r="J1225" s="36" t="n">
        <f aca="false">$E1225/G1225-1</f>
        <v>0.00238095238095237</v>
      </c>
      <c r="K1225" s="36" t="n">
        <f aca="false">$E1225/H1225-1</f>
        <v>0.0878527672674665</v>
      </c>
      <c r="L1225" s="37" t="n">
        <v>10.49</v>
      </c>
      <c r="M1225" s="37" t="n">
        <v>2</v>
      </c>
      <c r="N1225" s="34" t="n">
        <v>60672.71</v>
      </c>
      <c r="O1225" s="34" t="n">
        <v>32938.29</v>
      </c>
      <c r="P1225" s="38"/>
      <c r="Q1225" s="38"/>
    </row>
    <row r="1226" customFormat="false" ht="15" hidden="false" customHeight="false" outlineLevel="0" collapsed="false">
      <c r="A1226" s="34" t="n">
        <v>1218</v>
      </c>
      <c r="B1226" s="35" t="s">
        <v>2493</v>
      </c>
      <c r="C1226" s="35" t="s">
        <v>2494</v>
      </c>
      <c r="D1226" s="35" t="s">
        <v>111</v>
      </c>
      <c r="E1226" s="34" t="n">
        <v>64000</v>
      </c>
      <c r="F1226" s="34" t="n">
        <v>60800</v>
      </c>
      <c r="G1226" s="34" t="n">
        <v>65000</v>
      </c>
      <c r="H1226" s="34" t="n">
        <v>66743.7</v>
      </c>
      <c r="I1226" s="36" t="n">
        <f aca="false">$E1226/F1226-1</f>
        <v>0.0526315789473684</v>
      </c>
      <c r="J1226" s="36" t="n">
        <f aca="false">$E1226/G1226-1</f>
        <v>-0.0153846153846153</v>
      </c>
      <c r="K1226" s="36" t="n">
        <f aca="false">$E1226/H1226-1</f>
        <v>-0.0411079997063393</v>
      </c>
      <c r="L1226" s="37" t="n">
        <v>6.57</v>
      </c>
      <c r="M1226" s="37" t="n">
        <v>2.39</v>
      </c>
      <c r="N1226" s="34" t="n">
        <v>79318.6</v>
      </c>
      <c r="O1226" s="34" t="n">
        <v>44979.45</v>
      </c>
      <c r="P1226" s="38"/>
      <c r="Q1226" s="38"/>
    </row>
    <row r="1227" customFormat="false" ht="15" hidden="false" customHeight="false" outlineLevel="0" collapsed="false">
      <c r="A1227" s="34" t="n">
        <v>1219</v>
      </c>
      <c r="B1227" s="35" t="s">
        <v>2495</v>
      </c>
      <c r="C1227" s="35" t="s">
        <v>2496</v>
      </c>
      <c r="D1227" s="35" t="s">
        <v>111</v>
      </c>
      <c r="E1227" s="34"/>
      <c r="F1227" s="34"/>
      <c r="G1227" s="34"/>
      <c r="H1227" s="34"/>
      <c r="I1227" s="36" t="e">
        <f aca="false">$E1227/F1227-1</f>
        <v>#DIV/0!</v>
      </c>
      <c r="J1227" s="36" t="e">
        <f aca="false">$E1227/G1227-1</f>
        <v>#DIV/0!</v>
      </c>
      <c r="K1227" s="36" t="e">
        <f aca="false">$E1227/H1227-1</f>
        <v>#DIV/0!</v>
      </c>
      <c r="L1227" s="37"/>
      <c r="M1227" s="37"/>
      <c r="N1227" s="34"/>
      <c r="O1227" s="34"/>
      <c r="P1227" s="38"/>
      <c r="Q1227" s="38"/>
    </row>
    <row r="1228" customFormat="false" ht="15" hidden="false" customHeight="false" outlineLevel="0" collapsed="false">
      <c r="A1228" s="34" t="n">
        <v>1220</v>
      </c>
      <c r="B1228" s="35" t="s">
        <v>2497</v>
      </c>
      <c r="C1228" s="35" t="s">
        <v>2498</v>
      </c>
      <c r="D1228" s="35" t="s">
        <v>133</v>
      </c>
      <c r="E1228" s="34" t="n">
        <v>3700</v>
      </c>
      <c r="F1228" s="34" t="n">
        <v>3700</v>
      </c>
      <c r="G1228" s="34" t="n">
        <v>5100</v>
      </c>
      <c r="H1228" s="34" t="n">
        <v>8000</v>
      </c>
      <c r="I1228" s="36" t="n">
        <f aca="false">$E1228/F1228-1</f>
        <v>0</v>
      </c>
      <c r="J1228" s="36" t="n">
        <f aca="false">$E1228/G1228-1</f>
        <v>-0.274509803921569</v>
      </c>
      <c r="K1228" s="36" t="n">
        <f aca="false">$E1228/H1228-1</f>
        <v>-0.5375</v>
      </c>
      <c r="L1228" s="37" t="n">
        <v>1.33</v>
      </c>
      <c r="M1228" s="37" t="n">
        <v>0.36</v>
      </c>
      <c r="N1228" s="34" t="n">
        <v>10300</v>
      </c>
      <c r="O1228" s="34" t="n">
        <v>3700</v>
      </c>
      <c r="P1228" s="38"/>
      <c r="Q1228" s="38"/>
    </row>
    <row r="1229" customFormat="false" ht="15" hidden="false" customHeight="false" outlineLevel="0" collapsed="false">
      <c r="A1229" s="34" t="n">
        <v>1221</v>
      </c>
      <c r="B1229" s="35" t="s">
        <v>2499</v>
      </c>
      <c r="C1229" s="35" t="s">
        <v>2500</v>
      </c>
      <c r="D1229" s="35" t="s">
        <v>116</v>
      </c>
      <c r="E1229" s="34" t="n">
        <v>3370</v>
      </c>
      <c r="F1229" s="34" t="n">
        <v>3180</v>
      </c>
      <c r="G1229" s="34" t="n">
        <v>3600</v>
      </c>
      <c r="H1229" s="34" t="n">
        <v>4370</v>
      </c>
      <c r="I1229" s="36" t="n">
        <f aca="false">$E1229/F1229-1</f>
        <v>0.0597484276729561</v>
      </c>
      <c r="J1229" s="36" t="n">
        <f aca="false">$E1229/G1229-1</f>
        <v>-0.0638888888888889</v>
      </c>
      <c r="K1229" s="36" t="n">
        <f aca="false">$E1229/H1229-1</f>
        <v>-0.22883295194508</v>
      </c>
      <c r="L1229" s="37" t="n">
        <v>3.71</v>
      </c>
      <c r="M1229" s="37" t="n">
        <v>1.98</v>
      </c>
      <c r="N1229" s="34" t="n">
        <v>5700</v>
      </c>
      <c r="O1229" s="34" t="n">
        <v>3080</v>
      </c>
      <c r="P1229" s="38"/>
      <c r="Q1229" s="38"/>
    </row>
    <row r="1230" customFormat="false" ht="15" hidden="false" customHeight="false" outlineLevel="0" collapsed="false">
      <c r="A1230" s="34" t="n">
        <v>1222</v>
      </c>
      <c r="B1230" s="35" t="s">
        <v>2501</v>
      </c>
      <c r="C1230" s="35" t="s">
        <v>2502</v>
      </c>
      <c r="D1230" s="35" t="s">
        <v>111</v>
      </c>
      <c r="E1230" s="34" t="n">
        <v>300</v>
      </c>
      <c r="F1230" s="34" t="n">
        <v>300</v>
      </c>
      <c r="G1230" s="34" t="n">
        <v>300</v>
      </c>
      <c r="H1230" s="34" t="n">
        <v>300</v>
      </c>
      <c r="I1230" s="36" t="n">
        <f aca="false">$E1230/F1230-1</f>
        <v>0</v>
      </c>
      <c r="J1230" s="36" t="n">
        <f aca="false">$E1230/G1230-1</f>
        <v>0</v>
      </c>
      <c r="K1230" s="36" t="n">
        <f aca="false">$E1230/H1230-1</f>
        <v>0</v>
      </c>
      <c r="L1230" s="37" t="n">
        <v>-0.08</v>
      </c>
      <c r="M1230" s="37" t="n">
        <v>-0.01</v>
      </c>
      <c r="N1230" s="34" t="n">
        <v>300</v>
      </c>
      <c r="O1230" s="34" t="n">
        <v>300</v>
      </c>
      <c r="P1230" s="38"/>
      <c r="Q1230" s="38"/>
    </row>
    <row r="1231" customFormat="false" ht="15" hidden="false" customHeight="false" outlineLevel="0" collapsed="false">
      <c r="A1231" s="34" t="n">
        <v>1223</v>
      </c>
      <c r="B1231" s="35" t="s">
        <v>2503</v>
      </c>
      <c r="C1231" s="35" t="s">
        <v>2504</v>
      </c>
      <c r="D1231" s="35" t="s">
        <v>116</v>
      </c>
      <c r="E1231" s="34" t="n">
        <v>52000</v>
      </c>
      <c r="F1231" s="34" t="n">
        <v>52200</v>
      </c>
      <c r="G1231" s="34" t="n">
        <v>52800</v>
      </c>
      <c r="H1231" s="34" t="n">
        <v>52226.73</v>
      </c>
      <c r="I1231" s="36" t="n">
        <f aca="false">$E1231/F1231-1</f>
        <v>-0.00383141762452111</v>
      </c>
      <c r="J1231" s="36" t="n">
        <f aca="false">$E1231/G1231-1</f>
        <v>-0.0151515151515151</v>
      </c>
      <c r="K1231" s="36" t="n">
        <f aca="false">$E1231/H1231-1</f>
        <v>-0.00434126356369624</v>
      </c>
      <c r="L1231" s="37" t="n">
        <v>6.79</v>
      </c>
      <c r="M1231" s="37" t="n">
        <v>1.46</v>
      </c>
      <c r="N1231" s="34" t="n">
        <v>55933.7</v>
      </c>
      <c r="O1231" s="34" t="n">
        <v>45675.15</v>
      </c>
      <c r="P1231" s="38"/>
      <c r="Q1231" s="38"/>
    </row>
    <row r="1232" customFormat="false" ht="15" hidden="false" customHeight="false" outlineLevel="0" collapsed="false">
      <c r="A1232" s="34" t="n">
        <v>1224</v>
      </c>
      <c r="B1232" s="35" t="s">
        <v>2505</v>
      </c>
      <c r="C1232" s="35" t="s">
        <v>2506</v>
      </c>
      <c r="D1232" s="35" t="s">
        <v>133</v>
      </c>
      <c r="E1232" s="34" t="n">
        <v>12300</v>
      </c>
      <c r="F1232" s="34" t="n">
        <v>12300</v>
      </c>
      <c r="G1232" s="34" t="n">
        <v>12400</v>
      </c>
      <c r="H1232" s="34" t="n">
        <v>11600</v>
      </c>
      <c r="I1232" s="36" t="n">
        <f aca="false">$E1232/F1232-1</f>
        <v>0</v>
      </c>
      <c r="J1232" s="36" t="n">
        <f aca="false">$E1232/G1232-1</f>
        <v>-0.00806451612903225</v>
      </c>
      <c r="K1232" s="36" t="n">
        <f aca="false">$E1232/H1232-1</f>
        <v>0.0603448275862069</v>
      </c>
      <c r="L1232" s="37" t="n">
        <v>5.42</v>
      </c>
      <c r="M1232" s="37" t="n">
        <v>0.75</v>
      </c>
      <c r="N1232" s="34" t="n">
        <v>13900</v>
      </c>
      <c r="O1232" s="34" t="n">
        <v>11600</v>
      </c>
      <c r="P1232" s="38"/>
      <c r="Q1232" s="38"/>
    </row>
    <row r="1233" customFormat="false" ht="15" hidden="false" customHeight="false" outlineLevel="0" collapsed="false">
      <c r="A1233" s="34" t="n">
        <v>1225</v>
      </c>
      <c r="B1233" s="35" t="s">
        <v>2507</v>
      </c>
      <c r="C1233" s="35" t="s">
        <v>2508</v>
      </c>
      <c r="D1233" s="35" t="s">
        <v>133</v>
      </c>
      <c r="E1233" s="34" t="n">
        <v>16700</v>
      </c>
      <c r="F1233" s="34" t="n">
        <v>15600</v>
      </c>
      <c r="G1233" s="34" t="n">
        <v>16000</v>
      </c>
      <c r="H1233" s="34" t="n">
        <v>16149.76</v>
      </c>
      <c r="I1233" s="36" t="n">
        <f aca="false">$E1233/F1233-1</f>
        <v>0.0705128205128205</v>
      </c>
      <c r="J1233" s="36" t="n">
        <f aca="false">$E1233/G1233-1</f>
        <v>0.04375</v>
      </c>
      <c r="K1233" s="36" t="n">
        <f aca="false">$E1233/H1233-1</f>
        <v>0.0340710945549656</v>
      </c>
      <c r="L1233" s="37" t="n">
        <v>8.36</v>
      </c>
      <c r="M1233" s="37" t="n">
        <v>0.82</v>
      </c>
      <c r="N1233" s="34" t="n">
        <v>17250.88</v>
      </c>
      <c r="O1233" s="34" t="n">
        <v>15140.4</v>
      </c>
      <c r="P1233" s="38"/>
      <c r="Q1233" s="38"/>
    </row>
    <row r="1234" customFormat="false" ht="15" hidden="false" customHeight="false" outlineLevel="0" collapsed="false">
      <c r="A1234" s="34" t="n">
        <v>1226</v>
      </c>
      <c r="B1234" s="35" t="s">
        <v>2509</v>
      </c>
      <c r="C1234" s="35" t="s">
        <v>2510</v>
      </c>
      <c r="D1234" s="35" t="s">
        <v>116</v>
      </c>
      <c r="E1234" s="34" t="n">
        <v>9210</v>
      </c>
      <c r="F1234" s="34" t="n">
        <v>9770</v>
      </c>
      <c r="G1234" s="34" t="n">
        <v>9088.55</v>
      </c>
      <c r="H1234" s="34" t="n">
        <v>8975.88</v>
      </c>
      <c r="I1234" s="36" t="n">
        <f aca="false">$E1234/F1234-1</f>
        <v>-0.0573183213920164</v>
      </c>
      <c r="J1234" s="36" t="n">
        <f aca="false">$E1234/G1234-1</f>
        <v>0.0133629676901157</v>
      </c>
      <c r="K1234" s="36" t="n">
        <f aca="false">$E1234/H1234-1</f>
        <v>0.0260832364069039</v>
      </c>
      <c r="L1234" s="37" t="n">
        <v>1.78</v>
      </c>
      <c r="M1234" s="37" t="n">
        <v>0.52</v>
      </c>
      <c r="N1234" s="34" t="n">
        <v>12487.37</v>
      </c>
      <c r="O1234" s="34" t="n">
        <v>7698.98</v>
      </c>
      <c r="P1234" s="38"/>
      <c r="Q1234" s="38"/>
    </row>
    <row r="1235" customFormat="false" ht="15" hidden="false" customHeight="false" outlineLevel="0" collapsed="false">
      <c r="A1235" s="34" t="n">
        <v>1227</v>
      </c>
      <c r="B1235" s="35" t="s">
        <v>2511</v>
      </c>
      <c r="C1235" s="35" t="s">
        <v>2512</v>
      </c>
      <c r="D1235" s="35" t="s">
        <v>111</v>
      </c>
      <c r="E1235" s="34" t="n">
        <v>5700</v>
      </c>
      <c r="F1235" s="34" t="n">
        <v>4400</v>
      </c>
      <c r="G1235" s="34" t="n">
        <v>3400</v>
      </c>
      <c r="H1235" s="34" t="n">
        <v>5600</v>
      </c>
      <c r="I1235" s="36" t="n">
        <f aca="false">$E1235/F1235-1</f>
        <v>0.295454545454545</v>
      </c>
      <c r="J1235" s="36" t="n">
        <f aca="false">$E1235/G1235-1</f>
        <v>0.676470588235294</v>
      </c>
      <c r="K1235" s="36" t="n">
        <f aca="false">$E1235/H1235-1</f>
        <v>0.0178571428571428</v>
      </c>
      <c r="L1235" s="37" t="n">
        <v>11.95</v>
      </c>
      <c r="M1235" s="37" t="n">
        <v>0.83</v>
      </c>
      <c r="N1235" s="34" t="n">
        <v>7300</v>
      </c>
      <c r="O1235" s="34" t="n">
        <v>3400</v>
      </c>
      <c r="P1235" s="38"/>
      <c r="Q1235" s="38"/>
    </row>
    <row r="1236" customFormat="false" ht="15" hidden="false" customHeight="false" outlineLevel="0" collapsed="false">
      <c r="A1236" s="34" t="n">
        <v>1228</v>
      </c>
      <c r="B1236" s="35" t="s">
        <v>2513</v>
      </c>
      <c r="C1236" s="35" t="s">
        <v>2514</v>
      </c>
      <c r="D1236" s="35" t="s">
        <v>111</v>
      </c>
      <c r="E1236" s="34" t="n">
        <v>14500</v>
      </c>
      <c r="F1236" s="34" t="n">
        <v>13400</v>
      </c>
      <c r="G1236" s="34" t="n">
        <v>14200</v>
      </c>
      <c r="H1236" s="34" t="n">
        <v>16600</v>
      </c>
      <c r="I1236" s="36" t="n">
        <f aca="false">$E1236/F1236-1</f>
        <v>0.0820895522388059</v>
      </c>
      <c r="J1236" s="36" t="n">
        <f aca="false">$E1236/G1236-1</f>
        <v>0.0211267605633803</v>
      </c>
      <c r="K1236" s="36" t="n">
        <f aca="false">$E1236/H1236-1</f>
        <v>-0.126506024096386</v>
      </c>
      <c r="L1236" s="37" t="n">
        <v>12.58</v>
      </c>
      <c r="M1236" s="37" t="n">
        <v>0.71</v>
      </c>
      <c r="N1236" s="34" t="n">
        <v>18800</v>
      </c>
      <c r="O1236" s="34" t="n">
        <v>13000</v>
      </c>
      <c r="P1236" s="38"/>
      <c r="Q1236" s="38"/>
    </row>
    <row r="1237" customFormat="false" ht="15" hidden="false" customHeight="false" outlineLevel="0" collapsed="false">
      <c r="A1237" s="34" t="n">
        <v>1229</v>
      </c>
      <c r="B1237" s="35" t="s">
        <v>2515</v>
      </c>
      <c r="C1237" s="35" t="s">
        <v>2516</v>
      </c>
      <c r="D1237" s="35" t="s">
        <v>111</v>
      </c>
      <c r="E1237" s="34" t="n">
        <v>30600</v>
      </c>
      <c r="F1237" s="34" t="n">
        <v>30600</v>
      </c>
      <c r="G1237" s="34" t="n">
        <v>30600</v>
      </c>
      <c r="H1237" s="34" t="n">
        <v>30600</v>
      </c>
      <c r="I1237" s="36" t="n">
        <f aca="false">$E1237/F1237-1</f>
        <v>0</v>
      </c>
      <c r="J1237" s="36" t="n">
        <f aca="false">$E1237/G1237-1</f>
        <v>0</v>
      </c>
      <c r="K1237" s="36" t="n">
        <f aca="false">$E1237/H1237-1</f>
        <v>0</v>
      </c>
      <c r="L1237" s="37" t="n">
        <v>281.09</v>
      </c>
      <c r="M1237" s="37" t="n">
        <v>4.5</v>
      </c>
      <c r="N1237" s="34" t="n">
        <v>30600</v>
      </c>
      <c r="O1237" s="34" t="n">
        <v>30600</v>
      </c>
      <c r="P1237" s="38"/>
      <c r="Q1237" s="38"/>
    </row>
    <row r="1238" customFormat="false" ht="15" hidden="false" customHeight="false" outlineLevel="0" collapsed="false">
      <c r="A1238" s="34" t="n">
        <v>1230</v>
      </c>
      <c r="B1238" s="35" t="s">
        <v>2517</v>
      </c>
      <c r="C1238" s="35" t="s">
        <v>2518</v>
      </c>
      <c r="D1238" s="35" t="s">
        <v>111</v>
      </c>
      <c r="E1238" s="34" t="n">
        <v>35000</v>
      </c>
      <c r="F1238" s="34" t="n">
        <v>34800</v>
      </c>
      <c r="G1238" s="34" t="n">
        <v>34900</v>
      </c>
      <c r="H1238" s="34" t="n">
        <v>22399.1</v>
      </c>
      <c r="I1238" s="36" t="n">
        <f aca="false">$E1238/F1238-1</f>
        <v>0.00574712643678166</v>
      </c>
      <c r="J1238" s="36" t="n">
        <f aca="false">$E1238/G1238-1</f>
        <v>0.00286532951289398</v>
      </c>
      <c r="K1238" s="36" t="n">
        <f aca="false">$E1238/H1238-1</f>
        <v>0.56256278154033</v>
      </c>
      <c r="L1238" s="37" t="n">
        <v>11.73</v>
      </c>
      <c r="M1238" s="37" t="n">
        <v>2.17</v>
      </c>
      <c r="N1238" s="34" t="n">
        <v>35000</v>
      </c>
      <c r="O1238" s="34" t="n">
        <v>13519.46</v>
      </c>
      <c r="P1238" s="38"/>
      <c r="Q1238" s="38"/>
    </row>
    <row r="1239" customFormat="false" ht="15" hidden="false" customHeight="false" outlineLevel="0" collapsed="false">
      <c r="A1239" s="34" t="n">
        <v>1231</v>
      </c>
      <c r="B1239" s="35" t="s">
        <v>2519</v>
      </c>
      <c r="C1239" s="35" t="s">
        <v>2520</v>
      </c>
      <c r="D1239" s="35" t="s">
        <v>116</v>
      </c>
      <c r="E1239" s="34" t="n">
        <v>41500</v>
      </c>
      <c r="F1239" s="34" t="n">
        <v>41600</v>
      </c>
      <c r="G1239" s="34" t="n">
        <v>42451.3</v>
      </c>
      <c r="H1239" s="34" t="n">
        <v>44914.35</v>
      </c>
      <c r="I1239" s="36" t="n">
        <f aca="false">$E1239/F1239-1</f>
        <v>-0.00240384615384615</v>
      </c>
      <c r="J1239" s="36" t="n">
        <f aca="false">$E1239/G1239-1</f>
        <v>-0.022409207727443</v>
      </c>
      <c r="K1239" s="36" t="n">
        <f aca="false">$E1239/H1239-1</f>
        <v>-0.0760191341965318</v>
      </c>
      <c r="L1239" s="37" t="n">
        <v>8.82</v>
      </c>
      <c r="M1239" s="37" t="n">
        <v>3.05</v>
      </c>
      <c r="N1239" s="34" t="n">
        <v>52030.78</v>
      </c>
      <c r="O1239" s="34" t="n">
        <v>41050</v>
      </c>
      <c r="P1239" s="38"/>
      <c r="Q1239" s="38"/>
    </row>
    <row r="1240" customFormat="false" ht="15" hidden="false" customHeight="false" outlineLevel="0" collapsed="false">
      <c r="A1240" s="34" t="n">
        <v>1232</v>
      </c>
      <c r="B1240" s="35" t="s">
        <v>2521</v>
      </c>
      <c r="C1240" s="35" t="s">
        <v>2522</v>
      </c>
      <c r="D1240" s="35" t="s">
        <v>111</v>
      </c>
      <c r="E1240" s="34" t="n">
        <v>39966</v>
      </c>
      <c r="F1240" s="34" t="n">
        <v>41666</v>
      </c>
      <c r="G1240" s="34" t="n">
        <v>40993</v>
      </c>
      <c r="H1240" s="34" t="n">
        <v>48766</v>
      </c>
      <c r="I1240" s="36" t="n">
        <f aca="false">$E1240/F1240-1</f>
        <v>-0.040800652810445</v>
      </c>
      <c r="J1240" s="36" t="n">
        <f aca="false">$E1240/G1240-1</f>
        <v>-0.0250530578391432</v>
      </c>
      <c r="K1240" s="36" t="n">
        <f aca="false">$E1240/H1240-1</f>
        <v>-0.180453594717631</v>
      </c>
      <c r="L1240" s="37" t="n">
        <v>11.48</v>
      </c>
      <c r="M1240" s="37" t="n">
        <v>2.34</v>
      </c>
      <c r="N1240" s="34" t="n">
        <v>57991</v>
      </c>
      <c r="O1240" s="34" t="n">
        <v>39750</v>
      </c>
      <c r="P1240" s="38"/>
      <c r="Q1240" s="38"/>
    </row>
    <row r="1241" customFormat="false" ht="15" hidden="false" customHeight="false" outlineLevel="0" collapsed="false">
      <c r="A1241" s="34" t="n">
        <v>1233</v>
      </c>
      <c r="B1241" s="35" t="s">
        <v>2523</v>
      </c>
      <c r="C1241" s="35" t="s">
        <v>2524</v>
      </c>
      <c r="D1241" s="35" t="s">
        <v>111</v>
      </c>
      <c r="E1241" s="34" t="n">
        <v>21500</v>
      </c>
      <c r="F1241" s="34" t="n">
        <v>21500</v>
      </c>
      <c r="G1241" s="34" t="n">
        <v>23300</v>
      </c>
      <c r="H1241" s="34" t="n">
        <v>22949</v>
      </c>
      <c r="I1241" s="36" t="n">
        <f aca="false">$E1241/F1241-1</f>
        <v>0</v>
      </c>
      <c r="J1241" s="36" t="n">
        <f aca="false">$E1241/G1241-1</f>
        <v>-0.0772532188841202</v>
      </c>
      <c r="K1241" s="36" t="n">
        <f aca="false">$E1241/H1241-1</f>
        <v>-0.0631400061004837</v>
      </c>
      <c r="L1241" s="37" t="n">
        <v>8.75</v>
      </c>
      <c r="M1241" s="37" t="n">
        <v>1.48</v>
      </c>
      <c r="N1241" s="34" t="n">
        <v>27784.94</v>
      </c>
      <c r="O1241" s="34" t="n">
        <v>21500</v>
      </c>
      <c r="P1241" s="38"/>
      <c r="Q1241" s="38"/>
    </row>
    <row r="1242" customFormat="false" ht="15" hidden="false" customHeight="false" outlineLevel="0" collapsed="false">
      <c r="A1242" s="34" t="n">
        <v>1234</v>
      </c>
      <c r="B1242" s="35" t="s">
        <v>2525</v>
      </c>
      <c r="C1242" s="35" t="s">
        <v>2526</v>
      </c>
      <c r="D1242" s="35" t="s">
        <v>111</v>
      </c>
      <c r="E1242" s="34" t="n">
        <v>19900</v>
      </c>
      <c r="F1242" s="34" t="n">
        <v>20200</v>
      </c>
      <c r="G1242" s="34" t="n">
        <v>19800</v>
      </c>
      <c r="H1242" s="34" t="n">
        <v>23000</v>
      </c>
      <c r="I1242" s="36" t="n">
        <f aca="false">$E1242/F1242-1</f>
        <v>-0.0148514851485149</v>
      </c>
      <c r="J1242" s="36" t="n">
        <f aca="false">$E1242/G1242-1</f>
        <v>0.00505050505050497</v>
      </c>
      <c r="K1242" s="36" t="n">
        <f aca="false">$E1242/H1242-1</f>
        <v>-0.134782608695652</v>
      </c>
      <c r="L1242" s="37" t="n">
        <v>10.12</v>
      </c>
      <c r="M1242" s="37" t="n">
        <v>1.35</v>
      </c>
      <c r="N1242" s="34" t="n">
        <v>26300</v>
      </c>
      <c r="O1242" s="34" t="n">
        <v>18977</v>
      </c>
      <c r="P1242" s="38"/>
      <c r="Q1242" s="38"/>
    </row>
    <row r="1243" customFormat="false" ht="15" hidden="false" customHeight="false" outlineLevel="0" collapsed="false">
      <c r="A1243" s="34" t="n">
        <v>1235</v>
      </c>
      <c r="B1243" s="35" t="s">
        <v>2527</v>
      </c>
      <c r="C1243" s="35" t="s">
        <v>2528</v>
      </c>
      <c r="D1243" s="35" t="s">
        <v>116</v>
      </c>
      <c r="E1243" s="34" t="n">
        <v>14000</v>
      </c>
      <c r="F1243" s="34" t="n">
        <v>14000</v>
      </c>
      <c r="G1243" s="34" t="n">
        <v>14100</v>
      </c>
      <c r="H1243" s="34" t="n">
        <v>14050</v>
      </c>
      <c r="I1243" s="36" t="n">
        <f aca="false">$E1243/F1243-1</f>
        <v>0</v>
      </c>
      <c r="J1243" s="36" t="n">
        <f aca="false">$E1243/G1243-1</f>
        <v>-0.00709219858156029</v>
      </c>
      <c r="K1243" s="36" t="n">
        <f aca="false">$E1243/H1243-1</f>
        <v>-0.00355871886120995</v>
      </c>
      <c r="L1243" s="37" t="n">
        <v>5.85</v>
      </c>
      <c r="M1243" s="37" t="n">
        <v>0.97</v>
      </c>
      <c r="N1243" s="34" t="n">
        <v>14624.36</v>
      </c>
      <c r="O1243" s="34" t="n">
        <v>13637.44</v>
      </c>
      <c r="P1243" s="38"/>
      <c r="Q1243" s="38"/>
    </row>
    <row r="1244" customFormat="false" ht="15" hidden="false" customHeight="false" outlineLevel="0" collapsed="false">
      <c r="A1244" s="34" t="n">
        <v>1236</v>
      </c>
      <c r="B1244" s="35" t="s">
        <v>2529</v>
      </c>
      <c r="C1244" s="35" t="s">
        <v>2530</v>
      </c>
      <c r="D1244" s="35" t="s">
        <v>111</v>
      </c>
      <c r="E1244" s="34" t="n">
        <v>51000</v>
      </c>
      <c r="F1244" s="34" t="n">
        <v>29500</v>
      </c>
      <c r="G1244" s="34" t="n">
        <v>49000</v>
      </c>
      <c r="H1244" s="34" t="n">
        <v>48805.14</v>
      </c>
      <c r="I1244" s="36" t="n">
        <f aca="false">$E1244/F1244-1</f>
        <v>0.728813559322034</v>
      </c>
      <c r="J1244" s="36" t="n">
        <f aca="false">$E1244/G1244-1</f>
        <v>0.0408163265306123</v>
      </c>
      <c r="K1244" s="36" t="n">
        <f aca="false">$E1244/H1244-1</f>
        <v>0.0449719025496085</v>
      </c>
      <c r="L1244" s="37" t="n">
        <v>18.33</v>
      </c>
      <c r="M1244" s="37" t="n">
        <v>3.92</v>
      </c>
      <c r="N1244" s="34" t="n">
        <v>58292</v>
      </c>
      <c r="O1244" s="34" t="n">
        <v>29500</v>
      </c>
      <c r="P1244" s="38"/>
      <c r="Q1244" s="38"/>
    </row>
    <row r="1245" customFormat="false" ht="15" hidden="false" customHeight="false" outlineLevel="0" collapsed="false">
      <c r="A1245" s="34" t="n">
        <v>1237</v>
      </c>
      <c r="B1245" s="35" t="s">
        <v>2531</v>
      </c>
      <c r="C1245" s="35" t="s">
        <v>2532</v>
      </c>
      <c r="D1245" s="35" t="s">
        <v>111</v>
      </c>
      <c r="E1245" s="34" t="n">
        <v>16300</v>
      </c>
      <c r="F1245" s="34" t="n">
        <v>16300</v>
      </c>
      <c r="G1245" s="34" t="n">
        <v>16200</v>
      </c>
      <c r="H1245" s="34" t="n">
        <v>16491.7</v>
      </c>
      <c r="I1245" s="36" t="n">
        <f aca="false">$E1245/F1245-1</f>
        <v>0</v>
      </c>
      <c r="J1245" s="36" t="n">
        <f aca="false">$E1245/G1245-1</f>
        <v>0.00617283950617287</v>
      </c>
      <c r="K1245" s="36" t="n">
        <f aca="false">$E1245/H1245-1</f>
        <v>-0.0116240290570409</v>
      </c>
      <c r="L1245" s="37" t="n">
        <v>4.81</v>
      </c>
      <c r="M1245" s="37" t="n">
        <v>1</v>
      </c>
      <c r="N1245" s="34" t="n">
        <v>17170.28</v>
      </c>
      <c r="O1245" s="34" t="n">
        <v>15718</v>
      </c>
      <c r="P1245" s="38"/>
      <c r="Q1245" s="38"/>
    </row>
    <row r="1246" customFormat="false" ht="15" hidden="false" customHeight="false" outlineLevel="0" collapsed="false">
      <c r="A1246" s="34" t="n">
        <v>1238</v>
      </c>
      <c r="B1246" s="35" t="s">
        <v>2533</v>
      </c>
      <c r="C1246" s="35" t="s">
        <v>2534</v>
      </c>
      <c r="D1246" s="35" t="s">
        <v>111</v>
      </c>
      <c r="E1246" s="34" t="n">
        <v>39000</v>
      </c>
      <c r="F1246" s="34" t="n">
        <v>39500</v>
      </c>
      <c r="G1246" s="34" t="n">
        <v>40000</v>
      </c>
      <c r="H1246" s="34" t="n">
        <v>36696.18</v>
      </c>
      <c r="I1246" s="36" t="n">
        <f aca="false">$E1246/F1246-1</f>
        <v>-0.0126582278481012</v>
      </c>
      <c r="J1246" s="36" t="n">
        <f aca="false">$E1246/G1246-1</f>
        <v>-0.025</v>
      </c>
      <c r="K1246" s="36" t="n">
        <f aca="false">$E1246/H1246-1</f>
        <v>0.0627809216109143</v>
      </c>
      <c r="L1246" s="37" t="n">
        <v>8.84</v>
      </c>
      <c r="M1246" s="37" t="n">
        <v>3.45</v>
      </c>
      <c r="N1246" s="34" t="n">
        <v>41000</v>
      </c>
      <c r="O1246" s="34" t="n">
        <v>34842.74</v>
      </c>
      <c r="P1246" s="38"/>
      <c r="Q1246" s="38"/>
    </row>
    <row r="1247" customFormat="false" ht="15" hidden="false" customHeight="false" outlineLevel="0" collapsed="false">
      <c r="A1247" s="34" t="n">
        <v>1239</v>
      </c>
      <c r="B1247" s="35" t="s">
        <v>2535</v>
      </c>
      <c r="C1247" s="35" t="s">
        <v>2536</v>
      </c>
      <c r="D1247" s="35" t="s">
        <v>116</v>
      </c>
      <c r="E1247" s="34" t="n">
        <v>24150</v>
      </c>
      <c r="F1247" s="34" t="n">
        <v>23600</v>
      </c>
      <c r="G1247" s="34" t="n">
        <v>26100</v>
      </c>
      <c r="H1247" s="34" t="n">
        <v>29065</v>
      </c>
      <c r="I1247" s="36" t="n">
        <f aca="false">$E1247/F1247-1</f>
        <v>0.0233050847457628</v>
      </c>
      <c r="J1247" s="36" t="n">
        <f aca="false">$E1247/G1247-1</f>
        <v>-0.0747126436781609</v>
      </c>
      <c r="K1247" s="36" t="n">
        <f aca="false">$E1247/H1247-1</f>
        <v>-0.169103733012214</v>
      </c>
      <c r="L1247" s="37" t="n">
        <v>7.43</v>
      </c>
      <c r="M1247" s="37" t="n">
        <v>0.93</v>
      </c>
      <c r="N1247" s="34" t="n">
        <v>29745.27</v>
      </c>
      <c r="O1247" s="34" t="n">
        <v>23600</v>
      </c>
      <c r="P1247" s="38"/>
      <c r="Q1247" s="38"/>
    </row>
    <row r="1248" customFormat="false" ht="15" hidden="false" customHeight="false" outlineLevel="0" collapsed="false">
      <c r="A1248" s="34" t="n">
        <v>1240</v>
      </c>
      <c r="B1248" s="35" t="s">
        <v>2537</v>
      </c>
      <c r="C1248" s="35" t="s">
        <v>2538</v>
      </c>
      <c r="D1248" s="35" t="s">
        <v>116</v>
      </c>
      <c r="E1248" s="34" t="n">
        <v>22800</v>
      </c>
      <c r="F1248" s="34" t="n">
        <v>21700</v>
      </c>
      <c r="G1248" s="34" t="n">
        <v>21700</v>
      </c>
      <c r="H1248" s="34" t="n">
        <v>21500</v>
      </c>
      <c r="I1248" s="36" t="n">
        <f aca="false">$E1248/F1248-1</f>
        <v>0.0506912442396312</v>
      </c>
      <c r="J1248" s="36" t="n">
        <f aca="false">$E1248/G1248-1</f>
        <v>0.0506912442396312</v>
      </c>
      <c r="K1248" s="36" t="n">
        <f aca="false">$E1248/H1248-1</f>
        <v>0.0604651162790697</v>
      </c>
      <c r="L1248" s="37" t="n">
        <v>9.73</v>
      </c>
      <c r="M1248" s="37" t="n">
        <v>1.47</v>
      </c>
      <c r="N1248" s="34" t="n">
        <v>25450</v>
      </c>
      <c r="O1248" s="34" t="n">
        <v>20450</v>
      </c>
      <c r="P1248" s="38"/>
      <c r="Q1248" s="38"/>
    </row>
    <row r="1249" customFormat="false" ht="15" hidden="false" customHeight="false" outlineLevel="0" collapsed="false">
      <c r="A1249" s="34" t="n">
        <v>1241</v>
      </c>
      <c r="B1249" s="35" t="s">
        <v>2539</v>
      </c>
      <c r="C1249" s="35" t="s">
        <v>2540</v>
      </c>
      <c r="D1249" s="35" t="s">
        <v>111</v>
      </c>
      <c r="E1249" s="34" t="n">
        <v>23525</v>
      </c>
      <c r="F1249" s="34" t="n">
        <v>24420</v>
      </c>
      <c r="G1249" s="34" t="n">
        <v>26967</v>
      </c>
      <c r="H1249" s="34" t="n">
        <v>27764.32</v>
      </c>
      <c r="I1249" s="36" t="n">
        <f aca="false">$E1249/F1249-1</f>
        <v>-0.0366502866502867</v>
      </c>
      <c r="J1249" s="36" t="n">
        <f aca="false">$E1249/G1249-1</f>
        <v>-0.127637482849409</v>
      </c>
      <c r="K1249" s="36" t="n">
        <f aca="false">$E1249/H1249-1</f>
        <v>-0.152689495006541</v>
      </c>
      <c r="L1249" s="37" t="n">
        <v>6.55</v>
      </c>
      <c r="M1249" s="37" t="n">
        <v>1.11</v>
      </c>
      <c r="N1249" s="34" t="n">
        <v>29616.96</v>
      </c>
      <c r="O1249" s="34" t="n">
        <v>23000</v>
      </c>
      <c r="P1249" s="38"/>
      <c r="Q1249" s="38"/>
    </row>
    <row r="1250" customFormat="false" ht="15" hidden="false" customHeight="false" outlineLevel="0" collapsed="false">
      <c r="A1250" s="34" t="n">
        <v>1242</v>
      </c>
      <c r="B1250" s="35" t="s">
        <v>2541</v>
      </c>
      <c r="C1250" s="35" t="s">
        <v>2542</v>
      </c>
      <c r="D1250" s="35" t="s">
        <v>116</v>
      </c>
      <c r="E1250" s="34" t="n">
        <v>30800</v>
      </c>
      <c r="F1250" s="34" t="n">
        <v>30000</v>
      </c>
      <c r="G1250" s="34" t="n">
        <v>32550</v>
      </c>
      <c r="H1250" s="34" t="n">
        <v>31210.29</v>
      </c>
      <c r="I1250" s="36" t="n">
        <f aca="false">$E1250/F1250-1</f>
        <v>0.0266666666666666</v>
      </c>
      <c r="J1250" s="36" t="n">
        <f aca="false">$E1250/G1250-1</f>
        <v>-0.053763440860215</v>
      </c>
      <c r="K1250" s="36" t="n">
        <f aca="false">$E1250/H1250-1</f>
        <v>-0.0131459848658888</v>
      </c>
      <c r="L1250" s="37" t="n">
        <v>10.54</v>
      </c>
      <c r="M1250" s="37" t="n">
        <v>2.78</v>
      </c>
      <c r="N1250" s="34" t="n">
        <v>33650</v>
      </c>
      <c r="O1250" s="34" t="n">
        <v>30000</v>
      </c>
      <c r="P1250" s="38"/>
      <c r="Q1250" s="38"/>
    </row>
    <row r="1251" customFormat="false" ht="15" hidden="false" customHeight="false" outlineLevel="0" collapsed="false">
      <c r="A1251" s="34" t="n">
        <v>1243</v>
      </c>
      <c r="B1251" s="35" t="s">
        <v>2543</v>
      </c>
      <c r="C1251" s="35" t="s">
        <v>2544</v>
      </c>
      <c r="D1251" s="35" t="s">
        <v>116</v>
      </c>
      <c r="E1251" s="34" t="n">
        <v>27400</v>
      </c>
      <c r="F1251" s="34" t="n">
        <v>27100</v>
      </c>
      <c r="G1251" s="34" t="n">
        <v>27800</v>
      </c>
      <c r="H1251" s="34" t="n">
        <v>28578.8</v>
      </c>
      <c r="I1251" s="36" t="n">
        <f aca="false">$E1251/F1251-1</f>
        <v>0.0110701107011071</v>
      </c>
      <c r="J1251" s="36" t="n">
        <f aca="false">$E1251/G1251-1</f>
        <v>-0.0143884892086331</v>
      </c>
      <c r="K1251" s="36" t="n">
        <f aca="false">$E1251/H1251-1</f>
        <v>-0.0412473581815891</v>
      </c>
      <c r="L1251" s="37" t="n">
        <v>12.26</v>
      </c>
      <c r="M1251" s="37" t="n">
        <v>2.11</v>
      </c>
      <c r="N1251" s="34" t="n">
        <v>29688.55</v>
      </c>
      <c r="O1251" s="34" t="n">
        <v>25585.75</v>
      </c>
      <c r="P1251" s="38"/>
      <c r="Q1251" s="38"/>
    </row>
    <row r="1252" customFormat="false" ht="15" hidden="false" customHeight="false" outlineLevel="0" collapsed="false">
      <c r="A1252" s="34" t="n">
        <v>1244</v>
      </c>
      <c r="B1252" s="35" t="s">
        <v>2545</v>
      </c>
      <c r="C1252" s="35" t="s">
        <v>2546</v>
      </c>
      <c r="D1252" s="35" t="s">
        <v>133</v>
      </c>
      <c r="E1252" s="34" t="n">
        <v>26300</v>
      </c>
      <c r="F1252" s="34" t="n">
        <v>27000</v>
      </c>
      <c r="G1252" s="34" t="n">
        <v>28900</v>
      </c>
      <c r="H1252" s="34" t="n">
        <v>26152.18</v>
      </c>
      <c r="I1252" s="36" t="n">
        <f aca="false">$E1252/F1252-1</f>
        <v>-0.0259259259259259</v>
      </c>
      <c r="J1252" s="36" t="n">
        <f aca="false">$E1252/G1252-1</f>
        <v>-0.0899653979238755</v>
      </c>
      <c r="K1252" s="36" t="n">
        <f aca="false">$E1252/H1252-1</f>
        <v>0.00565230126130967</v>
      </c>
      <c r="L1252" s="37" t="n">
        <v>12.38</v>
      </c>
      <c r="M1252" s="37" t="n">
        <v>1.89</v>
      </c>
      <c r="N1252" s="34" t="n">
        <v>30500</v>
      </c>
      <c r="O1252" s="34" t="n">
        <v>25349.02</v>
      </c>
      <c r="P1252" s="38"/>
      <c r="Q1252" s="38"/>
    </row>
    <row r="1253" customFormat="false" ht="15" hidden="false" customHeight="false" outlineLevel="0" collapsed="false">
      <c r="A1253" s="34" t="n">
        <v>1245</v>
      </c>
      <c r="B1253" s="35" t="s">
        <v>2547</v>
      </c>
      <c r="C1253" s="35" t="s">
        <v>2548</v>
      </c>
      <c r="D1253" s="35" t="s">
        <v>133</v>
      </c>
      <c r="E1253" s="34" t="n">
        <v>53000</v>
      </c>
      <c r="F1253" s="34" t="n">
        <v>52500</v>
      </c>
      <c r="G1253" s="34" t="n">
        <v>52498.8</v>
      </c>
      <c r="H1253" s="34" t="n">
        <v>53033.12</v>
      </c>
      <c r="I1253" s="36" t="n">
        <f aca="false">$E1253/F1253-1</f>
        <v>0.00952380952380949</v>
      </c>
      <c r="J1253" s="36" t="n">
        <f aca="false">$E1253/G1253-1</f>
        <v>0.00954688488117816</v>
      </c>
      <c r="K1253" s="36" t="n">
        <f aca="false">$E1253/H1253-1</f>
        <v>-0.000624515397170677</v>
      </c>
      <c r="L1253" s="37" t="n">
        <v>8.66</v>
      </c>
      <c r="M1253" s="37" t="n">
        <v>2.99</v>
      </c>
      <c r="N1253" s="34" t="n">
        <v>57673.52</v>
      </c>
      <c r="O1253" s="34" t="n">
        <v>47120.13</v>
      </c>
      <c r="P1253" s="38"/>
      <c r="Q1253" s="38"/>
    </row>
    <row r="1254" customFormat="false" ht="15" hidden="false" customHeight="false" outlineLevel="0" collapsed="false">
      <c r="A1254" s="34" t="n">
        <v>1246</v>
      </c>
      <c r="B1254" s="35" t="s">
        <v>2549</v>
      </c>
      <c r="C1254" s="35" t="s">
        <v>2550</v>
      </c>
      <c r="D1254" s="35" t="s">
        <v>111</v>
      </c>
      <c r="E1254" s="34" t="n">
        <v>34414</v>
      </c>
      <c r="F1254" s="34" t="n">
        <v>33100</v>
      </c>
      <c r="G1254" s="34" t="n">
        <v>34000</v>
      </c>
      <c r="H1254" s="34" t="n">
        <v>34320</v>
      </c>
      <c r="I1254" s="36" t="n">
        <f aca="false">$E1254/F1254-1</f>
        <v>0.0396978851963745</v>
      </c>
      <c r="J1254" s="36" t="n">
        <f aca="false">$E1254/G1254-1</f>
        <v>0.0121764705882352</v>
      </c>
      <c r="K1254" s="36" t="n">
        <f aca="false">$E1254/H1254-1</f>
        <v>0.00273892773892781</v>
      </c>
      <c r="L1254" s="37" t="n">
        <v>8.78</v>
      </c>
      <c r="M1254" s="37" t="n">
        <v>2.02</v>
      </c>
      <c r="N1254" s="34" t="n">
        <v>44786.44</v>
      </c>
      <c r="O1254" s="34" t="n">
        <v>26096</v>
      </c>
      <c r="P1254" s="38"/>
      <c r="Q1254" s="38"/>
    </row>
    <row r="1255" customFormat="false" ht="15" hidden="false" customHeight="false" outlineLevel="0" collapsed="false">
      <c r="A1255" s="34" t="n">
        <v>1247</v>
      </c>
      <c r="B1255" s="35" t="s">
        <v>2551</v>
      </c>
      <c r="C1255" s="35" t="s">
        <v>2552</v>
      </c>
      <c r="D1255" s="35" t="s">
        <v>116</v>
      </c>
      <c r="E1255" s="34" t="n">
        <v>32500</v>
      </c>
      <c r="F1255" s="34" t="n">
        <v>31500</v>
      </c>
      <c r="G1255" s="34" t="n">
        <v>32500</v>
      </c>
      <c r="H1255" s="34" t="n">
        <v>31057</v>
      </c>
      <c r="I1255" s="36" t="n">
        <f aca="false">$E1255/F1255-1</f>
        <v>0.0317460317460319</v>
      </c>
      <c r="J1255" s="36" t="n">
        <f aca="false">$E1255/G1255-1</f>
        <v>0</v>
      </c>
      <c r="K1255" s="36" t="n">
        <f aca="false">$E1255/H1255-1</f>
        <v>0.0464629552113856</v>
      </c>
      <c r="L1255" s="37" t="n">
        <v>7.74</v>
      </c>
      <c r="M1255" s="37" t="n">
        <v>2.31</v>
      </c>
      <c r="N1255" s="34" t="n">
        <v>35122.46</v>
      </c>
      <c r="O1255" s="34" t="n">
        <v>30418.15</v>
      </c>
      <c r="P1255" s="38"/>
      <c r="Q1255" s="38"/>
    </row>
    <row r="1256" customFormat="false" ht="15" hidden="false" customHeight="false" outlineLevel="0" collapsed="false">
      <c r="A1256" s="34" t="n">
        <v>1248</v>
      </c>
      <c r="B1256" s="35" t="s">
        <v>2553</v>
      </c>
      <c r="C1256" s="35" t="s">
        <v>2554</v>
      </c>
      <c r="D1256" s="35" t="s">
        <v>111</v>
      </c>
      <c r="E1256" s="34" t="n">
        <v>34300</v>
      </c>
      <c r="F1256" s="34" t="n">
        <v>38750</v>
      </c>
      <c r="G1256" s="34" t="n">
        <v>38681</v>
      </c>
      <c r="H1256" s="34" t="n">
        <v>40200</v>
      </c>
      <c r="I1256" s="36" t="n">
        <f aca="false">$E1256/F1256-1</f>
        <v>-0.114838709677419</v>
      </c>
      <c r="J1256" s="36" t="n">
        <f aca="false">$E1256/G1256-1</f>
        <v>-0.113259739923994</v>
      </c>
      <c r="K1256" s="36" t="n">
        <f aca="false">$E1256/H1256-1</f>
        <v>-0.146766169154229</v>
      </c>
      <c r="L1256" s="37" t="n">
        <v>7.69</v>
      </c>
      <c r="M1256" s="37" t="n">
        <v>2.06</v>
      </c>
      <c r="N1256" s="34" t="n">
        <v>43398.01</v>
      </c>
      <c r="O1256" s="34" t="n">
        <v>34300</v>
      </c>
      <c r="P1256" s="38"/>
      <c r="Q1256" s="38"/>
    </row>
    <row r="1257" customFormat="false" ht="15" hidden="false" customHeight="false" outlineLevel="0" collapsed="false">
      <c r="A1257" s="34" t="n">
        <v>1249</v>
      </c>
      <c r="B1257" s="35" t="s">
        <v>2555</v>
      </c>
      <c r="C1257" s="35" t="s">
        <v>2556</v>
      </c>
      <c r="D1257" s="35" t="s">
        <v>111</v>
      </c>
      <c r="E1257" s="34" t="n">
        <v>6000</v>
      </c>
      <c r="F1257" s="34" t="n">
        <v>6000</v>
      </c>
      <c r="G1257" s="34" t="n">
        <v>6000</v>
      </c>
      <c r="H1257" s="34" t="n">
        <v>6000</v>
      </c>
      <c r="I1257" s="36" t="n">
        <f aca="false">$E1257/F1257-1</f>
        <v>0</v>
      </c>
      <c r="J1257" s="36" t="n">
        <f aca="false">$E1257/G1257-1</f>
        <v>0</v>
      </c>
      <c r="K1257" s="36" t="n">
        <f aca="false">$E1257/H1257-1</f>
        <v>0</v>
      </c>
      <c r="L1257" s="37" t="n">
        <v>1.86</v>
      </c>
      <c r="M1257" s="37" t="n">
        <v>0.3</v>
      </c>
      <c r="N1257" s="34" t="n">
        <v>6000</v>
      </c>
      <c r="O1257" s="34" t="n">
        <v>6000</v>
      </c>
      <c r="P1257" s="38"/>
      <c r="Q1257" s="38"/>
    </row>
    <row r="1258" customFormat="false" ht="15" hidden="false" customHeight="false" outlineLevel="0" collapsed="false">
      <c r="A1258" s="34" t="n">
        <v>1250</v>
      </c>
      <c r="B1258" s="35" t="s">
        <v>2557</v>
      </c>
      <c r="C1258" s="35" t="s">
        <v>2558</v>
      </c>
      <c r="D1258" s="35" t="s">
        <v>111</v>
      </c>
      <c r="E1258" s="34" t="n">
        <v>24000</v>
      </c>
      <c r="F1258" s="34" t="n">
        <v>23866</v>
      </c>
      <c r="G1258" s="34" t="n">
        <v>22480.18</v>
      </c>
      <c r="H1258" s="34" t="n">
        <v>23486.95</v>
      </c>
      <c r="I1258" s="36" t="n">
        <f aca="false">$E1258/F1258-1</f>
        <v>0.00561468197435677</v>
      </c>
      <c r="J1258" s="36" t="n">
        <f aca="false">$E1258/G1258-1</f>
        <v>0.0676071099074829</v>
      </c>
      <c r="K1258" s="36" t="n">
        <f aca="false">$E1258/H1258-1</f>
        <v>0.021844045310268</v>
      </c>
      <c r="L1258" s="37" t="n">
        <v>12.14</v>
      </c>
      <c r="M1258" s="37" t="n">
        <v>2.17</v>
      </c>
      <c r="N1258" s="34" t="n">
        <v>28638.72</v>
      </c>
      <c r="O1258" s="34" t="n">
        <v>21624.6</v>
      </c>
      <c r="P1258" s="38"/>
      <c r="Q1258" s="38"/>
    </row>
    <row r="1259" customFormat="false" ht="15" hidden="false" customHeight="false" outlineLevel="0" collapsed="false">
      <c r="A1259" s="34" t="n">
        <v>1251</v>
      </c>
      <c r="B1259" s="35" t="s">
        <v>2559</v>
      </c>
      <c r="C1259" s="35" t="s">
        <v>2560</v>
      </c>
      <c r="D1259" s="35" t="s">
        <v>111</v>
      </c>
      <c r="E1259" s="34" t="n">
        <v>24721</v>
      </c>
      <c r="F1259" s="34" t="n">
        <v>24200</v>
      </c>
      <c r="G1259" s="34" t="n">
        <v>24000</v>
      </c>
      <c r="H1259" s="34" t="n">
        <v>22000</v>
      </c>
      <c r="I1259" s="36" t="n">
        <f aca="false">$E1259/F1259-1</f>
        <v>0.0215289256198348</v>
      </c>
      <c r="J1259" s="36" t="n">
        <f aca="false">$E1259/G1259-1</f>
        <v>0.0300416666666667</v>
      </c>
      <c r="K1259" s="36" t="n">
        <f aca="false">$E1259/H1259-1</f>
        <v>0.123681818181818</v>
      </c>
      <c r="L1259" s="37" t="n">
        <v>7.97</v>
      </c>
      <c r="M1259" s="37" t="n">
        <v>2.62</v>
      </c>
      <c r="N1259" s="34" t="n">
        <v>25000</v>
      </c>
      <c r="O1259" s="34" t="n">
        <v>19800</v>
      </c>
      <c r="P1259" s="38"/>
      <c r="Q1259" s="38"/>
    </row>
    <row r="1260" customFormat="false" ht="15" hidden="false" customHeight="false" outlineLevel="0" collapsed="false">
      <c r="A1260" s="34" t="n">
        <v>1252</v>
      </c>
      <c r="B1260" s="35" t="s">
        <v>2561</v>
      </c>
      <c r="C1260" s="35" t="s">
        <v>2562</v>
      </c>
      <c r="D1260" s="35" t="s">
        <v>116</v>
      </c>
      <c r="E1260" s="34" t="n">
        <v>32000</v>
      </c>
      <c r="F1260" s="34" t="n">
        <v>31500</v>
      </c>
      <c r="G1260" s="34" t="n">
        <v>32100</v>
      </c>
      <c r="H1260" s="34" t="n">
        <v>33184.58</v>
      </c>
      <c r="I1260" s="36" t="n">
        <f aca="false">$E1260/F1260-1</f>
        <v>0.0158730158730158</v>
      </c>
      <c r="J1260" s="36" t="n">
        <f aca="false">$E1260/G1260-1</f>
        <v>-0.00311526479750779</v>
      </c>
      <c r="K1260" s="36" t="n">
        <f aca="false">$E1260/H1260-1</f>
        <v>-0.0356967000938389</v>
      </c>
      <c r="L1260" s="37" t="n">
        <v>9.05</v>
      </c>
      <c r="M1260" s="37" t="n">
        <v>1.75</v>
      </c>
      <c r="N1260" s="34" t="n">
        <v>36064.3</v>
      </c>
      <c r="O1260" s="34" t="n">
        <v>31056</v>
      </c>
      <c r="P1260" s="38"/>
      <c r="Q1260" s="38"/>
    </row>
    <row r="1261" customFormat="false" ht="15" hidden="false" customHeight="false" outlineLevel="0" collapsed="false">
      <c r="A1261" s="34" t="n">
        <v>1253</v>
      </c>
      <c r="B1261" s="35" t="s">
        <v>2563</v>
      </c>
      <c r="C1261" s="35" t="s">
        <v>2564</v>
      </c>
      <c r="D1261" s="35" t="s">
        <v>116</v>
      </c>
      <c r="E1261" s="34" t="n">
        <v>49800</v>
      </c>
      <c r="F1261" s="34" t="n">
        <v>46100</v>
      </c>
      <c r="G1261" s="34" t="n">
        <v>45998.4</v>
      </c>
      <c r="H1261" s="34" t="n">
        <v>57210.51</v>
      </c>
      <c r="I1261" s="36" t="n">
        <f aca="false">$E1261/F1261-1</f>
        <v>0.0802603036876355</v>
      </c>
      <c r="J1261" s="36" t="n">
        <f aca="false">$E1261/G1261-1</f>
        <v>0.0826463529166233</v>
      </c>
      <c r="K1261" s="36" t="n">
        <f aca="false">$E1261/H1261-1</f>
        <v>-0.129530570519298</v>
      </c>
      <c r="L1261" s="37" t="n">
        <v>9.91</v>
      </c>
      <c r="M1261" s="37" t="n">
        <v>1.92</v>
      </c>
      <c r="N1261" s="34" t="n">
        <v>60325.37</v>
      </c>
      <c r="O1261" s="34" t="n">
        <v>43027.67</v>
      </c>
      <c r="P1261" s="38"/>
      <c r="Q1261" s="38"/>
    </row>
    <row r="1262" customFormat="false" ht="15" hidden="false" customHeight="false" outlineLevel="0" collapsed="false">
      <c r="A1262" s="34" t="n">
        <v>1254</v>
      </c>
      <c r="B1262" s="35" t="s">
        <v>2565</v>
      </c>
      <c r="C1262" s="35" t="s">
        <v>2566</v>
      </c>
      <c r="D1262" s="35" t="s">
        <v>116</v>
      </c>
      <c r="E1262" s="34" t="n">
        <v>42600</v>
      </c>
      <c r="F1262" s="34" t="n">
        <v>42550</v>
      </c>
      <c r="G1262" s="34" t="n">
        <v>42550</v>
      </c>
      <c r="H1262" s="34" t="n">
        <v>42998.51</v>
      </c>
      <c r="I1262" s="36" t="n">
        <f aca="false">$E1262/F1262-1</f>
        <v>0.00117508813160994</v>
      </c>
      <c r="J1262" s="36" t="n">
        <f aca="false">$E1262/G1262-1</f>
        <v>0.00117508813160994</v>
      </c>
      <c r="K1262" s="36" t="n">
        <f aca="false">$E1262/H1262-1</f>
        <v>-0.00926799556542779</v>
      </c>
      <c r="L1262" s="37" t="n">
        <v>10.76</v>
      </c>
      <c r="M1262" s="37" t="n">
        <v>1.97</v>
      </c>
      <c r="N1262" s="34" t="n">
        <v>44367.8</v>
      </c>
      <c r="O1262" s="34" t="n">
        <v>40257.05</v>
      </c>
      <c r="P1262" s="38"/>
      <c r="Q1262" s="38"/>
    </row>
    <row r="1263" customFormat="false" ht="15" hidden="false" customHeight="false" outlineLevel="0" collapsed="false">
      <c r="A1263" s="34" t="n">
        <v>1255</v>
      </c>
      <c r="B1263" s="35" t="s">
        <v>2567</v>
      </c>
      <c r="C1263" s="35" t="s">
        <v>2568</v>
      </c>
      <c r="D1263" s="35" t="s">
        <v>111</v>
      </c>
      <c r="E1263" s="34" t="n">
        <v>15600</v>
      </c>
      <c r="F1263" s="34" t="n">
        <v>15500</v>
      </c>
      <c r="G1263" s="34" t="n">
        <v>15000</v>
      </c>
      <c r="H1263" s="34" t="n">
        <v>15800</v>
      </c>
      <c r="I1263" s="36" t="n">
        <f aca="false">$E1263/F1263-1</f>
        <v>0.00645161290322571</v>
      </c>
      <c r="J1263" s="36" t="n">
        <f aca="false">$E1263/G1263-1</f>
        <v>0.04</v>
      </c>
      <c r="K1263" s="36" t="n">
        <f aca="false">$E1263/H1263-1</f>
        <v>-0.0126582278481012</v>
      </c>
      <c r="L1263" s="37" t="n">
        <v>7.31</v>
      </c>
      <c r="M1263" s="37" t="n">
        <v>1.14</v>
      </c>
      <c r="N1263" s="34" t="n">
        <v>19900</v>
      </c>
      <c r="O1263" s="34" t="n">
        <v>14235</v>
      </c>
      <c r="P1263" s="38"/>
      <c r="Q1263" s="38"/>
    </row>
    <row r="1264" customFormat="false" ht="15" hidden="false" customHeight="false" outlineLevel="0" collapsed="false">
      <c r="A1264" s="34" t="n">
        <v>1256</v>
      </c>
      <c r="B1264" s="35" t="s">
        <v>2569</v>
      </c>
      <c r="C1264" s="35" t="s">
        <v>2570</v>
      </c>
      <c r="D1264" s="35" t="s">
        <v>111</v>
      </c>
      <c r="E1264" s="34" t="n">
        <v>1700</v>
      </c>
      <c r="F1264" s="34" t="n">
        <v>1700</v>
      </c>
      <c r="G1264" s="34" t="n">
        <v>1700</v>
      </c>
      <c r="H1264" s="34" t="n">
        <v>2200</v>
      </c>
      <c r="I1264" s="36" t="n">
        <f aca="false">$E1264/F1264-1</f>
        <v>0</v>
      </c>
      <c r="J1264" s="36" t="n">
        <f aca="false">$E1264/G1264-1</f>
        <v>0</v>
      </c>
      <c r="K1264" s="36" t="n">
        <f aca="false">$E1264/H1264-1</f>
        <v>-0.227272727272727</v>
      </c>
      <c r="L1264" s="37" t="n">
        <v>-0.01</v>
      </c>
      <c r="M1264" s="37" t="n">
        <v>-0.01</v>
      </c>
      <c r="N1264" s="34" t="n">
        <v>3600</v>
      </c>
      <c r="O1264" s="34" t="n">
        <v>1700</v>
      </c>
      <c r="P1264" s="38"/>
      <c r="Q1264" s="38"/>
    </row>
    <row r="1265" customFormat="false" ht="15" hidden="false" customHeight="false" outlineLevel="0" collapsed="false">
      <c r="A1265" s="34" t="n">
        <v>1257</v>
      </c>
      <c r="B1265" s="35" t="s">
        <v>2571</v>
      </c>
      <c r="C1265" s="35" t="s">
        <v>2572</v>
      </c>
      <c r="D1265" s="35" t="s">
        <v>111</v>
      </c>
      <c r="E1265" s="34" t="n">
        <v>2000</v>
      </c>
      <c r="F1265" s="34" t="n">
        <v>2000</v>
      </c>
      <c r="G1265" s="34" t="n">
        <v>2000</v>
      </c>
      <c r="H1265" s="34" t="n">
        <v>2000</v>
      </c>
      <c r="I1265" s="36" t="n">
        <f aca="false">$E1265/F1265-1</f>
        <v>0</v>
      </c>
      <c r="J1265" s="36" t="n">
        <f aca="false">$E1265/G1265-1</f>
        <v>0</v>
      </c>
      <c r="K1265" s="36" t="n">
        <f aca="false">$E1265/H1265-1</f>
        <v>0</v>
      </c>
      <c r="L1265" s="37" t="n">
        <v>-4.29</v>
      </c>
      <c r="M1265" s="37" t="n">
        <v>-0.28</v>
      </c>
      <c r="N1265" s="34" t="n">
        <v>2406</v>
      </c>
      <c r="O1265" s="34" t="n">
        <v>1600</v>
      </c>
      <c r="P1265" s="38"/>
      <c r="Q1265" s="38"/>
    </row>
    <row r="1266" customFormat="false" ht="15" hidden="false" customHeight="false" outlineLevel="0" collapsed="false">
      <c r="A1266" s="34" t="n">
        <v>1258</v>
      </c>
      <c r="B1266" s="35" t="s">
        <v>2573</v>
      </c>
      <c r="C1266" s="35" t="s">
        <v>2574</v>
      </c>
      <c r="D1266" s="35" t="s">
        <v>111</v>
      </c>
      <c r="E1266" s="34" t="n">
        <v>2700</v>
      </c>
      <c r="F1266" s="34" t="n">
        <v>2766</v>
      </c>
      <c r="G1266" s="34" t="n">
        <v>2600</v>
      </c>
      <c r="H1266" s="34" t="n">
        <v>2900</v>
      </c>
      <c r="I1266" s="36" t="n">
        <f aca="false">$E1266/F1266-1</f>
        <v>-0.0238611713665944</v>
      </c>
      <c r="J1266" s="36" t="n">
        <f aca="false">$E1266/G1266-1</f>
        <v>0.0384615384615386</v>
      </c>
      <c r="K1266" s="36" t="n">
        <f aca="false">$E1266/H1266-1</f>
        <v>-0.0689655172413793</v>
      </c>
      <c r="L1266" s="37" t="n">
        <v>258.99</v>
      </c>
      <c r="M1266" s="37" t="n">
        <v>0.27</v>
      </c>
      <c r="N1266" s="34" t="n">
        <v>3000</v>
      </c>
      <c r="O1266" s="34" t="n">
        <v>1974</v>
      </c>
      <c r="P1266" s="38"/>
      <c r="Q1266" s="38"/>
    </row>
    <row r="1267" customFormat="false" ht="15" hidden="false" customHeight="false" outlineLevel="0" collapsed="false">
      <c r="A1267" s="34" t="n">
        <v>1259</v>
      </c>
      <c r="B1267" s="35" t="s">
        <v>2575</v>
      </c>
      <c r="C1267" s="35" t="s">
        <v>2576</v>
      </c>
      <c r="D1267" s="35" t="s">
        <v>116</v>
      </c>
      <c r="E1267" s="34" t="n">
        <v>50500</v>
      </c>
      <c r="F1267" s="34" t="n">
        <v>50400</v>
      </c>
      <c r="G1267" s="34" t="n">
        <v>51700</v>
      </c>
      <c r="H1267" s="34" t="n">
        <v>66808</v>
      </c>
      <c r="I1267" s="36" t="n">
        <f aca="false">$E1267/F1267-1</f>
        <v>0.00198412698412698</v>
      </c>
      <c r="J1267" s="36" t="n">
        <f aca="false">$E1267/G1267-1</f>
        <v>-0.02321083172147</v>
      </c>
      <c r="K1267" s="36" t="n">
        <f aca="false">$E1267/H1267-1</f>
        <v>-0.244102502694288</v>
      </c>
      <c r="L1267" s="37" t="n">
        <v>4.02</v>
      </c>
      <c r="M1267" s="37" t="n">
        <v>0.87</v>
      </c>
      <c r="N1267" s="34" t="n">
        <v>70530.16</v>
      </c>
      <c r="O1267" s="34" t="n">
        <v>50000</v>
      </c>
      <c r="P1267" s="38"/>
      <c r="Q1267" s="38"/>
    </row>
    <row r="1268" customFormat="false" ht="15" hidden="false" customHeight="false" outlineLevel="0" collapsed="false">
      <c r="A1268" s="34" t="n">
        <v>1260</v>
      </c>
      <c r="B1268" s="35" t="s">
        <v>2577</v>
      </c>
      <c r="C1268" s="35" t="s">
        <v>2578</v>
      </c>
      <c r="D1268" s="35" t="s">
        <v>111</v>
      </c>
      <c r="E1268" s="34" t="n">
        <v>13956</v>
      </c>
      <c r="F1268" s="34" t="n">
        <v>13640</v>
      </c>
      <c r="G1268" s="34" t="n">
        <v>14988</v>
      </c>
      <c r="H1268" s="34" t="n">
        <v>16816.87</v>
      </c>
      <c r="I1268" s="36" t="n">
        <f aca="false">$E1268/F1268-1</f>
        <v>0.02316715542522</v>
      </c>
      <c r="J1268" s="36" t="n">
        <f aca="false">$E1268/G1268-1</f>
        <v>-0.0688550840672538</v>
      </c>
      <c r="K1268" s="36" t="n">
        <f aca="false">$E1268/H1268-1</f>
        <v>-0.170119053069923</v>
      </c>
      <c r="L1268" s="37" t="n">
        <v>2.35</v>
      </c>
      <c r="M1268" s="37" t="n">
        <v>1</v>
      </c>
      <c r="N1268" s="34" t="n">
        <v>18427.5</v>
      </c>
      <c r="O1268" s="34" t="n">
        <v>11729.52</v>
      </c>
      <c r="P1268" s="38"/>
      <c r="Q1268" s="38"/>
    </row>
    <row r="1269" customFormat="false" ht="15" hidden="false" customHeight="false" outlineLevel="0" collapsed="false">
      <c r="A1269" s="34" t="n">
        <v>1261</v>
      </c>
      <c r="B1269" s="35" t="s">
        <v>2579</v>
      </c>
      <c r="C1269" s="35" t="s">
        <v>2580</v>
      </c>
      <c r="D1269" s="35" t="s">
        <v>111</v>
      </c>
      <c r="E1269" s="34" t="n">
        <v>480</v>
      </c>
      <c r="F1269" s="34" t="n">
        <v>492</v>
      </c>
      <c r="G1269" s="34" t="n">
        <v>400</v>
      </c>
      <c r="H1269" s="34" t="n">
        <v>500</v>
      </c>
      <c r="I1269" s="36" t="n">
        <f aca="false">$E1269/F1269-1</f>
        <v>-0.024390243902439</v>
      </c>
      <c r="J1269" s="36" t="n">
        <f aca="false">$E1269/G1269-1</f>
        <v>0.2</v>
      </c>
      <c r="K1269" s="36" t="n">
        <f aca="false">$E1269/H1269-1</f>
        <v>-0.04</v>
      </c>
      <c r="L1269" s="37" t="n">
        <v>3.2</v>
      </c>
      <c r="M1269" s="37" t="n">
        <v>0</v>
      </c>
      <c r="N1269" s="34" t="n">
        <v>600</v>
      </c>
      <c r="O1269" s="34" t="n">
        <v>400</v>
      </c>
      <c r="P1269" s="38"/>
      <c r="Q1269" s="38"/>
    </row>
    <row r="1270" customFormat="false" ht="15" hidden="false" customHeight="false" outlineLevel="0" collapsed="false">
      <c r="A1270" s="34" t="n">
        <v>1262</v>
      </c>
      <c r="B1270" s="35" t="s">
        <v>2581</v>
      </c>
      <c r="C1270" s="35" t="s">
        <v>2582</v>
      </c>
      <c r="D1270" s="35" t="s">
        <v>116</v>
      </c>
      <c r="E1270" s="34" t="n">
        <v>12300</v>
      </c>
      <c r="F1270" s="34" t="n">
        <v>11900</v>
      </c>
      <c r="G1270" s="34" t="n">
        <v>13050</v>
      </c>
      <c r="H1270" s="34" t="n">
        <v>13889.55</v>
      </c>
      <c r="I1270" s="36" t="n">
        <f aca="false">$E1270/F1270-1</f>
        <v>0.0336134453781514</v>
      </c>
      <c r="J1270" s="36" t="n">
        <f aca="false">$E1270/G1270-1</f>
        <v>-0.0574712643678161</v>
      </c>
      <c r="K1270" s="36" t="n">
        <f aca="false">$E1270/H1270-1</f>
        <v>-0.114442152553538</v>
      </c>
      <c r="L1270" s="37" t="n">
        <v>13.5</v>
      </c>
      <c r="M1270" s="37" t="n">
        <v>0.74</v>
      </c>
      <c r="N1270" s="34" t="n">
        <v>14895.34</v>
      </c>
      <c r="O1270" s="34" t="n">
        <v>11200</v>
      </c>
      <c r="P1270" s="38"/>
      <c r="Q1270" s="38"/>
    </row>
    <row r="1271" customFormat="false" ht="15" hidden="false" customHeight="false" outlineLevel="0" collapsed="false">
      <c r="A1271" s="34" t="n">
        <v>1263</v>
      </c>
      <c r="B1271" s="35" t="s">
        <v>2583</v>
      </c>
      <c r="C1271" s="35" t="s">
        <v>2584</v>
      </c>
      <c r="D1271" s="35" t="s">
        <v>133</v>
      </c>
      <c r="E1271" s="34" t="n">
        <v>13000</v>
      </c>
      <c r="F1271" s="34" t="n">
        <v>14300</v>
      </c>
      <c r="G1271" s="34" t="n">
        <v>12200</v>
      </c>
      <c r="H1271" s="34" t="n">
        <v>14437.24</v>
      </c>
      <c r="I1271" s="36" t="n">
        <f aca="false">$E1271/F1271-1</f>
        <v>-0.0909090909090909</v>
      </c>
      <c r="J1271" s="36" t="n">
        <f aca="false">$E1271/G1271-1</f>
        <v>0.0655737704918034</v>
      </c>
      <c r="K1271" s="36" t="n">
        <f aca="false">$E1271/H1271-1</f>
        <v>-0.0995508836869097</v>
      </c>
      <c r="L1271" s="37" t="n">
        <v>4.41</v>
      </c>
      <c r="M1271" s="37" t="n">
        <v>0.88</v>
      </c>
      <c r="N1271" s="34" t="n">
        <v>19143.3</v>
      </c>
      <c r="O1271" s="34" t="n">
        <v>11818.3</v>
      </c>
      <c r="P1271" s="38"/>
      <c r="Q1271" s="38"/>
    </row>
    <row r="1272" customFormat="false" ht="15" hidden="false" customHeight="false" outlineLevel="0" collapsed="false">
      <c r="A1272" s="34" t="n">
        <v>1264</v>
      </c>
      <c r="B1272" s="35" t="s">
        <v>2585</v>
      </c>
      <c r="C1272" s="35" t="s">
        <v>2586</v>
      </c>
      <c r="D1272" s="35" t="s">
        <v>116</v>
      </c>
      <c r="E1272" s="34" t="n">
        <v>7370</v>
      </c>
      <c r="F1272" s="34" t="n">
        <v>7000</v>
      </c>
      <c r="G1272" s="34" t="n">
        <v>6550</v>
      </c>
      <c r="H1272" s="34" t="n">
        <v>6900</v>
      </c>
      <c r="I1272" s="36" t="n">
        <f aca="false">$E1272/F1272-1</f>
        <v>0.0528571428571429</v>
      </c>
      <c r="J1272" s="36" t="n">
        <f aca="false">$E1272/G1272-1</f>
        <v>0.125190839694656</v>
      </c>
      <c r="K1272" s="36" t="n">
        <f aca="false">$E1272/H1272-1</f>
        <v>0.0681159420289854</v>
      </c>
      <c r="L1272" s="37" t="n">
        <v>14.57</v>
      </c>
      <c r="M1272" s="37" t="n">
        <v>0.38</v>
      </c>
      <c r="N1272" s="34" t="n">
        <v>7430</v>
      </c>
      <c r="O1272" s="34" t="n">
        <v>6060</v>
      </c>
      <c r="P1272" s="38"/>
      <c r="Q1272" s="38"/>
    </row>
    <row r="1273" customFormat="false" ht="15" hidden="false" customHeight="false" outlineLevel="0" collapsed="false">
      <c r="A1273" s="34" t="n">
        <v>1265</v>
      </c>
      <c r="B1273" s="35" t="s">
        <v>2587</v>
      </c>
      <c r="C1273" s="35" t="s">
        <v>2588</v>
      </c>
      <c r="D1273" s="35" t="s">
        <v>111</v>
      </c>
      <c r="E1273" s="34" t="n">
        <v>7600</v>
      </c>
      <c r="F1273" s="34" t="n">
        <v>7600</v>
      </c>
      <c r="G1273" s="34" t="n">
        <v>7600</v>
      </c>
      <c r="H1273" s="34" t="n">
        <v>8000</v>
      </c>
      <c r="I1273" s="36" t="n">
        <f aca="false">$E1273/F1273-1</f>
        <v>0</v>
      </c>
      <c r="J1273" s="36" t="n">
        <f aca="false">$E1273/G1273-1</f>
        <v>0</v>
      </c>
      <c r="K1273" s="36" t="n">
        <f aca="false">$E1273/H1273-1</f>
        <v>-0.05</v>
      </c>
      <c r="L1273" s="37" t="n">
        <v>7.66</v>
      </c>
      <c r="M1273" s="37" t="n">
        <v>0.63</v>
      </c>
      <c r="N1273" s="34" t="n">
        <v>8500</v>
      </c>
      <c r="O1273" s="34" t="n">
        <v>7600</v>
      </c>
      <c r="P1273" s="38"/>
      <c r="Q1273" s="38"/>
    </row>
    <row r="1274" customFormat="false" ht="15" hidden="false" customHeight="false" outlineLevel="0" collapsed="false">
      <c r="A1274" s="34" t="n">
        <v>1266</v>
      </c>
      <c r="B1274" s="35" t="s">
        <v>2589</v>
      </c>
      <c r="C1274" s="35" t="s">
        <v>2590</v>
      </c>
      <c r="D1274" s="35" t="s">
        <v>111</v>
      </c>
      <c r="E1274" s="34" t="n">
        <v>1253</v>
      </c>
      <c r="F1274" s="34" t="n">
        <v>1199</v>
      </c>
      <c r="G1274" s="34" t="n">
        <v>1100</v>
      </c>
      <c r="H1274" s="34" t="n">
        <v>800</v>
      </c>
      <c r="I1274" s="36" t="n">
        <f aca="false">$E1274/F1274-1</f>
        <v>0.0450375312760634</v>
      </c>
      <c r="J1274" s="36" t="n">
        <f aca="false">$E1274/G1274-1</f>
        <v>0.139090909090909</v>
      </c>
      <c r="K1274" s="36" t="n">
        <f aca="false">$E1274/H1274-1</f>
        <v>0.56625</v>
      </c>
      <c r="L1274" s="37" t="n">
        <v>-0.1</v>
      </c>
      <c r="M1274" s="37" t="n">
        <v>-0.04</v>
      </c>
      <c r="N1274" s="34" t="n">
        <v>1800</v>
      </c>
      <c r="O1274" s="34" t="n">
        <v>798</v>
      </c>
      <c r="P1274" s="38"/>
      <c r="Q1274" s="38"/>
    </row>
    <row r="1275" customFormat="false" ht="15" hidden="false" customHeight="false" outlineLevel="0" collapsed="false">
      <c r="A1275" s="34" t="n">
        <v>1267</v>
      </c>
      <c r="B1275" s="35" t="s">
        <v>2591</v>
      </c>
      <c r="C1275" s="35" t="s">
        <v>2592</v>
      </c>
      <c r="D1275" s="35" t="s">
        <v>111</v>
      </c>
      <c r="E1275" s="34" t="n">
        <v>14812</v>
      </c>
      <c r="F1275" s="34" t="n">
        <v>14925</v>
      </c>
      <c r="G1275" s="34" t="n">
        <v>15424</v>
      </c>
      <c r="H1275" s="34" t="n">
        <v>16953</v>
      </c>
      <c r="I1275" s="36" t="n">
        <f aca="false">$E1275/F1275-1</f>
        <v>-0.00757118927973199</v>
      </c>
      <c r="J1275" s="36" t="n">
        <f aca="false">$E1275/G1275-1</f>
        <v>-0.0396784232365145</v>
      </c>
      <c r="K1275" s="36" t="n">
        <f aca="false">$E1275/H1275-1</f>
        <v>-0.126290332094615</v>
      </c>
      <c r="L1275" s="37" t="n">
        <v>8.07</v>
      </c>
      <c r="M1275" s="37" t="n">
        <v>1.07</v>
      </c>
      <c r="N1275" s="34" t="n">
        <v>18847</v>
      </c>
      <c r="O1275" s="34" t="n">
        <v>14591</v>
      </c>
      <c r="P1275" s="38"/>
      <c r="Q1275" s="38"/>
    </row>
    <row r="1276" customFormat="false" ht="15" hidden="false" customHeight="false" outlineLevel="0" collapsed="false">
      <c r="A1276" s="34" t="n">
        <v>1268</v>
      </c>
      <c r="B1276" s="35" t="s">
        <v>60</v>
      </c>
      <c r="C1276" s="35" t="s">
        <v>2593</v>
      </c>
      <c r="D1276" s="35" t="s">
        <v>116</v>
      </c>
      <c r="E1276" s="34" t="n">
        <v>17350</v>
      </c>
      <c r="F1276" s="34" t="n">
        <v>17050</v>
      </c>
      <c r="G1276" s="34" t="n">
        <v>20250</v>
      </c>
      <c r="H1276" s="34" t="n">
        <v>25700</v>
      </c>
      <c r="I1276" s="36" t="n">
        <f aca="false">$E1276/F1276-1</f>
        <v>0.0175953079178885</v>
      </c>
      <c r="J1276" s="36" t="n">
        <f aca="false">$E1276/G1276-1</f>
        <v>-0.14320987654321</v>
      </c>
      <c r="K1276" s="36" t="n">
        <f aca="false">$E1276/H1276-1</f>
        <v>-0.324902723735409</v>
      </c>
      <c r="L1276" s="37" t="n">
        <v>5.34</v>
      </c>
      <c r="M1276" s="37" t="n">
        <v>1.2</v>
      </c>
      <c r="N1276" s="34" t="n">
        <v>32286.14</v>
      </c>
      <c r="O1276" s="34" t="n">
        <v>16150</v>
      </c>
      <c r="P1276" s="38" t="n">
        <v>18.025</v>
      </c>
      <c r="Q1276" s="38" t="n">
        <v>1.62</v>
      </c>
    </row>
    <row r="1277" customFormat="false" ht="15" hidden="false" customHeight="false" outlineLevel="0" collapsed="false">
      <c r="A1277" s="34" t="n">
        <v>1269</v>
      </c>
      <c r="B1277" s="35" t="s">
        <v>2594</v>
      </c>
      <c r="C1277" s="35" t="s">
        <v>2595</v>
      </c>
      <c r="D1277" s="35" t="s">
        <v>111</v>
      </c>
      <c r="E1277" s="34" t="n">
        <v>19000</v>
      </c>
      <c r="F1277" s="34" t="n">
        <v>19000</v>
      </c>
      <c r="G1277" s="34" t="n">
        <v>20000</v>
      </c>
      <c r="H1277" s="34" t="n">
        <v>26000</v>
      </c>
      <c r="I1277" s="36" t="n">
        <f aca="false">$E1277/F1277-1</f>
        <v>0</v>
      </c>
      <c r="J1277" s="36" t="n">
        <f aca="false">$E1277/G1277-1</f>
        <v>-0.05</v>
      </c>
      <c r="K1277" s="36" t="n">
        <f aca="false">$E1277/H1277-1</f>
        <v>-0.269230769230769</v>
      </c>
      <c r="L1277" s="37" t="n">
        <v>5.87</v>
      </c>
      <c r="M1277" s="37" t="n">
        <v>0.91</v>
      </c>
      <c r="N1277" s="34" t="n">
        <v>28700</v>
      </c>
      <c r="O1277" s="34" t="n">
        <v>16000</v>
      </c>
      <c r="P1277" s="38"/>
      <c r="Q1277" s="38"/>
    </row>
    <row r="1278" customFormat="false" ht="15" hidden="false" customHeight="false" outlineLevel="0" collapsed="false">
      <c r="A1278" s="34" t="n">
        <v>1270</v>
      </c>
      <c r="B1278" s="35" t="s">
        <v>2596</v>
      </c>
      <c r="C1278" s="35" t="s">
        <v>2597</v>
      </c>
      <c r="D1278" s="35" t="s">
        <v>111</v>
      </c>
      <c r="E1278" s="34" t="n">
        <v>1200</v>
      </c>
      <c r="F1278" s="34" t="n">
        <v>1200</v>
      </c>
      <c r="G1278" s="34" t="n">
        <v>1200</v>
      </c>
      <c r="H1278" s="34" t="n">
        <v>1200</v>
      </c>
      <c r="I1278" s="36" t="n">
        <f aca="false">$E1278/F1278-1</f>
        <v>0</v>
      </c>
      <c r="J1278" s="36" t="n">
        <f aca="false">$E1278/G1278-1</f>
        <v>0</v>
      </c>
      <c r="K1278" s="36" t="n">
        <f aca="false">$E1278/H1278-1</f>
        <v>0</v>
      </c>
      <c r="L1278" s="37" t="n">
        <v>-0.43</v>
      </c>
      <c r="M1278" s="37" t="n">
        <v>-0.44</v>
      </c>
      <c r="N1278" s="34" t="n">
        <v>1700</v>
      </c>
      <c r="O1278" s="34" t="n">
        <v>1200</v>
      </c>
      <c r="P1278" s="38"/>
      <c r="Q1278" s="38"/>
    </row>
    <row r="1279" customFormat="false" ht="15" hidden="false" customHeight="false" outlineLevel="0" collapsed="false">
      <c r="A1279" s="34" t="n">
        <v>1271</v>
      </c>
      <c r="B1279" s="35" t="s">
        <v>2598</v>
      </c>
      <c r="C1279" s="35" t="s">
        <v>2599</v>
      </c>
      <c r="D1279" s="35" t="s">
        <v>337</v>
      </c>
      <c r="E1279" s="34"/>
      <c r="F1279" s="34"/>
      <c r="G1279" s="34"/>
      <c r="H1279" s="34" t="n">
        <v>1200</v>
      </c>
      <c r="I1279" s="36" t="e">
        <f aca="false">$E1279/F1279-1</f>
        <v>#DIV/0!</v>
      </c>
      <c r="J1279" s="36" t="e">
        <f aca="false">$E1279/G1279-1</f>
        <v>#DIV/0!</v>
      </c>
      <c r="K1279" s="36" t="n">
        <f aca="false">$E1279/H1279-1</f>
        <v>-1</v>
      </c>
      <c r="L1279" s="37"/>
      <c r="M1279" s="37"/>
      <c r="N1279" s="34"/>
      <c r="O1279" s="34"/>
      <c r="P1279" s="38"/>
      <c r="Q1279" s="38"/>
    </row>
    <row r="1280" customFormat="false" ht="15" hidden="false" customHeight="false" outlineLevel="0" collapsed="false">
      <c r="A1280" s="34" t="n">
        <v>1272</v>
      </c>
      <c r="B1280" s="35" t="s">
        <v>2600</v>
      </c>
      <c r="C1280" s="35" t="s">
        <v>2601</v>
      </c>
      <c r="D1280" s="35" t="s">
        <v>111</v>
      </c>
      <c r="E1280" s="34" t="n">
        <v>8000</v>
      </c>
      <c r="F1280" s="34" t="n">
        <v>9400</v>
      </c>
      <c r="G1280" s="34" t="n">
        <v>9500</v>
      </c>
      <c r="H1280" s="34" t="n">
        <v>10300</v>
      </c>
      <c r="I1280" s="36" t="n">
        <f aca="false">$E1280/F1280-1</f>
        <v>-0.148936170212766</v>
      </c>
      <c r="J1280" s="36" t="n">
        <f aca="false">$E1280/G1280-1</f>
        <v>-0.157894736842105</v>
      </c>
      <c r="K1280" s="36" t="n">
        <f aca="false">$E1280/H1280-1</f>
        <v>-0.223300970873786</v>
      </c>
      <c r="L1280" s="37" t="n">
        <v>4.31</v>
      </c>
      <c r="M1280" s="37" t="n">
        <v>0.46</v>
      </c>
      <c r="N1280" s="34" t="n">
        <v>10300</v>
      </c>
      <c r="O1280" s="34" t="n">
        <v>7762.4</v>
      </c>
      <c r="P1280" s="38"/>
      <c r="Q1280" s="38"/>
    </row>
    <row r="1281" customFormat="false" ht="15" hidden="false" customHeight="false" outlineLevel="0" collapsed="false">
      <c r="A1281" s="34" t="n">
        <v>1273</v>
      </c>
      <c r="B1281" s="35" t="s">
        <v>2602</v>
      </c>
      <c r="C1281" s="35" t="s">
        <v>2603</v>
      </c>
      <c r="D1281" s="35" t="s">
        <v>111</v>
      </c>
      <c r="E1281" s="34"/>
      <c r="F1281" s="34"/>
      <c r="G1281" s="34"/>
      <c r="H1281" s="34"/>
      <c r="I1281" s="36" t="e">
        <f aca="false">$E1281/F1281-1</f>
        <v>#DIV/0!</v>
      </c>
      <c r="J1281" s="36" t="e">
        <f aca="false">$E1281/G1281-1</f>
        <v>#DIV/0!</v>
      </c>
      <c r="K1281" s="36" t="e">
        <f aca="false">$E1281/H1281-1</f>
        <v>#DIV/0!</v>
      </c>
      <c r="L1281" s="37"/>
      <c r="M1281" s="37"/>
      <c r="N1281" s="34"/>
      <c r="O1281" s="34"/>
      <c r="P1281" s="38"/>
      <c r="Q1281" s="38"/>
    </row>
    <row r="1282" customFormat="false" ht="15" hidden="false" customHeight="false" outlineLevel="0" collapsed="false">
      <c r="A1282" s="34" t="n">
        <v>1274</v>
      </c>
      <c r="B1282" s="35" t="s">
        <v>87</v>
      </c>
      <c r="C1282" s="35" t="s">
        <v>2604</v>
      </c>
      <c r="D1282" s="35" t="s">
        <v>116</v>
      </c>
      <c r="E1282" s="34" t="n">
        <v>51400</v>
      </c>
      <c r="F1282" s="34" t="n">
        <v>52600</v>
      </c>
      <c r="G1282" s="34" t="n">
        <v>57800</v>
      </c>
      <c r="H1282" s="34" t="n">
        <v>56100</v>
      </c>
      <c r="I1282" s="36" t="n">
        <f aca="false">$E1282/F1282-1</f>
        <v>-0.0228136882129277</v>
      </c>
      <c r="J1282" s="36" t="n">
        <f aca="false">$E1282/G1282-1</f>
        <v>-0.110726643598616</v>
      </c>
      <c r="K1282" s="36" t="n">
        <f aca="false">$E1282/H1282-1</f>
        <v>-0.0837789661319073</v>
      </c>
      <c r="L1282" s="37" t="n">
        <v>7.96</v>
      </c>
      <c r="M1282" s="37" t="n">
        <v>1.15</v>
      </c>
      <c r="N1282" s="34" t="n">
        <v>69200</v>
      </c>
      <c r="O1282" s="34" t="n">
        <v>51400</v>
      </c>
      <c r="P1282" s="38" t="n">
        <v>10.47</v>
      </c>
      <c r="Q1282" s="38" t="n">
        <v>1.73</v>
      </c>
    </row>
    <row r="1283" customFormat="false" ht="15" hidden="false" customHeight="false" outlineLevel="0" collapsed="false">
      <c r="A1283" s="34" t="n">
        <v>1275</v>
      </c>
      <c r="B1283" s="35" t="s">
        <v>2605</v>
      </c>
      <c r="C1283" s="35" t="s">
        <v>2606</v>
      </c>
      <c r="D1283" s="35" t="s">
        <v>133</v>
      </c>
      <c r="E1283" s="34" t="n">
        <v>39500</v>
      </c>
      <c r="F1283" s="34" t="n">
        <v>39600</v>
      </c>
      <c r="G1283" s="34" t="n">
        <v>42000</v>
      </c>
      <c r="H1283" s="34" t="n">
        <v>41300</v>
      </c>
      <c r="I1283" s="36" t="n">
        <f aca="false">$E1283/F1283-1</f>
        <v>-0.00252525252525249</v>
      </c>
      <c r="J1283" s="36" t="n">
        <f aca="false">$E1283/G1283-1</f>
        <v>-0.0595238095238095</v>
      </c>
      <c r="K1283" s="36" t="n">
        <f aca="false">$E1283/H1283-1</f>
        <v>-0.0435835351089589</v>
      </c>
      <c r="L1283" s="37" t="n">
        <v>15.59</v>
      </c>
      <c r="M1283" s="37" t="n">
        <v>3.18</v>
      </c>
      <c r="N1283" s="34" t="n">
        <v>46000</v>
      </c>
      <c r="O1283" s="34" t="n">
        <v>35945.5</v>
      </c>
      <c r="P1283" s="38"/>
      <c r="Q1283" s="38"/>
    </row>
    <row r="1284" customFormat="false" ht="15" hidden="false" customHeight="false" outlineLevel="0" collapsed="false">
      <c r="A1284" s="34" t="n">
        <v>1276</v>
      </c>
      <c r="B1284" s="35" t="s">
        <v>2607</v>
      </c>
      <c r="C1284" s="35" t="s">
        <v>2608</v>
      </c>
      <c r="D1284" s="35" t="s">
        <v>111</v>
      </c>
      <c r="E1284" s="34" t="n">
        <v>350000</v>
      </c>
      <c r="F1284" s="34" t="n">
        <v>378900</v>
      </c>
      <c r="G1284" s="34" t="n">
        <v>341500</v>
      </c>
      <c r="H1284" s="34" t="n">
        <v>367647.6</v>
      </c>
      <c r="I1284" s="36" t="n">
        <f aca="false">$E1284/F1284-1</f>
        <v>-0.0762734230667722</v>
      </c>
      <c r="J1284" s="36" t="n">
        <f aca="false">$E1284/G1284-1</f>
        <v>0.0248901903367496</v>
      </c>
      <c r="K1284" s="36" t="n">
        <f aca="false">$E1284/H1284-1</f>
        <v>-0.0480014013419372</v>
      </c>
      <c r="L1284" s="37" t="n">
        <v>9.18</v>
      </c>
      <c r="M1284" s="37" t="n">
        <v>1.91</v>
      </c>
      <c r="N1284" s="34" t="n">
        <v>436334.45</v>
      </c>
      <c r="O1284" s="34" t="n">
        <v>300443.2</v>
      </c>
      <c r="P1284" s="38"/>
      <c r="Q1284" s="38"/>
    </row>
    <row r="1285" customFormat="false" ht="15" hidden="false" customHeight="false" outlineLevel="0" collapsed="false">
      <c r="A1285" s="34" t="n">
        <v>1277</v>
      </c>
      <c r="B1285" s="35" t="s">
        <v>2609</v>
      </c>
      <c r="C1285" s="35" t="s">
        <v>2610</v>
      </c>
      <c r="D1285" s="35" t="s">
        <v>111</v>
      </c>
      <c r="E1285" s="34" t="n">
        <v>18723</v>
      </c>
      <c r="F1285" s="34" t="n">
        <v>19182</v>
      </c>
      <c r="G1285" s="34" t="n">
        <v>18336</v>
      </c>
      <c r="H1285" s="34" t="n">
        <v>33111</v>
      </c>
      <c r="I1285" s="36" t="n">
        <f aca="false">$E1285/F1285-1</f>
        <v>-0.0239286831404442</v>
      </c>
      <c r="J1285" s="36" t="n">
        <f aca="false">$E1285/G1285-1</f>
        <v>0.0211060209424083</v>
      </c>
      <c r="K1285" s="36" t="n">
        <f aca="false">$E1285/H1285-1</f>
        <v>-0.434538370934131</v>
      </c>
      <c r="L1285" s="37" t="n">
        <v>17.18</v>
      </c>
      <c r="M1285" s="37" t="n">
        <v>1.18</v>
      </c>
      <c r="N1285" s="34" t="n">
        <v>34914</v>
      </c>
      <c r="O1285" s="34" t="n">
        <v>16278</v>
      </c>
      <c r="P1285" s="38"/>
      <c r="Q1285" s="38"/>
    </row>
    <row r="1286" customFormat="false" ht="15" hidden="false" customHeight="false" outlineLevel="0" collapsed="false">
      <c r="A1286" s="34" t="n">
        <v>1278</v>
      </c>
      <c r="B1286" s="35" t="s">
        <v>2611</v>
      </c>
      <c r="C1286" s="35" t="s">
        <v>2612</v>
      </c>
      <c r="D1286" s="35" t="s">
        <v>111</v>
      </c>
      <c r="E1286" s="34" t="n">
        <v>12100</v>
      </c>
      <c r="F1286" s="34" t="n">
        <v>12200</v>
      </c>
      <c r="G1286" s="34" t="n">
        <v>12200</v>
      </c>
      <c r="H1286" s="34" t="n">
        <v>26900</v>
      </c>
      <c r="I1286" s="36" t="n">
        <f aca="false">$E1286/F1286-1</f>
        <v>-0.00819672131147542</v>
      </c>
      <c r="J1286" s="36" t="n">
        <f aca="false">$E1286/G1286-1</f>
        <v>-0.00819672131147542</v>
      </c>
      <c r="K1286" s="36" t="n">
        <f aca="false">$E1286/H1286-1</f>
        <v>-0.550185873605948</v>
      </c>
      <c r="L1286" s="37" t="n">
        <v>-5.82</v>
      </c>
      <c r="M1286" s="37" t="n">
        <v>7.04</v>
      </c>
      <c r="N1286" s="34" t="n">
        <v>26900</v>
      </c>
      <c r="O1286" s="34" t="n">
        <v>12000</v>
      </c>
      <c r="P1286" s="38"/>
      <c r="Q1286" s="38"/>
    </row>
    <row r="1287" customFormat="false" ht="15" hidden="false" customHeight="false" outlineLevel="0" collapsed="false">
      <c r="A1287" s="34" t="n">
        <v>1279</v>
      </c>
      <c r="B1287" s="35" t="s">
        <v>2613</v>
      </c>
      <c r="C1287" s="35" t="s">
        <v>2614</v>
      </c>
      <c r="D1287" s="35" t="s">
        <v>111</v>
      </c>
      <c r="E1287" s="34" t="n">
        <v>399</v>
      </c>
      <c r="F1287" s="34" t="n">
        <v>400</v>
      </c>
      <c r="G1287" s="34" t="n">
        <v>400</v>
      </c>
      <c r="H1287" s="34" t="n">
        <v>500</v>
      </c>
      <c r="I1287" s="36" t="n">
        <f aca="false">$E1287/F1287-1</f>
        <v>-0.00249999999999995</v>
      </c>
      <c r="J1287" s="36" t="n">
        <f aca="false">$E1287/G1287-1</f>
        <v>-0.00249999999999995</v>
      </c>
      <c r="K1287" s="36" t="n">
        <f aca="false">$E1287/H1287-1</f>
        <v>-0.202</v>
      </c>
      <c r="L1287" s="37" t="n">
        <v>-0.35</v>
      </c>
      <c r="M1287" s="37" t="n">
        <v>-25.93</v>
      </c>
      <c r="N1287" s="34" t="n">
        <v>607</v>
      </c>
      <c r="O1287" s="34" t="n">
        <v>399</v>
      </c>
      <c r="P1287" s="38"/>
      <c r="Q1287" s="38"/>
    </row>
    <row r="1288" customFormat="false" ht="15" hidden="false" customHeight="false" outlineLevel="0" collapsed="false">
      <c r="A1288" s="34" t="n">
        <v>1280</v>
      </c>
      <c r="B1288" s="35" t="s">
        <v>2615</v>
      </c>
      <c r="C1288" s="35" t="s">
        <v>2616</v>
      </c>
      <c r="D1288" s="35" t="s">
        <v>116</v>
      </c>
      <c r="E1288" s="34" t="n">
        <v>8640</v>
      </c>
      <c r="F1288" s="34" t="n">
        <v>8290</v>
      </c>
      <c r="G1288" s="34" t="n">
        <v>8340</v>
      </c>
      <c r="H1288" s="34" t="n">
        <v>6990</v>
      </c>
      <c r="I1288" s="36" t="n">
        <f aca="false">$E1288/F1288-1</f>
        <v>0.0422195416164053</v>
      </c>
      <c r="J1288" s="36" t="n">
        <f aca="false">$E1288/G1288-1</f>
        <v>0.0359712230215827</v>
      </c>
      <c r="K1288" s="36" t="n">
        <f aca="false">$E1288/H1288-1</f>
        <v>0.236051502145923</v>
      </c>
      <c r="L1288" s="37" t="n">
        <v>115.22</v>
      </c>
      <c r="M1288" s="37" t="n">
        <v>0.75</v>
      </c>
      <c r="N1288" s="34" t="n">
        <v>15900</v>
      </c>
      <c r="O1288" s="34" t="n">
        <v>4700</v>
      </c>
      <c r="P1288" s="38"/>
      <c r="Q1288" s="38"/>
    </row>
    <row r="1289" customFormat="false" ht="15" hidden="false" customHeight="false" outlineLevel="0" collapsed="false">
      <c r="A1289" s="34" t="n">
        <v>1281</v>
      </c>
      <c r="B1289" s="35" t="s">
        <v>2617</v>
      </c>
      <c r="C1289" s="35" t="s">
        <v>2618</v>
      </c>
      <c r="D1289" s="35" t="s">
        <v>133</v>
      </c>
      <c r="E1289" s="34" t="n">
        <v>9200</v>
      </c>
      <c r="F1289" s="34" t="n">
        <v>7800</v>
      </c>
      <c r="G1289" s="34" t="n">
        <v>10000</v>
      </c>
      <c r="H1289" s="34" t="n">
        <v>9100</v>
      </c>
      <c r="I1289" s="36" t="n">
        <f aca="false">$E1289/F1289-1</f>
        <v>0.17948717948718</v>
      </c>
      <c r="J1289" s="36" t="n">
        <f aca="false">$E1289/G1289-1</f>
        <v>-0.08</v>
      </c>
      <c r="K1289" s="36" t="n">
        <f aca="false">$E1289/H1289-1</f>
        <v>0.010989010989011</v>
      </c>
      <c r="L1289" s="37" t="n">
        <v>12.36</v>
      </c>
      <c r="M1289" s="37" t="n">
        <v>0.84</v>
      </c>
      <c r="N1289" s="34" t="n">
        <v>14300</v>
      </c>
      <c r="O1289" s="34" t="n">
        <v>7253.72</v>
      </c>
      <c r="P1289" s="38"/>
      <c r="Q1289" s="38"/>
    </row>
    <row r="1290" customFormat="false" ht="15" hidden="false" customHeight="false" outlineLevel="0" collapsed="false">
      <c r="A1290" s="34" t="n">
        <v>1282</v>
      </c>
      <c r="B1290" s="35" t="s">
        <v>2619</v>
      </c>
      <c r="C1290" s="35" t="s">
        <v>2620</v>
      </c>
      <c r="D1290" s="35" t="s">
        <v>111</v>
      </c>
      <c r="E1290" s="34" t="n">
        <v>17324</v>
      </c>
      <c r="F1290" s="34" t="n">
        <v>16684.11</v>
      </c>
      <c r="G1290" s="34" t="n">
        <v>15912.81</v>
      </c>
      <c r="H1290" s="34" t="n">
        <v>18872.19</v>
      </c>
      <c r="I1290" s="36" t="n">
        <f aca="false">$E1290/F1290-1</f>
        <v>0.0383532594786296</v>
      </c>
      <c r="J1290" s="36" t="n">
        <f aca="false">$E1290/G1290-1</f>
        <v>0.0886826399611382</v>
      </c>
      <c r="K1290" s="36" t="n">
        <f aca="false">$E1290/H1290-1</f>
        <v>-0.0820355242290375</v>
      </c>
      <c r="L1290" s="37" t="n">
        <v>8.88</v>
      </c>
      <c r="M1290" s="37" t="n">
        <v>1.3</v>
      </c>
      <c r="N1290" s="34" t="n">
        <v>20037.34</v>
      </c>
      <c r="O1290" s="34" t="n">
        <v>14587.2</v>
      </c>
      <c r="P1290" s="38"/>
      <c r="Q1290" s="38"/>
    </row>
    <row r="1291" customFormat="false" ht="15" hidden="false" customHeight="false" outlineLevel="0" collapsed="false">
      <c r="A1291" s="34" t="n">
        <v>1283</v>
      </c>
      <c r="B1291" s="35" t="s">
        <v>2621</v>
      </c>
      <c r="C1291" s="35" t="s">
        <v>2622</v>
      </c>
      <c r="D1291" s="35" t="s">
        <v>133</v>
      </c>
      <c r="E1291" s="34" t="n">
        <v>57000</v>
      </c>
      <c r="F1291" s="34" t="n">
        <v>57500</v>
      </c>
      <c r="G1291" s="34" t="n">
        <v>56500</v>
      </c>
      <c r="H1291" s="34" t="n">
        <v>49297.02</v>
      </c>
      <c r="I1291" s="36" t="n">
        <f aca="false">$E1291/F1291-1</f>
        <v>-0.00869565217391299</v>
      </c>
      <c r="J1291" s="36" t="n">
        <f aca="false">$E1291/G1291-1</f>
        <v>0.00884955752212391</v>
      </c>
      <c r="K1291" s="36" t="n">
        <f aca="false">$E1291/H1291-1</f>
        <v>0.156256503942835</v>
      </c>
      <c r="L1291" s="37" t="n">
        <v>14.14</v>
      </c>
      <c r="M1291" s="37" t="n">
        <v>4.38</v>
      </c>
      <c r="N1291" s="34" t="n">
        <v>57900</v>
      </c>
      <c r="O1291" s="34" t="n">
        <v>45796.08</v>
      </c>
      <c r="P1291" s="38"/>
      <c r="Q1291" s="38"/>
    </row>
    <row r="1292" customFormat="false" ht="15" hidden="false" customHeight="false" outlineLevel="0" collapsed="false">
      <c r="A1292" s="34" t="n">
        <v>1284</v>
      </c>
      <c r="B1292" s="35" t="s">
        <v>2623</v>
      </c>
      <c r="C1292" s="35" t="s">
        <v>2624</v>
      </c>
      <c r="D1292" s="35" t="s">
        <v>116</v>
      </c>
      <c r="E1292" s="34" t="n">
        <v>33700</v>
      </c>
      <c r="F1292" s="34" t="n">
        <v>33850</v>
      </c>
      <c r="G1292" s="34" t="n">
        <v>35150</v>
      </c>
      <c r="H1292" s="34" t="n">
        <v>33376.64</v>
      </c>
      <c r="I1292" s="36" t="n">
        <f aca="false">$E1292/F1292-1</f>
        <v>-0.00443131462333823</v>
      </c>
      <c r="J1292" s="36" t="n">
        <f aca="false">$E1292/G1292-1</f>
        <v>-0.0412517780938834</v>
      </c>
      <c r="K1292" s="36" t="n">
        <f aca="false">$E1292/H1292-1</f>
        <v>0.00968821307357493</v>
      </c>
      <c r="L1292" s="37" t="n">
        <v>5.07</v>
      </c>
      <c r="M1292" s="37" t="n">
        <v>0.94</v>
      </c>
      <c r="N1292" s="34" t="n">
        <v>42005.26</v>
      </c>
      <c r="O1292" s="34" t="n">
        <v>32997.36</v>
      </c>
      <c r="P1292" s="38"/>
      <c r="Q1292" s="38"/>
    </row>
    <row r="1293" customFormat="false" ht="15" hidden="false" customHeight="false" outlineLevel="0" collapsed="false">
      <c r="A1293" s="34" t="n">
        <v>1285</v>
      </c>
      <c r="B1293" s="35" t="s">
        <v>2625</v>
      </c>
      <c r="C1293" s="35" t="s">
        <v>2626</v>
      </c>
      <c r="D1293" s="35" t="s">
        <v>111</v>
      </c>
      <c r="E1293" s="34" t="n">
        <v>4900</v>
      </c>
      <c r="F1293" s="34" t="n">
        <v>4980</v>
      </c>
      <c r="G1293" s="34" t="n">
        <v>5300</v>
      </c>
      <c r="H1293" s="34" t="n">
        <v>3598</v>
      </c>
      <c r="I1293" s="36" t="n">
        <f aca="false">$E1293/F1293-1</f>
        <v>-0.0160642570281124</v>
      </c>
      <c r="J1293" s="36" t="n">
        <f aca="false">$E1293/G1293-1</f>
        <v>-0.0754716981132075</v>
      </c>
      <c r="K1293" s="36" t="n">
        <f aca="false">$E1293/H1293-1</f>
        <v>0.361867704280156</v>
      </c>
      <c r="L1293" s="37" t="n">
        <v>99.69</v>
      </c>
      <c r="M1293" s="37" t="n">
        <v>0.48</v>
      </c>
      <c r="N1293" s="34" t="n">
        <v>9698</v>
      </c>
      <c r="O1293" s="34" t="n">
        <v>3357</v>
      </c>
      <c r="P1293" s="38"/>
      <c r="Q1293" s="38"/>
    </row>
    <row r="1294" customFormat="false" ht="15" hidden="false" customHeight="false" outlineLevel="0" collapsed="false">
      <c r="A1294" s="34" t="n">
        <v>1286</v>
      </c>
      <c r="B1294" s="35" t="s">
        <v>2627</v>
      </c>
      <c r="C1294" s="35" t="s">
        <v>2628</v>
      </c>
      <c r="D1294" s="35" t="s">
        <v>111</v>
      </c>
      <c r="E1294" s="34" t="n">
        <v>3100</v>
      </c>
      <c r="F1294" s="34" t="n">
        <v>3100</v>
      </c>
      <c r="G1294" s="34" t="n">
        <v>3100</v>
      </c>
      <c r="H1294" s="34" t="n">
        <v>2700</v>
      </c>
      <c r="I1294" s="36" t="n">
        <f aca="false">$E1294/F1294-1</f>
        <v>0</v>
      </c>
      <c r="J1294" s="36" t="n">
        <f aca="false">$E1294/G1294-1</f>
        <v>0</v>
      </c>
      <c r="K1294" s="36" t="n">
        <f aca="false">$E1294/H1294-1</f>
        <v>0.148148148148148</v>
      </c>
      <c r="L1294" s="37" t="n">
        <v>30.23</v>
      </c>
      <c r="M1294" s="37" t="n">
        <v>0.56</v>
      </c>
      <c r="N1294" s="34" t="n">
        <v>3100</v>
      </c>
      <c r="O1294" s="34" t="n">
        <v>2000</v>
      </c>
      <c r="P1294" s="38"/>
      <c r="Q1294" s="38"/>
    </row>
    <row r="1295" customFormat="false" ht="15" hidden="false" customHeight="false" outlineLevel="0" collapsed="false">
      <c r="A1295" s="34" t="n">
        <v>1287</v>
      </c>
      <c r="B1295" s="35" t="s">
        <v>2629</v>
      </c>
      <c r="C1295" s="35" t="s">
        <v>2630</v>
      </c>
      <c r="D1295" s="35" t="s">
        <v>111</v>
      </c>
      <c r="E1295" s="34" t="n">
        <v>8700</v>
      </c>
      <c r="F1295" s="34" t="n">
        <v>8800</v>
      </c>
      <c r="G1295" s="34" t="n">
        <v>9887</v>
      </c>
      <c r="H1295" s="34" t="n">
        <v>11753</v>
      </c>
      <c r="I1295" s="36" t="n">
        <f aca="false">$E1295/F1295-1</f>
        <v>-0.0113636363636364</v>
      </c>
      <c r="J1295" s="36" t="n">
        <f aca="false">$E1295/G1295-1</f>
        <v>-0.120056640032366</v>
      </c>
      <c r="K1295" s="36" t="n">
        <f aca="false">$E1295/H1295-1</f>
        <v>-0.259763464647324</v>
      </c>
      <c r="L1295" s="37" t="n">
        <v>-57.8</v>
      </c>
      <c r="M1295" s="37" t="n">
        <v>0.89</v>
      </c>
      <c r="N1295" s="34" t="n">
        <v>13400</v>
      </c>
      <c r="O1295" s="34" t="n">
        <v>8525</v>
      </c>
      <c r="P1295" s="38"/>
      <c r="Q1295" s="38"/>
    </row>
    <row r="1296" customFormat="false" ht="15" hidden="false" customHeight="false" outlineLevel="0" collapsed="false">
      <c r="A1296" s="34" t="n">
        <v>1288</v>
      </c>
      <c r="B1296" s="35" t="s">
        <v>2631</v>
      </c>
      <c r="C1296" s="35" t="s">
        <v>2632</v>
      </c>
      <c r="D1296" s="35" t="s">
        <v>111</v>
      </c>
      <c r="E1296" s="34" t="n">
        <v>1400</v>
      </c>
      <c r="F1296" s="34" t="n">
        <v>1500</v>
      </c>
      <c r="G1296" s="34" t="n">
        <v>1700</v>
      </c>
      <c r="H1296" s="34" t="n">
        <v>1600</v>
      </c>
      <c r="I1296" s="36" t="n">
        <f aca="false">$E1296/F1296-1</f>
        <v>-0.0666666666666667</v>
      </c>
      <c r="J1296" s="36" t="n">
        <f aca="false">$E1296/G1296-1</f>
        <v>-0.176470588235294</v>
      </c>
      <c r="K1296" s="36" t="n">
        <f aca="false">$E1296/H1296-1</f>
        <v>-0.125</v>
      </c>
      <c r="L1296" s="37" t="n">
        <v>-4.03</v>
      </c>
      <c r="M1296" s="37" t="n">
        <v>0.27</v>
      </c>
      <c r="N1296" s="34" t="n">
        <v>1700</v>
      </c>
      <c r="O1296" s="34" t="n">
        <v>1300</v>
      </c>
      <c r="P1296" s="38"/>
      <c r="Q1296" s="38"/>
    </row>
    <row r="1297" customFormat="false" ht="15" hidden="false" customHeight="false" outlineLevel="0" collapsed="false">
      <c r="A1297" s="34" t="n">
        <v>1289</v>
      </c>
      <c r="B1297" s="35" t="s">
        <v>2633</v>
      </c>
      <c r="C1297" s="35" t="s">
        <v>2634</v>
      </c>
      <c r="D1297" s="35" t="s">
        <v>133</v>
      </c>
      <c r="E1297" s="34" t="n">
        <v>33800</v>
      </c>
      <c r="F1297" s="34" t="n">
        <v>37400</v>
      </c>
      <c r="G1297" s="34" t="n">
        <v>40900</v>
      </c>
      <c r="H1297" s="34" t="n">
        <v>33079.35</v>
      </c>
      <c r="I1297" s="36" t="n">
        <f aca="false">$E1297/F1297-1</f>
        <v>-0.0962566844919787</v>
      </c>
      <c r="J1297" s="36" t="n">
        <f aca="false">$E1297/G1297-1</f>
        <v>-0.17359413202934</v>
      </c>
      <c r="K1297" s="36" t="n">
        <f aca="false">$E1297/H1297-1</f>
        <v>0.0217854945759213</v>
      </c>
      <c r="L1297" s="37" t="n">
        <v>22.7</v>
      </c>
      <c r="M1297" s="37" t="n">
        <v>1.88</v>
      </c>
      <c r="N1297" s="34" t="n">
        <v>48686.52</v>
      </c>
      <c r="O1297" s="34" t="n">
        <v>24048.72</v>
      </c>
      <c r="P1297" s="38"/>
      <c r="Q1297" s="38"/>
    </row>
    <row r="1298" customFormat="false" ht="15" hidden="false" customHeight="false" outlineLevel="0" collapsed="false">
      <c r="A1298" s="34" t="n">
        <v>1290</v>
      </c>
      <c r="B1298" s="35" t="s">
        <v>2635</v>
      </c>
      <c r="C1298" s="35" t="s">
        <v>2636</v>
      </c>
      <c r="D1298" s="35" t="s">
        <v>111</v>
      </c>
      <c r="E1298" s="34" t="n">
        <v>9200</v>
      </c>
      <c r="F1298" s="34" t="n">
        <v>9200</v>
      </c>
      <c r="G1298" s="34" t="n">
        <v>9200</v>
      </c>
      <c r="H1298" s="34" t="n">
        <v>10000</v>
      </c>
      <c r="I1298" s="36" t="n">
        <f aca="false">$E1298/F1298-1</f>
        <v>0</v>
      </c>
      <c r="J1298" s="36" t="n">
        <f aca="false">$E1298/G1298-1</f>
        <v>0</v>
      </c>
      <c r="K1298" s="36" t="n">
        <f aca="false">$E1298/H1298-1</f>
        <v>-0.08</v>
      </c>
      <c r="L1298" s="37" t="n">
        <v>6.49</v>
      </c>
      <c r="M1298" s="37" t="n">
        <v>0.76</v>
      </c>
      <c r="N1298" s="34" t="n">
        <v>10100</v>
      </c>
      <c r="O1298" s="34" t="n">
        <v>8624.7</v>
      </c>
      <c r="P1298" s="38"/>
      <c r="Q1298" s="38"/>
    </row>
    <row r="1299" customFormat="false" ht="15" hidden="false" customHeight="false" outlineLevel="0" collapsed="false">
      <c r="A1299" s="34" t="n">
        <v>1291</v>
      </c>
      <c r="B1299" s="35" t="s">
        <v>2637</v>
      </c>
      <c r="C1299" s="35" t="s">
        <v>2638</v>
      </c>
      <c r="D1299" s="35" t="s">
        <v>111</v>
      </c>
      <c r="E1299" s="34" t="n">
        <v>41000</v>
      </c>
      <c r="F1299" s="34" t="n">
        <v>41000</v>
      </c>
      <c r="G1299" s="34" t="n">
        <v>36000.36</v>
      </c>
      <c r="H1299" s="34" t="n">
        <v>31479.13</v>
      </c>
      <c r="I1299" s="36" t="n">
        <f aca="false">$E1299/F1299-1</f>
        <v>0</v>
      </c>
      <c r="J1299" s="36" t="n">
        <f aca="false">$E1299/G1299-1</f>
        <v>0.138877500113888</v>
      </c>
      <c r="K1299" s="36" t="n">
        <f aca="false">$E1299/H1299-1</f>
        <v>0.302450226546922</v>
      </c>
      <c r="L1299" s="37" t="n">
        <v>17.33</v>
      </c>
      <c r="M1299" s="37" t="n">
        <v>2.84</v>
      </c>
      <c r="N1299" s="34" t="n">
        <v>41000</v>
      </c>
      <c r="O1299" s="34" t="n">
        <v>14719.82</v>
      </c>
      <c r="P1299" s="38"/>
      <c r="Q1299" s="38"/>
    </row>
    <row r="1300" customFormat="false" ht="15" hidden="false" customHeight="false" outlineLevel="0" collapsed="false">
      <c r="A1300" s="34" t="n">
        <v>1292</v>
      </c>
      <c r="B1300" s="35" t="s">
        <v>2639</v>
      </c>
      <c r="C1300" s="35" t="s">
        <v>2640</v>
      </c>
      <c r="D1300" s="35" t="s">
        <v>111</v>
      </c>
      <c r="E1300" s="34" t="n">
        <v>16000</v>
      </c>
      <c r="F1300" s="34" t="n">
        <v>19000</v>
      </c>
      <c r="G1300" s="34" t="n">
        <v>19000</v>
      </c>
      <c r="H1300" s="34" t="n">
        <v>18973.5</v>
      </c>
      <c r="I1300" s="36" t="n">
        <f aca="false">$E1300/F1300-1</f>
        <v>-0.157894736842105</v>
      </c>
      <c r="J1300" s="36" t="n">
        <f aca="false">$E1300/G1300-1</f>
        <v>-0.157894736842105</v>
      </c>
      <c r="K1300" s="36" t="n">
        <f aca="false">$E1300/H1300-1</f>
        <v>-0.156718581179013</v>
      </c>
      <c r="L1300" s="37" t="n">
        <v>26.7</v>
      </c>
      <c r="M1300" s="37" t="n">
        <v>1.45</v>
      </c>
      <c r="N1300" s="34" t="n">
        <v>23838.5</v>
      </c>
      <c r="O1300" s="34" t="n">
        <v>14205.8</v>
      </c>
      <c r="P1300" s="38"/>
      <c r="Q1300" s="38"/>
    </row>
    <row r="1301" customFormat="false" ht="15" hidden="false" customHeight="false" outlineLevel="0" collapsed="false">
      <c r="A1301" s="34" t="n">
        <v>1293</v>
      </c>
      <c r="B1301" s="35" t="s">
        <v>2641</v>
      </c>
      <c r="C1301" s="35" t="s">
        <v>2642</v>
      </c>
      <c r="D1301" s="35" t="s">
        <v>133</v>
      </c>
      <c r="E1301" s="34" t="n">
        <v>14000</v>
      </c>
      <c r="F1301" s="34" t="n">
        <v>14900</v>
      </c>
      <c r="G1301" s="34" t="n">
        <v>14900</v>
      </c>
      <c r="H1301" s="34" t="n">
        <v>20783</v>
      </c>
      <c r="I1301" s="36" t="n">
        <f aca="false">$E1301/F1301-1</f>
        <v>-0.0604026845637584</v>
      </c>
      <c r="J1301" s="36" t="n">
        <f aca="false">$E1301/G1301-1</f>
        <v>-0.0604026845637584</v>
      </c>
      <c r="K1301" s="36" t="n">
        <f aca="false">$E1301/H1301-1</f>
        <v>-0.326372515998653</v>
      </c>
      <c r="L1301" s="37" t="n">
        <v>3.41</v>
      </c>
      <c r="M1301" s="37" t="n">
        <v>1.14</v>
      </c>
      <c r="N1301" s="34" t="n">
        <v>23752</v>
      </c>
      <c r="O1301" s="34" t="n">
        <v>14000</v>
      </c>
      <c r="P1301" s="38"/>
      <c r="Q1301" s="38"/>
    </row>
    <row r="1302" customFormat="false" ht="15" hidden="false" customHeight="false" outlineLevel="0" collapsed="false">
      <c r="A1302" s="34" t="n">
        <v>1294</v>
      </c>
      <c r="B1302" s="35" t="s">
        <v>2643</v>
      </c>
      <c r="C1302" s="35" t="s">
        <v>2644</v>
      </c>
      <c r="D1302" s="35" t="s">
        <v>111</v>
      </c>
      <c r="E1302" s="34" t="n">
        <v>3300</v>
      </c>
      <c r="F1302" s="34" t="n">
        <v>3300</v>
      </c>
      <c r="G1302" s="34" t="n">
        <v>3509</v>
      </c>
      <c r="H1302" s="34" t="n">
        <v>4200</v>
      </c>
      <c r="I1302" s="36" t="n">
        <f aca="false">$E1302/F1302-1</f>
        <v>0</v>
      </c>
      <c r="J1302" s="36" t="n">
        <f aca="false">$E1302/G1302-1</f>
        <v>-0.0595611285266457</v>
      </c>
      <c r="K1302" s="36" t="n">
        <f aca="false">$E1302/H1302-1</f>
        <v>-0.214285714285714</v>
      </c>
      <c r="L1302" s="37" t="n">
        <v>20.86</v>
      </c>
      <c r="M1302" s="37" t="n">
        <v>0.31</v>
      </c>
      <c r="N1302" s="34" t="n">
        <v>5072.26</v>
      </c>
      <c r="O1302" s="34" t="n">
        <v>3268</v>
      </c>
      <c r="P1302" s="38"/>
      <c r="Q1302" s="38"/>
    </row>
    <row r="1303" customFormat="false" ht="15" hidden="false" customHeight="false" outlineLevel="0" collapsed="false">
      <c r="A1303" s="34" t="n">
        <v>1295</v>
      </c>
      <c r="B1303" s="35" t="s">
        <v>2645</v>
      </c>
      <c r="C1303" s="35" t="s">
        <v>2646</v>
      </c>
      <c r="D1303" s="35" t="s">
        <v>133</v>
      </c>
      <c r="E1303" s="34" t="n">
        <v>8600</v>
      </c>
      <c r="F1303" s="34" t="n">
        <v>8100</v>
      </c>
      <c r="G1303" s="34" t="n">
        <v>8100</v>
      </c>
      <c r="H1303" s="34" t="n">
        <v>8700</v>
      </c>
      <c r="I1303" s="36" t="n">
        <f aca="false">$E1303/F1303-1</f>
        <v>0.0617283950617285</v>
      </c>
      <c r="J1303" s="36" t="n">
        <f aca="false">$E1303/G1303-1</f>
        <v>0.0617283950617285</v>
      </c>
      <c r="K1303" s="36" t="n">
        <f aca="false">$E1303/H1303-1</f>
        <v>-0.0114942528735632</v>
      </c>
      <c r="L1303" s="37" t="n">
        <v>11.04</v>
      </c>
      <c r="M1303" s="37" t="n">
        <v>0.59</v>
      </c>
      <c r="N1303" s="34" t="n">
        <v>10300</v>
      </c>
      <c r="O1303" s="34" t="n">
        <v>7900</v>
      </c>
      <c r="P1303" s="38"/>
      <c r="Q1303" s="38"/>
    </row>
    <row r="1304" customFormat="false" ht="15" hidden="false" customHeight="false" outlineLevel="0" collapsed="false">
      <c r="A1304" s="34" t="n">
        <v>1296</v>
      </c>
      <c r="B1304" s="35" t="s">
        <v>2647</v>
      </c>
      <c r="C1304" s="35" t="s">
        <v>2648</v>
      </c>
      <c r="D1304" s="35" t="s">
        <v>111</v>
      </c>
      <c r="E1304" s="34" t="n">
        <v>6580</v>
      </c>
      <c r="F1304" s="34" t="n">
        <v>6500</v>
      </c>
      <c r="G1304" s="34" t="n">
        <v>6916</v>
      </c>
      <c r="H1304" s="34" t="n">
        <v>6065</v>
      </c>
      <c r="I1304" s="36" t="n">
        <f aca="false">$E1304/F1304-1</f>
        <v>0.0123076923076924</v>
      </c>
      <c r="J1304" s="36" t="n">
        <f aca="false">$E1304/G1304-1</f>
        <v>-0.048582995951417</v>
      </c>
      <c r="K1304" s="36" t="n">
        <f aca="false">$E1304/H1304-1</f>
        <v>0.0849134377576257</v>
      </c>
      <c r="L1304" s="37" t="n">
        <v>9.39</v>
      </c>
      <c r="M1304" s="37" t="n">
        <v>0.62</v>
      </c>
      <c r="N1304" s="34" t="n">
        <v>8361</v>
      </c>
      <c r="O1304" s="34" t="n">
        <v>5853</v>
      </c>
      <c r="P1304" s="38"/>
      <c r="Q1304" s="38"/>
    </row>
    <row r="1305" customFormat="false" ht="15" hidden="false" customHeight="false" outlineLevel="0" collapsed="false">
      <c r="A1305" s="34" t="n">
        <v>1297</v>
      </c>
      <c r="B1305" s="35" t="s">
        <v>2649</v>
      </c>
      <c r="C1305" s="35" t="s">
        <v>2650</v>
      </c>
      <c r="D1305" s="35" t="s">
        <v>116</v>
      </c>
      <c r="E1305" s="34" t="n">
        <v>7450</v>
      </c>
      <c r="F1305" s="34" t="n">
        <v>7410</v>
      </c>
      <c r="G1305" s="34" t="n">
        <v>7740</v>
      </c>
      <c r="H1305" s="34" t="n">
        <v>8390</v>
      </c>
      <c r="I1305" s="36" t="n">
        <f aca="false">$E1305/F1305-1</f>
        <v>0.00539811066126861</v>
      </c>
      <c r="J1305" s="36" t="n">
        <f aca="false">$E1305/G1305-1</f>
        <v>-0.037467700258398</v>
      </c>
      <c r="K1305" s="36" t="n">
        <f aca="false">$E1305/H1305-1</f>
        <v>-0.112038140643623</v>
      </c>
      <c r="L1305" s="37" t="n">
        <v>13.04</v>
      </c>
      <c r="M1305" s="37" t="n">
        <v>0.49</v>
      </c>
      <c r="N1305" s="34" t="n">
        <v>10950</v>
      </c>
      <c r="O1305" s="34" t="n">
        <v>7410</v>
      </c>
      <c r="P1305" s="38"/>
      <c r="Q1305" s="38"/>
    </row>
    <row r="1306" customFormat="false" ht="15" hidden="false" customHeight="false" outlineLevel="0" collapsed="false">
      <c r="A1306" s="34" t="n">
        <v>1298</v>
      </c>
      <c r="B1306" s="35" t="s">
        <v>2651</v>
      </c>
      <c r="C1306" s="35" t="s">
        <v>2652</v>
      </c>
      <c r="D1306" s="35" t="s">
        <v>111</v>
      </c>
      <c r="E1306" s="34" t="n">
        <v>10838</v>
      </c>
      <c r="F1306" s="34" t="n">
        <v>10500</v>
      </c>
      <c r="G1306" s="34" t="n">
        <v>10000</v>
      </c>
      <c r="H1306" s="34" t="n">
        <v>5579.56</v>
      </c>
      <c r="I1306" s="36" t="n">
        <f aca="false">$E1306/F1306-1</f>
        <v>0.0321904761904761</v>
      </c>
      <c r="J1306" s="36" t="n">
        <f aca="false">$E1306/G1306-1</f>
        <v>0.0838000000000001</v>
      </c>
      <c r="K1306" s="36" t="n">
        <f aca="false">$E1306/H1306-1</f>
        <v>0.942447074679724</v>
      </c>
      <c r="L1306" s="37" t="n">
        <v>12.8</v>
      </c>
      <c r="M1306" s="37" t="n">
        <v>1.03</v>
      </c>
      <c r="N1306" s="34" t="n">
        <v>11917</v>
      </c>
      <c r="O1306" s="34" t="n">
        <v>4356.17</v>
      </c>
      <c r="P1306" s="38"/>
      <c r="Q1306" s="38"/>
    </row>
    <row r="1307" customFormat="false" ht="15" hidden="false" customHeight="false" outlineLevel="0" collapsed="false">
      <c r="A1307" s="34" t="n">
        <v>1299</v>
      </c>
      <c r="B1307" s="35" t="s">
        <v>2653</v>
      </c>
      <c r="C1307" s="35" t="s">
        <v>2654</v>
      </c>
      <c r="D1307" s="35" t="s">
        <v>111</v>
      </c>
      <c r="E1307" s="34"/>
      <c r="F1307" s="34"/>
      <c r="G1307" s="34"/>
      <c r="H1307" s="34"/>
      <c r="I1307" s="36" t="e">
        <f aca="false">$E1307/F1307-1</f>
        <v>#DIV/0!</v>
      </c>
      <c r="J1307" s="36" t="e">
        <f aca="false">$E1307/G1307-1</f>
        <v>#DIV/0!</v>
      </c>
      <c r="K1307" s="36" t="e">
        <f aca="false">$E1307/H1307-1</f>
        <v>#DIV/0!</v>
      </c>
      <c r="L1307" s="37"/>
      <c r="M1307" s="37"/>
      <c r="N1307" s="34"/>
      <c r="O1307" s="34"/>
      <c r="P1307" s="38"/>
      <c r="Q1307" s="38"/>
    </row>
    <row r="1308" customFormat="false" ht="15" hidden="false" customHeight="false" outlineLevel="0" collapsed="false">
      <c r="A1308" s="34" t="n">
        <v>1300</v>
      </c>
      <c r="B1308" s="35" t="s">
        <v>2655</v>
      </c>
      <c r="C1308" s="35" t="s">
        <v>2656</v>
      </c>
      <c r="D1308" s="35" t="s">
        <v>133</v>
      </c>
      <c r="E1308" s="34" t="n">
        <v>24000</v>
      </c>
      <c r="F1308" s="34" t="n">
        <v>24000</v>
      </c>
      <c r="G1308" s="34" t="n">
        <v>24000</v>
      </c>
      <c r="H1308" s="34" t="n">
        <v>26500</v>
      </c>
      <c r="I1308" s="36" t="n">
        <f aca="false">$E1308/F1308-1</f>
        <v>0</v>
      </c>
      <c r="J1308" s="36" t="n">
        <f aca="false">$E1308/G1308-1</f>
        <v>0</v>
      </c>
      <c r="K1308" s="36" t="n">
        <f aca="false">$E1308/H1308-1</f>
        <v>-0.0943396226415094</v>
      </c>
      <c r="L1308" s="37" t="n">
        <v>6.72</v>
      </c>
      <c r="M1308" s="37" t="n">
        <v>1.46</v>
      </c>
      <c r="N1308" s="34" t="n">
        <v>29000</v>
      </c>
      <c r="O1308" s="34" t="n">
        <v>24000</v>
      </c>
      <c r="P1308" s="38"/>
      <c r="Q1308" s="38"/>
    </row>
    <row r="1309" customFormat="false" ht="15" hidden="false" customHeight="false" outlineLevel="0" collapsed="false">
      <c r="A1309" s="34" t="n">
        <v>1301</v>
      </c>
      <c r="B1309" s="35" t="s">
        <v>2657</v>
      </c>
      <c r="C1309" s="35" t="s">
        <v>2658</v>
      </c>
      <c r="D1309" s="35" t="s">
        <v>133</v>
      </c>
      <c r="E1309" s="34" t="n">
        <v>10600</v>
      </c>
      <c r="F1309" s="34" t="n">
        <v>10600</v>
      </c>
      <c r="G1309" s="34" t="n">
        <v>10600</v>
      </c>
      <c r="H1309" s="34" t="n">
        <v>10800</v>
      </c>
      <c r="I1309" s="36" t="n">
        <f aca="false">$E1309/F1309-1</f>
        <v>0</v>
      </c>
      <c r="J1309" s="36" t="n">
        <f aca="false">$E1309/G1309-1</f>
        <v>0</v>
      </c>
      <c r="K1309" s="36" t="n">
        <f aca="false">$E1309/H1309-1</f>
        <v>-0.0185185185185185</v>
      </c>
      <c r="L1309" s="37" t="n">
        <v>40.63</v>
      </c>
      <c r="M1309" s="37" t="n">
        <v>0.54</v>
      </c>
      <c r="N1309" s="34" t="n">
        <v>12000</v>
      </c>
      <c r="O1309" s="34" t="n">
        <v>9900</v>
      </c>
      <c r="P1309" s="38"/>
      <c r="Q1309" s="38"/>
    </row>
    <row r="1310" customFormat="false" ht="15" hidden="false" customHeight="false" outlineLevel="0" collapsed="false">
      <c r="A1310" s="34" t="n">
        <v>1302</v>
      </c>
      <c r="B1310" s="35" t="s">
        <v>2659</v>
      </c>
      <c r="C1310" s="35" t="s">
        <v>2660</v>
      </c>
      <c r="D1310" s="35" t="s">
        <v>116</v>
      </c>
      <c r="E1310" s="34" t="n">
        <v>42500</v>
      </c>
      <c r="F1310" s="34" t="n">
        <v>42500</v>
      </c>
      <c r="G1310" s="34" t="n">
        <v>42221.32</v>
      </c>
      <c r="H1310" s="34" t="n">
        <v>33954.54</v>
      </c>
      <c r="I1310" s="36" t="n">
        <f aca="false">$E1310/F1310-1</f>
        <v>0</v>
      </c>
      <c r="J1310" s="36" t="n">
        <f aca="false">$E1310/G1310-1</f>
        <v>0.00660045683081445</v>
      </c>
      <c r="K1310" s="36" t="n">
        <f aca="false">$E1310/H1310-1</f>
        <v>0.251673561179153</v>
      </c>
      <c r="L1310" s="37" t="n">
        <v>4.22</v>
      </c>
      <c r="M1310" s="37" t="n">
        <v>1.22</v>
      </c>
      <c r="N1310" s="34" t="n">
        <v>45770.9</v>
      </c>
      <c r="O1310" s="34" t="n">
        <v>31759.4</v>
      </c>
      <c r="P1310" s="38"/>
      <c r="Q1310" s="38"/>
    </row>
    <row r="1311" customFormat="false" ht="15" hidden="false" customHeight="false" outlineLevel="0" collapsed="false">
      <c r="A1311" s="34" t="n">
        <v>1303</v>
      </c>
      <c r="B1311" s="35" t="s">
        <v>2661</v>
      </c>
      <c r="C1311" s="35" t="s">
        <v>2662</v>
      </c>
      <c r="D1311" s="35" t="s">
        <v>111</v>
      </c>
      <c r="E1311" s="34" t="n">
        <v>9465</v>
      </c>
      <c r="F1311" s="34" t="n">
        <v>9500</v>
      </c>
      <c r="G1311" s="34" t="n">
        <v>9700</v>
      </c>
      <c r="H1311" s="34" t="n">
        <v>10090</v>
      </c>
      <c r="I1311" s="36" t="n">
        <f aca="false">$E1311/F1311-1</f>
        <v>-0.00368421052631573</v>
      </c>
      <c r="J1311" s="36" t="n">
        <f aca="false">$E1311/G1311-1</f>
        <v>-0.0242268041237114</v>
      </c>
      <c r="K1311" s="36" t="n">
        <f aca="false">$E1311/H1311-1</f>
        <v>-0.0619425173439049</v>
      </c>
      <c r="L1311" s="37" t="n">
        <v>88.76</v>
      </c>
      <c r="M1311" s="37" t="n">
        <v>0.74</v>
      </c>
      <c r="N1311" s="34" t="n">
        <v>12109</v>
      </c>
      <c r="O1311" s="34" t="n">
        <v>8971</v>
      </c>
      <c r="P1311" s="38"/>
      <c r="Q1311" s="38"/>
    </row>
    <row r="1312" customFormat="false" ht="15" hidden="false" customHeight="false" outlineLevel="0" collapsed="false">
      <c r="A1312" s="34" t="n">
        <v>1304</v>
      </c>
      <c r="B1312" s="35" t="s">
        <v>2663</v>
      </c>
      <c r="C1312" s="35" t="s">
        <v>2664</v>
      </c>
      <c r="D1312" s="35" t="s">
        <v>133</v>
      </c>
      <c r="E1312" s="34" t="n">
        <v>31500</v>
      </c>
      <c r="F1312" s="34" t="n">
        <v>31000</v>
      </c>
      <c r="G1312" s="34" t="n">
        <v>29600</v>
      </c>
      <c r="H1312" s="34" t="n">
        <v>31000</v>
      </c>
      <c r="I1312" s="36" t="n">
        <f aca="false">$E1312/F1312-1</f>
        <v>0.0161290322580645</v>
      </c>
      <c r="J1312" s="36" t="n">
        <f aca="false">$E1312/G1312-1</f>
        <v>0.0641891891891893</v>
      </c>
      <c r="K1312" s="36" t="n">
        <f aca="false">$E1312/H1312-1</f>
        <v>0.0161290322580645</v>
      </c>
      <c r="L1312" s="37" t="n">
        <v>7.5</v>
      </c>
      <c r="M1312" s="37" t="n">
        <v>1.57</v>
      </c>
      <c r="N1312" s="34" t="n">
        <v>43580.44</v>
      </c>
      <c r="O1312" s="34" t="n">
        <v>28000</v>
      </c>
      <c r="P1312" s="38"/>
      <c r="Q1312" s="38"/>
    </row>
    <row r="1313" customFormat="false" ht="15" hidden="false" customHeight="false" outlineLevel="0" collapsed="false">
      <c r="A1313" s="34" t="n">
        <v>1305</v>
      </c>
      <c r="B1313" s="35" t="s">
        <v>2665</v>
      </c>
      <c r="C1313" s="35" t="s">
        <v>2666</v>
      </c>
      <c r="D1313" s="35" t="s">
        <v>111</v>
      </c>
      <c r="E1313" s="34" t="n">
        <v>10000</v>
      </c>
      <c r="F1313" s="34" t="n">
        <v>10000</v>
      </c>
      <c r="G1313" s="34" t="n">
        <v>10300</v>
      </c>
      <c r="H1313" s="34" t="n">
        <v>13000</v>
      </c>
      <c r="I1313" s="36" t="n">
        <f aca="false">$E1313/F1313-1</f>
        <v>0</v>
      </c>
      <c r="J1313" s="36" t="n">
        <f aca="false">$E1313/G1313-1</f>
        <v>-0.029126213592233</v>
      </c>
      <c r="K1313" s="36" t="n">
        <f aca="false">$E1313/H1313-1</f>
        <v>-0.230769230769231</v>
      </c>
      <c r="L1313" s="37" t="n">
        <v>5.66</v>
      </c>
      <c r="M1313" s="37" t="n">
        <v>0.65</v>
      </c>
      <c r="N1313" s="34" t="n">
        <v>16885.8</v>
      </c>
      <c r="O1313" s="34" t="n">
        <v>10000</v>
      </c>
      <c r="P1313" s="38"/>
      <c r="Q1313" s="38"/>
    </row>
    <row r="1314" customFormat="false" ht="15" hidden="false" customHeight="false" outlineLevel="0" collapsed="false">
      <c r="A1314" s="34" t="n">
        <v>1306</v>
      </c>
      <c r="B1314" s="35" t="s">
        <v>2667</v>
      </c>
      <c r="C1314" s="35" t="s">
        <v>2668</v>
      </c>
      <c r="D1314" s="35" t="s">
        <v>111</v>
      </c>
      <c r="E1314" s="34" t="n">
        <v>3900</v>
      </c>
      <c r="F1314" s="34" t="n">
        <v>3600</v>
      </c>
      <c r="G1314" s="34" t="n">
        <v>3705</v>
      </c>
      <c r="H1314" s="34" t="n">
        <v>3942</v>
      </c>
      <c r="I1314" s="36" t="n">
        <f aca="false">$E1314/F1314-1</f>
        <v>0.0833333333333333</v>
      </c>
      <c r="J1314" s="36" t="n">
        <f aca="false">$E1314/G1314-1</f>
        <v>0.0526315789473684</v>
      </c>
      <c r="K1314" s="36" t="n">
        <f aca="false">$E1314/H1314-1</f>
        <v>-0.010654490106545</v>
      </c>
      <c r="L1314" s="37" t="n">
        <v>72.83</v>
      </c>
      <c r="M1314" s="37" t="n">
        <v>1.52</v>
      </c>
      <c r="N1314" s="34" t="n">
        <v>4739</v>
      </c>
      <c r="O1314" s="34" t="n">
        <v>3200</v>
      </c>
      <c r="P1314" s="38"/>
      <c r="Q1314" s="38"/>
    </row>
    <row r="1315" customFormat="false" ht="15" hidden="false" customHeight="false" outlineLevel="0" collapsed="false">
      <c r="A1315" s="34" t="n">
        <v>1307</v>
      </c>
      <c r="B1315" s="35" t="s">
        <v>2669</v>
      </c>
      <c r="C1315" s="35" t="s">
        <v>2670</v>
      </c>
      <c r="D1315" s="35" t="s">
        <v>111</v>
      </c>
      <c r="E1315" s="34"/>
      <c r="F1315" s="34"/>
      <c r="G1315" s="34"/>
      <c r="H1315" s="34"/>
      <c r="I1315" s="36" t="e">
        <f aca="false">$E1315/F1315-1</f>
        <v>#DIV/0!</v>
      </c>
      <c r="J1315" s="36" t="e">
        <f aca="false">$E1315/G1315-1</f>
        <v>#DIV/0!</v>
      </c>
      <c r="K1315" s="36" t="e">
        <f aca="false">$E1315/H1315-1</f>
        <v>#DIV/0!</v>
      </c>
      <c r="L1315" s="37"/>
      <c r="M1315" s="37"/>
      <c r="N1315" s="34"/>
      <c r="O1315" s="34"/>
      <c r="P1315" s="38"/>
      <c r="Q1315" s="38"/>
    </row>
    <row r="1316" customFormat="false" ht="15" hidden="false" customHeight="false" outlineLevel="0" collapsed="false">
      <c r="A1316" s="34" t="n">
        <v>1308</v>
      </c>
      <c r="B1316" s="35" t="s">
        <v>2671</v>
      </c>
      <c r="C1316" s="35" t="s">
        <v>2672</v>
      </c>
      <c r="D1316" s="35" t="s">
        <v>111</v>
      </c>
      <c r="E1316" s="34" t="n">
        <v>19571</v>
      </c>
      <c r="F1316" s="34" t="n">
        <v>20168</v>
      </c>
      <c r="G1316" s="34" t="n">
        <v>21484</v>
      </c>
      <c r="H1316" s="34" t="n">
        <v>21953</v>
      </c>
      <c r="I1316" s="36" t="n">
        <f aca="false">$E1316/F1316-1</f>
        <v>-0.0296013486711623</v>
      </c>
      <c r="J1316" s="36" t="n">
        <f aca="false">$E1316/G1316-1</f>
        <v>-0.0890430087506982</v>
      </c>
      <c r="K1316" s="36" t="n">
        <f aca="false">$E1316/H1316-1</f>
        <v>-0.108504532410149</v>
      </c>
      <c r="L1316" s="37" t="n">
        <v>17.61</v>
      </c>
      <c r="M1316" s="37" t="n">
        <v>2.06</v>
      </c>
      <c r="N1316" s="34" t="n">
        <v>36278</v>
      </c>
      <c r="O1316" s="34" t="n">
        <v>14214</v>
      </c>
      <c r="P1316" s="38"/>
      <c r="Q1316" s="38"/>
    </row>
    <row r="1317" customFormat="false" ht="15" hidden="false" customHeight="false" outlineLevel="0" collapsed="false">
      <c r="A1317" s="34" t="n">
        <v>1309</v>
      </c>
      <c r="B1317" s="35" t="s">
        <v>2673</v>
      </c>
      <c r="C1317" s="35" t="s">
        <v>2674</v>
      </c>
      <c r="D1317" s="35" t="s">
        <v>133</v>
      </c>
      <c r="E1317" s="34" t="n">
        <v>2000</v>
      </c>
      <c r="F1317" s="34" t="n">
        <v>2000</v>
      </c>
      <c r="G1317" s="34" t="n">
        <v>2300</v>
      </c>
      <c r="H1317" s="34" t="n">
        <v>2300</v>
      </c>
      <c r="I1317" s="36" t="n">
        <f aca="false">$E1317/F1317-1</f>
        <v>0</v>
      </c>
      <c r="J1317" s="36" t="n">
        <f aca="false">$E1317/G1317-1</f>
        <v>-0.130434782608696</v>
      </c>
      <c r="K1317" s="36" t="n">
        <f aca="false">$E1317/H1317-1</f>
        <v>-0.130434782608696</v>
      </c>
      <c r="L1317" s="37" t="n">
        <v>-9.61</v>
      </c>
      <c r="M1317" s="37" t="n">
        <v>0.19</v>
      </c>
      <c r="N1317" s="34" t="n">
        <v>3100</v>
      </c>
      <c r="O1317" s="34" t="n">
        <v>2000</v>
      </c>
      <c r="P1317" s="38"/>
      <c r="Q1317" s="38"/>
    </row>
    <row r="1318" customFormat="false" ht="15" hidden="false" customHeight="false" outlineLevel="0" collapsed="false">
      <c r="A1318" s="34" t="n">
        <v>1310</v>
      </c>
      <c r="B1318" s="35" t="s">
        <v>2675</v>
      </c>
      <c r="C1318" s="35" t="s">
        <v>2676</v>
      </c>
      <c r="D1318" s="35" t="s">
        <v>133</v>
      </c>
      <c r="E1318" s="34" t="n">
        <v>3800</v>
      </c>
      <c r="F1318" s="34" t="n">
        <v>3800</v>
      </c>
      <c r="G1318" s="34" t="n">
        <v>3800</v>
      </c>
      <c r="H1318" s="34" t="n">
        <v>3700</v>
      </c>
      <c r="I1318" s="36" t="n">
        <f aca="false">$E1318/F1318-1</f>
        <v>0</v>
      </c>
      <c r="J1318" s="36" t="n">
        <f aca="false">$E1318/G1318-1</f>
        <v>0</v>
      </c>
      <c r="K1318" s="36" t="n">
        <f aca="false">$E1318/H1318-1</f>
        <v>0.027027027027027</v>
      </c>
      <c r="L1318" s="37" t="n">
        <v>-735.67</v>
      </c>
      <c r="M1318" s="37" t="n">
        <v>0.45</v>
      </c>
      <c r="N1318" s="34" t="n">
        <v>4400</v>
      </c>
      <c r="O1318" s="34" t="n">
        <v>3400</v>
      </c>
      <c r="P1318" s="38"/>
      <c r="Q1318" s="38"/>
    </row>
    <row r="1319" customFormat="false" ht="15" hidden="false" customHeight="false" outlineLevel="0" collapsed="false">
      <c r="A1319" s="34" t="n">
        <v>1311</v>
      </c>
      <c r="B1319" s="35" t="s">
        <v>2677</v>
      </c>
      <c r="C1319" s="35" t="s">
        <v>2678</v>
      </c>
      <c r="D1319" s="35" t="s">
        <v>111</v>
      </c>
      <c r="E1319" s="34" t="n">
        <v>7600</v>
      </c>
      <c r="F1319" s="34" t="n">
        <v>7500</v>
      </c>
      <c r="G1319" s="34" t="n">
        <v>7700</v>
      </c>
      <c r="H1319" s="34" t="n">
        <v>5800</v>
      </c>
      <c r="I1319" s="36" t="n">
        <f aca="false">$E1319/F1319-1</f>
        <v>0.0133333333333334</v>
      </c>
      <c r="J1319" s="36" t="n">
        <f aca="false">$E1319/G1319-1</f>
        <v>-0.012987012987013</v>
      </c>
      <c r="K1319" s="36" t="n">
        <f aca="false">$E1319/H1319-1</f>
        <v>0.310344827586207</v>
      </c>
      <c r="L1319" s="37" t="n">
        <v>4.25</v>
      </c>
      <c r="M1319" s="37" t="n">
        <v>0.56</v>
      </c>
      <c r="N1319" s="34" t="n">
        <v>8100</v>
      </c>
      <c r="O1319" s="34" t="n">
        <v>5426</v>
      </c>
      <c r="P1319" s="38"/>
      <c r="Q1319" s="38"/>
    </row>
    <row r="1320" customFormat="false" ht="15" hidden="false" customHeight="false" outlineLevel="0" collapsed="false">
      <c r="A1320" s="34" t="n">
        <v>1312</v>
      </c>
      <c r="B1320" s="35" t="s">
        <v>2679</v>
      </c>
      <c r="C1320" s="35" t="s">
        <v>2680</v>
      </c>
      <c r="D1320" s="35" t="s">
        <v>133</v>
      </c>
      <c r="E1320" s="34" t="n">
        <v>37900</v>
      </c>
      <c r="F1320" s="34" t="n">
        <v>38000</v>
      </c>
      <c r="G1320" s="34" t="n">
        <v>30000</v>
      </c>
      <c r="H1320" s="34" t="n">
        <v>25765.39</v>
      </c>
      <c r="I1320" s="36" t="n">
        <f aca="false">$E1320/F1320-1</f>
        <v>-0.00263157894736843</v>
      </c>
      <c r="J1320" s="36" t="n">
        <f aca="false">$E1320/G1320-1</f>
        <v>0.263333333333333</v>
      </c>
      <c r="K1320" s="36" t="n">
        <f aca="false">$E1320/H1320-1</f>
        <v>0.470965508381592</v>
      </c>
      <c r="L1320" s="37" t="n">
        <v>5.67</v>
      </c>
      <c r="M1320" s="37" t="n">
        <v>1.76</v>
      </c>
      <c r="N1320" s="34" t="n">
        <v>42500</v>
      </c>
      <c r="O1320" s="34" t="n">
        <v>22084.62</v>
      </c>
      <c r="P1320" s="38"/>
      <c r="Q1320" s="38"/>
    </row>
    <row r="1321" customFormat="false" ht="15" hidden="false" customHeight="false" outlineLevel="0" collapsed="false">
      <c r="A1321" s="34" t="n">
        <v>1313</v>
      </c>
      <c r="B1321" s="35" t="s">
        <v>2681</v>
      </c>
      <c r="C1321" s="35" t="s">
        <v>2682</v>
      </c>
      <c r="D1321" s="35" t="s">
        <v>111</v>
      </c>
      <c r="E1321" s="34" t="n">
        <v>1700</v>
      </c>
      <c r="F1321" s="34" t="n">
        <v>1700</v>
      </c>
      <c r="G1321" s="34" t="n">
        <v>1700</v>
      </c>
      <c r="H1321" s="34" t="n">
        <v>1700</v>
      </c>
      <c r="I1321" s="36" t="n">
        <f aca="false">$E1321/F1321-1</f>
        <v>0</v>
      </c>
      <c r="J1321" s="36" t="n">
        <f aca="false">$E1321/G1321-1</f>
        <v>0</v>
      </c>
      <c r="K1321" s="36" t="n">
        <f aca="false">$E1321/H1321-1</f>
        <v>0</v>
      </c>
      <c r="L1321" s="37" t="n">
        <v>-0.35</v>
      </c>
      <c r="M1321" s="37" t="n">
        <v>-8.27</v>
      </c>
      <c r="N1321" s="34" t="n">
        <v>1700</v>
      </c>
      <c r="O1321" s="34" t="n">
        <v>1700</v>
      </c>
      <c r="P1321" s="38"/>
      <c r="Q1321" s="38"/>
    </row>
    <row r="1322" customFormat="false" ht="15" hidden="false" customHeight="false" outlineLevel="0" collapsed="false">
      <c r="A1322" s="34" t="n">
        <v>1314</v>
      </c>
      <c r="B1322" s="35" t="s">
        <v>2683</v>
      </c>
      <c r="C1322" s="35" t="s">
        <v>2684</v>
      </c>
      <c r="D1322" s="35" t="s">
        <v>111</v>
      </c>
      <c r="E1322" s="34" t="n">
        <v>3600</v>
      </c>
      <c r="F1322" s="34" t="n">
        <v>3600</v>
      </c>
      <c r="G1322" s="34" t="n">
        <v>3600</v>
      </c>
      <c r="H1322" s="34" t="n">
        <v>3900</v>
      </c>
      <c r="I1322" s="36" t="n">
        <f aca="false">$E1322/F1322-1</f>
        <v>0</v>
      </c>
      <c r="J1322" s="36" t="n">
        <f aca="false">$E1322/G1322-1</f>
        <v>0</v>
      </c>
      <c r="K1322" s="36" t="n">
        <f aca="false">$E1322/H1322-1</f>
        <v>-0.0769230769230769</v>
      </c>
      <c r="L1322" s="37" t="n">
        <v>-7.99</v>
      </c>
      <c r="M1322" s="37" t="n">
        <v>-0.94</v>
      </c>
      <c r="N1322" s="34" t="n">
        <v>3900</v>
      </c>
      <c r="O1322" s="34" t="n">
        <v>3600</v>
      </c>
      <c r="P1322" s="38"/>
      <c r="Q1322" s="38"/>
    </row>
    <row r="1323" customFormat="false" ht="15" hidden="false" customHeight="false" outlineLevel="0" collapsed="false">
      <c r="A1323" s="34" t="n">
        <v>1315</v>
      </c>
      <c r="B1323" s="35" t="s">
        <v>2685</v>
      </c>
      <c r="C1323" s="35" t="s">
        <v>2686</v>
      </c>
      <c r="D1323" s="35" t="s">
        <v>111</v>
      </c>
      <c r="E1323" s="34" t="n">
        <v>12503</v>
      </c>
      <c r="F1323" s="34" t="n">
        <v>12373</v>
      </c>
      <c r="G1323" s="34" t="n">
        <v>13511</v>
      </c>
      <c r="H1323" s="34" t="n">
        <v>16156</v>
      </c>
      <c r="I1323" s="36" t="n">
        <f aca="false">$E1323/F1323-1</f>
        <v>0.0105067485654247</v>
      </c>
      <c r="J1323" s="36" t="n">
        <f aca="false">$E1323/G1323-1</f>
        <v>-0.074605876693065</v>
      </c>
      <c r="K1323" s="36" t="n">
        <f aca="false">$E1323/H1323-1</f>
        <v>-0.22610794751176</v>
      </c>
      <c r="L1323" s="37" t="n">
        <v>6.99</v>
      </c>
      <c r="M1323" s="37" t="n">
        <v>0.46</v>
      </c>
      <c r="N1323" s="34" t="n">
        <v>19203</v>
      </c>
      <c r="O1323" s="34" t="n">
        <v>12079</v>
      </c>
      <c r="P1323" s="38"/>
      <c r="Q1323" s="38"/>
    </row>
    <row r="1324" customFormat="false" ht="15" hidden="false" customHeight="false" outlineLevel="0" collapsed="false">
      <c r="A1324" s="34" t="n">
        <v>1316</v>
      </c>
      <c r="B1324" s="35" t="s">
        <v>2687</v>
      </c>
      <c r="C1324" s="35" t="s">
        <v>2688</v>
      </c>
      <c r="D1324" s="35" t="s">
        <v>111</v>
      </c>
      <c r="E1324" s="34" t="n">
        <v>8809</v>
      </c>
      <c r="F1324" s="34" t="n">
        <v>8909</v>
      </c>
      <c r="G1324" s="34" t="n">
        <v>10003</v>
      </c>
      <c r="H1324" s="34" t="n">
        <v>10337</v>
      </c>
      <c r="I1324" s="36" t="n">
        <f aca="false">$E1324/F1324-1</f>
        <v>-0.0112246043326972</v>
      </c>
      <c r="J1324" s="36" t="n">
        <f aca="false">$E1324/G1324-1</f>
        <v>-0.119364190742777</v>
      </c>
      <c r="K1324" s="36" t="n">
        <f aca="false">$E1324/H1324-1</f>
        <v>-0.147818516010448</v>
      </c>
      <c r="L1324" s="37" t="n">
        <v>42.32</v>
      </c>
      <c r="M1324" s="37" t="n">
        <v>0.85</v>
      </c>
      <c r="N1324" s="34" t="n">
        <v>13981</v>
      </c>
      <c r="O1324" s="34" t="n">
        <v>7894.03</v>
      </c>
      <c r="P1324" s="38"/>
      <c r="Q1324" s="38"/>
    </row>
    <row r="1325" customFormat="false" ht="15" hidden="false" customHeight="false" outlineLevel="0" collapsed="false">
      <c r="A1325" s="34" t="n">
        <v>1317</v>
      </c>
      <c r="B1325" s="35" t="s">
        <v>2689</v>
      </c>
      <c r="C1325" s="35" t="s">
        <v>2690</v>
      </c>
      <c r="D1325" s="35" t="s">
        <v>111</v>
      </c>
      <c r="E1325" s="34" t="n">
        <v>43900</v>
      </c>
      <c r="F1325" s="34" t="n">
        <v>43900</v>
      </c>
      <c r="G1325" s="34" t="n">
        <v>43900</v>
      </c>
      <c r="H1325" s="34" t="n">
        <v>43900</v>
      </c>
      <c r="I1325" s="36" t="n">
        <f aca="false">$E1325/F1325-1</f>
        <v>0</v>
      </c>
      <c r="J1325" s="36" t="n">
        <f aca="false">$E1325/G1325-1</f>
        <v>0</v>
      </c>
      <c r="K1325" s="36" t="n">
        <f aca="false">$E1325/H1325-1</f>
        <v>0</v>
      </c>
      <c r="L1325" s="37" t="n">
        <v>-175.53</v>
      </c>
      <c r="M1325" s="37" t="n">
        <v>5.3</v>
      </c>
      <c r="N1325" s="34" t="n">
        <v>43900</v>
      </c>
      <c r="O1325" s="34" t="n">
        <v>43900</v>
      </c>
      <c r="P1325" s="38"/>
      <c r="Q1325" s="38"/>
    </row>
    <row r="1326" customFormat="false" ht="15" hidden="false" customHeight="false" outlineLevel="0" collapsed="false">
      <c r="A1326" s="34" t="n">
        <v>1318</v>
      </c>
      <c r="B1326" s="35" t="s">
        <v>2691</v>
      </c>
      <c r="C1326" s="35" t="s">
        <v>2692</v>
      </c>
      <c r="D1326" s="35" t="s">
        <v>111</v>
      </c>
      <c r="E1326" s="34" t="n">
        <v>18928</v>
      </c>
      <c r="F1326" s="34" t="n">
        <v>18682</v>
      </c>
      <c r="G1326" s="34" t="n">
        <v>19909</v>
      </c>
      <c r="H1326" s="34" t="n">
        <v>22205</v>
      </c>
      <c r="I1326" s="36" t="n">
        <f aca="false">$E1326/F1326-1</f>
        <v>0.0131677550583449</v>
      </c>
      <c r="J1326" s="36" t="n">
        <f aca="false">$E1326/G1326-1</f>
        <v>-0.0492741975990758</v>
      </c>
      <c r="K1326" s="36" t="n">
        <f aca="false">$E1326/H1326-1</f>
        <v>-0.147579374014862</v>
      </c>
      <c r="L1326" s="37" t="n">
        <v>6.73</v>
      </c>
      <c r="M1326" s="37" t="n">
        <v>1.2</v>
      </c>
      <c r="N1326" s="34" t="n">
        <v>24187</v>
      </c>
      <c r="O1326" s="34" t="n">
        <v>18265</v>
      </c>
      <c r="P1326" s="38"/>
      <c r="Q1326" s="38"/>
    </row>
    <row r="1327" customFormat="false" ht="15" hidden="false" customHeight="false" outlineLevel="0" collapsed="false">
      <c r="A1327" s="34" t="n">
        <v>1319</v>
      </c>
      <c r="B1327" s="35" t="s">
        <v>2693</v>
      </c>
      <c r="C1327" s="35" t="s">
        <v>2694</v>
      </c>
      <c r="D1327" s="35" t="s">
        <v>111</v>
      </c>
      <c r="E1327" s="34" t="n">
        <v>20204</v>
      </c>
      <c r="F1327" s="34" t="n">
        <v>20401</v>
      </c>
      <c r="G1327" s="34" t="n">
        <v>21000</v>
      </c>
      <c r="H1327" s="34" t="n">
        <v>20617.03</v>
      </c>
      <c r="I1327" s="36" t="n">
        <f aca="false">$E1327/F1327-1</f>
        <v>-0.00965638939267688</v>
      </c>
      <c r="J1327" s="36" t="n">
        <f aca="false">$E1327/G1327-1</f>
        <v>-0.0379047619047619</v>
      </c>
      <c r="K1327" s="36" t="n">
        <f aca="false">$E1327/H1327-1</f>
        <v>-0.0200334383759445</v>
      </c>
      <c r="L1327" s="37" t="n">
        <v>3.46</v>
      </c>
      <c r="M1327" s="37" t="n">
        <v>0.94</v>
      </c>
      <c r="N1327" s="34" t="n">
        <v>22325.7</v>
      </c>
      <c r="O1327" s="34" t="n">
        <v>18847.67</v>
      </c>
      <c r="P1327" s="38"/>
      <c r="Q1327" s="38"/>
    </row>
    <row r="1328" customFormat="false" ht="15" hidden="false" customHeight="false" outlineLevel="0" collapsed="false">
      <c r="A1328" s="34" t="n">
        <v>1320</v>
      </c>
      <c r="B1328" s="35" t="s">
        <v>2695</v>
      </c>
      <c r="C1328" s="35" t="s">
        <v>2696</v>
      </c>
      <c r="D1328" s="35" t="s">
        <v>111</v>
      </c>
      <c r="E1328" s="34"/>
      <c r="F1328" s="34"/>
      <c r="G1328" s="34"/>
      <c r="H1328" s="34"/>
      <c r="I1328" s="36" t="e">
        <f aca="false">$E1328/F1328-1</f>
        <v>#DIV/0!</v>
      </c>
      <c r="J1328" s="36" t="e">
        <f aca="false">$E1328/G1328-1</f>
        <v>#DIV/0!</v>
      </c>
      <c r="K1328" s="36" t="e">
        <f aca="false">$E1328/H1328-1</f>
        <v>#DIV/0!</v>
      </c>
      <c r="L1328" s="37"/>
      <c r="M1328" s="37"/>
      <c r="N1328" s="34"/>
      <c r="O1328" s="34"/>
      <c r="P1328" s="38"/>
      <c r="Q1328" s="38"/>
    </row>
    <row r="1329" customFormat="false" ht="15" hidden="false" customHeight="false" outlineLevel="0" collapsed="false">
      <c r="A1329" s="34" t="n">
        <v>1321</v>
      </c>
      <c r="B1329" s="35" t="s">
        <v>2697</v>
      </c>
      <c r="C1329" s="35" t="s">
        <v>2698</v>
      </c>
      <c r="D1329" s="35" t="s">
        <v>116</v>
      </c>
      <c r="E1329" s="34" t="n">
        <v>24350</v>
      </c>
      <c r="F1329" s="34" t="n">
        <v>22750</v>
      </c>
      <c r="G1329" s="34" t="n">
        <v>21521.25</v>
      </c>
      <c r="H1329" s="34" t="n">
        <v>18603.92</v>
      </c>
      <c r="I1329" s="36" t="n">
        <f aca="false">$E1329/F1329-1</f>
        <v>0.0703296703296703</v>
      </c>
      <c r="J1329" s="36" t="n">
        <f aca="false">$E1329/G1329-1</f>
        <v>0.131439855956322</v>
      </c>
      <c r="K1329" s="36" t="n">
        <f aca="false">$E1329/H1329-1</f>
        <v>0.308863938352777</v>
      </c>
      <c r="L1329" s="37" t="n">
        <v>5.55</v>
      </c>
      <c r="M1329" s="37" t="n">
        <v>1.48</v>
      </c>
      <c r="N1329" s="34" t="n">
        <v>26303.75</v>
      </c>
      <c r="O1329" s="34" t="n">
        <v>18364.8</v>
      </c>
      <c r="P1329" s="38"/>
      <c r="Q1329" s="38"/>
    </row>
    <row r="1330" customFormat="false" ht="15" hidden="false" customHeight="false" outlineLevel="0" collapsed="false">
      <c r="A1330" s="34" t="n">
        <v>1322</v>
      </c>
      <c r="B1330" s="35" t="s">
        <v>85</v>
      </c>
      <c r="C1330" s="35" t="s">
        <v>2699</v>
      </c>
      <c r="D1330" s="35" t="s">
        <v>116</v>
      </c>
      <c r="E1330" s="34" t="n">
        <v>21850</v>
      </c>
      <c r="F1330" s="34" t="n">
        <v>22049.86</v>
      </c>
      <c r="G1330" s="34" t="n">
        <v>21207.2</v>
      </c>
      <c r="H1330" s="34" t="n">
        <v>20832.68</v>
      </c>
      <c r="I1330" s="36" t="n">
        <f aca="false">$E1330/F1330-1</f>
        <v>-0.00906400312745748</v>
      </c>
      <c r="J1330" s="36" t="n">
        <f aca="false">$E1330/G1330-1</f>
        <v>0.0303104605982873</v>
      </c>
      <c r="K1330" s="36" t="n">
        <f aca="false">$E1330/H1330-1</f>
        <v>0.0488328913994742</v>
      </c>
      <c r="L1330" s="37" t="n">
        <v>8.38</v>
      </c>
      <c r="M1330" s="37" t="n">
        <v>1.31</v>
      </c>
      <c r="N1330" s="34" t="n">
        <v>31834.2</v>
      </c>
      <c r="O1330" s="34" t="n">
        <v>20551.78</v>
      </c>
      <c r="P1330" s="38" t="n">
        <v>12.7</v>
      </c>
      <c r="Q1330" s="38" t="n">
        <v>1.3</v>
      </c>
    </row>
    <row r="1331" customFormat="false" ht="15" hidden="false" customHeight="false" outlineLevel="0" collapsed="false">
      <c r="A1331" s="34" t="n">
        <v>1323</v>
      </c>
      <c r="B1331" s="35" t="s">
        <v>2700</v>
      </c>
      <c r="C1331" s="35" t="s">
        <v>2701</v>
      </c>
      <c r="D1331" s="35" t="s">
        <v>111</v>
      </c>
      <c r="E1331" s="34" t="n">
        <v>22000</v>
      </c>
      <c r="F1331" s="34" t="n">
        <v>19000</v>
      </c>
      <c r="G1331" s="34" t="n">
        <v>21700</v>
      </c>
      <c r="H1331" s="34" t="n">
        <v>18670</v>
      </c>
      <c r="I1331" s="36" t="n">
        <f aca="false">$E1331/F1331-1</f>
        <v>0.157894736842105</v>
      </c>
      <c r="J1331" s="36" t="n">
        <f aca="false">$E1331/G1331-1</f>
        <v>0.0138248847926268</v>
      </c>
      <c r="K1331" s="36" t="n">
        <f aca="false">$E1331/H1331-1</f>
        <v>0.178361006963042</v>
      </c>
      <c r="L1331" s="37" t="n">
        <v>5.2</v>
      </c>
      <c r="M1331" s="37" t="n">
        <v>1.17</v>
      </c>
      <c r="N1331" s="34" t="n">
        <v>29200</v>
      </c>
      <c r="O1331" s="34" t="n">
        <v>17000</v>
      </c>
      <c r="P1331" s="38"/>
      <c r="Q1331" s="38"/>
    </row>
    <row r="1332" customFormat="false" ht="15" hidden="false" customHeight="false" outlineLevel="0" collapsed="false">
      <c r="A1332" s="34" t="n">
        <v>1324</v>
      </c>
      <c r="B1332" s="35" t="s">
        <v>2702</v>
      </c>
      <c r="C1332" s="35" t="s">
        <v>2703</v>
      </c>
      <c r="D1332" s="35" t="s">
        <v>111</v>
      </c>
      <c r="E1332" s="34" t="n">
        <v>19000</v>
      </c>
      <c r="F1332" s="34" t="n">
        <v>18727</v>
      </c>
      <c r="G1332" s="34" t="n">
        <v>18796.24</v>
      </c>
      <c r="H1332" s="34" t="n">
        <v>21635.98</v>
      </c>
      <c r="I1332" s="36" t="n">
        <f aca="false">$E1332/F1332-1</f>
        <v>0.014577882202168</v>
      </c>
      <c r="J1332" s="36" t="n">
        <f aca="false">$E1332/G1332-1</f>
        <v>0.0108404659655335</v>
      </c>
      <c r="K1332" s="36" t="n">
        <f aca="false">$E1332/H1332-1</f>
        <v>-0.121833168638536</v>
      </c>
      <c r="L1332" s="37" t="n">
        <v>17.02</v>
      </c>
      <c r="M1332" s="37" t="n">
        <v>1.22</v>
      </c>
      <c r="N1332" s="34" t="n">
        <v>25124.32</v>
      </c>
      <c r="O1332" s="34" t="n">
        <v>16735.76</v>
      </c>
      <c r="P1332" s="38"/>
      <c r="Q1332" s="38"/>
    </row>
    <row r="1333" customFormat="false" ht="15" hidden="false" customHeight="false" outlineLevel="0" collapsed="false">
      <c r="A1333" s="34" t="n">
        <v>1325</v>
      </c>
      <c r="B1333" s="35" t="s">
        <v>61</v>
      </c>
      <c r="C1333" s="35" t="s">
        <v>2704</v>
      </c>
      <c r="D1333" s="35" t="s">
        <v>116</v>
      </c>
      <c r="E1333" s="34" t="n">
        <v>38500</v>
      </c>
      <c r="F1333" s="34" t="n">
        <v>37850</v>
      </c>
      <c r="G1333" s="34" t="n">
        <v>40450.1</v>
      </c>
      <c r="H1333" s="34" t="n">
        <v>39368.3</v>
      </c>
      <c r="I1333" s="36" t="n">
        <f aca="false">$E1333/F1333-1</f>
        <v>0.0171730515191546</v>
      </c>
      <c r="J1333" s="36" t="n">
        <f aca="false">$E1333/G1333-1</f>
        <v>-0.0482100167861143</v>
      </c>
      <c r="K1333" s="36" t="n">
        <f aca="false">$E1333/H1333-1</f>
        <v>-0.0220558164817887</v>
      </c>
      <c r="L1333" s="37" t="n">
        <v>12.13</v>
      </c>
      <c r="M1333" s="37" t="n">
        <v>2.05</v>
      </c>
      <c r="N1333" s="34" t="n">
        <v>60769.07</v>
      </c>
      <c r="O1333" s="34" t="n">
        <v>34899.97</v>
      </c>
      <c r="P1333" s="38" t="n">
        <v>16.855</v>
      </c>
      <c r="Q1333" s="38" t="n">
        <v>2.55</v>
      </c>
    </row>
    <row r="1334" customFormat="false" ht="15" hidden="false" customHeight="false" outlineLevel="0" collapsed="false">
      <c r="A1334" s="34" t="n">
        <v>1326</v>
      </c>
      <c r="B1334" s="35" t="s">
        <v>41</v>
      </c>
      <c r="C1334" s="35" t="s">
        <v>2705</v>
      </c>
      <c r="D1334" s="35" t="s">
        <v>116</v>
      </c>
      <c r="E1334" s="34" t="n">
        <v>14600</v>
      </c>
      <c r="F1334" s="34" t="n">
        <v>14100</v>
      </c>
      <c r="G1334" s="34" t="n">
        <v>16200</v>
      </c>
      <c r="H1334" s="34" t="n">
        <v>17100</v>
      </c>
      <c r="I1334" s="36" t="n">
        <f aca="false">$E1334/F1334-1</f>
        <v>0.0354609929078014</v>
      </c>
      <c r="J1334" s="36" t="n">
        <f aca="false">$E1334/G1334-1</f>
        <v>-0.0987654320987654</v>
      </c>
      <c r="K1334" s="36" t="n">
        <f aca="false">$E1334/H1334-1</f>
        <v>-0.146198830409357</v>
      </c>
      <c r="L1334" s="37" t="n">
        <v>5.26</v>
      </c>
      <c r="M1334" s="37" t="n">
        <v>0.88</v>
      </c>
      <c r="N1334" s="34" t="n">
        <v>21000.42</v>
      </c>
      <c r="O1334" s="34" t="n">
        <v>13900</v>
      </c>
      <c r="P1334" s="38" t="n">
        <v>7.36</v>
      </c>
      <c r="Q1334" s="38" t="n">
        <v>1.19</v>
      </c>
    </row>
    <row r="1335" customFormat="false" ht="15" hidden="false" customHeight="false" outlineLevel="0" collapsed="false">
      <c r="A1335" s="34" t="n">
        <v>1327</v>
      </c>
      <c r="B1335" s="35" t="s">
        <v>2706</v>
      </c>
      <c r="C1335" s="35" t="s">
        <v>2707</v>
      </c>
      <c r="D1335" s="35" t="s">
        <v>111</v>
      </c>
      <c r="E1335" s="34" t="n">
        <v>2800</v>
      </c>
      <c r="F1335" s="34" t="n">
        <v>2800</v>
      </c>
      <c r="G1335" s="34" t="n">
        <v>2800</v>
      </c>
      <c r="H1335" s="34" t="n">
        <v>2800</v>
      </c>
      <c r="I1335" s="36" t="n">
        <f aca="false">$E1335/F1335-1</f>
        <v>0</v>
      </c>
      <c r="J1335" s="36" t="n">
        <f aca="false">$E1335/G1335-1</f>
        <v>0</v>
      </c>
      <c r="K1335" s="36" t="n">
        <f aca="false">$E1335/H1335-1</f>
        <v>0</v>
      </c>
      <c r="L1335" s="37" t="n">
        <v>-1.73</v>
      </c>
      <c r="M1335" s="37" t="n">
        <v>-1.08</v>
      </c>
      <c r="N1335" s="34" t="n">
        <v>2800</v>
      </c>
      <c r="O1335" s="34" t="n">
        <v>2800</v>
      </c>
      <c r="P1335" s="38"/>
      <c r="Q1335" s="38"/>
    </row>
    <row r="1336" customFormat="false" ht="15" hidden="false" customHeight="false" outlineLevel="0" collapsed="false">
      <c r="A1336" s="34" t="n">
        <v>1328</v>
      </c>
      <c r="B1336" s="35" t="s">
        <v>2708</v>
      </c>
      <c r="C1336" s="35" t="s">
        <v>2709</v>
      </c>
      <c r="D1336" s="35" t="s">
        <v>116</v>
      </c>
      <c r="E1336" s="34" t="n">
        <v>36500</v>
      </c>
      <c r="F1336" s="34" t="n">
        <v>36750</v>
      </c>
      <c r="G1336" s="34" t="n">
        <v>37700</v>
      </c>
      <c r="H1336" s="34" t="n">
        <v>40196.4</v>
      </c>
      <c r="I1336" s="36" t="n">
        <f aca="false">$E1336/F1336-1</f>
        <v>-0.00680272108843538</v>
      </c>
      <c r="J1336" s="36" t="n">
        <f aca="false">$E1336/G1336-1</f>
        <v>-0.0318302387267905</v>
      </c>
      <c r="K1336" s="36" t="n">
        <f aca="false">$E1336/H1336-1</f>
        <v>-0.0919584838443244</v>
      </c>
      <c r="L1336" s="37" t="n">
        <v>10.64</v>
      </c>
      <c r="M1336" s="37" t="n">
        <v>1.38</v>
      </c>
      <c r="N1336" s="34" t="n">
        <v>41500</v>
      </c>
      <c r="O1336" s="34" t="n">
        <v>35100</v>
      </c>
      <c r="P1336" s="38"/>
      <c r="Q1336" s="38"/>
    </row>
    <row r="1337" customFormat="false" ht="15" hidden="false" customHeight="false" outlineLevel="0" collapsed="false">
      <c r="A1337" s="34" t="n">
        <v>1329</v>
      </c>
      <c r="B1337" s="35" t="s">
        <v>2710</v>
      </c>
      <c r="C1337" s="35" t="s">
        <v>2711</v>
      </c>
      <c r="D1337" s="35" t="s">
        <v>116</v>
      </c>
      <c r="E1337" s="34" t="n">
        <v>37900</v>
      </c>
      <c r="F1337" s="34" t="n">
        <v>37950</v>
      </c>
      <c r="G1337" s="34" t="n">
        <v>39779.73</v>
      </c>
      <c r="H1337" s="34" t="n">
        <v>36517.5</v>
      </c>
      <c r="I1337" s="36" t="n">
        <f aca="false">$E1337/F1337-1</f>
        <v>-0.00131752305665345</v>
      </c>
      <c r="J1337" s="36" t="n">
        <f aca="false">$E1337/G1337-1</f>
        <v>-0.0472534630074162</v>
      </c>
      <c r="K1337" s="36" t="n">
        <f aca="false">$E1337/H1337-1</f>
        <v>0.0378585609639215</v>
      </c>
      <c r="L1337" s="37" t="n">
        <v>12.17</v>
      </c>
      <c r="M1337" s="37" t="n">
        <v>2.11</v>
      </c>
      <c r="N1337" s="34" t="n">
        <v>39779.73</v>
      </c>
      <c r="O1337" s="34" t="n">
        <v>31242.83</v>
      </c>
      <c r="P1337" s="38"/>
      <c r="Q1337" s="38"/>
    </row>
    <row r="1338" customFormat="false" ht="15" hidden="false" customHeight="false" outlineLevel="0" collapsed="false">
      <c r="A1338" s="34" t="n">
        <v>1330</v>
      </c>
      <c r="B1338" s="35" t="s">
        <v>2712</v>
      </c>
      <c r="C1338" s="35" t="s">
        <v>2713</v>
      </c>
      <c r="D1338" s="35" t="s">
        <v>111</v>
      </c>
      <c r="E1338" s="34" t="n">
        <v>3200</v>
      </c>
      <c r="F1338" s="34" t="n">
        <v>3200</v>
      </c>
      <c r="G1338" s="34" t="n">
        <v>3200</v>
      </c>
      <c r="H1338" s="34" t="n">
        <v>1700</v>
      </c>
      <c r="I1338" s="36" t="n">
        <f aca="false">$E1338/F1338-1</f>
        <v>0</v>
      </c>
      <c r="J1338" s="36" t="n">
        <f aca="false">$E1338/G1338-1</f>
        <v>0</v>
      </c>
      <c r="K1338" s="36" t="n">
        <f aca="false">$E1338/H1338-1</f>
        <v>0.882352941176471</v>
      </c>
      <c r="L1338" s="37" t="n">
        <v>3.33</v>
      </c>
      <c r="M1338" s="37" t="n">
        <v>0.29</v>
      </c>
      <c r="N1338" s="34" t="n">
        <v>3200</v>
      </c>
      <c r="O1338" s="34" t="n">
        <v>1660.05</v>
      </c>
      <c r="P1338" s="38"/>
      <c r="Q1338" s="38"/>
    </row>
    <row r="1339" customFormat="false" ht="15" hidden="false" customHeight="false" outlineLevel="0" collapsed="false">
      <c r="A1339" s="34" t="n">
        <v>1331</v>
      </c>
      <c r="B1339" s="35" t="s">
        <v>2714</v>
      </c>
      <c r="C1339" s="35" t="s">
        <v>2715</v>
      </c>
      <c r="D1339" s="35" t="s">
        <v>133</v>
      </c>
      <c r="E1339" s="34" t="n">
        <v>11400</v>
      </c>
      <c r="F1339" s="34" t="n">
        <v>11400</v>
      </c>
      <c r="G1339" s="34" t="n">
        <v>11600</v>
      </c>
      <c r="H1339" s="34" t="n">
        <v>7100</v>
      </c>
      <c r="I1339" s="36" t="n">
        <f aca="false">$E1339/F1339-1</f>
        <v>0</v>
      </c>
      <c r="J1339" s="36" t="n">
        <f aca="false">$E1339/G1339-1</f>
        <v>-0.0172413793103449</v>
      </c>
      <c r="K1339" s="36" t="n">
        <f aca="false">$E1339/H1339-1</f>
        <v>0.605633802816902</v>
      </c>
      <c r="L1339" s="37" t="n">
        <v>6.35</v>
      </c>
      <c r="M1339" s="37" t="n">
        <v>0.78</v>
      </c>
      <c r="N1339" s="34" t="n">
        <v>12500</v>
      </c>
      <c r="O1339" s="34" t="n">
        <v>5200</v>
      </c>
      <c r="P1339" s="38"/>
      <c r="Q1339" s="38"/>
    </row>
    <row r="1340" customFormat="false" ht="15" hidden="false" customHeight="false" outlineLevel="0" collapsed="false">
      <c r="A1340" s="34" t="n">
        <v>1332</v>
      </c>
      <c r="B1340" s="35" t="s">
        <v>2716</v>
      </c>
      <c r="C1340" s="35" t="s">
        <v>2717</v>
      </c>
      <c r="D1340" s="35" t="s">
        <v>111</v>
      </c>
      <c r="E1340" s="34" t="n">
        <v>10334</v>
      </c>
      <c r="F1340" s="34" t="n">
        <v>10377</v>
      </c>
      <c r="G1340" s="34" t="n">
        <v>10200</v>
      </c>
      <c r="H1340" s="34" t="n">
        <v>10995</v>
      </c>
      <c r="I1340" s="36" t="n">
        <f aca="false">$E1340/F1340-1</f>
        <v>-0.00414377951238321</v>
      </c>
      <c r="J1340" s="36" t="n">
        <f aca="false">$E1340/G1340-1</f>
        <v>0.0131372549019608</v>
      </c>
      <c r="K1340" s="36" t="n">
        <f aca="false">$E1340/H1340-1</f>
        <v>-0.0601182355616189</v>
      </c>
      <c r="L1340" s="37" t="n">
        <v>1.97</v>
      </c>
      <c r="M1340" s="37" t="n">
        <v>0.35</v>
      </c>
      <c r="N1340" s="34" t="n">
        <v>15262</v>
      </c>
      <c r="O1340" s="34" t="n">
        <v>9568</v>
      </c>
      <c r="P1340" s="38"/>
      <c r="Q1340" s="38"/>
    </row>
    <row r="1341" customFormat="false" ht="15" hidden="false" customHeight="false" outlineLevel="0" collapsed="false">
      <c r="A1341" s="34" t="n">
        <v>1333</v>
      </c>
      <c r="B1341" s="35" t="s">
        <v>2718</v>
      </c>
      <c r="C1341" s="35" t="s">
        <v>2719</v>
      </c>
      <c r="D1341" s="35" t="s">
        <v>111</v>
      </c>
      <c r="E1341" s="34" t="n">
        <v>5200</v>
      </c>
      <c r="F1341" s="34" t="n">
        <v>5392</v>
      </c>
      <c r="G1341" s="34" t="n">
        <v>5206</v>
      </c>
      <c r="H1341" s="34" t="n">
        <v>6178</v>
      </c>
      <c r="I1341" s="36" t="n">
        <f aca="false">$E1341/F1341-1</f>
        <v>-0.0356083086053413</v>
      </c>
      <c r="J1341" s="36" t="n">
        <f aca="false">$E1341/G1341-1</f>
        <v>-0.00115251632731461</v>
      </c>
      <c r="K1341" s="36" t="n">
        <f aca="false">$E1341/H1341-1</f>
        <v>-0.158303658141793</v>
      </c>
      <c r="L1341" s="37" t="n">
        <v>61.53</v>
      </c>
      <c r="M1341" s="37" t="n">
        <v>0.5</v>
      </c>
      <c r="N1341" s="34" t="n">
        <v>6615</v>
      </c>
      <c r="O1341" s="34" t="n">
        <v>4716</v>
      </c>
      <c r="P1341" s="38"/>
      <c r="Q1341" s="38"/>
    </row>
    <row r="1342" customFormat="false" ht="15" hidden="false" customHeight="false" outlineLevel="0" collapsed="false">
      <c r="A1342" s="34" t="n">
        <v>1334</v>
      </c>
      <c r="B1342" s="35" t="s">
        <v>2720</v>
      </c>
      <c r="C1342" s="35" t="s">
        <v>2721</v>
      </c>
      <c r="D1342" s="35" t="s">
        <v>116</v>
      </c>
      <c r="E1342" s="34" t="n">
        <v>5900</v>
      </c>
      <c r="F1342" s="34" t="n">
        <v>5950</v>
      </c>
      <c r="G1342" s="34" t="n">
        <v>5960</v>
      </c>
      <c r="H1342" s="34" t="n">
        <v>6950</v>
      </c>
      <c r="I1342" s="36" t="n">
        <f aca="false">$E1342/F1342-1</f>
        <v>-0.00840336134453779</v>
      </c>
      <c r="J1342" s="36" t="n">
        <f aca="false">$E1342/G1342-1</f>
        <v>-0.0100671140939598</v>
      </c>
      <c r="K1342" s="36" t="n">
        <f aca="false">$E1342/H1342-1</f>
        <v>-0.151079136690647</v>
      </c>
      <c r="L1342" s="37" t="n">
        <v>51.81</v>
      </c>
      <c r="M1342" s="37" t="n">
        <v>0.53</v>
      </c>
      <c r="N1342" s="34" t="n">
        <v>7780</v>
      </c>
      <c r="O1342" s="34" t="n">
        <v>5630</v>
      </c>
      <c r="P1342" s="38"/>
      <c r="Q1342" s="38"/>
    </row>
    <row r="1343" customFormat="false" ht="15" hidden="false" customHeight="false" outlineLevel="0" collapsed="false">
      <c r="A1343" s="34" t="n">
        <v>1335</v>
      </c>
      <c r="B1343" s="35" t="s">
        <v>2722</v>
      </c>
      <c r="C1343" s="35" t="s">
        <v>2723</v>
      </c>
      <c r="D1343" s="35" t="s">
        <v>116</v>
      </c>
      <c r="E1343" s="34" t="n">
        <v>4550</v>
      </c>
      <c r="F1343" s="34" t="n">
        <v>4570</v>
      </c>
      <c r="G1343" s="34" t="n">
        <v>4910</v>
      </c>
      <c r="H1343" s="34" t="n">
        <v>7520</v>
      </c>
      <c r="I1343" s="36" t="n">
        <f aca="false">$E1343/F1343-1</f>
        <v>-0.0043763676148797</v>
      </c>
      <c r="J1343" s="36" t="n">
        <f aca="false">$E1343/G1343-1</f>
        <v>-0.0733197556008147</v>
      </c>
      <c r="K1343" s="36" t="n">
        <f aca="false">$E1343/H1343-1</f>
        <v>-0.394946808510638</v>
      </c>
      <c r="L1343" s="37" t="n">
        <v>27.43</v>
      </c>
      <c r="M1343" s="37" t="n">
        <v>0.37</v>
      </c>
      <c r="N1343" s="34" t="n">
        <v>10400</v>
      </c>
      <c r="O1343" s="34" t="n">
        <v>4480</v>
      </c>
      <c r="P1343" s="38"/>
      <c r="Q1343" s="38"/>
    </row>
    <row r="1344" customFormat="false" ht="15" hidden="false" customHeight="false" outlineLevel="0" collapsed="false">
      <c r="A1344" s="34" t="n">
        <v>1336</v>
      </c>
      <c r="B1344" s="35" t="s">
        <v>2724</v>
      </c>
      <c r="C1344" s="35" t="s">
        <v>2725</v>
      </c>
      <c r="D1344" s="35" t="s">
        <v>111</v>
      </c>
      <c r="E1344" s="34" t="n">
        <v>10000</v>
      </c>
      <c r="F1344" s="34" t="n">
        <v>10000</v>
      </c>
      <c r="G1344" s="34" t="n">
        <v>10000</v>
      </c>
      <c r="H1344" s="34" t="n">
        <v>11500</v>
      </c>
      <c r="I1344" s="36" t="n">
        <f aca="false">$E1344/F1344-1</f>
        <v>0</v>
      </c>
      <c r="J1344" s="36" t="n">
        <f aca="false">$E1344/G1344-1</f>
        <v>0</v>
      </c>
      <c r="K1344" s="36" t="n">
        <f aca="false">$E1344/H1344-1</f>
        <v>-0.130434782608696</v>
      </c>
      <c r="L1344" s="37" t="n">
        <v>4.48</v>
      </c>
      <c r="M1344" s="37" t="n">
        <v>0.71</v>
      </c>
      <c r="N1344" s="34" t="n">
        <v>15800</v>
      </c>
      <c r="O1344" s="34" t="n">
        <v>10000</v>
      </c>
      <c r="P1344" s="38"/>
      <c r="Q1344" s="38"/>
    </row>
    <row r="1345" customFormat="false" ht="15" hidden="false" customHeight="false" outlineLevel="0" collapsed="false">
      <c r="A1345" s="34" t="n">
        <v>1337</v>
      </c>
      <c r="B1345" s="35" t="s">
        <v>2726</v>
      </c>
      <c r="C1345" s="35" t="s">
        <v>2727</v>
      </c>
      <c r="D1345" s="35" t="s">
        <v>111</v>
      </c>
      <c r="E1345" s="34" t="n">
        <v>9200</v>
      </c>
      <c r="F1345" s="34" t="n">
        <v>9200</v>
      </c>
      <c r="G1345" s="34" t="n">
        <v>8900</v>
      </c>
      <c r="H1345" s="34" t="n">
        <v>8800</v>
      </c>
      <c r="I1345" s="36" t="n">
        <f aca="false">$E1345/F1345-1</f>
        <v>0</v>
      </c>
      <c r="J1345" s="36" t="n">
        <f aca="false">$E1345/G1345-1</f>
        <v>0.0337078651685394</v>
      </c>
      <c r="K1345" s="36" t="n">
        <f aca="false">$E1345/H1345-1</f>
        <v>0.0454545454545454</v>
      </c>
      <c r="L1345" s="37" t="n">
        <v>243.31</v>
      </c>
      <c r="M1345" s="37" t="n">
        <v>0.89</v>
      </c>
      <c r="N1345" s="34" t="n">
        <v>10700</v>
      </c>
      <c r="O1345" s="34" t="n">
        <v>6850</v>
      </c>
      <c r="P1345" s="38"/>
      <c r="Q1345" s="38"/>
    </row>
    <row r="1346" customFormat="false" ht="15" hidden="false" customHeight="false" outlineLevel="0" collapsed="false">
      <c r="A1346" s="34" t="n">
        <v>1338</v>
      </c>
      <c r="B1346" s="35" t="s">
        <v>2728</v>
      </c>
      <c r="C1346" s="35" t="s">
        <v>2729</v>
      </c>
      <c r="D1346" s="35" t="s">
        <v>111</v>
      </c>
      <c r="E1346" s="34" t="n">
        <v>2211</v>
      </c>
      <c r="F1346" s="34" t="n">
        <v>2280</v>
      </c>
      <c r="G1346" s="34" t="n">
        <v>2300</v>
      </c>
      <c r="H1346" s="34" t="n">
        <v>2500</v>
      </c>
      <c r="I1346" s="36" t="n">
        <f aca="false">$E1346/F1346-1</f>
        <v>-0.0302631578947369</v>
      </c>
      <c r="J1346" s="36" t="n">
        <f aca="false">$E1346/G1346-1</f>
        <v>-0.038695652173913</v>
      </c>
      <c r="K1346" s="36" t="n">
        <f aca="false">$E1346/H1346-1</f>
        <v>-0.1156</v>
      </c>
      <c r="L1346" s="37" t="n">
        <v>12.92</v>
      </c>
      <c r="M1346" s="37" t="n">
        <v>-0.48</v>
      </c>
      <c r="N1346" s="34" t="n">
        <v>3500</v>
      </c>
      <c r="O1346" s="34" t="n">
        <v>2211</v>
      </c>
      <c r="P1346" s="38"/>
      <c r="Q1346" s="38"/>
    </row>
    <row r="1347" customFormat="false" ht="15" hidden="false" customHeight="false" outlineLevel="0" collapsed="false">
      <c r="A1347" s="34" t="n">
        <v>1339</v>
      </c>
      <c r="B1347" s="35" t="s">
        <v>2730</v>
      </c>
      <c r="C1347" s="35" t="s">
        <v>2731</v>
      </c>
      <c r="D1347" s="35" t="s">
        <v>133</v>
      </c>
      <c r="E1347" s="34" t="n">
        <v>13000</v>
      </c>
      <c r="F1347" s="34" t="n">
        <v>13000</v>
      </c>
      <c r="G1347" s="34" t="n">
        <v>13000</v>
      </c>
      <c r="H1347" s="34" t="n">
        <v>16000</v>
      </c>
      <c r="I1347" s="36" t="n">
        <f aca="false">$E1347/F1347-1</f>
        <v>0</v>
      </c>
      <c r="J1347" s="36" t="n">
        <f aca="false">$E1347/G1347-1</f>
        <v>0</v>
      </c>
      <c r="K1347" s="36" t="n">
        <f aca="false">$E1347/H1347-1</f>
        <v>-0.1875</v>
      </c>
      <c r="L1347" s="37" t="n">
        <v>20.04</v>
      </c>
      <c r="M1347" s="37" t="n">
        <v>1.13</v>
      </c>
      <c r="N1347" s="34" t="n">
        <v>26500</v>
      </c>
      <c r="O1347" s="34" t="n">
        <v>11800</v>
      </c>
      <c r="P1347" s="38"/>
      <c r="Q1347" s="38"/>
    </row>
    <row r="1348" customFormat="false" ht="15" hidden="false" customHeight="false" outlineLevel="0" collapsed="false">
      <c r="A1348" s="34" t="n">
        <v>1340</v>
      </c>
      <c r="B1348" s="35" t="s">
        <v>2732</v>
      </c>
      <c r="C1348" s="35" t="s">
        <v>2733</v>
      </c>
      <c r="D1348" s="35" t="s">
        <v>111</v>
      </c>
      <c r="E1348" s="34" t="n">
        <v>6700</v>
      </c>
      <c r="F1348" s="34" t="n">
        <v>6700</v>
      </c>
      <c r="G1348" s="34" t="n">
        <v>6700</v>
      </c>
      <c r="H1348" s="34" t="n">
        <v>9533.68</v>
      </c>
      <c r="I1348" s="36" t="n">
        <f aca="false">$E1348/F1348-1</f>
        <v>0</v>
      </c>
      <c r="J1348" s="36" t="n">
        <f aca="false">$E1348/G1348-1</f>
        <v>0</v>
      </c>
      <c r="K1348" s="36" t="n">
        <f aca="false">$E1348/H1348-1</f>
        <v>-0.297228352535432</v>
      </c>
      <c r="L1348" s="37" t="n">
        <v>8.9</v>
      </c>
      <c r="M1348" s="37" t="n">
        <v>0.56</v>
      </c>
      <c r="N1348" s="34" t="n">
        <v>9625.35</v>
      </c>
      <c r="O1348" s="34" t="n">
        <v>5775.21</v>
      </c>
      <c r="P1348" s="38"/>
      <c r="Q1348" s="38"/>
    </row>
    <row r="1349" customFormat="false" ht="15" hidden="false" customHeight="false" outlineLevel="0" collapsed="false">
      <c r="A1349" s="34" t="n">
        <v>1341</v>
      </c>
      <c r="B1349" s="35" t="s">
        <v>2734</v>
      </c>
      <c r="C1349" s="35" t="s">
        <v>2735</v>
      </c>
      <c r="D1349" s="35" t="s">
        <v>133</v>
      </c>
      <c r="E1349" s="34" t="n">
        <v>6900</v>
      </c>
      <c r="F1349" s="34" t="n">
        <v>6900</v>
      </c>
      <c r="G1349" s="34" t="n">
        <v>6900</v>
      </c>
      <c r="H1349" s="34" t="n">
        <v>5540.02</v>
      </c>
      <c r="I1349" s="36" t="n">
        <f aca="false">$E1349/F1349-1</f>
        <v>0</v>
      </c>
      <c r="J1349" s="36" t="n">
        <f aca="false">$E1349/G1349-1</f>
        <v>0</v>
      </c>
      <c r="K1349" s="36" t="n">
        <f aca="false">$E1349/H1349-1</f>
        <v>0.245482868292894</v>
      </c>
      <c r="L1349" s="37" t="n">
        <v>8.34</v>
      </c>
      <c r="M1349" s="37" t="n">
        <v>0.4</v>
      </c>
      <c r="N1349" s="34" t="n">
        <v>6900</v>
      </c>
      <c r="O1349" s="34" t="n">
        <v>4932.89</v>
      </c>
      <c r="P1349" s="38"/>
      <c r="Q1349" s="38"/>
    </row>
    <row r="1350" customFormat="false" ht="15" hidden="false" customHeight="false" outlineLevel="0" collapsed="false">
      <c r="A1350" s="34" t="n">
        <v>1342</v>
      </c>
      <c r="B1350" s="35" t="s">
        <v>2736</v>
      </c>
      <c r="C1350" s="35" t="s">
        <v>2737</v>
      </c>
      <c r="D1350" s="35" t="s">
        <v>111</v>
      </c>
      <c r="E1350" s="34"/>
      <c r="F1350" s="34"/>
      <c r="G1350" s="34"/>
      <c r="H1350" s="34"/>
      <c r="I1350" s="36" t="e">
        <f aca="false">$E1350/F1350-1</f>
        <v>#DIV/0!</v>
      </c>
      <c r="J1350" s="36" t="e">
        <f aca="false">$E1350/G1350-1</f>
        <v>#DIV/0!</v>
      </c>
      <c r="K1350" s="36" t="e">
        <f aca="false">$E1350/H1350-1</f>
        <v>#DIV/0!</v>
      </c>
      <c r="L1350" s="37"/>
      <c r="M1350" s="37"/>
      <c r="N1350" s="34"/>
      <c r="O1350" s="34"/>
      <c r="P1350" s="38"/>
      <c r="Q1350" s="38"/>
    </row>
    <row r="1351" customFormat="false" ht="15" hidden="false" customHeight="false" outlineLevel="0" collapsed="false">
      <c r="A1351" s="34" t="n">
        <v>1343</v>
      </c>
      <c r="B1351" s="35" t="s">
        <v>2738</v>
      </c>
      <c r="C1351" s="35" t="s">
        <v>2739</v>
      </c>
      <c r="D1351" s="35" t="s">
        <v>111</v>
      </c>
      <c r="E1351" s="34" t="n">
        <v>1400</v>
      </c>
      <c r="F1351" s="34" t="n">
        <v>1449</v>
      </c>
      <c r="G1351" s="34" t="n">
        <v>1400</v>
      </c>
      <c r="H1351" s="34" t="n">
        <v>1800</v>
      </c>
      <c r="I1351" s="36" t="n">
        <f aca="false">$E1351/F1351-1</f>
        <v>-0.033816425120773</v>
      </c>
      <c r="J1351" s="36" t="n">
        <f aca="false">$E1351/G1351-1</f>
        <v>0</v>
      </c>
      <c r="K1351" s="36" t="n">
        <f aca="false">$E1351/H1351-1</f>
        <v>-0.222222222222222</v>
      </c>
      <c r="L1351" s="37" t="n">
        <v>11.72</v>
      </c>
      <c r="M1351" s="37" t="n">
        <v>0.22</v>
      </c>
      <c r="N1351" s="34" t="n">
        <v>1900</v>
      </c>
      <c r="O1351" s="34" t="n">
        <v>1300</v>
      </c>
      <c r="P1351" s="38"/>
      <c r="Q1351" s="38"/>
    </row>
    <row r="1352" customFormat="false" ht="15" hidden="false" customHeight="false" outlineLevel="0" collapsed="false">
      <c r="A1352" s="34" t="n">
        <v>1344</v>
      </c>
      <c r="B1352" s="35" t="s">
        <v>2740</v>
      </c>
      <c r="C1352" s="35" t="s">
        <v>2741</v>
      </c>
      <c r="D1352" s="35" t="s">
        <v>111</v>
      </c>
      <c r="E1352" s="34" t="n">
        <v>38881</v>
      </c>
      <c r="F1352" s="34" t="n">
        <v>38139</v>
      </c>
      <c r="G1352" s="34" t="n">
        <v>38673.56</v>
      </c>
      <c r="H1352" s="34" t="n">
        <v>35844.95</v>
      </c>
      <c r="I1352" s="36" t="n">
        <f aca="false">$E1352/F1352-1</f>
        <v>0.0194551508954088</v>
      </c>
      <c r="J1352" s="36" t="n">
        <f aca="false">$E1352/G1352-1</f>
        <v>0.00536387133742022</v>
      </c>
      <c r="K1352" s="36" t="n">
        <f aca="false">$E1352/H1352-1</f>
        <v>0.0846995183421933</v>
      </c>
      <c r="L1352" s="37" t="n">
        <v>13.1</v>
      </c>
      <c r="M1352" s="37" t="n">
        <v>3</v>
      </c>
      <c r="N1352" s="34" t="n">
        <v>51671.82</v>
      </c>
      <c r="O1352" s="34" t="n">
        <v>33825.08</v>
      </c>
      <c r="P1352" s="38"/>
      <c r="Q1352" s="38"/>
    </row>
    <row r="1353" customFormat="false" ht="15" hidden="false" customHeight="false" outlineLevel="0" collapsed="false">
      <c r="A1353" s="34" t="n">
        <v>1345</v>
      </c>
      <c r="B1353" s="35" t="s">
        <v>2742</v>
      </c>
      <c r="C1353" s="35" t="s">
        <v>2743</v>
      </c>
      <c r="D1353" s="35" t="s">
        <v>111</v>
      </c>
      <c r="E1353" s="34" t="n">
        <v>8500</v>
      </c>
      <c r="F1353" s="34" t="n">
        <v>8500</v>
      </c>
      <c r="G1353" s="34" t="n">
        <v>10800</v>
      </c>
      <c r="H1353" s="34" t="n">
        <v>11800</v>
      </c>
      <c r="I1353" s="36" t="n">
        <f aca="false">$E1353/F1353-1</f>
        <v>0</v>
      </c>
      <c r="J1353" s="36" t="n">
        <f aca="false">$E1353/G1353-1</f>
        <v>-0.212962962962963</v>
      </c>
      <c r="K1353" s="36" t="n">
        <f aca="false">$E1353/H1353-1</f>
        <v>-0.279661016949153</v>
      </c>
      <c r="L1353" s="37" t="n">
        <v>14.28</v>
      </c>
      <c r="M1353" s="37" t="n">
        <v>0.76</v>
      </c>
      <c r="N1353" s="34" t="n">
        <v>13800</v>
      </c>
      <c r="O1353" s="34" t="n">
        <v>7300</v>
      </c>
      <c r="P1353" s="38"/>
      <c r="Q1353" s="38"/>
    </row>
    <row r="1354" customFormat="false" ht="15" hidden="false" customHeight="false" outlineLevel="0" collapsed="false">
      <c r="A1354" s="34" t="n">
        <v>1346</v>
      </c>
      <c r="B1354" s="35" t="s">
        <v>2744</v>
      </c>
      <c r="C1354" s="35" t="s">
        <v>2745</v>
      </c>
      <c r="D1354" s="35" t="s">
        <v>111</v>
      </c>
      <c r="E1354" s="34" t="n">
        <v>62500</v>
      </c>
      <c r="F1354" s="34" t="n">
        <v>62500</v>
      </c>
      <c r="G1354" s="34" t="n">
        <v>62500</v>
      </c>
      <c r="H1354" s="34" t="n">
        <v>62500</v>
      </c>
      <c r="I1354" s="36" t="n">
        <f aca="false">$E1354/F1354-1</f>
        <v>0</v>
      </c>
      <c r="J1354" s="36" t="n">
        <f aca="false">$E1354/G1354-1</f>
        <v>0</v>
      </c>
      <c r="K1354" s="36" t="n">
        <f aca="false">$E1354/H1354-1</f>
        <v>0</v>
      </c>
      <c r="L1354" s="37" t="n">
        <v>39.61</v>
      </c>
      <c r="M1354" s="37" t="n">
        <v>3.54</v>
      </c>
      <c r="N1354" s="34" t="n">
        <v>62500</v>
      </c>
      <c r="O1354" s="34" t="n">
        <v>31600</v>
      </c>
      <c r="P1354" s="38"/>
      <c r="Q1354" s="38"/>
    </row>
    <row r="1355" customFormat="false" ht="15" hidden="false" customHeight="false" outlineLevel="0" collapsed="false">
      <c r="A1355" s="34" t="n">
        <v>1347</v>
      </c>
      <c r="B1355" s="35" t="s">
        <v>2746</v>
      </c>
      <c r="C1355" s="35" t="s">
        <v>2747</v>
      </c>
      <c r="D1355" s="35" t="s">
        <v>111</v>
      </c>
      <c r="E1355" s="34" t="n">
        <v>12535</v>
      </c>
      <c r="F1355" s="34" t="n">
        <v>11500</v>
      </c>
      <c r="G1355" s="34" t="n">
        <v>14300</v>
      </c>
      <c r="H1355" s="34" t="n">
        <v>13107</v>
      </c>
      <c r="I1355" s="36" t="n">
        <f aca="false">$E1355/F1355-1</f>
        <v>0.0900000000000001</v>
      </c>
      <c r="J1355" s="36" t="n">
        <f aca="false">$E1355/G1355-1</f>
        <v>-0.123426573426573</v>
      </c>
      <c r="K1355" s="36" t="n">
        <f aca="false">$E1355/H1355-1</f>
        <v>-0.0436408026245517</v>
      </c>
      <c r="L1355" s="37" t="n">
        <v>-3.98</v>
      </c>
      <c r="M1355" s="37" t="n">
        <v>0.91</v>
      </c>
      <c r="N1355" s="34" t="n">
        <v>19200</v>
      </c>
      <c r="O1355" s="34" t="n">
        <v>9200</v>
      </c>
      <c r="P1355" s="38"/>
      <c r="Q1355" s="38"/>
    </row>
    <row r="1356" customFormat="false" ht="15" hidden="false" customHeight="false" outlineLevel="0" collapsed="false">
      <c r="A1356" s="34" t="n">
        <v>1348</v>
      </c>
      <c r="B1356" s="35" t="s">
        <v>2748</v>
      </c>
      <c r="C1356" s="35" t="s">
        <v>2749</v>
      </c>
      <c r="D1356" s="35" t="s">
        <v>111</v>
      </c>
      <c r="E1356" s="34" t="n">
        <v>1300</v>
      </c>
      <c r="F1356" s="34" t="n">
        <v>1300</v>
      </c>
      <c r="G1356" s="34" t="n">
        <v>1300</v>
      </c>
      <c r="H1356" s="34" t="n">
        <v>1300</v>
      </c>
      <c r="I1356" s="36" t="n">
        <f aca="false">$E1356/F1356-1</f>
        <v>0</v>
      </c>
      <c r="J1356" s="36" t="n">
        <f aca="false">$E1356/G1356-1</f>
        <v>0</v>
      </c>
      <c r="K1356" s="36" t="n">
        <f aca="false">$E1356/H1356-1</f>
        <v>0</v>
      </c>
      <c r="L1356" s="37" t="n">
        <v>0.42</v>
      </c>
      <c r="M1356" s="37" t="n">
        <v>0.1</v>
      </c>
      <c r="N1356" s="34" t="n">
        <v>1300</v>
      </c>
      <c r="O1356" s="34" t="n">
        <v>1300</v>
      </c>
      <c r="P1356" s="38"/>
      <c r="Q1356" s="38"/>
    </row>
    <row r="1357" customFormat="false" ht="15" hidden="false" customHeight="false" outlineLevel="0" collapsed="false">
      <c r="A1357" s="34" t="n">
        <v>1349</v>
      </c>
      <c r="B1357" s="35" t="s">
        <v>2750</v>
      </c>
      <c r="C1357" s="35" t="s">
        <v>2751</v>
      </c>
      <c r="D1357" s="35" t="s">
        <v>111</v>
      </c>
      <c r="E1357" s="34" t="n">
        <v>40000</v>
      </c>
      <c r="F1357" s="34" t="n">
        <v>40000</v>
      </c>
      <c r="G1357" s="34" t="n">
        <v>43000</v>
      </c>
      <c r="H1357" s="34" t="n">
        <v>45500</v>
      </c>
      <c r="I1357" s="36" t="n">
        <f aca="false">$E1357/F1357-1</f>
        <v>0</v>
      </c>
      <c r="J1357" s="36" t="n">
        <f aca="false">$E1357/G1357-1</f>
        <v>-0.0697674418604651</v>
      </c>
      <c r="K1357" s="36" t="n">
        <f aca="false">$E1357/H1357-1</f>
        <v>-0.120879120879121</v>
      </c>
      <c r="L1357" s="37" t="n">
        <v>23.54</v>
      </c>
      <c r="M1357" s="37" t="n">
        <v>3.17</v>
      </c>
      <c r="N1357" s="34" t="n">
        <v>58100</v>
      </c>
      <c r="O1357" s="34" t="n">
        <v>29664.55</v>
      </c>
      <c r="P1357" s="38"/>
      <c r="Q1357" s="38"/>
    </row>
    <row r="1358" customFormat="false" ht="15" hidden="false" customHeight="false" outlineLevel="0" collapsed="false">
      <c r="A1358" s="34" t="n">
        <v>1350</v>
      </c>
      <c r="B1358" s="35" t="s">
        <v>2752</v>
      </c>
      <c r="C1358" s="35" t="s">
        <v>2753</v>
      </c>
      <c r="D1358" s="35" t="s">
        <v>111</v>
      </c>
      <c r="E1358" s="34" t="n">
        <v>99500</v>
      </c>
      <c r="F1358" s="34" t="n">
        <v>99500</v>
      </c>
      <c r="G1358" s="34" t="n">
        <v>99500</v>
      </c>
      <c r="H1358" s="34" t="n">
        <v>71527.45</v>
      </c>
      <c r="I1358" s="36" t="n">
        <f aca="false">$E1358/F1358-1</f>
        <v>0</v>
      </c>
      <c r="J1358" s="36" t="n">
        <f aca="false">$E1358/G1358-1</f>
        <v>0</v>
      </c>
      <c r="K1358" s="36" t="n">
        <f aca="false">$E1358/H1358-1</f>
        <v>0.391074335796956</v>
      </c>
      <c r="L1358" s="37" t="n">
        <v>15.65</v>
      </c>
      <c r="M1358" s="37" t="n">
        <v>4.34</v>
      </c>
      <c r="N1358" s="34" t="n">
        <v>107800</v>
      </c>
      <c r="O1358" s="34" t="n">
        <v>18721.95</v>
      </c>
      <c r="P1358" s="38"/>
      <c r="Q1358" s="38"/>
    </row>
    <row r="1359" customFormat="false" ht="15" hidden="false" customHeight="false" outlineLevel="0" collapsed="false">
      <c r="A1359" s="34" t="n">
        <v>1351</v>
      </c>
      <c r="B1359" s="35" t="s">
        <v>2754</v>
      </c>
      <c r="C1359" s="35" t="s">
        <v>2755</v>
      </c>
      <c r="D1359" s="35" t="s">
        <v>111</v>
      </c>
      <c r="E1359" s="34" t="n">
        <v>19705</v>
      </c>
      <c r="F1359" s="34" t="n">
        <v>19567</v>
      </c>
      <c r="G1359" s="34" t="n">
        <v>22390</v>
      </c>
      <c r="H1359" s="34" t="n">
        <v>22405</v>
      </c>
      <c r="I1359" s="36" t="n">
        <f aca="false">$E1359/F1359-1</f>
        <v>0.00705269075484227</v>
      </c>
      <c r="J1359" s="36" t="n">
        <f aca="false">$E1359/G1359-1</f>
        <v>-0.119919606967396</v>
      </c>
      <c r="K1359" s="36" t="n">
        <f aca="false">$E1359/H1359-1</f>
        <v>-0.120508814996653</v>
      </c>
      <c r="L1359" s="37" t="n">
        <v>3.41</v>
      </c>
      <c r="M1359" s="37" t="n">
        <v>1.04</v>
      </c>
      <c r="N1359" s="34" t="n">
        <v>38921</v>
      </c>
      <c r="O1359" s="34" t="n">
        <v>19500</v>
      </c>
      <c r="P1359" s="38"/>
      <c r="Q1359" s="38"/>
    </row>
    <row r="1360" customFormat="false" ht="15" hidden="false" customHeight="false" outlineLevel="0" collapsed="false">
      <c r="A1360" s="34" t="n">
        <v>1352</v>
      </c>
      <c r="B1360" s="35" t="s">
        <v>2756</v>
      </c>
      <c r="C1360" s="35" t="s">
        <v>2757</v>
      </c>
      <c r="D1360" s="35" t="s">
        <v>116</v>
      </c>
      <c r="E1360" s="34" t="n">
        <v>26500</v>
      </c>
      <c r="F1360" s="34" t="n">
        <v>25700</v>
      </c>
      <c r="G1360" s="34" t="n">
        <v>27500</v>
      </c>
      <c r="H1360" s="34" t="n">
        <v>34450</v>
      </c>
      <c r="I1360" s="36" t="n">
        <f aca="false">$E1360/F1360-1</f>
        <v>0.0311284046692606</v>
      </c>
      <c r="J1360" s="36" t="n">
        <f aca="false">$E1360/G1360-1</f>
        <v>-0.0363636363636364</v>
      </c>
      <c r="K1360" s="36" t="n">
        <f aca="false">$E1360/H1360-1</f>
        <v>-0.230769230769231</v>
      </c>
      <c r="L1360" s="37" t="n">
        <v>10.94</v>
      </c>
      <c r="M1360" s="37" t="n">
        <v>1.41</v>
      </c>
      <c r="N1360" s="34" t="n">
        <v>43050</v>
      </c>
      <c r="O1360" s="34" t="n">
        <v>23650</v>
      </c>
      <c r="P1360" s="38"/>
      <c r="Q1360" s="38"/>
    </row>
    <row r="1361" customFormat="false" ht="15" hidden="false" customHeight="false" outlineLevel="0" collapsed="false">
      <c r="A1361" s="34" t="n">
        <v>1353</v>
      </c>
      <c r="B1361" s="35" t="s">
        <v>2758</v>
      </c>
      <c r="C1361" s="35" t="s">
        <v>2759</v>
      </c>
      <c r="D1361" s="35" t="s">
        <v>133</v>
      </c>
      <c r="E1361" s="34" t="n">
        <v>15800</v>
      </c>
      <c r="F1361" s="34" t="n">
        <v>15700</v>
      </c>
      <c r="G1361" s="34" t="n">
        <v>15900</v>
      </c>
      <c r="H1361" s="34" t="n">
        <v>18500</v>
      </c>
      <c r="I1361" s="36" t="n">
        <f aca="false">$E1361/F1361-1</f>
        <v>0.00636942675159236</v>
      </c>
      <c r="J1361" s="36" t="n">
        <f aca="false">$E1361/G1361-1</f>
        <v>-0.00628930817610063</v>
      </c>
      <c r="K1361" s="36" t="n">
        <f aca="false">$E1361/H1361-1</f>
        <v>-0.145945945945946</v>
      </c>
      <c r="L1361" s="37" t="n">
        <v>8.74</v>
      </c>
      <c r="M1361" s="37" t="n">
        <v>0.94</v>
      </c>
      <c r="N1361" s="34" t="n">
        <v>18700</v>
      </c>
      <c r="O1361" s="34" t="n">
        <v>14500</v>
      </c>
      <c r="P1361" s="38"/>
      <c r="Q1361" s="38"/>
    </row>
    <row r="1362" customFormat="false" ht="15" hidden="false" customHeight="false" outlineLevel="0" collapsed="false">
      <c r="A1362" s="34" t="n">
        <v>1354</v>
      </c>
      <c r="B1362" s="35" t="s">
        <v>2760</v>
      </c>
      <c r="C1362" s="35" t="s">
        <v>2761</v>
      </c>
      <c r="D1362" s="35" t="s">
        <v>133</v>
      </c>
      <c r="E1362" s="34" t="n">
        <v>13200</v>
      </c>
      <c r="F1362" s="34" t="n">
        <v>13000</v>
      </c>
      <c r="G1362" s="34" t="n">
        <v>12900</v>
      </c>
      <c r="H1362" s="34" t="n">
        <v>15000</v>
      </c>
      <c r="I1362" s="36" t="n">
        <f aca="false">$E1362/F1362-1</f>
        <v>0.0153846153846153</v>
      </c>
      <c r="J1362" s="36" t="n">
        <f aca="false">$E1362/G1362-1</f>
        <v>0.0232558139534884</v>
      </c>
      <c r="K1362" s="36" t="n">
        <f aca="false">$E1362/H1362-1</f>
        <v>-0.12</v>
      </c>
      <c r="L1362" s="37" t="n">
        <v>5.94</v>
      </c>
      <c r="M1362" s="37" t="n">
        <v>0.99</v>
      </c>
      <c r="N1362" s="34" t="n">
        <v>16700</v>
      </c>
      <c r="O1362" s="34" t="n">
        <v>12600</v>
      </c>
      <c r="P1362" s="38"/>
      <c r="Q1362" s="38"/>
    </row>
    <row r="1363" customFormat="false" ht="15" hidden="false" customHeight="false" outlineLevel="0" collapsed="false">
      <c r="A1363" s="34" t="n">
        <v>1355</v>
      </c>
      <c r="B1363" s="35" t="s">
        <v>2762</v>
      </c>
      <c r="C1363" s="35" t="s">
        <v>2763</v>
      </c>
      <c r="D1363" s="35" t="s">
        <v>111</v>
      </c>
      <c r="E1363" s="34" t="n">
        <v>27887</v>
      </c>
      <c r="F1363" s="34" t="n">
        <v>28288</v>
      </c>
      <c r="G1363" s="34" t="n">
        <v>31700</v>
      </c>
      <c r="H1363" s="34" t="n">
        <v>31700</v>
      </c>
      <c r="I1363" s="36" t="n">
        <f aca="false">$E1363/F1363-1</f>
        <v>-0.0141756221719457</v>
      </c>
      <c r="J1363" s="36" t="n">
        <f aca="false">$E1363/G1363-1</f>
        <v>-0.120283911671924</v>
      </c>
      <c r="K1363" s="36" t="n">
        <f aca="false">$E1363/H1363-1</f>
        <v>-0.120283911671924</v>
      </c>
      <c r="L1363" s="37" t="n">
        <v>6.49</v>
      </c>
      <c r="M1363" s="37" t="n">
        <v>0.84</v>
      </c>
      <c r="N1363" s="34" t="n">
        <v>34900</v>
      </c>
      <c r="O1363" s="34" t="n">
        <v>27887</v>
      </c>
      <c r="P1363" s="38"/>
      <c r="Q1363" s="38"/>
    </row>
    <row r="1364" customFormat="false" ht="15" hidden="false" customHeight="false" outlineLevel="0" collapsed="false">
      <c r="A1364" s="34" t="n">
        <v>1356</v>
      </c>
      <c r="B1364" s="35" t="s">
        <v>2764</v>
      </c>
      <c r="C1364" s="35" t="s">
        <v>2765</v>
      </c>
      <c r="D1364" s="35" t="s">
        <v>111</v>
      </c>
      <c r="E1364" s="34" t="n">
        <v>8600</v>
      </c>
      <c r="F1364" s="34" t="n">
        <v>8600</v>
      </c>
      <c r="G1364" s="34" t="n">
        <v>8600</v>
      </c>
      <c r="H1364" s="34" t="n">
        <v>8600</v>
      </c>
      <c r="I1364" s="36" t="n">
        <f aca="false">$E1364/F1364-1</f>
        <v>0</v>
      </c>
      <c r="J1364" s="36" t="n">
        <f aca="false">$E1364/G1364-1</f>
        <v>0</v>
      </c>
      <c r="K1364" s="36" t="n">
        <f aca="false">$E1364/H1364-1</f>
        <v>0</v>
      </c>
      <c r="L1364" s="37" t="n">
        <v>-6.95</v>
      </c>
      <c r="M1364" s="37" t="n">
        <v>-4.23</v>
      </c>
      <c r="N1364" s="34" t="n">
        <v>8600</v>
      </c>
      <c r="O1364" s="34" t="n">
        <v>8600</v>
      </c>
      <c r="P1364" s="38"/>
      <c r="Q1364" s="38"/>
    </row>
    <row r="1365" customFormat="false" ht="15" hidden="false" customHeight="false" outlineLevel="0" collapsed="false">
      <c r="A1365" s="34" t="n">
        <v>1357</v>
      </c>
      <c r="B1365" s="35" t="s">
        <v>2766</v>
      </c>
      <c r="C1365" s="35" t="s">
        <v>2767</v>
      </c>
      <c r="D1365" s="35" t="s">
        <v>111</v>
      </c>
      <c r="E1365" s="34" t="n">
        <v>20700</v>
      </c>
      <c r="F1365" s="34"/>
      <c r="G1365" s="34"/>
      <c r="H1365" s="34"/>
      <c r="I1365" s="36" t="e">
        <f aca="false">$E1365/F1365-1</f>
        <v>#DIV/0!</v>
      </c>
      <c r="J1365" s="36" t="e">
        <f aca="false">$E1365/G1365-1</f>
        <v>#DIV/0!</v>
      </c>
      <c r="K1365" s="36" t="e">
        <f aca="false">$E1365/H1365-1</f>
        <v>#DIV/0!</v>
      </c>
      <c r="L1365" s="37"/>
      <c r="M1365" s="37"/>
      <c r="N1365" s="34"/>
      <c r="O1365" s="34"/>
      <c r="P1365" s="38"/>
      <c r="Q1365" s="38"/>
    </row>
    <row r="1366" customFormat="false" ht="15" hidden="false" customHeight="false" outlineLevel="0" collapsed="false">
      <c r="A1366" s="34" t="n">
        <v>1358</v>
      </c>
      <c r="B1366" s="35" t="s">
        <v>2768</v>
      </c>
      <c r="C1366" s="35" t="s">
        <v>2769</v>
      </c>
      <c r="D1366" s="35" t="s">
        <v>111</v>
      </c>
      <c r="E1366" s="34" t="n">
        <v>13100</v>
      </c>
      <c r="F1366" s="34" t="n">
        <v>13100</v>
      </c>
      <c r="G1366" s="34" t="n">
        <v>13100</v>
      </c>
      <c r="H1366" s="34" t="n">
        <v>13058.01</v>
      </c>
      <c r="I1366" s="36" t="n">
        <f aca="false">$E1366/F1366-1</f>
        <v>0</v>
      </c>
      <c r="J1366" s="36" t="n">
        <f aca="false">$E1366/G1366-1</f>
        <v>0</v>
      </c>
      <c r="K1366" s="36" t="n">
        <f aca="false">$E1366/H1366-1</f>
        <v>0.00321565077680286</v>
      </c>
      <c r="L1366" s="37" t="n">
        <v>5.03</v>
      </c>
      <c r="M1366" s="37" t="n">
        <v>0.86</v>
      </c>
      <c r="N1366" s="34"/>
      <c r="O1366" s="34"/>
      <c r="P1366" s="38"/>
      <c r="Q1366" s="38"/>
    </row>
    <row r="1367" customFormat="false" ht="15" hidden="false" customHeight="false" outlineLevel="0" collapsed="false">
      <c r="A1367" s="34" t="n">
        <v>1359</v>
      </c>
      <c r="B1367" s="35" t="s">
        <v>2770</v>
      </c>
      <c r="C1367" s="35" t="s">
        <v>2771</v>
      </c>
      <c r="D1367" s="35" t="s">
        <v>111</v>
      </c>
      <c r="E1367" s="34" t="n">
        <v>2900</v>
      </c>
      <c r="F1367" s="34" t="n">
        <v>2900</v>
      </c>
      <c r="G1367" s="34" t="n">
        <v>2600</v>
      </c>
      <c r="H1367" s="34" t="n">
        <v>1800</v>
      </c>
      <c r="I1367" s="36" t="n">
        <f aca="false">$E1367/F1367-1</f>
        <v>0</v>
      </c>
      <c r="J1367" s="36" t="n">
        <f aca="false">$E1367/G1367-1</f>
        <v>0.115384615384615</v>
      </c>
      <c r="K1367" s="36" t="n">
        <f aca="false">$E1367/H1367-1</f>
        <v>0.611111111111111</v>
      </c>
      <c r="L1367" s="37" t="n">
        <v>2.81</v>
      </c>
      <c r="M1367" s="37" t="n">
        <v>-1.14</v>
      </c>
      <c r="N1367" s="34" t="n">
        <v>3100</v>
      </c>
      <c r="O1367" s="34" t="n">
        <v>1600</v>
      </c>
      <c r="P1367" s="38"/>
      <c r="Q1367" s="38"/>
    </row>
    <row r="1368" customFormat="false" ht="15" hidden="false" customHeight="false" outlineLevel="0" collapsed="false">
      <c r="A1368" s="34" t="n">
        <v>1360</v>
      </c>
      <c r="B1368" s="35" t="s">
        <v>2772</v>
      </c>
      <c r="C1368" s="35" t="s">
        <v>2773</v>
      </c>
      <c r="D1368" s="35" t="s">
        <v>111</v>
      </c>
      <c r="E1368" s="34" t="n">
        <v>14300</v>
      </c>
      <c r="F1368" s="34" t="n">
        <v>14300</v>
      </c>
      <c r="G1368" s="34" t="n">
        <v>14300</v>
      </c>
      <c r="H1368" s="34" t="n">
        <v>11000</v>
      </c>
      <c r="I1368" s="36" t="n">
        <f aca="false">$E1368/F1368-1</f>
        <v>0</v>
      </c>
      <c r="J1368" s="36" t="n">
        <f aca="false">$E1368/G1368-1</f>
        <v>0</v>
      </c>
      <c r="K1368" s="36" t="n">
        <f aca="false">$E1368/H1368-1</f>
        <v>0.3</v>
      </c>
      <c r="L1368" s="37" t="n">
        <v>14.22</v>
      </c>
      <c r="M1368" s="37" t="n">
        <v>1.57</v>
      </c>
      <c r="N1368" s="34" t="n">
        <v>31030</v>
      </c>
      <c r="O1368" s="34" t="n">
        <v>7100</v>
      </c>
      <c r="P1368" s="38"/>
      <c r="Q1368" s="38"/>
    </row>
    <row r="1369" customFormat="false" ht="15" hidden="false" customHeight="false" outlineLevel="0" collapsed="false">
      <c r="A1369" s="34" t="n">
        <v>1361</v>
      </c>
      <c r="B1369" s="35" t="s">
        <v>2774</v>
      </c>
      <c r="C1369" s="35" t="s">
        <v>2775</v>
      </c>
      <c r="D1369" s="35" t="s">
        <v>116</v>
      </c>
      <c r="E1369" s="34" t="n">
        <v>3110</v>
      </c>
      <c r="F1369" s="34" t="n">
        <v>3170</v>
      </c>
      <c r="G1369" s="34" t="n">
        <v>3510</v>
      </c>
      <c r="H1369" s="34" t="n">
        <v>3986.85</v>
      </c>
      <c r="I1369" s="36" t="n">
        <f aca="false">$E1369/F1369-1</f>
        <v>-0.0189274447949527</v>
      </c>
      <c r="J1369" s="36" t="n">
        <f aca="false">$E1369/G1369-1</f>
        <v>-0.113960113960114</v>
      </c>
      <c r="K1369" s="36" t="n">
        <f aca="false">$E1369/H1369-1</f>
        <v>-0.219935538081443</v>
      </c>
      <c r="L1369" s="37" t="n">
        <v>-9.1</v>
      </c>
      <c r="M1369" s="37" t="n">
        <v>0.3</v>
      </c>
      <c r="N1369" s="34" t="n">
        <v>5403.81</v>
      </c>
      <c r="O1369" s="34" t="n">
        <v>3050</v>
      </c>
      <c r="P1369" s="38"/>
      <c r="Q1369" s="38"/>
    </row>
    <row r="1370" customFormat="false" ht="15" hidden="false" customHeight="false" outlineLevel="0" collapsed="false">
      <c r="A1370" s="34" t="n">
        <v>1362</v>
      </c>
      <c r="B1370" s="35" t="s">
        <v>2776</v>
      </c>
      <c r="C1370" s="35" t="s">
        <v>2777</v>
      </c>
      <c r="D1370" s="35" t="s">
        <v>111</v>
      </c>
      <c r="E1370" s="34" t="n">
        <v>6000</v>
      </c>
      <c r="F1370" s="34" t="n">
        <v>6000</v>
      </c>
      <c r="G1370" s="34" t="n">
        <v>6000</v>
      </c>
      <c r="H1370" s="34" t="n">
        <v>6000</v>
      </c>
      <c r="I1370" s="36" t="n">
        <f aca="false">$E1370/F1370-1</f>
        <v>0</v>
      </c>
      <c r="J1370" s="36" t="n">
        <f aca="false">$E1370/G1370-1</f>
        <v>0</v>
      </c>
      <c r="K1370" s="36" t="n">
        <f aca="false">$E1370/H1370-1</f>
        <v>0</v>
      </c>
      <c r="L1370" s="37" t="n">
        <v>-17.61</v>
      </c>
      <c r="M1370" s="37" t="n">
        <v>-4.55</v>
      </c>
      <c r="N1370" s="34" t="n">
        <v>6000</v>
      </c>
      <c r="O1370" s="34" t="n">
        <v>6000</v>
      </c>
      <c r="P1370" s="38"/>
      <c r="Q1370" s="38"/>
    </row>
    <row r="1371" customFormat="false" ht="15" hidden="false" customHeight="false" outlineLevel="0" collapsed="false">
      <c r="A1371" s="34" t="n">
        <v>1363</v>
      </c>
      <c r="B1371" s="35" t="s">
        <v>20</v>
      </c>
      <c r="C1371" s="35" t="s">
        <v>2778</v>
      </c>
      <c r="D1371" s="35" t="s">
        <v>116</v>
      </c>
      <c r="E1371" s="34" t="n">
        <v>36000</v>
      </c>
      <c r="F1371" s="34" t="n">
        <v>31000</v>
      </c>
      <c r="G1371" s="34" t="n">
        <v>50800</v>
      </c>
      <c r="H1371" s="34" t="n">
        <v>64049.07</v>
      </c>
      <c r="I1371" s="36" t="n">
        <f aca="false">$E1371/F1371-1</f>
        <v>0.161290322580645</v>
      </c>
      <c r="J1371" s="36" t="n">
        <f aca="false">$E1371/G1371-1</f>
        <v>-0.291338582677165</v>
      </c>
      <c r="K1371" s="36" t="n">
        <f aca="false">$E1371/H1371-1</f>
        <v>-0.437930948880288</v>
      </c>
      <c r="L1371" s="37" t="n">
        <v>6.35</v>
      </c>
      <c r="M1371" s="37" t="n">
        <v>1.33</v>
      </c>
      <c r="N1371" s="34" t="n">
        <v>84670.9</v>
      </c>
      <c r="O1371" s="34" t="n">
        <v>30750</v>
      </c>
      <c r="P1371" s="38" t="n">
        <v>15.02</v>
      </c>
      <c r="Q1371" s="38" t="n">
        <v>3.02</v>
      </c>
    </row>
    <row r="1372" customFormat="false" ht="15" hidden="false" customHeight="false" outlineLevel="0" collapsed="false">
      <c r="A1372" s="34" t="n">
        <v>1364</v>
      </c>
      <c r="B1372" s="35" t="s">
        <v>2779</v>
      </c>
      <c r="C1372" s="35" t="s">
        <v>2780</v>
      </c>
      <c r="D1372" s="35" t="s">
        <v>111</v>
      </c>
      <c r="E1372" s="34" t="n">
        <v>12300</v>
      </c>
      <c r="F1372" s="34" t="n">
        <v>12800</v>
      </c>
      <c r="G1372" s="34" t="n">
        <v>12000</v>
      </c>
      <c r="H1372" s="34" t="n">
        <v>11493.75</v>
      </c>
      <c r="I1372" s="36" t="n">
        <f aca="false">$E1372/F1372-1</f>
        <v>-0.0390625</v>
      </c>
      <c r="J1372" s="36" t="n">
        <f aca="false">$E1372/G1372-1</f>
        <v>0.0249999999999999</v>
      </c>
      <c r="K1372" s="36" t="n">
        <f aca="false">$E1372/H1372-1</f>
        <v>0.0701468189233279</v>
      </c>
      <c r="L1372" s="37" t="n">
        <v>10.77</v>
      </c>
      <c r="M1372" s="37" t="n">
        <v>1.04</v>
      </c>
      <c r="N1372" s="34" t="n">
        <v>13000</v>
      </c>
      <c r="O1372" s="34" t="n">
        <v>9838.65</v>
      </c>
      <c r="P1372" s="38"/>
      <c r="Q1372" s="38"/>
    </row>
    <row r="1373" customFormat="false" ht="15" hidden="false" customHeight="false" outlineLevel="0" collapsed="false">
      <c r="A1373" s="34" t="n">
        <v>1365</v>
      </c>
      <c r="B1373" s="35" t="s">
        <v>2781</v>
      </c>
      <c r="C1373" s="35" t="s">
        <v>2782</v>
      </c>
      <c r="D1373" s="35" t="s">
        <v>116</v>
      </c>
      <c r="E1373" s="34" t="n">
        <v>27850</v>
      </c>
      <c r="F1373" s="34" t="n">
        <v>27850</v>
      </c>
      <c r="G1373" s="34" t="n">
        <v>31500</v>
      </c>
      <c r="H1373" s="34" t="n">
        <v>18650</v>
      </c>
      <c r="I1373" s="36" t="n">
        <f aca="false">$E1373/F1373-1</f>
        <v>0</v>
      </c>
      <c r="J1373" s="36" t="n">
        <f aca="false">$E1373/G1373-1</f>
        <v>-0.115873015873016</v>
      </c>
      <c r="K1373" s="36" t="n">
        <f aca="false">$E1373/H1373-1</f>
        <v>0.493297587131367</v>
      </c>
      <c r="L1373" s="37" t="n">
        <v>-24.01</v>
      </c>
      <c r="M1373" s="37" t="n">
        <v>1.76</v>
      </c>
      <c r="N1373" s="34" t="n">
        <v>31800</v>
      </c>
      <c r="O1373" s="34" t="n">
        <v>17500</v>
      </c>
      <c r="P1373" s="38"/>
      <c r="Q1373" s="38"/>
    </row>
    <row r="1374" customFormat="false" ht="15" hidden="false" customHeight="false" outlineLevel="0" collapsed="false">
      <c r="A1374" s="34" t="n">
        <v>1366</v>
      </c>
      <c r="B1374" s="35" t="s">
        <v>2783</v>
      </c>
      <c r="C1374" s="35" t="s">
        <v>2784</v>
      </c>
      <c r="D1374" s="35" t="s">
        <v>133</v>
      </c>
      <c r="E1374" s="34" t="n">
        <v>12500</v>
      </c>
      <c r="F1374" s="34" t="n">
        <v>12500</v>
      </c>
      <c r="G1374" s="34" t="n">
        <v>12700</v>
      </c>
      <c r="H1374" s="34" t="n">
        <v>13000</v>
      </c>
      <c r="I1374" s="36" t="n">
        <f aca="false">$E1374/F1374-1</f>
        <v>0</v>
      </c>
      <c r="J1374" s="36" t="n">
        <f aca="false">$E1374/G1374-1</f>
        <v>-0.015748031496063</v>
      </c>
      <c r="K1374" s="36" t="n">
        <f aca="false">$E1374/H1374-1</f>
        <v>-0.0384615384615384</v>
      </c>
      <c r="L1374" s="37" t="n">
        <v>4.3</v>
      </c>
      <c r="M1374" s="37" t="n">
        <v>0.31</v>
      </c>
      <c r="N1374" s="34" t="n">
        <v>18300</v>
      </c>
      <c r="O1374" s="34" t="n">
        <v>11100</v>
      </c>
      <c r="P1374" s="38"/>
      <c r="Q1374" s="38"/>
    </row>
    <row r="1375" customFormat="false" ht="15" hidden="false" customHeight="false" outlineLevel="0" collapsed="false">
      <c r="A1375" s="34" t="n">
        <v>1367</v>
      </c>
      <c r="B1375" s="35" t="s">
        <v>0</v>
      </c>
      <c r="C1375" s="35" t="s">
        <v>2785</v>
      </c>
      <c r="D1375" s="35" t="s">
        <v>111</v>
      </c>
      <c r="E1375" s="34" t="n">
        <v>1400</v>
      </c>
      <c r="F1375" s="34" t="n">
        <v>1396</v>
      </c>
      <c r="G1375" s="34" t="n">
        <v>1200</v>
      </c>
      <c r="H1375" s="34" t="n">
        <v>1000</v>
      </c>
      <c r="I1375" s="36" t="n">
        <f aca="false">$E1375/F1375-1</f>
        <v>0.00286532951289398</v>
      </c>
      <c r="J1375" s="36" t="n">
        <f aca="false">$E1375/G1375-1</f>
        <v>0.166666666666667</v>
      </c>
      <c r="K1375" s="36" t="n">
        <f aca="false">$E1375/H1375-1</f>
        <v>0.4</v>
      </c>
      <c r="L1375" s="37" t="n">
        <v>9.28</v>
      </c>
      <c r="M1375" s="37" t="n">
        <v>-0.4</v>
      </c>
      <c r="N1375" s="34" t="n">
        <v>1900</v>
      </c>
      <c r="O1375" s="34" t="n">
        <v>900</v>
      </c>
      <c r="P1375" s="38"/>
      <c r="Q1375" s="38"/>
    </row>
    <row r="1376" customFormat="false" ht="15" hidden="false" customHeight="false" outlineLevel="0" collapsed="false">
      <c r="A1376" s="34" t="n">
        <v>1368</v>
      </c>
      <c r="B1376" s="35" t="s">
        <v>2786</v>
      </c>
      <c r="C1376" s="35" t="s">
        <v>2787</v>
      </c>
      <c r="D1376" s="35" t="s">
        <v>111</v>
      </c>
      <c r="E1376" s="34" t="n">
        <v>14053</v>
      </c>
      <c r="F1376" s="34" t="n">
        <v>13724</v>
      </c>
      <c r="G1376" s="34" t="n">
        <v>13772</v>
      </c>
      <c r="H1376" s="34" t="n">
        <v>15304</v>
      </c>
      <c r="I1376" s="36" t="n">
        <f aca="false">$E1376/F1376-1</f>
        <v>0.023972602739726</v>
      </c>
      <c r="J1376" s="36" t="n">
        <f aca="false">$E1376/G1376-1</f>
        <v>0.0204037176880627</v>
      </c>
      <c r="K1376" s="36" t="n">
        <f aca="false">$E1376/H1376-1</f>
        <v>-0.0817433350757972</v>
      </c>
      <c r="L1376" s="37" t="n">
        <v>5.01</v>
      </c>
      <c r="M1376" s="37" t="n">
        <v>0.7</v>
      </c>
      <c r="N1376" s="34" t="n">
        <v>21113</v>
      </c>
      <c r="O1376" s="34" t="n">
        <v>13541</v>
      </c>
      <c r="P1376" s="38"/>
      <c r="Q1376" s="38"/>
    </row>
    <row r="1377" customFormat="false" ht="15" hidden="false" customHeight="false" outlineLevel="0" collapsed="false">
      <c r="A1377" s="34" t="n">
        <v>1369</v>
      </c>
      <c r="B1377" s="35" t="s">
        <v>2788</v>
      </c>
      <c r="C1377" s="35" t="s">
        <v>2789</v>
      </c>
      <c r="D1377" s="35" t="s">
        <v>111</v>
      </c>
      <c r="E1377" s="34" t="n">
        <v>16500</v>
      </c>
      <c r="F1377" s="34" t="n">
        <v>16500</v>
      </c>
      <c r="G1377" s="34" t="n">
        <v>16500</v>
      </c>
      <c r="H1377" s="34" t="n">
        <v>15251.49</v>
      </c>
      <c r="I1377" s="36" t="n">
        <f aca="false">$E1377/F1377-1</f>
        <v>0</v>
      </c>
      <c r="J1377" s="36" t="n">
        <f aca="false">$E1377/G1377-1</f>
        <v>0</v>
      </c>
      <c r="K1377" s="36" t="n">
        <f aca="false">$E1377/H1377-1</f>
        <v>0.0818615099246041</v>
      </c>
      <c r="L1377" s="37" t="n">
        <v>4.51</v>
      </c>
      <c r="M1377" s="37" t="n">
        <v>0.64</v>
      </c>
      <c r="N1377" s="34" t="n">
        <v>16500.15</v>
      </c>
      <c r="O1377" s="34" t="n">
        <v>12843.36</v>
      </c>
      <c r="P1377" s="38"/>
      <c r="Q1377" s="38"/>
    </row>
    <row r="1378" customFormat="false" ht="15" hidden="false" customHeight="false" outlineLevel="0" collapsed="false">
      <c r="A1378" s="34" t="n">
        <v>1370</v>
      </c>
      <c r="B1378" s="35" t="s">
        <v>2790</v>
      </c>
      <c r="C1378" s="35" t="s">
        <v>2791</v>
      </c>
      <c r="D1378" s="35" t="s">
        <v>111</v>
      </c>
      <c r="E1378" s="34" t="n">
        <v>3544</v>
      </c>
      <c r="F1378" s="34" t="n">
        <v>4000</v>
      </c>
      <c r="G1378" s="34" t="n">
        <v>5500</v>
      </c>
      <c r="H1378" s="34"/>
      <c r="I1378" s="36" t="n">
        <f aca="false">$E1378/F1378-1</f>
        <v>-0.114</v>
      </c>
      <c r="J1378" s="36" t="n">
        <f aca="false">$E1378/G1378-1</f>
        <v>-0.355636363636364</v>
      </c>
      <c r="K1378" s="36" t="e">
        <f aca="false">$E1378/H1378-1</f>
        <v>#DIV/0!</v>
      </c>
      <c r="L1378" s="37" t="n">
        <v>103.12</v>
      </c>
      <c r="M1378" s="37" t="n">
        <v>0.3</v>
      </c>
      <c r="N1378" s="34"/>
      <c r="O1378" s="34"/>
      <c r="P1378" s="38"/>
      <c r="Q1378" s="38"/>
    </row>
    <row r="1379" customFormat="false" ht="15" hidden="false" customHeight="false" outlineLevel="0" collapsed="false">
      <c r="A1379" s="34" t="n">
        <v>1371</v>
      </c>
      <c r="B1379" s="35" t="s">
        <v>2792</v>
      </c>
      <c r="C1379" s="35" t="s">
        <v>2793</v>
      </c>
      <c r="D1379" s="35" t="s">
        <v>133</v>
      </c>
      <c r="E1379" s="34" t="n">
        <v>10100</v>
      </c>
      <c r="F1379" s="34" t="n">
        <v>10300</v>
      </c>
      <c r="G1379" s="34" t="n">
        <v>10800</v>
      </c>
      <c r="H1379" s="34" t="n">
        <v>8300</v>
      </c>
      <c r="I1379" s="36" t="n">
        <f aca="false">$E1379/F1379-1</f>
        <v>-0.0194174757281553</v>
      </c>
      <c r="J1379" s="36" t="n">
        <f aca="false">$E1379/G1379-1</f>
        <v>-0.0648148148148148</v>
      </c>
      <c r="K1379" s="36" t="n">
        <f aca="false">$E1379/H1379-1</f>
        <v>0.216867469879518</v>
      </c>
      <c r="L1379" s="37" t="n">
        <v>5.65</v>
      </c>
      <c r="M1379" s="37" t="n">
        <v>0.75</v>
      </c>
      <c r="N1379" s="34" t="n">
        <v>11200</v>
      </c>
      <c r="O1379" s="34" t="n">
        <v>8000</v>
      </c>
      <c r="P1379" s="38"/>
      <c r="Q1379" s="38"/>
    </row>
    <row r="1380" customFormat="false" ht="15" hidden="false" customHeight="false" outlineLevel="0" collapsed="false">
      <c r="A1380" s="34" t="n">
        <v>1372</v>
      </c>
      <c r="B1380" s="35" t="s">
        <v>2794</v>
      </c>
      <c r="C1380" s="35" t="s">
        <v>2795</v>
      </c>
      <c r="D1380" s="35" t="s">
        <v>111</v>
      </c>
      <c r="E1380" s="34" t="n">
        <v>6009</v>
      </c>
      <c r="F1380" s="34" t="n">
        <v>5900</v>
      </c>
      <c r="G1380" s="34" t="n">
        <v>7000</v>
      </c>
      <c r="H1380" s="34" t="n">
        <v>8030</v>
      </c>
      <c r="I1380" s="36" t="n">
        <f aca="false">$E1380/F1380-1</f>
        <v>0.0184745762711864</v>
      </c>
      <c r="J1380" s="36" t="n">
        <f aca="false">$E1380/G1380-1</f>
        <v>-0.141571428571429</v>
      </c>
      <c r="K1380" s="36" t="n">
        <f aca="false">$E1380/H1380-1</f>
        <v>-0.251681195516812</v>
      </c>
      <c r="L1380" s="37" t="n">
        <v>23.7</v>
      </c>
      <c r="M1380" s="37" t="n">
        <v>0.57</v>
      </c>
      <c r="N1380" s="34" t="n">
        <v>9654</v>
      </c>
      <c r="O1380" s="34" t="n">
        <v>5800</v>
      </c>
      <c r="P1380" s="38"/>
      <c r="Q1380" s="38"/>
    </row>
    <row r="1381" customFormat="false" ht="15" hidden="false" customHeight="false" outlineLevel="0" collapsed="false">
      <c r="A1381" s="34" t="n">
        <v>1373</v>
      </c>
      <c r="B1381" s="35" t="s">
        <v>2796</v>
      </c>
      <c r="C1381" s="35" t="s">
        <v>2797</v>
      </c>
      <c r="D1381" s="35" t="s">
        <v>111</v>
      </c>
      <c r="E1381" s="34" t="n">
        <v>13400</v>
      </c>
      <c r="F1381" s="34" t="n">
        <v>12265.02</v>
      </c>
      <c r="G1381" s="34" t="n">
        <v>12356.55</v>
      </c>
      <c r="H1381" s="34" t="n">
        <v>12949.72</v>
      </c>
      <c r="I1381" s="36" t="n">
        <f aca="false">$E1381/F1381-1</f>
        <v>0.0925379656943079</v>
      </c>
      <c r="J1381" s="36" t="n">
        <f aca="false">$E1381/G1381-1</f>
        <v>0.08444509187435</v>
      </c>
      <c r="K1381" s="36" t="n">
        <f aca="false">$E1381/H1381-1</f>
        <v>0.0347714081848876</v>
      </c>
      <c r="L1381" s="37" t="n">
        <v>43.69</v>
      </c>
      <c r="M1381" s="37" t="n">
        <v>1.07</v>
      </c>
      <c r="N1381" s="34" t="n">
        <v>14919.39</v>
      </c>
      <c r="O1381" s="34" t="n">
        <v>10383.11</v>
      </c>
      <c r="P1381" s="38"/>
      <c r="Q1381" s="38"/>
    </row>
    <row r="1382" customFormat="false" ht="15" hidden="false" customHeight="false" outlineLevel="0" collapsed="false">
      <c r="A1382" s="34" t="n">
        <v>1374</v>
      </c>
      <c r="B1382" s="35" t="s">
        <v>2798</v>
      </c>
      <c r="C1382" s="35" t="s">
        <v>2799</v>
      </c>
      <c r="D1382" s="35" t="s">
        <v>111</v>
      </c>
      <c r="E1382" s="34" t="n">
        <v>9000</v>
      </c>
      <c r="F1382" s="34" t="n">
        <v>9000</v>
      </c>
      <c r="G1382" s="34" t="n">
        <v>9000</v>
      </c>
      <c r="H1382" s="34" t="n">
        <v>8800</v>
      </c>
      <c r="I1382" s="36" t="n">
        <f aca="false">$E1382/F1382-1</f>
        <v>0</v>
      </c>
      <c r="J1382" s="36" t="n">
        <f aca="false">$E1382/G1382-1</f>
        <v>0</v>
      </c>
      <c r="K1382" s="36" t="n">
        <f aca="false">$E1382/H1382-1</f>
        <v>0.0227272727272727</v>
      </c>
      <c r="L1382" s="37" t="n">
        <v>1.92</v>
      </c>
      <c r="M1382" s="37" t="n">
        <v>-0.5</v>
      </c>
      <c r="N1382" s="34" t="n">
        <v>9000</v>
      </c>
      <c r="O1382" s="34" t="n">
        <v>8800</v>
      </c>
      <c r="P1382" s="38"/>
      <c r="Q1382" s="38"/>
    </row>
    <row r="1383" customFormat="false" ht="15" hidden="false" customHeight="false" outlineLevel="0" collapsed="false">
      <c r="A1383" s="34" t="n">
        <v>1375</v>
      </c>
      <c r="B1383" s="35" t="s">
        <v>2800</v>
      </c>
      <c r="C1383" s="35" t="s">
        <v>2801</v>
      </c>
      <c r="D1383" s="35" t="s">
        <v>111</v>
      </c>
      <c r="E1383" s="34" t="n">
        <v>900</v>
      </c>
      <c r="F1383" s="34" t="n">
        <v>1000</v>
      </c>
      <c r="G1383" s="34" t="n">
        <v>900</v>
      </c>
      <c r="H1383" s="34" t="n">
        <v>1000</v>
      </c>
      <c r="I1383" s="36" t="n">
        <f aca="false">$E1383/F1383-1</f>
        <v>-0.1</v>
      </c>
      <c r="J1383" s="36" t="n">
        <f aca="false">$E1383/G1383-1</f>
        <v>0</v>
      </c>
      <c r="K1383" s="36" t="n">
        <f aca="false">$E1383/H1383-1</f>
        <v>-0.1</v>
      </c>
      <c r="L1383" s="37" t="n">
        <v>-0.18</v>
      </c>
      <c r="M1383" s="37" t="n">
        <v>0</v>
      </c>
      <c r="N1383" s="34" t="n">
        <v>1100</v>
      </c>
      <c r="O1383" s="34" t="n">
        <v>600</v>
      </c>
      <c r="P1383" s="38"/>
      <c r="Q1383" s="38"/>
    </row>
    <row r="1384" customFormat="false" ht="15" hidden="false" customHeight="false" outlineLevel="0" collapsed="false">
      <c r="A1384" s="34" t="n">
        <v>1376</v>
      </c>
      <c r="B1384" s="35" t="s">
        <v>2802</v>
      </c>
      <c r="C1384" s="35" t="s">
        <v>2803</v>
      </c>
      <c r="D1384" s="35" t="s">
        <v>116</v>
      </c>
      <c r="E1384" s="34" t="n">
        <v>11150</v>
      </c>
      <c r="F1384" s="34" t="n">
        <v>10850</v>
      </c>
      <c r="G1384" s="34" t="n">
        <v>12100</v>
      </c>
      <c r="H1384" s="34" t="n">
        <v>12350</v>
      </c>
      <c r="I1384" s="36" t="n">
        <f aca="false">$E1384/F1384-1</f>
        <v>0.0276497695852536</v>
      </c>
      <c r="J1384" s="36" t="n">
        <f aca="false">$E1384/G1384-1</f>
        <v>-0.0785123966942148</v>
      </c>
      <c r="K1384" s="36" t="n">
        <f aca="false">$E1384/H1384-1</f>
        <v>-0.097165991902834</v>
      </c>
      <c r="L1384" s="37" t="n">
        <v>3.95</v>
      </c>
      <c r="M1384" s="37" t="n">
        <v>0.78</v>
      </c>
      <c r="N1384" s="34" t="n">
        <v>18500</v>
      </c>
      <c r="O1384" s="34" t="n">
        <v>10300</v>
      </c>
      <c r="P1384" s="38"/>
      <c r="Q1384" s="38"/>
    </row>
    <row r="1385" customFormat="false" ht="15" hidden="false" customHeight="false" outlineLevel="0" collapsed="false">
      <c r="A1385" s="34" t="n">
        <v>1377</v>
      </c>
      <c r="B1385" s="35" t="s">
        <v>2804</v>
      </c>
      <c r="C1385" s="35" t="s">
        <v>2805</v>
      </c>
      <c r="D1385" s="35" t="s">
        <v>111</v>
      </c>
      <c r="E1385" s="34" t="n">
        <v>101600</v>
      </c>
      <c r="F1385" s="34" t="n">
        <v>101600</v>
      </c>
      <c r="G1385" s="34" t="n">
        <v>101600</v>
      </c>
      <c r="H1385" s="34" t="n">
        <v>96400</v>
      </c>
      <c r="I1385" s="36" t="n">
        <f aca="false">$E1385/F1385-1</f>
        <v>0</v>
      </c>
      <c r="J1385" s="36" t="n">
        <f aca="false">$E1385/G1385-1</f>
        <v>0</v>
      </c>
      <c r="K1385" s="36" t="n">
        <f aca="false">$E1385/H1385-1</f>
        <v>0.053941908713693</v>
      </c>
      <c r="L1385" s="37" t="n">
        <v>1050.27</v>
      </c>
      <c r="M1385" s="37" t="n">
        <v>5.19</v>
      </c>
      <c r="N1385" s="34" t="n">
        <v>106900</v>
      </c>
      <c r="O1385" s="34" t="n">
        <v>78800</v>
      </c>
      <c r="P1385" s="38"/>
      <c r="Q1385" s="38"/>
    </row>
    <row r="1386" customFormat="false" ht="15" hidden="false" customHeight="false" outlineLevel="0" collapsed="false">
      <c r="A1386" s="34" t="n">
        <v>1378</v>
      </c>
      <c r="B1386" s="35" t="s">
        <v>2806</v>
      </c>
      <c r="C1386" s="35" t="s">
        <v>2807</v>
      </c>
      <c r="D1386" s="35" t="s">
        <v>111</v>
      </c>
      <c r="E1386" s="34" t="n">
        <v>14500</v>
      </c>
      <c r="F1386" s="34" t="n">
        <v>14900</v>
      </c>
      <c r="G1386" s="34" t="n">
        <v>14997.84</v>
      </c>
      <c r="H1386" s="34" t="n">
        <v>16824.5</v>
      </c>
      <c r="I1386" s="36" t="n">
        <f aca="false">$E1386/F1386-1</f>
        <v>-0.0268456375838926</v>
      </c>
      <c r="J1386" s="36" t="n">
        <f aca="false">$E1386/G1386-1</f>
        <v>-0.0331941132856465</v>
      </c>
      <c r="K1386" s="36" t="n">
        <f aca="false">$E1386/H1386-1</f>
        <v>-0.138161609557491</v>
      </c>
      <c r="L1386" s="37" t="n">
        <v>3.83</v>
      </c>
      <c r="M1386" s="37" t="n">
        <v>0.74</v>
      </c>
      <c r="N1386" s="34" t="n">
        <v>22897.66</v>
      </c>
      <c r="O1386" s="34" t="n">
        <v>12000</v>
      </c>
      <c r="P1386" s="38"/>
      <c r="Q1386" s="38"/>
    </row>
    <row r="1387" customFormat="false" ht="15" hidden="false" customHeight="false" outlineLevel="0" collapsed="false">
      <c r="A1387" s="34" t="n">
        <v>1379</v>
      </c>
      <c r="B1387" s="35" t="s">
        <v>2808</v>
      </c>
      <c r="C1387" s="35" t="s">
        <v>2809</v>
      </c>
      <c r="D1387" s="35" t="s">
        <v>111</v>
      </c>
      <c r="E1387" s="34" t="n">
        <v>8500</v>
      </c>
      <c r="F1387" s="34" t="n">
        <v>10200</v>
      </c>
      <c r="G1387" s="34" t="n">
        <v>7100</v>
      </c>
      <c r="H1387" s="34" t="n">
        <v>10500</v>
      </c>
      <c r="I1387" s="36" t="n">
        <f aca="false">$E1387/F1387-1</f>
        <v>-0.166666666666667</v>
      </c>
      <c r="J1387" s="36" t="n">
        <f aca="false">$E1387/G1387-1</f>
        <v>0.197183098591549</v>
      </c>
      <c r="K1387" s="36" t="n">
        <f aca="false">$E1387/H1387-1</f>
        <v>-0.19047619047619</v>
      </c>
      <c r="L1387" s="37" t="n">
        <v>7.45</v>
      </c>
      <c r="M1387" s="37" t="n">
        <v>0.58</v>
      </c>
      <c r="N1387" s="34" t="n">
        <v>11600</v>
      </c>
      <c r="O1387" s="34" t="n">
        <v>6200</v>
      </c>
      <c r="P1387" s="38"/>
      <c r="Q1387" s="38"/>
    </row>
    <row r="1388" customFormat="false" ht="15" hidden="false" customHeight="false" outlineLevel="0" collapsed="false">
      <c r="A1388" s="34" t="n">
        <v>1380</v>
      </c>
      <c r="B1388" s="35" t="s">
        <v>80</v>
      </c>
      <c r="C1388" s="35" t="s">
        <v>2810</v>
      </c>
      <c r="D1388" s="35" t="s">
        <v>116</v>
      </c>
      <c r="E1388" s="34" t="n">
        <v>18350</v>
      </c>
      <c r="F1388" s="34" t="n">
        <v>18300</v>
      </c>
      <c r="G1388" s="34" t="n">
        <v>19000</v>
      </c>
      <c r="H1388" s="34" t="n">
        <v>16727.44</v>
      </c>
      <c r="I1388" s="36" t="n">
        <f aca="false">$E1388/F1388-1</f>
        <v>0.00273224043715836</v>
      </c>
      <c r="J1388" s="36" t="n">
        <f aca="false">$E1388/G1388-1</f>
        <v>-0.0342105263157895</v>
      </c>
      <c r="K1388" s="36" t="n">
        <f aca="false">$E1388/H1388-1</f>
        <v>0.0969998995662218</v>
      </c>
      <c r="L1388" s="37" t="n">
        <v>6.77</v>
      </c>
      <c r="M1388" s="37" t="n">
        <v>1.02</v>
      </c>
      <c r="N1388" s="34" t="n">
        <v>27909.37</v>
      </c>
      <c r="O1388" s="34" t="n">
        <v>15091.06</v>
      </c>
      <c r="P1388" s="38" t="n">
        <v>8.97</v>
      </c>
      <c r="Q1388" s="38" t="n">
        <v>1.2</v>
      </c>
    </row>
    <row r="1389" customFormat="false" ht="15" hidden="false" customHeight="false" outlineLevel="0" collapsed="false">
      <c r="A1389" s="34" t="n">
        <v>1381</v>
      </c>
      <c r="B1389" s="35" t="s">
        <v>2811</v>
      </c>
      <c r="C1389" s="35" t="s">
        <v>2812</v>
      </c>
      <c r="D1389" s="35" t="s">
        <v>116</v>
      </c>
      <c r="E1389" s="34" t="n">
        <v>16900</v>
      </c>
      <c r="F1389" s="34" t="n">
        <v>17000</v>
      </c>
      <c r="G1389" s="34" t="n">
        <v>17100</v>
      </c>
      <c r="H1389" s="34" t="n">
        <v>14000</v>
      </c>
      <c r="I1389" s="36" t="n">
        <f aca="false">$E1389/F1389-1</f>
        <v>-0.00588235294117645</v>
      </c>
      <c r="J1389" s="36" t="n">
        <f aca="false">$E1389/G1389-1</f>
        <v>-0.0116959064327485</v>
      </c>
      <c r="K1389" s="36" t="n">
        <f aca="false">$E1389/H1389-1</f>
        <v>0.207142857142857</v>
      </c>
      <c r="L1389" s="37" t="n">
        <v>5.43</v>
      </c>
      <c r="M1389" s="37" t="n">
        <v>0.86</v>
      </c>
      <c r="N1389" s="34" t="n">
        <v>20000</v>
      </c>
      <c r="O1389" s="34" t="n">
        <v>13745.97</v>
      </c>
      <c r="P1389" s="38"/>
      <c r="Q1389" s="38"/>
    </row>
    <row r="1390" customFormat="false" ht="15" hidden="false" customHeight="false" outlineLevel="0" collapsed="false">
      <c r="A1390" s="34" t="n">
        <v>1382</v>
      </c>
      <c r="B1390" s="35" t="s">
        <v>2813</v>
      </c>
      <c r="C1390" s="35" t="s">
        <v>2814</v>
      </c>
      <c r="D1390" s="35" t="s">
        <v>111</v>
      </c>
      <c r="E1390" s="34" t="n">
        <v>3700</v>
      </c>
      <c r="F1390" s="34" t="n">
        <v>3700</v>
      </c>
      <c r="G1390" s="34" t="n">
        <v>3700</v>
      </c>
      <c r="H1390" s="34" t="n">
        <v>7400</v>
      </c>
      <c r="I1390" s="36" t="n">
        <f aca="false">$E1390/F1390-1</f>
        <v>0</v>
      </c>
      <c r="J1390" s="36" t="n">
        <f aca="false">$E1390/G1390-1</f>
        <v>0</v>
      </c>
      <c r="K1390" s="36" t="n">
        <f aca="false">$E1390/H1390-1</f>
        <v>-0.5</v>
      </c>
      <c r="L1390" s="37" t="n">
        <v>-2.94</v>
      </c>
      <c r="M1390" s="37" t="n">
        <v>1.92</v>
      </c>
      <c r="N1390" s="34" t="n">
        <v>8500</v>
      </c>
      <c r="O1390" s="34" t="n">
        <v>3700</v>
      </c>
      <c r="P1390" s="38"/>
      <c r="Q1390" s="38"/>
    </row>
    <row r="1391" customFormat="false" ht="15" hidden="false" customHeight="false" outlineLevel="0" collapsed="false">
      <c r="A1391" s="34" t="n">
        <v>1383</v>
      </c>
      <c r="B1391" s="35" t="s">
        <v>2815</v>
      </c>
      <c r="C1391" s="35" t="s">
        <v>2816</v>
      </c>
      <c r="D1391" s="35" t="s">
        <v>111</v>
      </c>
      <c r="E1391" s="34" t="n">
        <v>10067</v>
      </c>
      <c r="F1391" s="34" t="n">
        <v>10477</v>
      </c>
      <c r="G1391" s="34" t="n">
        <v>11500</v>
      </c>
      <c r="H1391" s="34" t="n">
        <v>14134</v>
      </c>
      <c r="I1391" s="36" t="n">
        <f aca="false">$E1391/F1391-1</f>
        <v>-0.039133339696478</v>
      </c>
      <c r="J1391" s="36" t="n">
        <f aca="false">$E1391/G1391-1</f>
        <v>-0.124608695652174</v>
      </c>
      <c r="K1391" s="36" t="n">
        <f aca="false">$E1391/H1391-1</f>
        <v>-0.28774586104429</v>
      </c>
      <c r="L1391" s="37" t="n">
        <v>15.19</v>
      </c>
      <c r="M1391" s="37" t="n">
        <v>1.51</v>
      </c>
      <c r="N1391" s="34" t="n">
        <v>18564</v>
      </c>
      <c r="O1391" s="34" t="n">
        <v>10067</v>
      </c>
      <c r="P1391" s="38"/>
      <c r="Q1391" s="38"/>
    </row>
    <row r="1392" customFormat="false" ht="15" hidden="false" customHeight="false" outlineLevel="0" collapsed="false">
      <c r="A1392" s="34" t="n">
        <v>1384</v>
      </c>
      <c r="B1392" s="35" t="s">
        <v>2817</v>
      </c>
      <c r="C1392" s="35" t="s">
        <v>2818</v>
      </c>
      <c r="D1392" s="35" t="s">
        <v>111</v>
      </c>
      <c r="E1392" s="34" t="n">
        <v>2300</v>
      </c>
      <c r="F1392" s="34" t="n">
        <v>2000</v>
      </c>
      <c r="G1392" s="34" t="n">
        <v>2400</v>
      </c>
      <c r="H1392" s="34" t="n">
        <v>2100</v>
      </c>
      <c r="I1392" s="36" t="n">
        <f aca="false">$E1392/F1392-1</f>
        <v>0.15</v>
      </c>
      <c r="J1392" s="36" t="n">
        <f aca="false">$E1392/G1392-1</f>
        <v>-0.0416666666666666</v>
      </c>
      <c r="K1392" s="36" t="n">
        <f aca="false">$E1392/H1392-1</f>
        <v>0.0952380952380953</v>
      </c>
      <c r="L1392" s="37" t="n">
        <v>-3.54</v>
      </c>
      <c r="M1392" s="37" t="n">
        <v>-0.39</v>
      </c>
      <c r="N1392" s="34" t="n">
        <v>3100</v>
      </c>
      <c r="O1392" s="34" t="n">
        <v>1500</v>
      </c>
      <c r="P1392" s="38"/>
      <c r="Q1392" s="38"/>
    </row>
    <row r="1393" customFormat="false" ht="15" hidden="false" customHeight="false" outlineLevel="0" collapsed="false">
      <c r="A1393" s="34" t="n">
        <v>1385</v>
      </c>
      <c r="B1393" s="35" t="s">
        <v>2819</v>
      </c>
      <c r="C1393" s="35" t="s">
        <v>2820</v>
      </c>
      <c r="D1393" s="35" t="s">
        <v>111</v>
      </c>
      <c r="E1393" s="34" t="n">
        <v>709</v>
      </c>
      <c r="F1393" s="34" t="n">
        <v>716</v>
      </c>
      <c r="G1393" s="34" t="n">
        <v>874</v>
      </c>
      <c r="H1393" s="34" t="n">
        <v>1299</v>
      </c>
      <c r="I1393" s="36" t="n">
        <f aca="false">$E1393/F1393-1</f>
        <v>-0.00977653631284914</v>
      </c>
      <c r="J1393" s="36" t="n">
        <f aca="false">$E1393/G1393-1</f>
        <v>-0.188787185354691</v>
      </c>
      <c r="K1393" s="36" t="n">
        <f aca="false">$E1393/H1393-1</f>
        <v>-0.454195535026944</v>
      </c>
      <c r="L1393" s="37" t="n">
        <v>-1.63</v>
      </c>
      <c r="M1393" s="37" t="n">
        <v>1.72</v>
      </c>
      <c r="N1393" s="34" t="n">
        <v>1666</v>
      </c>
      <c r="O1393" s="34" t="n">
        <v>700</v>
      </c>
      <c r="P1393" s="38"/>
      <c r="Q1393" s="38"/>
    </row>
    <row r="1394" customFormat="false" ht="15" hidden="false" customHeight="false" outlineLevel="0" collapsed="false">
      <c r="A1394" s="34" t="n">
        <v>1386</v>
      </c>
      <c r="B1394" s="35" t="s">
        <v>2821</v>
      </c>
      <c r="C1394" s="35" t="s">
        <v>2822</v>
      </c>
      <c r="D1394" s="35" t="s">
        <v>111</v>
      </c>
      <c r="E1394" s="34" t="n">
        <v>6300</v>
      </c>
      <c r="F1394" s="34" t="n">
        <v>6300</v>
      </c>
      <c r="G1394" s="34" t="n">
        <v>6300</v>
      </c>
      <c r="H1394" s="34" t="n">
        <v>6300</v>
      </c>
      <c r="I1394" s="36" t="n">
        <f aca="false">$E1394/F1394-1</f>
        <v>0</v>
      </c>
      <c r="J1394" s="36" t="n">
        <f aca="false">$E1394/G1394-1</f>
        <v>0</v>
      </c>
      <c r="K1394" s="36" t="n">
        <f aca="false">$E1394/H1394-1</f>
        <v>0</v>
      </c>
      <c r="L1394" s="37" t="n">
        <v>6.34</v>
      </c>
      <c r="M1394" s="37" t="n">
        <v>0.54</v>
      </c>
      <c r="N1394" s="34" t="n">
        <v>6300</v>
      </c>
      <c r="O1394" s="34" t="n">
        <v>6300</v>
      </c>
      <c r="P1394" s="38"/>
      <c r="Q1394" s="38"/>
    </row>
    <row r="1395" customFormat="false" ht="15" hidden="false" customHeight="false" outlineLevel="0" collapsed="false">
      <c r="A1395" s="34" t="n">
        <v>1387</v>
      </c>
      <c r="B1395" s="35" t="s">
        <v>2823</v>
      </c>
      <c r="C1395" s="35" t="s">
        <v>2824</v>
      </c>
      <c r="D1395" s="35" t="s">
        <v>133</v>
      </c>
      <c r="E1395" s="34" t="n">
        <v>22100</v>
      </c>
      <c r="F1395" s="34" t="n">
        <v>22100</v>
      </c>
      <c r="G1395" s="34" t="n">
        <v>24500</v>
      </c>
      <c r="H1395" s="34" t="n">
        <v>27100</v>
      </c>
      <c r="I1395" s="36" t="n">
        <f aca="false">$E1395/F1395-1</f>
        <v>0</v>
      </c>
      <c r="J1395" s="36" t="n">
        <f aca="false">$E1395/G1395-1</f>
        <v>-0.0979591836734693</v>
      </c>
      <c r="K1395" s="36" t="n">
        <f aca="false">$E1395/H1395-1</f>
        <v>-0.18450184501845</v>
      </c>
      <c r="L1395" s="37" t="n">
        <v>13.87</v>
      </c>
      <c r="M1395" s="37" t="n">
        <v>1.5</v>
      </c>
      <c r="N1395" s="34" t="n">
        <v>46800</v>
      </c>
      <c r="O1395" s="34" t="n">
        <v>22100</v>
      </c>
      <c r="P1395" s="38"/>
      <c r="Q1395" s="38"/>
    </row>
    <row r="1396" customFormat="false" ht="15" hidden="false" customHeight="false" outlineLevel="0" collapsed="false">
      <c r="A1396" s="34" t="n">
        <v>1388</v>
      </c>
      <c r="B1396" s="35" t="s">
        <v>2825</v>
      </c>
      <c r="C1396" s="35" t="s">
        <v>2826</v>
      </c>
      <c r="D1396" s="35" t="s">
        <v>133</v>
      </c>
      <c r="E1396" s="34" t="n">
        <v>9700</v>
      </c>
      <c r="F1396" s="34" t="n">
        <v>9600</v>
      </c>
      <c r="G1396" s="34" t="n">
        <v>8700</v>
      </c>
      <c r="H1396" s="34" t="n">
        <v>9615.9</v>
      </c>
      <c r="I1396" s="36" t="n">
        <f aca="false">$E1396/F1396-1</f>
        <v>0.0104166666666667</v>
      </c>
      <c r="J1396" s="36" t="n">
        <f aca="false">$E1396/G1396-1</f>
        <v>0.114942528735632</v>
      </c>
      <c r="K1396" s="36" t="n">
        <f aca="false">$E1396/H1396-1</f>
        <v>0.00874593121808664</v>
      </c>
      <c r="L1396" s="37" t="n">
        <v>3.28</v>
      </c>
      <c r="M1396" s="37" t="n">
        <v>0.49</v>
      </c>
      <c r="N1396" s="34" t="n">
        <v>10256.96</v>
      </c>
      <c r="O1396" s="34" t="n">
        <v>8150.62</v>
      </c>
      <c r="P1396" s="38"/>
      <c r="Q1396" s="38"/>
    </row>
    <row r="1397" customFormat="false" ht="15" hidden="false" customHeight="false" outlineLevel="0" collapsed="false">
      <c r="A1397" s="34" t="n">
        <v>1389</v>
      </c>
      <c r="B1397" s="35" t="s">
        <v>2827</v>
      </c>
      <c r="C1397" s="35" t="s">
        <v>2828</v>
      </c>
      <c r="D1397" s="35" t="s">
        <v>133</v>
      </c>
      <c r="E1397" s="34" t="n">
        <v>9300</v>
      </c>
      <c r="F1397" s="34" t="n">
        <v>10300</v>
      </c>
      <c r="G1397" s="34" t="n">
        <v>10500</v>
      </c>
      <c r="H1397" s="34" t="n">
        <v>9793.68</v>
      </c>
      <c r="I1397" s="36" t="n">
        <f aca="false">$E1397/F1397-1</f>
        <v>-0.0970873786407767</v>
      </c>
      <c r="J1397" s="36" t="n">
        <f aca="false">$E1397/G1397-1</f>
        <v>-0.114285714285714</v>
      </c>
      <c r="K1397" s="36" t="n">
        <f aca="false">$E1397/H1397-1</f>
        <v>-0.0504080182321661</v>
      </c>
      <c r="L1397" s="37" t="n">
        <v>8.07</v>
      </c>
      <c r="M1397" s="37" t="n">
        <v>0.57</v>
      </c>
      <c r="N1397" s="34" t="n">
        <v>11488.74</v>
      </c>
      <c r="O1397" s="34" t="n">
        <v>9300</v>
      </c>
      <c r="P1397" s="38"/>
      <c r="Q1397" s="38"/>
    </row>
    <row r="1398" customFormat="false" ht="15" hidden="false" customHeight="false" outlineLevel="0" collapsed="false">
      <c r="A1398" s="34" t="n">
        <v>1390</v>
      </c>
      <c r="B1398" s="35" t="s">
        <v>2829</v>
      </c>
      <c r="C1398" s="35" t="s">
        <v>2830</v>
      </c>
      <c r="D1398" s="35" t="s">
        <v>116</v>
      </c>
      <c r="E1398" s="34" t="n">
        <v>8340</v>
      </c>
      <c r="F1398" s="34" t="n">
        <v>8410</v>
      </c>
      <c r="G1398" s="34" t="n">
        <v>9060</v>
      </c>
      <c r="H1398" s="34" t="n">
        <v>9900</v>
      </c>
      <c r="I1398" s="36" t="n">
        <f aca="false">$E1398/F1398-1</f>
        <v>-0.00832342449464918</v>
      </c>
      <c r="J1398" s="36" t="n">
        <f aca="false">$E1398/G1398-1</f>
        <v>-0.0794701986754967</v>
      </c>
      <c r="K1398" s="36" t="n">
        <f aca="false">$E1398/H1398-1</f>
        <v>-0.157575757575758</v>
      </c>
      <c r="L1398" s="37" t="n">
        <v>6.06</v>
      </c>
      <c r="M1398" s="37" t="n">
        <v>0.65</v>
      </c>
      <c r="N1398" s="34" t="n">
        <v>11200</v>
      </c>
      <c r="O1398" s="34" t="n">
        <v>8310</v>
      </c>
      <c r="P1398" s="38"/>
      <c r="Q1398" s="38"/>
    </row>
    <row r="1399" customFormat="false" ht="15" hidden="false" customHeight="false" outlineLevel="0" collapsed="false">
      <c r="A1399" s="34" t="n">
        <v>1391</v>
      </c>
      <c r="B1399" s="35" t="s">
        <v>2831</v>
      </c>
      <c r="C1399" s="35" t="s">
        <v>2832</v>
      </c>
      <c r="D1399" s="35" t="s">
        <v>133</v>
      </c>
      <c r="E1399" s="34" t="n">
        <v>10300</v>
      </c>
      <c r="F1399" s="34" t="n">
        <v>10800</v>
      </c>
      <c r="G1399" s="34" t="n">
        <v>10800</v>
      </c>
      <c r="H1399" s="34" t="n">
        <v>12300</v>
      </c>
      <c r="I1399" s="36" t="n">
        <f aca="false">$E1399/F1399-1</f>
        <v>-0.0462962962962963</v>
      </c>
      <c r="J1399" s="36" t="n">
        <f aca="false">$E1399/G1399-1</f>
        <v>-0.0462962962962963</v>
      </c>
      <c r="K1399" s="36" t="n">
        <f aca="false">$E1399/H1399-1</f>
        <v>-0.16260162601626</v>
      </c>
      <c r="L1399" s="37" t="n">
        <v>23.32</v>
      </c>
      <c r="M1399" s="37" t="n">
        <v>0.85</v>
      </c>
      <c r="N1399" s="34" t="n">
        <v>15945.15</v>
      </c>
      <c r="O1399" s="34" t="n">
        <v>10000</v>
      </c>
      <c r="P1399" s="38"/>
      <c r="Q1399" s="38"/>
    </row>
    <row r="1400" customFormat="false" ht="15" hidden="false" customHeight="false" outlineLevel="0" collapsed="false">
      <c r="A1400" s="34" t="n">
        <v>1392</v>
      </c>
      <c r="B1400" s="35" t="s">
        <v>2833</v>
      </c>
      <c r="C1400" s="35" t="s">
        <v>2834</v>
      </c>
      <c r="D1400" s="35" t="s">
        <v>116</v>
      </c>
      <c r="E1400" s="34" t="n">
        <v>28300</v>
      </c>
      <c r="F1400" s="34" t="n">
        <v>27000</v>
      </c>
      <c r="G1400" s="34" t="n">
        <v>28500</v>
      </c>
      <c r="H1400" s="34" t="n">
        <v>24070</v>
      </c>
      <c r="I1400" s="36" t="n">
        <f aca="false">$E1400/F1400-1</f>
        <v>0.0481481481481481</v>
      </c>
      <c r="J1400" s="36" t="n">
        <f aca="false">$E1400/G1400-1</f>
        <v>-0.00701754385964915</v>
      </c>
      <c r="K1400" s="36" t="n">
        <f aca="false">$E1400/H1400-1</f>
        <v>0.175737432488575</v>
      </c>
      <c r="L1400" s="37" t="n">
        <v>7.1</v>
      </c>
      <c r="M1400" s="37" t="n">
        <v>0.87</v>
      </c>
      <c r="N1400" s="34" t="n">
        <v>29000</v>
      </c>
      <c r="O1400" s="34" t="n">
        <v>22914.64</v>
      </c>
      <c r="P1400" s="38"/>
      <c r="Q1400" s="38"/>
    </row>
    <row r="1401" customFormat="false" ht="15" hidden="false" customHeight="false" outlineLevel="0" collapsed="false">
      <c r="A1401" s="34" t="n">
        <v>1393</v>
      </c>
      <c r="B1401" s="35" t="s">
        <v>2835</v>
      </c>
      <c r="C1401" s="35" t="s">
        <v>2836</v>
      </c>
      <c r="D1401" s="35" t="s">
        <v>116</v>
      </c>
      <c r="E1401" s="34" t="n">
        <v>9980</v>
      </c>
      <c r="F1401" s="34" t="n">
        <v>9636.46</v>
      </c>
      <c r="G1401" s="34" t="n">
        <v>10045.56</v>
      </c>
      <c r="H1401" s="34" t="n">
        <v>9454.64</v>
      </c>
      <c r="I1401" s="36" t="n">
        <f aca="false">$E1401/F1401-1</f>
        <v>0.0356500208582822</v>
      </c>
      <c r="J1401" s="36" t="n">
        <f aca="false">$E1401/G1401-1</f>
        <v>-0.00652626633059772</v>
      </c>
      <c r="K1401" s="36" t="n">
        <f aca="false">$E1401/H1401-1</f>
        <v>0.0555663674132489</v>
      </c>
      <c r="L1401" s="37" t="n">
        <v>9.1</v>
      </c>
      <c r="M1401" s="37" t="n">
        <v>0.79</v>
      </c>
      <c r="N1401" s="34" t="n">
        <v>12272.85</v>
      </c>
      <c r="O1401" s="34" t="n">
        <v>9409.18</v>
      </c>
      <c r="P1401" s="38"/>
      <c r="Q1401" s="38"/>
    </row>
    <row r="1402" customFormat="false" ht="15" hidden="false" customHeight="false" outlineLevel="0" collapsed="false">
      <c r="A1402" s="34" t="n">
        <v>1394</v>
      </c>
      <c r="B1402" s="35" t="s">
        <v>2837</v>
      </c>
      <c r="C1402" s="35" t="s">
        <v>2838</v>
      </c>
      <c r="D1402" s="35" t="s">
        <v>116</v>
      </c>
      <c r="E1402" s="34" t="n">
        <v>8400</v>
      </c>
      <c r="F1402" s="34" t="n">
        <v>8770</v>
      </c>
      <c r="G1402" s="34" t="n">
        <v>8753.16</v>
      </c>
      <c r="H1402" s="34" t="n">
        <v>8941.4</v>
      </c>
      <c r="I1402" s="36" t="n">
        <f aca="false">$E1402/F1402-1</f>
        <v>-0.0421892816419612</v>
      </c>
      <c r="J1402" s="36" t="n">
        <f aca="false">$E1402/G1402-1</f>
        <v>-0.0403465719808618</v>
      </c>
      <c r="K1402" s="36" t="n">
        <f aca="false">$E1402/H1402-1</f>
        <v>-0.0605498020444225</v>
      </c>
      <c r="L1402" s="37" t="n">
        <v>5.14</v>
      </c>
      <c r="M1402" s="37" t="n">
        <v>0.59</v>
      </c>
      <c r="N1402" s="34" t="n">
        <v>9882.6</v>
      </c>
      <c r="O1402" s="34" t="n">
        <v>7736.66</v>
      </c>
      <c r="P1402" s="38"/>
      <c r="Q1402" s="38"/>
    </row>
    <row r="1403" customFormat="false" ht="15" hidden="false" customHeight="false" outlineLevel="0" collapsed="false">
      <c r="A1403" s="34" t="n">
        <v>1395</v>
      </c>
      <c r="B1403" s="35" t="s">
        <v>2839</v>
      </c>
      <c r="C1403" s="35" t="s">
        <v>2840</v>
      </c>
      <c r="D1403" s="35" t="s">
        <v>111</v>
      </c>
      <c r="E1403" s="34" t="n">
        <v>10000</v>
      </c>
      <c r="F1403" s="34" t="n">
        <v>10000</v>
      </c>
      <c r="G1403" s="34" t="n">
        <v>10900</v>
      </c>
      <c r="H1403" s="34" t="n">
        <v>10100</v>
      </c>
      <c r="I1403" s="36" t="n">
        <f aca="false">$E1403/F1403-1</f>
        <v>0</v>
      </c>
      <c r="J1403" s="36" t="n">
        <f aca="false">$E1403/G1403-1</f>
        <v>-0.0825688073394495</v>
      </c>
      <c r="K1403" s="36" t="n">
        <f aca="false">$E1403/H1403-1</f>
        <v>-0.00990099009900991</v>
      </c>
      <c r="L1403" s="37" t="n">
        <v>10.08</v>
      </c>
      <c r="M1403" s="37" t="n">
        <v>0.58</v>
      </c>
      <c r="N1403" s="34" t="n">
        <v>11133</v>
      </c>
      <c r="O1403" s="34" t="n">
        <v>9000</v>
      </c>
      <c r="P1403" s="38"/>
      <c r="Q1403" s="38"/>
    </row>
    <row r="1404" customFormat="false" ht="15" hidden="false" customHeight="false" outlineLevel="0" collapsed="false">
      <c r="A1404" s="34" t="n">
        <v>1396</v>
      </c>
      <c r="B1404" s="35" t="s">
        <v>2841</v>
      </c>
      <c r="C1404" s="35" t="s">
        <v>2842</v>
      </c>
      <c r="D1404" s="35" t="s">
        <v>133</v>
      </c>
      <c r="E1404" s="34" t="n">
        <v>14600</v>
      </c>
      <c r="F1404" s="34" t="n">
        <v>14400</v>
      </c>
      <c r="G1404" s="34" t="n">
        <v>15100</v>
      </c>
      <c r="H1404" s="34" t="n">
        <v>13415.78</v>
      </c>
      <c r="I1404" s="36" t="n">
        <f aca="false">$E1404/F1404-1</f>
        <v>0.0138888888888888</v>
      </c>
      <c r="J1404" s="36" t="n">
        <f aca="false">$E1404/G1404-1</f>
        <v>-0.0331125827814569</v>
      </c>
      <c r="K1404" s="36" t="n">
        <f aca="false">$E1404/H1404-1</f>
        <v>0.0882706782609732</v>
      </c>
      <c r="L1404" s="37" t="n">
        <v>4.97</v>
      </c>
      <c r="M1404" s="37" t="n">
        <v>1</v>
      </c>
      <c r="N1404" s="34" t="n">
        <v>16303.43</v>
      </c>
      <c r="O1404" s="34" t="n">
        <v>12991.23</v>
      </c>
      <c r="P1404" s="38"/>
      <c r="Q1404" s="38"/>
    </row>
    <row r="1405" customFormat="false" ht="15" hidden="false" customHeight="false" outlineLevel="0" collapsed="false">
      <c r="A1405" s="34" t="n">
        <v>1397</v>
      </c>
      <c r="B1405" s="35" t="s">
        <v>2843</v>
      </c>
      <c r="C1405" s="35" t="s">
        <v>2844</v>
      </c>
      <c r="D1405" s="35" t="s">
        <v>111</v>
      </c>
      <c r="E1405" s="34" t="n">
        <v>900</v>
      </c>
      <c r="F1405" s="34" t="n">
        <v>900</v>
      </c>
      <c r="G1405" s="34" t="n">
        <v>900</v>
      </c>
      <c r="H1405" s="34" t="n">
        <v>900</v>
      </c>
      <c r="I1405" s="36" t="n">
        <f aca="false">$E1405/F1405-1</f>
        <v>0</v>
      </c>
      <c r="J1405" s="36" t="n">
        <f aca="false">$E1405/G1405-1</f>
        <v>0</v>
      </c>
      <c r="K1405" s="36" t="n">
        <f aca="false">$E1405/H1405-1</f>
        <v>0</v>
      </c>
      <c r="L1405" s="37" t="n">
        <v>0.28</v>
      </c>
      <c r="M1405" s="37" t="n">
        <v>0.07</v>
      </c>
      <c r="N1405" s="34" t="n">
        <v>900</v>
      </c>
      <c r="O1405" s="34" t="n">
        <v>900</v>
      </c>
      <c r="P1405" s="38"/>
      <c r="Q1405" s="38"/>
    </row>
    <row r="1406" customFormat="false" ht="15" hidden="false" customHeight="false" outlineLevel="0" collapsed="false">
      <c r="A1406" s="34" t="n">
        <v>1398</v>
      </c>
      <c r="B1406" s="35" t="s">
        <v>2845</v>
      </c>
      <c r="C1406" s="35" t="s">
        <v>2846</v>
      </c>
      <c r="D1406" s="35" t="s">
        <v>111</v>
      </c>
      <c r="E1406" s="34" t="n">
        <v>37900</v>
      </c>
      <c r="F1406" s="34" t="n">
        <v>38200</v>
      </c>
      <c r="G1406" s="34" t="n">
        <v>38200</v>
      </c>
      <c r="H1406" s="34" t="n">
        <v>31166</v>
      </c>
      <c r="I1406" s="36" t="n">
        <f aca="false">$E1406/F1406-1</f>
        <v>-0.00785340314136129</v>
      </c>
      <c r="J1406" s="36" t="n">
        <f aca="false">$E1406/G1406-1</f>
        <v>-0.00785340314136129</v>
      </c>
      <c r="K1406" s="36" t="n">
        <f aca="false">$E1406/H1406-1</f>
        <v>0.216068792915356</v>
      </c>
      <c r="L1406" s="37" t="n">
        <v>5.57</v>
      </c>
      <c r="M1406" s="37" t="n">
        <v>0.93</v>
      </c>
      <c r="N1406" s="34" t="n">
        <v>44900</v>
      </c>
      <c r="O1406" s="34" t="n">
        <v>28200</v>
      </c>
      <c r="P1406" s="38"/>
      <c r="Q1406" s="38"/>
    </row>
    <row r="1407" customFormat="false" ht="15" hidden="false" customHeight="false" outlineLevel="0" collapsed="false">
      <c r="A1407" s="34" t="n">
        <v>1399</v>
      </c>
      <c r="B1407" s="35" t="s">
        <v>2847</v>
      </c>
      <c r="C1407" s="35" t="s">
        <v>2848</v>
      </c>
      <c r="D1407" s="35" t="s">
        <v>111</v>
      </c>
      <c r="E1407" s="34" t="n">
        <v>200</v>
      </c>
      <c r="F1407" s="34" t="n">
        <v>200</v>
      </c>
      <c r="G1407" s="34" t="n">
        <v>200</v>
      </c>
      <c r="H1407" s="34" t="n">
        <v>200</v>
      </c>
      <c r="I1407" s="36" t="n">
        <f aca="false">$E1407/F1407-1</f>
        <v>0</v>
      </c>
      <c r="J1407" s="36" t="n">
        <f aca="false">$E1407/G1407-1</f>
        <v>0</v>
      </c>
      <c r="K1407" s="36" t="n">
        <f aca="false">$E1407/H1407-1</f>
        <v>0</v>
      </c>
      <c r="L1407" s="37" t="n">
        <v>0.06</v>
      </c>
      <c r="M1407" s="37" t="n">
        <v>0.01</v>
      </c>
      <c r="N1407" s="34" t="n">
        <v>200</v>
      </c>
      <c r="O1407" s="34" t="n">
        <v>200</v>
      </c>
      <c r="P1407" s="38"/>
      <c r="Q1407" s="38"/>
    </row>
    <row r="1408" customFormat="false" ht="15" hidden="false" customHeight="false" outlineLevel="0" collapsed="false">
      <c r="A1408" s="34" t="n">
        <v>1400</v>
      </c>
      <c r="B1408" s="35" t="s">
        <v>2849</v>
      </c>
      <c r="C1408" s="35" t="s">
        <v>2850</v>
      </c>
      <c r="D1408" s="35" t="s">
        <v>111</v>
      </c>
      <c r="E1408" s="34" t="n">
        <v>12000</v>
      </c>
      <c r="F1408" s="34" t="n">
        <v>12000</v>
      </c>
      <c r="G1408" s="34" t="n">
        <v>12000</v>
      </c>
      <c r="H1408" s="34" t="n">
        <v>9191</v>
      </c>
      <c r="I1408" s="36" t="n">
        <f aca="false">$E1408/F1408-1</f>
        <v>0</v>
      </c>
      <c r="J1408" s="36" t="n">
        <f aca="false">$E1408/G1408-1</f>
        <v>0</v>
      </c>
      <c r="K1408" s="36" t="n">
        <f aca="false">$E1408/H1408-1</f>
        <v>0.305625068001306</v>
      </c>
      <c r="L1408" s="37" t="n">
        <v>7.82</v>
      </c>
      <c r="M1408" s="37" t="n">
        <v>0.81</v>
      </c>
      <c r="N1408" s="34" t="n">
        <v>12000</v>
      </c>
      <c r="O1408" s="34" t="n">
        <v>9100</v>
      </c>
      <c r="P1408" s="38"/>
      <c r="Q1408" s="38"/>
    </row>
    <row r="1409" customFormat="false" ht="15" hidden="false" customHeight="false" outlineLevel="0" collapsed="false">
      <c r="A1409" s="34" t="n">
        <v>1401</v>
      </c>
      <c r="B1409" s="35" t="s">
        <v>2851</v>
      </c>
      <c r="C1409" s="35" t="s">
        <v>2852</v>
      </c>
      <c r="D1409" s="35" t="s">
        <v>111</v>
      </c>
      <c r="E1409" s="34" t="n">
        <v>2900</v>
      </c>
      <c r="F1409" s="34" t="n">
        <v>2806</v>
      </c>
      <c r="G1409" s="34" t="n">
        <v>2900</v>
      </c>
      <c r="H1409" s="34" t="n">
        <v>3000</v>
      </c>
      <c r="I1409" s="36" t="n">
        <f aca="false">$E1409/F1409-1</f>
        <v>0.0334996436208126</v>
      </c>
      <c r="J1409" s="36" t="n">
        <f aca="false">$E1409/G1409-1</f>
        <v>0</v>
      </c>
      <c r="K1409" s="36" t="n">
        <f aca="false">$E1409/H1409-1</f>
        <v>-0.0333333333333333</v>
      </c>
      <c r="L1409" s="37" t="n">
        <v>0.75</v>
      </c>
      <c r="M1409" s="37" t="n">
        <v>-0.56</v>
      </c>
      <c r="N1409" s="34" t="n">
        <v>3708</v>
      </c>
      <c r="O1409" s="34" t="n">
        <v>2700</v>
      </c>
      <c r="P1409" s="38"/>
      <c r="Q1409" s="38"/>
    </row>
    <row r="1410" customFormat="false" ht="15" hidden="false" customHeight="false" outlineLevel="0" collapsed="false">
      <c r="A1410" s="34" t="n">
        <v>1402</v>
      </c>
      <c r="B1410" s="35" t="s">
        <v>56</v>
      </c>
      <c r="C1410" s="35" t="s">
        <v>2853</v>
      </c>
      <c r="D1410" s="35" t="s">
        <v>116</v>
      </c>
      <c r="E1410" s="34" t="n">
        <v>46200</v>
      </c>
      <c r="F1410" s="34" t="n">
        <v>45250</v>
      </c>
      <c r="G1410" s="34" t="n">
        <v>49759.08</v>
      </c>
      <c r="H1410" s="34" t="n">
        <v>56387.22</v>
      </c>
      <c r="I1410" s="36" t="n">
        <f aca="false">$E1410/F1410-1</f>
        <v>0.0209944751381215</v>
      </c>
      <c r="J1410" s="36" t="n">
        <f aca="false">$E1410/G1410-1</f>
        <v>-0.0715262420446681</v>
      </c>
      <c r="K1410" s="36" t="n">
        <f aca="false">$E1410/H1410-1</f>
        <v>-0.180665406097339</v>
      </c>
      <c r="L1410" s="37" t="n">
        <v>7.06</v>
      </c>
      <c r="M1410" s="37" t="n">
        <v>1.73</v>
      </c>
      <c r="N1410" s="34" t="n">
        <v>68202.6</v>
      </c>
      <c r="O1410" s="34" t="n">
        <v>43900</v>
      </c>
      <c r="P1410" s="38" t="n">
        <v>9.86</v>
      </c>
      <c r="Q1410" s="38" t="n">
        <v>1.99</v>
      </c>
    </row>
    <row r="1411" customFormat="false" ht="15" hidden="false" customHeight="false" outlineLevel="0" collapsed="false">
      <c r="A1411" s="34" t="n">
        <v>1403</v>
      </c>
      <c r="B1411" s="35" t="s">
        <v>2854</v>
      </c>
      <c r="C1411" s="35" t="s">
        <v>2855</v>
      </c>
      <c r="D1411" s="35" t="s">
        <v>111</v>
      </c>
      <c r="E1411" s="34" t="n">
        <v>9000</v>
      </c>
      <c r="F1411" s="34" t="n">
        <v>9800</v>
      </c>
      <c r="G1411" s="34" t="n">
        <v>10500</v>
      </c>
      <c r="H1411" s="34" t="n">
        <v>10200</v>
      </c>
      <c r="I1411" s="36" t="n">
        <f aca="false">$E1411/F1411-1</f>
        <v>-0.0816326530612245</v>
      </c>
      <c r="J1411" s="36" t="n">
        <f aca="false">$E1411/G1411-1</f>
        <v>-0.142857142857143</v>
      </c>
      <c r="K1411" s="36" t="n">
        <f aca="false">$E1411/H1411-1</f>
        <v>-0.117647058823529</v>
      </c>
      <c r="L1411" s="37" t="n">
        <v>6.31</v>
      </c>
      <c r="M1411" s="37" t="n">
        <v>0.41</v>
      </c>
      <c r="N1411" s="34" t="n">
        <v>13088</v>
      </c>
      <c r="O1411" s="34" t="n">
        <v>9000</v>
      </c>
      <c r="P1411" s="38"/>
      <c r="Q1411" s="38"/>
    </row>
    <row r="1412" customFormat="false" ht="15" hidden="false" customHeight="false" outlineLevel="0" collapsed="false">
      <c r="A1412" s="34" t="n">
        <v>1404</v>
      </c>
      <c r="B1412" s="35" t="s">
        <v>2856</v>
      </c>
      <c r="C1412" s="35" t="s">
        <v>2857</v>
      </c>
      <c r="D1412" s="35" t="s">
        <v>116</v>
      </c>
      <c r="E1412" s="34" t="n">
        <v>9850</v>
      </c>
      <c r="F1412" s="34" t="n">
        <v>10000</v>
      </c>
      <c r="G1412" s="34" t="n">
        <v>10250</v>
      </c>
      <c r="H1412" s="34" t="n">
        <v>11134.94</v>
      </c>
      <c r="I1412" s="36" t="n">
        <f aca="false">$E1412/F1412-1</f>
        <v>-0.015</v>
      </c>
      <c r="J1412" s="36" t="n">
        <f aca="false">$E1412/G1412-1</f>
        <v>-0.0390243902439025</v>
      </c>
      <c r="K1412" s="36" t="n">
        <f aca="false">$E1412/H1412-1</f>
        <v>-0.115397119337868</v>
      </c>
      <c r="L1412" s="37" t="n">
        <v>12.77</v>
      </c>
      <c r="M1412" s="37" t="n">
        <v>0.55</v>
      </c>
      <c r="N1412" s="34" t="n">
        <v>12823.44</v>
      </c>
      <c r="O1412" s="34" t="n">
        <v>9850</v>
      </c>
      <c r="P1412" s="38"/>
      <c r="Q1412" s="38"/>
    </row>
    <row r="1413" customFormat="false" ht="15" hidden="false" customHeight="false" outlineLevel="0" collapsed="false">
      <c r="A1413" s="34" t="n">
        <v>1405</v>
      </c>
      <c r="B1413" s="35" t="s">
        <v>2858</v>
      </c>
      <c r="C1413" s="35" t="s">
        <v>2859</v>
      </c>
      <c r="D1413" s="35" t="s">
        <v>111</v>
      </c>
      <c r="E1413" s="34" t="n">
        <v>15900</v>
      </c>
      <c r="F1413" s="34" t="n">
        <v>16000</v>
      </c>
      <c r="G1413" s="34" t="n">
        <v>11319.04</v>
      </c>
      <c r="H1413" s="34" t="n">
        <v>10611.6</v>
      </c>
      <c r="I1413" s="36" t="n">
        <f aca="false">$E1413/F1413-1</f>
        <v>-0.00624999999999998</v>
      </c>
      <c r="J1413" s="36" t="n">
        <f aca="false">$E1413/G1413-1</f>
        <v>0.404712767160466</v>
      </c>
      <c r="K1413" s="36" t="n">
        <f aca="false">$E1413/H1413-1</f>
        <v>0.498360284971164</v>
      </c>
      <c r="L1413" s="37" t="n">
        <v>6.8</v>
      </c>
      <c r="M1413" s="37" t="n">
        <v>0.86</v>
      </c>
      <c r="N1413" s="34" t="n">
        <v>16094.26</v>
      </c>
      <c r="O1413" s="34" t="n">
        <v>9550.44</v>
      </c>
      <c r="P1413" s="38"/>
      <c r="Q1413" s="38"/>
    </row>
    <row r="1414" customFormat="false" ht="15" hidden="false" customHeight="false" outlineLevel="0" collapsed="false">
      <c r="A1414" s="34" t="n">
        <v>1406</v>
      </c>
      <c r="B1414" s="35" t="s">
        <v>2860</v>
      </c>
      <c r="C1414" s="35" t="s">
        <v>2861</v>
      </c>
      <c r="D1414" s="35" t="s">
        <v>116</v>
      </c>
      <c r="E1414" s="34" t="n">
        <v>3650</v>
      </c>
      <c r="F1414" s="34" t="n">
        <v>3580</v>
      </c>
      <c r="G1414" s="34" t="n">
        <v>3700</v>
      </c>
      <c r="H1414" s="34" t="n">
        <v>3800</v>
      </c>
      <c r="I1414" s="36" t="n">
        <f aca="false">$E1414/F1414-1</f>
        <v>0.0195530726256983</v>
      </c>
      <c r="J1414" s="36" t="n">
        <f aca="false">$E1414/G1414-1</f>
        <v>-0.0135135135135135</v>
      </c>
      <c r="K1414" s="36" t="n">
        <f aca="false">$E1414/H1414-1</f>
        <v>-0.0394736842105263</v>
      </c>
      <c r="L1414" s="37" t="n">
        <v>32.95</v>
      </c>
      <c r="M1414" s="37" t="n">
        <v>0.37</v>
      </c>
      <c r="N1414" s="34" t="n">
        <v>4340</v>
      </c>
      <c r="O1414" s="34" t="n">
        <v>3360</v>
      </c>
      <c r="P1414" s="38"/>
      <c r="Q1414" s="38"/>
    </row>
    <row r="1415" customFormat="false" ht="15" hidden="false" customHeight="false" outlineLevel="0" collapsed="false">
      <c r="A1415" s="34" t="n">
        <v>1407</v>
      </c>
      <c r="B1415" s="35" t="s">
        <v>2862</v>
      </c>
      <c r="C1415" s="35" t="s">
        <v>2863</v>
      </c>
      <c r="D1415" s="35" t="s">
        <v>111</v>
      </c>
      <c r="E1415" s="34" t="n">
        <v>8100</v>
      </c>
      <c r="F1415" s="34" t="n">
        <v>8100</v>
      </c>
      <c r="G1415" s="34" t="n">
        <v>9000</v>
      </c>
      <c r="H1415" s="34" t="n">
        <v>8372</v>
      </c>
      <c r="I1415" s="36" t="n">
        <f aca="false">$E1415/F1415-1</f>
        <v>0</v>
      </c>
      <c r="J1415" s="36" t="n">
        <f aca="false">$E1415/G1415-1</f>
        <v>-0.1</v>
      </c>
      <c r="K1415" s="36" t="n">
        <f aca="false">$E1415/H1415-1</f>
        <v>-0.0324892498805542</v>
      </c>
      <c r="L1415" s="37" t="n">
        <v>4.15</v>
      </c>
      <c r="M1415" s="37" t="n">
        <v>0.68</v>
      </c>
      <c r="N1415" s="34" t="n">
        <v>10028</v>
      </c>
      <c r="O1415" s="34" t="n">
        <v>7840.24</v>
      </c>
      <c r="P1415" s="38"/>
      <c r="Q1415" s="38"/>
    </row>
    <row r="1416" customFormat="false" ht="15" hidden="false" customHeight="false" outlineLevel="0" collapsed="false">
      <c r="A1416" s="34" t="n">
        <v>1408</v>
      </c>
      <c r="B1416" s="35" t="s">
        <v>2864</v>
      </c>
      <c r="C1416" s="35" t="s">
        <v>2865</v>
      </c>
      <c r="D1416" s="35" t="s">
        <v>116</v>
      </c>
      <c r="E1416" s="34" t="n">
        <v>30600</v>
      </c>
      <c r="F1416" s="34" t="n">
        <v>30600</v>
      </c>
      <c r="G1416" s="34" t="n">
        <v>32900</v>
      </c>
      <c r="H1416" s="34" t="n">
        <v>28977.52</v>
      </c>
      <c r="I1416" s="36" t="n">
        <f aca="false">$E1416/F1416-1</f>
        <v>0</v>
      </c>
      <c r="J1416" s="36" t="n">
        <f aca="false">$E1416/G1416-1</f>
        <v>-0.0699088145896657</v>
      </c>
      <c r="K1416" s="36" t="n">
        <f aca="false">$E1416/H1416-1</f>
        <v>0.0559909888768948</v>
      </c>
      <c r="L1416" s="37" t="n">
        <v>9.38</v>
      </c>
      <c r="M1416" s="37" t="n">
        <v>1.01</v>
      </c>
      <c r="N1416" s="34" t="n">
        <v>40986.66</v>
      </c>
      <c r="O1416" s="34" t="n">
        <v>28199.6</v>
      </c>
      <c r="P1416" s="38"/>
      <c r="Q1416" s="38"/>
    </row>
    <row r="1417" customFormat="false" ht="15" hidden="false" customHeight="false" outlineLevel="0" collapsed="false">
      <c r="A1417" s="34" t="n">
        <v>1409</v>
      </c>
      <c r="B1417" s="35" t="s">
        <v>2866</v>
      </c>
      <c r="C1417" s="35" t="s">
        <v>2867</v>
      </c>
      <c r="D1417" s="35" t="s">
        <v>111</v>
      </c>
      <c r="E1417" s="34" t="n">
        <v>18600</v>
      </c>
      <c r="F1417" s="34" t="n">
        <v>16600</v>
      </c>
      <c r="G1417" s="34" t="n">
        <v>16600</v>
      </c>
      <c r="H1417" s="34" t="n">
        <v>17900</v>
      </c>
      <c r="I1417" s="36" t="n">
        <f aca="false">$E1417/F1417-1</f>
        <v>0.120481927710843</v>
      </c>
      <c r="J1417" s="36" t="n">
        <f aca="false">$E1417/G1417-1</f>
        <v>0.120481927710843</v>
      </c>
      <c r="K1417" s="36" t="n">
        <f aca="false">$E1417/H1417-1</f>
        <v>0.0391061452513966</v>
      </c>
      <c r="L1417" s="37" t="n">
        <v>687.34</v>
      </c>
      <c r="M1417" s="37" t="n">
        <v>0.88</v>
      </c>
      <c r="N1417" s="34" t="n">
        <v>19796.02</v>
      </c>
      <c r="O1417" s="34" t="n">
        <v>14800</v>
      </c>
      <c r="P1417" s="38"/>
      <c r="Q1417" s="38"/>
    </row>
    <row r="1418" customFormat="false" ht="15" hidden="false" customHeight="false" outlineLevel="0" collapsed="false">
      <c r="A1418" s="34" t="n">
        <v>1410</v>
      </c>
      <c r="B1418" s="35" t="s">
        <v>2868</v>
      </c>
      <c r="C1418" s="35" t="s">
        <v>2869</v>
      </c>
      <c r="D1418" s="35" t="s">
        <v>111</v>
      </c>
      <c r="E1418" s="34" t="n">
        <v>44000</v>
      </c>
      <c r="F1418" s="34" t="n">
        <v>41500</v>
      </c>
      <c r="G1418" s="34" t="n">
        <v>42000</v>
      </c>
      <c r="H1418" s="34" t="n">
        <v>30359.82</v>
      </c>
      <c r="I1418" s="36" t="n">
        <f aca="false">$E1418/F1418-1</f>
        <v>0.0602409638554218</v>
      </c>
      <c r="J1418" s="36" t="n">
        <f aca="false">$E1418/G1418-1</f>
        <v>0.0476190476190477</v>
      </c>
      <c r="K1418" s="36" t="n">
        <f aca="false">$E1418/H1418-1</f>
        <v>0.449283954911459</v>
      </c>
      <c r="L1418" s="37" t="n">
        <v>14.21</v>
      </c>
      <c r="M1418" s="37" t="n">
        <v>2.35</v>
      </c>
      <c r="N1418" s="34" t="n">
        <v>58002.9</v>
      </c>
      <c r="O1418" s="34" t="n">
        <v>28074.67</v>
      </c>
      <c r="P1418" s="38"/>
      <c r="Q1418" s="38"/>
    </row>
    <row r="1419" customFormat="false" ht="15" hidden="false" customHeight="false" outlineLevel="0" collapsed="false">
      <c r="A1419" s="34" t="n">
        <v>1411</v>
      </c>
      <c r="B1419" s="35" t="s">
        <v>2870</v>
      </c>
      <c r="C1419" s="35" t="s">
        <v>2871</v>
      </c>
      <c r="D1419" s="35" t="s">
        <v>111</v>
      </c>
      <c r="E1419" s="34" t="n">
        <v>7300</v>
      </c>
      <c r="F1419" s="34" t="n">
        <v>7300</v>
      </c>
      <c r="G1419" s="34" t="n">
        <v>7300</v>
      </c>
      <c r="H1419" s="34" t="n">
        <v>10000</v>
      </c>
      <c r="I1419" s="36" t="n">
        <f aca="false">$E1419/F1419-1</f>
        <v>0</v>
      </c>
      <c r="J1419" s="36" t="n">
        <f aca="false">$E1419/G1419-1</f>
        <v>0</v>
      </c>
      <c r="K1419" s="36" t="n">
        <f aca="false">$E1419/H1419-1</f>
        <v>-0.27</v>
      </c>
      <c r="L1419" s="37" t="n">
        <v>11.42</v>
      </c>
      <c r="M1419" s="37" t="n">
        <v>0.68</v>
      </c>
      <c r="N1419" s="34" t="n">
        <v>10911</v>
      </c>
      <c r="O1419" s="34" t="n">
        <v>7300</v>
      </c>
      <c r="P1419" s="38"/>
      <c r="Q1419" s="38"/>
    </row>
    <row r="1420" customFormat="false" ht="15" hidden="false" customHeight="false" outlineLevel="0" collapsed="false">
      <c r="A1420" s="34" t="n">
        <v>1412</v>
      </c>
      <c r="B1420" s="35" t="s">
        <v>2872</v>
      </c>
      <c r="C1420" s="35" t="s">
        <v>2873</v>
      </c>
      <c r="D1420" s="35" t="s">
        <v>111</v>
      </c>
      <c r="E1420" s="34" t="n">
        <v>15800</v>
      </c>
      <c r="F1420" s="34" t="n">
        <v>15800</v>
      </c>
      <c r="G1420" s="34" t="n">
        <v>14400</v>
      </c>
      <c r="H1420" s="34" t="n">
        <v>14538</v>
      </c>
      <c r="I1420" s="36" t="n">
        <f aca="false">$E1420/F1420-1</f>
        <v>0</v>
      </c>
      <c r="J1420" s="36" t="n">
        <f aca="false">$E1420/G1420-1</f>
        <v>0.0972222222222223</v>
      </c>
      <c r="K1420" s="36" t="n">
        <f aca="false">$E1420/H1420-1</f>
        <v>0.086806988581648</v>
      </c>
      <c r="L1420" s="37" t="n">
        <v>36.18</v>
      </c>
      <c r="M1420" s="37" t="n">
        <v>0.93</v>
      </c>
      <c r="N1420" s="34" t="n">
        <v>15810</v>
      </c>
      <c r="O1420" s="34" t="n">
        <v>12599.6</v>
      </c>
      <c r="P1420" s="38"/>
      <c r="Q1420" s="38"/>
    </row>
    <row r="1421" customFormat="false" ht="15" hidden="false" customHeight="false" outlineLevel="0" collapsed="false">
      <c r="A1421" s="34" t="n">
        <v>1413</v>
      </c>
      <c r="B1421" s="35" t="s">
        <v>67</v>
      </c>
      <c r="C1421" s="35" t="s">
        <v>2874</v>
      </c>
      <c r="D1421" s="35" t="s">
        <v>116</v>
      </c>
      <c r="E1421" s="34" t="n">
        <v>14650</v>
      </c>
      <c r="F1421" s="34" t="n">
        <v>14500</v>
      </c>
      <c r="G1421" s="34" t="n">
        <v>16250</v>
      </c>
      <c r="H1421" s="34" t="n">
        <v>16828.78</v>
      </c>
      <c r="I1421" s="36" t="n">
        <f aca="false">$E1421/F1421-1</f>
        <v>0.0103448275862068</v>
      </c>
      <c r="J1421" s="36" t="n">
        <f aca="false">$E1421/G1421-1</f>
        <v>-0.0984615384615385</v>
      </c>
      <c r="K1421" s="36" t="n">
        <f aca="false">$E1421/H1421-1</f>
        <v>-0.129467495564147</v>
      </c>
      <c r="L1421" s="37" t="n">
        <v>6.72</v>
      </c>
      <c r="M1421" s="37" t="n">
        <v>1.04</v>
      </c>
      <c r="N1421" s="34" t="n">
        <v>22375.16</v>
      </c>
      <c r="O1421" s="34" t="n">
        <v>14150</v>
      </c>
      <c r="P1421" s="38" t="n">
        <v>7.37</v>
      </c>
      <c r="Q1421" s="38" t="n">
        <v>1.45</v>
      </c>
    </row>
    <row r="1422" customFormat="false" ht="15" hidden="false" customHeight="false" outlineLevel="0" collapsed="false">
      <c r="A1422" s="34" t="n">
        <v>1414</v>
      </c>
      <c r="B1422" s="35" t="s">
        <v>2875</v>
      </c>
      <c r="C1422" s="35" t="s">
        <v>2876</v>
      </c>
      <c r="D1422" s="35" t="s">
        <v>116</v>
      </c>
      <c r="E1422" s="34" t="n">
        <v>12950</v>
      </c>
      <c r="F1422" s="34" t="n">
        <v>12200</v>
      </c>
      <c r="G1422" s="34" t="n">
        <v>13250</v>
      </c>
      <c r="H1422" s="34" t="n">
        <v>16500</v>
      </c>
      <c r="I1422" s="36" t="n">
        <f aca="false">$E1422/F1422-1</f>
        <v>0.0614754098360655</v>
      </c>
      <c r="J1422" s="36" t="n">
        <f aca="false">$E1422/G1422-1</f>
        <v>-0.0226415094339623</v>
      </c>
      <c r="K1422" s="36" t="n">
        <f aca="false">$E1422/H1422-1</f>
        <v>-0.215151515151515</v>
      </c>
      <c r="L1422" s="37" t="n">
        <v>12.78</v>
      </c>
      <c r="M1422" s="37" t="n">
        <v>0.96</v>
      </c>
      <c r="N1422" s="34" t="n">
        <v>20100</v>
      </c>
      <c r="O1422" s="34" t="n">
        <v>11650</v>
      </c>
      <c r="P1422" s="38"/>
      <c r="Q1422" s="38"/>
    </row>
    <row r="1423" customFormat="false" ht="15" hidden="false" customHeight="false" outlineLevel="0" collapsed="false">
      <c r="A1423" s="34" t="n">
        <v>1415</v>
      </c>
      <c r="B1423" s="35" t="s">
        <v>2877</v>
      </c>
      <c r="C1423" s="35" t="s">
        <v>2878</v>
      </c>
      <c r="D1423" s="35" t="s">
        <v>116</v>
      </c>
      <c r="E1423" s="34" t="n">
        <v>14650</v>
      </c>
      <c r="F1423" s="34" t="n">
        <v>13800</v>
      </c>
      <c r="G1423" s="34" t="n">
        <v>17550</v>
      </c>
      <c r="H1423" s="34" t="n">
        <v>19950</v>
      </c>
      <c r="I1423" s="36" t="n">
        <f aca="false">$E1423/F1423-1</f>
        <v>0.0615942028985508</v>
      </c>
      <c r="J1423" s="36" t="n">
        <f aca="false">$E1423/G1423-1</f>
        <v>-0.165242165242165</v>
      </c>
      <c r="K1423" s="36" t="n">
        <f aca="false">$E1423/H1423-1</f>
        <v>-0.265664160401003</v>
      </c>
      <c r="L1423" s="37" t="n">
        <v>15.98</v>
      </c>
      <c r="M1423" s="37" t="n">
        <v>0.98</v>
      </c>
      <c r="N1423" s="34" t="n">
        <v>36200</v>
      </c>
      <c r="O1423" s="34" t="n">
        <v>12700</v>
      </c>
      <c r="P1423" s="38" t="n">
        <v>16.19</v>
      </c>
      <c r="Q1423" s="38" t="n">
        <v>1.53</v>
      </c>
    </row>
    <row r="1424" customFormat="false" ht="15" hidden="false" customHeight="false" outlineLevel="0" collapsed="false">
      <c r="A1424" s="34" t="n">
        <v>1416</v>
      </c>
      <c r="B1424" s="35" t="s">
        <v>2879</v>
      </c>
      <c r="C1424" s="35" t="s">
        <v>2880</v>
      </c>
      <c r="D1424" s="35" t="s">
        <v>133</v>
      </c>
      <c r="E1424" s="34" t="n">
        <v>33400</v>
      </c>
      <c r="F1424" s="34" t="n">
        <v>32600</v>
      </c>
      <c r="G1424" s="34" t="n">
        <v>35300</v>
      </c>
      <c r="H1424" s="34" t="n">
        <v>40578.68</v>
      </c>
      <c r="I1424" s="36" t="n">
        <f aca="false">$E1424/F1424-1</f>
        <v>0.0245398773006136</v>
      </c>
      <c r="J1424" s="36" t="n">
        <f aca="false">$E1424/G1424-1</f>
        <v>-0.0538243626062322</v>
      </c>
      <c r="K1424" s="36" t="n">
        <f aca="false">$E1424/H1424-1</f>
        <v>-0.17690767664202</v>
      </c>
      <c r="L1424" s="37" t="n">
        <v>9.32</v>
      </c>
      <c r="M1424" s="37" t="n">
        <v>1.06</v>
      </c>
      <c r="N1424" s="34" t="n">
        <v>47940.09</v>
      </c>
      <c r="O1424" s="34" t="n">
        <v>32000</v>
      </c>
      <c r="P1424" s="38"/>
      <c r="Q1424" s="38"/>
    </row>
    <row r="1425" customFormat="false" ht="15" hidden="false" customHeight="false" outlineLevel="0" collapsed="false">
      <c r="A1425" s="34" t="n">
        <v>1417</v>
      </c>
      <c r="B1425" s="35" t="s">
        <v>2881</v>
      </c>
      <c r="C1425" s="35" t="s">
        <v>2882</v>
      </c>
      <c r="D1425" s="35" t="s">
        <v>116</v>
      </c>
      <c r="E1425" s="34" t="n">
        <v>1780</v>
      </c>
      <c r="F1425" s="34" t="n">
        <v>1800</v>
      </c>
      <c r="G1425" s="34" t="n">
        <v>2030</v>
      </c>
      <c r="H1425" s="34" t="n">
        <v>2800</v>
      </c>
      <c r="I1425" s="36" t="n">
        <f aca="false">$E1425/F1425-1</f>
        <v>-0.0111111111111111</v>
      </c>
      <c r="J1425" s="36" t="n">
        <f aca="false">$E1425/G1425-1</f>
        <v>-0.123152709359606</v>
      </c>
      <c r="K1425" s="36" t="n">
        <f aca="false">$E1425/H1425-1</f>
        <v>-0.364285714285714</v>
      </c>
      <c r="L1425" s="37" t="n">
        <v>1834.3</v>
      </c>
      <c r="M1425" s="37" t="n">
        <v>0.41</v>
      </c>
      <c r="N1425" s="34" t="n">
        <v>3690</v>
      </c>
      <c r="O1425" s="34" t="n">
        <v>1770</v>
      </c>
      <c r="P1425" s="38"/>
      <c r="Q1425" s="38"/>
    </row>
    <row r="1426" customFormat="false" ht="15" hidden="false" customHeight="false" outlineLevel="0" collapsed="false">
      <c r="A1426" s="34" t="n">
        <v>1418</v>
      </c>
      <c r="B1426" s="35" t="s">
        <v>2883</v>
      </c>
      <c r="C1426" s="35" t="s">
        <v>2884</v>
      </c>
      <c r="D1426" s="35" t="s">
        <v>116</v>
      </c>
      <c r="E1426" s="34" t="n">
        <v>13200</v>
      </c>
      <c r="F1426" s="34" t="n">
        <v>13150</v>
      </c>
      <c r="G1426" s="34"/>
      <c r="H1426" s="34" t="n">
        <v>9470.09</v>
      </c>
      <c r="I1426" s="36" t="n">
        <f aca="false">$E1426/F1426-1</f>
        <v>0.00380228136882121</v>
      </c>
      <c r="J1426" s="36" t="e">
        <f aca="false">$E1426/G1426-1</f>
        <v>#DIV/0!</v>
      </c>
      <c r="K1426" s="36" t="n">
        <f aca="false">$E1426/H1426-1</f>
        <v>0.393862149145362</v>
      </c>
      <c r="L1426" s="37" t="n">
        <v>9.06</v>
      </c>
      <c r="M1426" s="37" t="n">
        <v>1.19</v>
      </c>
      <c r="N1426" s="34" t="n">
        <v>14500</v>
      </c>
      <c r="O1426" s="34" t="n">
        <v>8636.45</v>
      </c>
      <c r="P1426" s="38"/>
      <c r="Q1426" s="38"/>
    </row>
    <row r="1427" customFormat="false" ht="15" hidden="false" customHeight="false" outlineLevel="0" collapsed="false">
      <c r="A1427" s="34" t="n">
        <v>1419</v>
      </c>
      <c r="B1427" s="35" t="s">
        <v>74</v>
      </c>
      <c r="C1427" s="35" t="s">
        <v>2885</v>
      </c>
      <c r="D1427" s="35" t="s">
        <v>116</v>
      </c>
      <c r="E1427" s="34" t="n">
        <v>59700</v>
      </c>
      <c r="F1427" s="34" t="n">
        <v>59300</v>
      </c>
      <c r="G1427" s="34" t="n">
        <v>60791.21</v>
      </c>
      <c r="H1427" s="34" t="n">
        <v>57022.75</v>
      </c>
      <c r="I1427" s="36" t="n">
        <f aca="false">$E1427/F1427-1</f>
        <v>0.00674536256323788</v>
      </c>
      <c r="J1427" s="36" t="n">
        <f aca="false">$E1427/G1427-1</f>
        <v>-0.0179501279872534</v>
      </c>
      <c r="K1427" s="36" t="n">
        <f aca="false">$E1427/H1427-1</f>
        <v>0.0469505592066324</v>
      </c>
      <c r="L1427" s="37" t="n">
        <v>11.98</v>
      </c>
      <c r="M1427" s="37" t="n">
        <v>2.01</v>
      </c>
      <c r="N1427" s="34" t="n">
        <v>75369.2</v>
      </c>
      <c r="O1427" s="34" t="n">
        <v>54000</v>
      </c>
      <c r="P1427" s="38" t="n">
        <v>15.08</v>
      </c>
      <c r="Q1427" s="38" t="n">
        <v>2.92</v>
      </c>
    </row>
    <row r="1428" customFormat="false" ht="15" hidden="false" customHeight="false" outlineLevel="0" collapsed="false">
      <c r="A1428" s="34" t="n">
        <v>1420</v>
      </c>
      <c r="B1428" s="35" t="s">
        <v>31</v>
      </c>
      <c r="C1428" s="35" t="s">
        <v>2886</v>
      </c>
      <c r="D1428" s="35" t="s">
        <v>116</v>
      </c>
      <c r="E1428" s="34" t="n">
        <v>32500</v>
      </c>
      <c r="F1428" s="34" t="n">
        <v>30800</v>
      </c>
      <c r="G1428" s="34" t="n">
        <v>33729.4</v>
      </c>
      <c r="H1428" s="34" t="n">
        <v>35206.6</v>
      </c>
      <c r="I1428" s="36" t="n">
        <f aca="false">$E1428/F1428-1</f>
        <v>0.0551948051948052</v>
      </c>
      <c r="J1428" s="36" t="n">
        <f aca="false">$E1428/G1428-1</f>
        <v>-0.0364489140038068</v>
      </c>
      <c r="K1428" s="36" t="n">
        <f aca="false">$E1428/H1428-1</f>
        <v>-0.0768776308987519</v>
      </c>
      <c r="L1428" s="37" t="n">
        <v>6.28</v>
      </c>
      <c r="M1428" s="37" t="n">
        <v>1.27</v>
      </c>
      <c r="N1428" s="34" t="n">
        <v>40869.2</v>
      </c>
      <c r="O1428" s="34" t="n">
        <v>28750</v>
      </c>
      <c r="P1428" s="38" t="n">
        <v>8.72</v>
      </c>
      <c r="Q1428" s="38" t="n">
        <v>1.39</v>
      </c>
    </row>
    <row r="1429" customFormat="false" ht="15" hidden="false" customHeight="false" outlineLevel="0" collapsed="false">
      <c r="A1429" s="34" t="n">
        <v>1421</v>
      </c>
      <c r="B1429" s="35" t="s">
        <v>2887</v>
      </c>
      <c r="C1429" s="35" t="s">
        <v>2888</v>
      </c>
      <c r="D1429" s="35" t="s">
        <v>116</v>
      </c>
      <c r="E1429" s="34" t="n">
        <v>125500</v>
      </c>
      <c r="F1429" s="34" t="n">
        <v>125000</v>
      </c>
      <c r="G1429" s="34" t="n">
        <v>139700</v>
      </c>
      <c r="H1429" s="34" t="n">
        <v>160762.8</v>
      </c>
      <c r="I1429" s="36" t="n">
        <f aca="false">$E1429/F1429-1</f>
        <v>0.004</v>
      </c>
      <c r="J1429" s="36" t="n">
        <f aca="false">$E1429/G1429-1</f>
        <v>-0.101646385110952</v>
      </c>
      <c r="K1429" s="36" t="n">
        <f aca="false">$E1429/H1429-1</f>
        <v>-0.219346764301194</v>
      </c>
      <c r="L1429" s="37" t="n">
        <v>44.34</v>
      </c>
      <c r="M1429" s="37" t="n">
        <v>3.67</v>
      </c>
      <c r="N1429" s="34" t="n">
        <v>168531.72</v>
      </c>
      <c r="O1429" s="34" t="n">
        <v>95380.8</v>
      </c>
      <c r="P1429" s="38" t="n">
        <v>45.955</v>
      </c>
      <c r="Q1429" s="38" t="n">
        <v>3.67</v>
      </c>
    </row>
    <row r="1430" customFormat="false" ht="15" hidden="false" customHeight="false" outlineLevel="0" collapsed="false">
      <c r="A1430" s="34" t="n">
        <v>1422</v>
      </c>
      <c r="B1430" s="35" t="s">
        <v>2889</v>
      </c>
      <c r="C1430" s="35" t="s">
        <v>2890</v>
      </c>
      <c r="D1430" s="35" t="s">
        <v>116</v>
      </c>
      <c r="E1430" s="34" t="n">
        <v>23850</v>
      </c>
      <c r="F1430" s="34" t="n">
        <v>21500</v>
      </c>
      <c r="G1430" s="34" t="n">
        <v>26050</v>
      </c>
      <c r="H1430" s="34" t="n">
        <v>24900</v>
      </c>
      <c r="I1430" s="36" t="n">
        <f aca="false">$E1430/F1430-1</f>
        <v>0.109302325581395</v>
      </c>
      <c r="J1430" s="36" t="n">
        <f aca="false">$E1430/G1430-1</f>
        <v>-0.0844529750479847</v>
      </c>
      <c r="K1430" s="36" t="n">
        <f aca="false">$E1430/H1430-1</f>
        <v>-0.0421686746987952</v>
      </c>
      <c r="L1430" s="37" t="n">
        <v>15.15</v>
      </c>
      <c r="M1430" s="37" t="n">
        <v>7.84</v>
      </c>
      <c r="N1430" s="34" t="n">
        <v>38250</v>
      </c>
      <c r="O1430" s="34" t="n">
        <v>19300</v>
      </c>
      <c r="P1430" s="38"/>
      <c r="Q1430" s="38"/>
    </row>
    <row r="1431" customFormat="false" ht="15" hidden="false" customHeight="false" outlineLevel="0" collapsed="false">
      <c r="A1431" s="34" t="n">
        <v>1423</v>
      </c>
      <c r="B1431" s="35" t="s">
        <v>2891</v>
      </c>
      <c r="C1431" s="35" t="s">
        <v>2892</v>
      </c>
      <c r="D1431" s="35" t="s">
        <v>116</v>
      </c>
      <c r="E1431" s="34" t="n">
        <v>12650</v>
      </c>
      <c r="F1431" s="34" t="n">
        <v>12900</v>
      </c>
      <c r="G1431" s="34" t="n">
        <v>12650</v>
      </c>
      <c r="H1431" s="34" t="n">
        <v>21600</v>
      </c>
      <c r="I1431" s="36" t="n">
        <f aca="false">$E1431/F1431-1</f>
        <v>-0.0193798449612403</v>
      </c>
      <c r="J1431" s="36" t="n">
        <f aca="false">$E1431/G1431-1</f>
        <v>0</v>
      </c>
      <c r="K1431" s="36" t="n">
        <f aca="false">$E1431/H1431-1</f>
        <v>-0.414351851851852</v>
      </c>
      <c r="L1431" s="37" t="n">
        <v>7.05</v>
      </c>
      <c r="M1431" s="37" t="n">
        <v>0.74</v>
      </c>
      <c r="N1431" s="34" t="n">
        <v>26400</v>
      </c>
      <c r="O1431" s="34" t="n">
        <v>8854.95</v>
      </c>
      <c r="P1431" s="38"/>
      <c r="Q1431" s="38"/>
    </row>
    <row r="1432" customFormat="false" ht="15" hidden="false" customHeight="false" outlineLevel="0" collapsed="false">
      <c r="A1432" s="34" t="n">
        <v>1424</v>
      </c>
      <c r="B1432" s="35" t="s">
        <v>2893</v>
      </c>
      <c r="C1432" s="35" t="s">
        <v>2894</v>
      </c>
      <c r="D1432" s="35" t="s">
        <v>116</v>
      </c>
      <c r="E1432" s="34" t="n">
        <v>4700</v>
      </c>
      <c r="F1432" s="34" t="n">
        <v>4500</v>
      </c>
      <c r="G1432" s="34" t="n">
        <v>4900</v>
      </c>
      <c r="H1432" s="34" t="n">
        <v>4950</v>
      </c>
      <c r="I1432" s="36" t="n">
        <f aca="false">$E1432/F1432-1</f>
        <v>0.0444444444444445</v>
      </c>
      <c r="J1432" s="36" t="n">
        <f aca="false">$E1432/G1432-1</f>
        <v>-0.0408163265306123</v>
      </c>
      <c r="K1432" s="36" t="n">
        <f aca="false">$E1432/H1432-1</f>
        <v>-0.0505050505050505</v>
      </c>
      <c r="L1432" s="37" t="n">
        <v>-18.09</v>
      </c>
      <c r="M1432" s="37" t="n">
        <v>0.41</v>
      </c>
      <c r="N1432" s="34" t="n">
        <v>5250</v>
      </c>
      <c r="O1432" s="34" t="n">
        <v>4450</v>
      </c>
      <c r="P1432" s="38"/>
      <c r="Q1432" s="38"/>
    </row>
    <row r="1433" customFormat="false" ht="15" hidden="false" customHeight="false" outlineLevel="0" collapsed="false">
      <c r="A1433" s="34" t="n">
        <v>1425</v>
      </c>
      <c r="B1433" s="35" t="s">
        <v>2895</v>
      </c>
      <c r="C1433" s="35" t="s">
        <v>2896</v>
      </c>
      <c r="D1433" s="35" t="s">
        <v>116</v>
      </c>
      <c r="E1433" s="34" t="n">
        <v>17000</v>
      </c>
      <c r="F1433" s="34" t="n">
        <v>16600</v>
      </c>
      <c r="G1433" s="34" t="n">
        <v>16399.5</v>
      </c>
      <c r="H1433" s="34" t="n">
        <v>16965</v>
      </c>
      <c r="I1433" s="36" t="n">
        <f aca="false">$E1433/F1433-1</f>
        <v>0.0240963855421688</v>
      </c>
      <c r="J1433" s="36" t="n">
        <f aca="false">$E1433/G1433-1</f>
        <v>0.036616970029574</v>
      </c>
      <c r="K1433" s="36" t="n">
        <f aca="false">$E1433/H1433-1</f>
        <v>0.00206307102858827</v>
      </c>
      <c r="L1433" s="37" t="n">
        <v>10.68</v>
      </c>
      <c r="M1433" s="37" t="n">
        <v>0.84</v>
      </c>
      <c r="N1433" s="34" t="n">
        <v>24128</v>
      </c>
      <c r="O1433" s="34" t="n">
        <v>12016.88</v>
      </c>
      <c r="P1433" s="38"/>
      <c r="Q1433" s="38"/>
    </row>
    <row r="1434" customFormat="false" ht="15" hidden="false" customHeight="false" outlineLevel="0" collapsed="false">
      <c r="A1434" s="34" t="n">
        <v>1426</v>
      </c>
      <c r="B1434" s="35" t="s">
        <v>2897</v>
      </c>
      <c r="C1434" s="35" t="s">
        <v>2898</v>
      </c>
      <c r="D1434" s="35" t="s">
        <v>111</v>
      </c>
      <c r="E1434" s="34" t="n">
        <v>11000</v>
      </c>
      <c r="F1434" s="34" t="n">
        <v>11000</v>
      </c>
      <c r="G1434" s="34" t="n">
        <v>11000</v>
      </c>
      <c r="H1434" s="34" t="n">
        <v>11225.42</v>
      </c>
      <c r="I1434" s="36" t="n">
        <f aca="false">$E1434/F1434-1</f>
        <v>0</v>
      </c>
      <c r="J1434" s="36" t="n">
        <f aca="false">$E1434/G1434-1</f>
        <v>0</v>
      </c>
      <c r="K1434" s="36" t="n">
        <f aca="false">$E1434/H1434-1</f>
        <v>-0.0200812085427539</v>
      </c>
      <c r="L1434" s="37" t="n">
        <v>133.03</v>
      </c>
      <c r="M1434" s="37" t="n">
        <v>0.55</v>
      </c>
      <c r="N1434" s="34" t="n">
        <v>13907.6</v>
      </c>
      <c r="O1434" s="34" t="n">
        <v>8543.24</v>
      </c>
      <c r="P1434" s="38"/>
      <c r="Q1434" s="38"/>
    </row>
    <row r="1435" customFormat="false" ht="15" hidden="false" customHeight="false" outlineLevel="0" collapsed="false">
      <c r="A1435" s="34" t="n">
        <v>1427</v>
      </c>
      <c r="B1435" s="35" t="s">
        <v>2899</v>
      </c>
      <c r="C1435" s="35" t="s">
        <v>2900</v>
      </c>
      <c r="D1435" s="35" t="s">
        <v>133</v>
      </c>
      <c r="E1435" s="34" t="n">
        <v>10000</v>
      </c>
      <c r="F1435" s="34" t="n">
        <v>9807.05</v>
      </c>
      <c r="G1435" s="34" t="n">
        <v>9969.15</v>
      </c>
      <c r="H1435" s="34" t="n">
        <v>9887.72</v>
      </c>
      <c r="I1435" s="36" t="n">
        <f aca="false">$E1435/F1435-1</f>
        <v>0.0196746218281747</v>
      </c>
      <c r="J1435" s="36" t="n">
        <f aca="false">$E1435/G1435-1</f>
        <v>0.00309454667649711</v>
      </c>
      <c r="K1435" s="36" t="n">
        <f aca="false">$E1435/H1435-1</f>
        <v>0.0113554995489356</v>
      </c>
      <c r="L1435" s="37" t="n">
        <v>9.24</v>
      </c>
      <c r="M1435" s="37" t="n">
        <v>0.85</v>
      </c>
      <c r="N1435" s="34" t="n">
        <v>22841.4</v>
      </c>
      <c r="O1435" s="34" t="n">
        <v>5901.97</v>
      </c>
      <c r="P1435" s="38"/>
      <c r="Q1435" s="38"/>
    </row>
    <row r="1436" customFormat="false" ht="15" hidden="false" customHeight="false" outlineLevel="0" collapsed="false">
      <c r="A1436" s="34" t="n">
        <v>1428</v>
      </c>
      <c r="B1436" s="35" t="s">
        <v>2901</v>
      </c>
      <c r="C1436" s="35" t="s">
        <v>2902</v>
      </c>
      <c r="D1436" s="35" t="s">
        <v>111</v>
      </c>
      <c r="E1436" s="34" t="n">
        <v>4800</v>
      </c>
      <c r="F1436" s="34" t="n">
        <v>4833</v>
      </c>
      <c r="G1436" s="34" t="n">
        <v>5000</v>
      </c>
      <c r="H1436" s="34" t="n">
        <v>10100</v>
      </c>
      <c r="I1436" s="36" t="n">
        <f aca="false">$E1436/F1436-1</f>
        <v>-0.00682805710738677</v>
      </c>
      <c r="J1436" s="36" t="n">
        <f aca="false">$E1436/G1436-1</f>
        <v>-0.04</v>
      </c>
      <c r="K1436" s="36" t="n">
        <f aca="false">$E1436/H1436-1</f>
        <v>-0.524752475247525</v>
      </c>
      <c r="L1436" s="37" t="n">
        <v>3.3</v>
      </c>
      <c r="M1436" s="37" t="n">
        <v>0.55</v>
      </c>
      <c r="N1436" s="34" t="n">
        <v>13400</v>
      </c>
      <c r="O1436" s="34" t="n">
        <v>4300</v>
      </c>
      <c r="P1436" s="38"/>
      <c r="Q1436" s="38"/>
    </row>
    <row r="1437" customFormat="false" ht="15" hidden="false" customHeight="false" outlineLevel="0" collapsed="false">
      <c r="A1437" s="34" t="n">
        <v>1429</v>
      </c>
      <c r="B1437" s="35" t="s">
        <v>2903</v>
      </c>
      <c r="C1437" s="35" t="s">
        <v>2904</v>
      </c>
      <c r="D1437" s="35" t="s">
        <v>111</v>
      </c>
      <c r="E1437" s="34" t="n">
        <v>4800</v>
      </c>
      <c r="F1437" s="34" t="n">
        <v>4800</v>
      </c>
      <c r="G1437" s="34" t="n">
        <v>5300</v>
      </c>
      <c r="H1437" s="34" t="n">
        <v>5333</v>
      </c>
      <c r="I1437" s="36" t="n">
        <f aca="false">$E1437/F1437-1</f>
        <v>0</v>
      </c>
      <c r="J1437" s="36" t="n">
        <f aca="false">$E1437/G1437-1</f>
        <v>-0.0943396226415094</v>
      </c>
      <c r="K1437" s="36" t="n">
        <f aca="false">$E1437/H1437-1</f>
        <v>-0.0999437464841553</v>
      </c>
      <c r="L1437" s="37" t="n">
        <v>-2.15</v>
      </c>
      <c r="M1437" s="37" t="n">
        <v>-2.23</v>
      </c>
      <c r="N1437" s="34" t="n">
        <v>6000</v>
      </c>
      <c r="O1437" s="34" t="n">
        <v>4000</v>
      </c>
      <c r="P1437" s="38"/>
      <c r="Q1437" s="38"/>
    </row>
    <row r="1438" customFormat="false" ht="15" hidden="false" customHeight="false" outlineLevel="0" collapsed="false">
      <c r="A1438" s="34" t="n">
        <v>1430</v>
      </c>
      <c r="B1438" s="35" t="s">
        <v>2905</v>
      </c>
      <c r="C1438" s="35" t="s">
        <v>2906</v>
      </c>
      <c r="D1438" s="35" t="s">
        <v>133</v>
      </c>
      <c r="E1438" s="34" t="n">
        <v>12000</v>
      </c>
      <c r="F1438" s="34" t="n">
        <v>12500</v>
      </c>
      <c r="G1438" s="34" t="n">
        <v>11800</v>
      </c>
      <c r="H1438" s="34" t="n">
        <v>10700</v>
      </c>
      <c r="I1438" s="36" t="n">
        <f aca="false">$E1438/F1438-1</f>
        <v>-0.04</v>
      </c>
      <c r="J1438" s="36" t="n">
        <f aca="false">$E1438/G1438-1</f>
        <v>0.0169491525423728</v>
      </c>
      <c r="K1438" s="36" t="n">
        <f aca="false">$E1438/H1438-1</f>
        <v>0.121495327102804</v>
      </c>
      <c r="L1438" s="37" t="n">
        <v>8.09</v>
      </c>
      <c r="M1438" s="37" t="n">
        <v>0.58</v>
      </c>
      <c r="N1438" s="34" t="n">
        <v>13300</v>
      </c>
      <c r="O1438" s="34" t="n">
        <v>10000</v>
      </c>
      <c r="P1438" s="38"/>
      <c r="Q1438" s="38"/>
    </row>
    <row r="1439" customFormat="false" ht="15" hidden="false" customHeight="false" outlineLevel="0" collapsed="false">
      <c r="A1439" s="34" t="n">
        <v>1431</v>
      </c>
      <c r="B1439" s="35" t="s">
        <v>2907</v>
      </c>
      <c r="C1439" s="35" t="s">
        <v>2908</v>
      </c>
      <c r="D1439" s="35" t="s">
        <v>133</v>
      </c>
      <c r="E1439" s="34" t="n">
        <v>23000</v>
      </c>
      <c r="F1439" s="34" t="n">
        <v>26400</v>
      </c>
      <c r="G1439" s="34" t="n">
        <v>27071.64</v>
      </c>
      <c r="H1439" s="34" t="n">
        <v>20148.31</v>
      </c>
      <c r="I1439" s="36" t="n">
        <f aca="false">$E1439/F1439-1</f>
        <v>-0.128787878787879</v>
      </c>
      <c r="J1439" s="36" t="n">
        <f aca="false">$E1439/G1439-1</f>
        <v>-0.150402413743682</v>
      </c>
      <c r="K1439" s="36" t="n">
        <f aca="false">$E1439/H1439-1</f>
        <v>0.141534947596101</v>
      </c>
      <c r="L1439" s="37" t="n">
        <v>14.39</v>
      </c>
      <c r="M1439" s="37" t="n">
        <v>2.08</v>
      </c>
      <c r="N1439" s="34" t="n">
        <v>28200</v>
      </c>
      <c r="O1439" s="34" t="n">
        <v>14187.77</v>
      </c>
      <c r="P1439" s="38"/>
      <c r="Q1439" s="38"/>
    </row>
    <row r="1440" customFormat="false" ht="15" hidden="false" customHeight="false" outlineLevel="0" collapsed="false">
      <c r="A1440" s="34" t="n">
        <v>1432</v>
      </c>
      <c r="B1440" s="35" t="s">
        <v>2909</v>
      </c>
      <c r="C1440" s="35" t="s">
        <v>2910</v>
      </c>
      <c r="D1440" s="35" t="s">
        <v>111</v>
      </c>
      <c r="E1440" s="34" t="n">
        <v>21500</v>
      </c>
      <c r="F1440" s="34" t="n">
        <v>21500</v>
      </c>
      <c r="G1440" s="34" t="n">
        <v>25000</v>
      </c>
      <c r="H1440" s="34" t="n">
        <v>65000</v>
      </c>
      <c r="I1440" s="36" t="n">
        <f aca="false">$E1440/F1440-1</f>
        <v>0</v>
      </c>
      <c r="J1440" s="36" t="n">
        <f aca="false">$E1440/G1440-1</f>
        <v>-0.14</v>
      </c>
      <c r="K1440" s="36" t="n">
        <f aca="false">$E1440/H1440-1</f>
        <v>-0.669230769230769</v>
      </c>
      <c r="L1440" s="37" t="n">
        <v>34.79</v>
      </c>
      <c r="M1440" s="37" t="n">
        <v>2.02</v>
      </c>
      <c r="N1440" s="34" t="n">
        <v>65000</v>
      </c>
      <c r="O1440" s="34" t="n">
        <v>21500</v>
      </c>
      <c r="P1440" s="38"/>
      <c r="Q1440" s="38"/>
    </row>
    <row r="1441" customFormat="false" ht="15" hidden="false" customHeight="false" outlineLevel="0" collapsed="false">
      <c r="A1441" s="34" t="n">
        <v>1433</v>
      </c>
      <c r="B1441" s="35" t="s">
        <v>2911</v>
      </c>
      <c r="C1441" s="35" t="s">
        <v>2912</v>
      </c>
      <c r="D1441" s="35" t="s">
        <v>111</v>
      </c>
      <c r="E1441" s="34" t="n">
        <v>7800</v>
      </c>
      <c r="F1441" s="34" t="n">
        <v>8200</v>
      </c>
      <c r="G1441" s="34" t="n">
        <v>7625</v>
      </c>
      <c r="H1441" s="34" t="n">
        <v>8475</v>
      </c>
      <c r="I1441" s="36" t="n">
        <f aca="false">$E1441/F1441-1</f>
        <v>-0.0487804878048781</v>
      </c>
      <c r="J1441" s="36" t="n">
        <f aca="false">$E1441/G1441-1</f>
        <v>0.0229508196721311</v>
      </c>
      <c r="K1441" s="36" t="n">
        <f aca="false">$E1441/H1441-1</f>
        <v>-0.0796460176991151</v>
      </c>
      <c r="L1441" s="37" t="n">
        <v>16.06</v>
      </c>
      <c r="M1441" s="37" t="n">
        <v>0.67</v>
      </c>
      <c r="N1441" s="34" t="n">
        <v>9800</v>
      </c>
      <c r="O1441" s="34" t="n">
        <v>6821</v>
      </c>
      <c r="P1441" s="38"/>
      <c r="Q1441" s="38"/>
    </row>
    <row r="1442" customFormat="false" ht="15" hidden="false" customHeight="false" outlineLevel="0" collapsed="false">
      <c r="A1442" s="34" t="n">
        <v>1434</v>
      </c>
      <c r="B1442" s="35" t="s">
        <v>2913</v>
      </c>
      <c r="C1442" s="35" t="s">
        <v>2914</v>
      </c>
      <c r="D1442" s="35" t="s">
        <v>133</v>
      </c>
      <c r="E1442" s="34" t="n">
        <v>3900</v>
      </c>
      <c r="F1442" s="34" t="n">
        <v>3700</v>
      </c>
      <c r="G1442" s="34" t="n">
        <v>3700</v>
      </c>
      <c r="H1442" s="34" t="n">
        <v>5800</v>
      </c>
      <c r="I1442" s="36" t="n">
        <f aca="false">$E1442/F1442-1</f>
        <v>0.0540540540540539</v>
      </c>
      <c r="J1442" s="36" t="n">
        <f aca="false">$E1442/G1442-1</f>
        <v>0.0540540540540539</v>
      </c>
      <c r="K1442" s="36" t="n">
        <f aca="false">$E1442/H1442-1</f>
        <v>-0.327586206896552</v>
      </c>
      <c r="L1442" s="37" t="n">
        <v>-3.36</v>
      </c>
      <c r="M1442" s="37" t="n">
        <v>0.35</v>
      </c>
      <c r="N1442" s="34" t="n">
        <v>6200</v>
      </c>
      <c r="O1442" s="34" t="n">
        <v>3600</v>
      </c>
      <c r="P1442" s="38"/>
      <c r="Q1442" s="38"/>
    </row>
    <row r="1443" customFormat="false" ht="15" hidden="false" customHeight="false" outlineLevel="0" collapsed="false">
      <c r="A1443" s="34" t="n">
        <v>1435</v>
      </c>
      <c r="B1443" s="35" t="s">
        <v>2915</v>
      </c>
      <c r="C1443" s="35" t="s">
        <v>2916</v>
      </c>
      <c r="D1443" s="35" t="s">
        <v>111</v>
      </c>
      <c r="E1443" s="34" t="n">
        <v>2547</v>
      </c>
      <c r="F1443" s="34" t="n">
        <v>2588</v>
      </c>
      <c r="G1443" s="34" t="n">
        <v>2600</v>
      </c>
      <c r="H1443" s="34" t="n">
        <v>2831</v>
      </c>
      <c r="I1443" s="36" t="n">
        <f aca="false">$E1443/F1443-1</f>
        <v>-0.0158423493044823</v>
      </c>
      <c r="J1443" s="36" t="n">
        <f aca="false">$E1443/G1443-1</f>
        <v>-0.0203846153846153</v>
      </c>
      <c r="K1443" s="36" t="n">
        <f aca="false">$E1443/H1443-1</f>
        <v>-0.100317908866125</v>
      </c>
      <c r="L1443" s="37" t="n">
        <v>-0.94</v>
      </c>
      <c r="M1443" s="37" t="n">
        <v>-1.9</v>
      </c>
      <c r="N1443" s="34" t="n">
        <v>5269</v>
      </c>
      <c r="O1443" s="34" t="n">
        <v>2400</v>
      </c>
      <c r="P1443" s="38"/>
      <c r="Q1443" s="38"/>
    </row>
    <row r="1444" customFormat="false" ht="15" hidden="false" customHeight="false" outlineLevel="0" collapsed="false">
      <c r="A1444" s="34" t="n">
        <v>1436</v>
      </c>
      <c r="B1444" s="35" t="s">
        <v>2917</v>
      </c>
      <c r="C1444" s="35" t="s">
        <v>2918</v>
      </c>
      <c r="D1444" s="35" t="s">
        <v>116</v>
      </c>
      <c r="E1444" s="34" t="n">
        <v>291100</v>
      </c>
      <c r="F1444" s="34" t="n">
        <v>289000</v>
      </c>
      <c r="G1444" s="34" t="n">
        <v>309900</v>
      </c>
      <c r="H1444" s="34" t="n">
        <v>287300</v>
      </c>
      <c r="I1444" s="36" t="n">
        <f aca="false">$E1444/F1444-1</f>
        <v>0.00726643598615917</v>
      </c>
      <c r="J1444" s="36" t="n">
        <f aca="false">$E1444/G1444-1</f>
        <v>-0.0606647305582446</v>
      </c>
      <c r="K1444" s="36" t="n">
        <f aca="false">$E1444/H1444-1</f>
        <v>0.0132265924121129</v>
      </c>
      <c r="L1444" s="37" t="n">
        <v>15.98</v>
      </c>
      <c r="M1444" s="37" t="n">
        <v>5.72</v>
      </c>
      <c r="N1444" s="34" t="n">
        <v>334976.58</v>
      </c>
      <c r="O1444" s="34" t="n">
        <v>266478.5</v>
      </c>
      <c r="P1444" s="38"/>
      <c r="Q1444" s="38"/>
    </row>
    <row r="1445" customFormat="false" ht="15" hidden="false" customHeight="false" outlineLevel="0" collapsed="false">
      <c r="A1445" s="34" t="n">
        <v>1437</v>
      </c>
      <c r="B1445" s="35" t="s">
        <v>2919</v>
      </c>
      <c r="C1445" s="35" t="s">
        <v>2920</v>
      </c>
      <c r="D1445" s="35" t="s">
        <v>111</v>
      </c>
      <c r="E1445" s="34" t="n">
        <v>7500</v>
      </c>
      <c r="F1445" s="34" t="n">
        <v>7100</v>
      </c>
      <c r="G1445" s="34" t="n">
        <v>6387.55</v>
      </c>
      <c r="H1445" s="34" t="n">
        <v>7800.67</v>
      </c>
      <c r="I1445" s="36" t="n">
        <f aca="false">$E1445/F1445-1</f>
        <v>0.056338028169014</v>
      </c>
      <c r="J1445" s="36" t="n">
        <f aca="false">$E1445/G1445-1</f>
        <v>0.174159106386643</v>
      </c>
      <c r="K1445" s="36" t="n">
        <f aca="false">$E1445/H1445-1</f>
        <v>-0.0385441250559246</v>
      </c>
      <c r="L1445" s="37" t="n">
        <v>36.24</v>
      </c>
      <c r="M1445" s="37" t="n">
        <v>0.69</v>
      </c>
      <c r="N1445" s="34" t="n">
        <v>11888.7</v>
      </c>
      <c r="O1445" s="34" t="n">
        <v>4520.42</v>
      </c>
      <c r="P1445" s="38"/>
      <c r="Q1445" s="38"/>
    </row>
    <row r="1446" customFormat="false" ht="15" hidden="false" customHeight="false" outlineLevel="0" collapsed="false">
      <c r="A1446" s="34" t="n">
        <v>1438</v>
      </c>
      <c r="B1446" s="35" t="s">
        <v>2921</v>
      </c>
      <c r="C1446" s="35" t="s">
        <v>2922</v>
      </c>
      <c r="D1446" s="35" t="s">
        <v>116</v>
      </c>
      <c r="E1446" s="34" t="n">
        <v>10820</v>
      </c>
      <c r="F1446" s="34" t="n">
        <v>10800</v>
      </c>
      <c r="G1446" s="34" t="n">
        <v>11000</v>
      </c>
      <c r="H1446" s="34"/>
      <c r="I1446" s="36" t="n">
        <f aca="false">$E1446/F1446-1</f>
        <v>0.00185185185185177</v>
      </c>
      <c r="J1446" s="36" t="n">
        <f aca="false">$E1446/G1446-1</f>
        <v>-0.0163636363636364</v>
      </c>
      <c r="K1446" s="36" t="e">
        <f aca="false">$E1446/H1446-1</f>
        <v>#DIV/0!</v>
      </c>
      <c r="L1446" s="37"/>
      <c r="M1446" s="37"/>
      <c r="N1446" s="34"/>
      <c r="O1446" s="34"/>
      <c r="P1446" s="38"/>
      <c r="Q1446" s="38"/>
    </row>
    <row r="1447" customFormat="false" ht="15" hidden="false" customHeight="false" outlineLevel="0" collapsed="false">
      <c r="A1447" s="34" t="n">
        <v>1439</v>
      </c>
      <c r="B1447" s="35" t="s">
        <v>2923</v>
      </c>
      <c r="C1447" s="35" t="s">
        <v>2924</v>
      </c>
      <c r="D1447" s="35" t="s">
        <v>111</v>
      </c>
      <c r="E1447" s="34" t="n">
        <v>3000</v>
      </c>
      <c r="F1447" s="34" t="n">
        <v>3061</v>
      </c>
      <c r="G1447" s="34" t="n">
        <v>3065</v>
      </c>
      <c r="H1447" s="34" t="n">
        <v>3200</v>
      </c>
      <c r="I1447" s="36" t="n">
        <f aca="false">$E1447/F1447-1</f>
        <v>-0.0199281280627246</v>
      </c>
      <c r="J1447" s="36" t="n">
        <f aca="false">$E1447/G1447-1</f>
        <v>-0.0212071778140294</v>
      </c>
      <c r="K1447" s="36" t="n">
        <f aca="false">$E1447/H1447-1</f>
        <v>-0.0625</v>
      </c>
      <c r="L1447" s="37" t="n">
        <v>5.39</v>
      </c>
      <c r="M1447" s="37" t="n">
        <v>0.32</v>
      </c>
      <c r="N1447" s="34" t="n">
        <v>3600</v>
      </c>
      <c r="O1447" s="34" t="n">
        <v>2818</v>
      </c>
      <c r="P1447" s="38"/>
      <c r="Q1447" s="38"/>
    </row>
    <row r="1448" customFormat="false" ht="15" hidden="false" customHeight="false" outlineLevel="0" collapsed="false">
      <c r="A1448" s="34" t="n">
        <v>1440</v>
      </c>
      <c r="B1448" s="35" t="s">
        <v>2925</v>
      </c>
      <c r="C1448" s="35" t="s">
        <v>2926</v>
      </c>
      <c r="D1448" s="35" t="s">
        <v>133</v>
      </c>
      <c r="E1448" s="34" t="n">
        <v>11100</v>
      </c>
      <c r="F1448" s="34" t="n">
        <v>10600</v>
      </c>
      <c r="G1448" s="34" t="n">
        <v>11200</v>
      </c>
      <c r="H1448" s="34" t="n">
        <v>11390.4</v>
      </c>
      <c r="I1448" s="36" t="n">
        <f aca="false">$E1448/F1448-1</f>
        <v>0.0471698113207548</v>
      </c>
      <c r="J1448" s="36" t="n">
        <f aca="false">$E1448/G1448-1</f>
        <v>-0.0089285714285714</v>
      </c>
      <c r="K1448" s="36" t="n">
        <f aca="false">$E1448/H1448-1</f>
        <v>-0.0254951538137379</v>
      </c>
      <c r="L1448" s="37" t="n">
        <v>8.92</v>
      </c>
      <c r="M1448" s="37" t="n">
        <v>0.84</v>
      </c>
      <c r="N1448" s="34" t="n">
        <v>12719.28</v>
      </c>
      <c r="O1448" s="34" t="n">
        <v>9871.68</v>
      </c>
      <c r="P1448" s="38"/>
      <c r="Q1448" s="38"/>
    </row>
    <row r="1449" customFormat="false" ht="15" hidden="false" customHeight="false" outlineLevel="0" collapsed="false">
      <c r="A1449" s="34" t="n">
        <v>1441</v>
      </c>
      <c r="B1449" s="35" t="s">
        <v>68</v>
      </c>
      <c r="C1449" s="35" t="s">
        <v>2927</v>
      </c>
      <c r="D1449" s="35" t="s">
        <v>116</v>
      </c>
      <c r="E1449" s="34" t="n">
        <v>15650</v>
      </c>
      <c r="F1449" s="34" t="n">
        <v>15500</v>
      </c>
      <c r="G1449" s="34" t="n">
        <v>18169.82</v>
      </c>
      <c r="H1449" s="34" t="n">
        <v>20080.1</v>
      </c>
      <c r="I1449" s="36" t="n">
        <f aca="false">$E1449/F1449-1</f>
        <v>0.00967741935483879</v>
      </c>
      <c r="J1449" s="36" t="n">
        <f aca="false">$E1449/G1449-1</f>
        <v>-0.138681615998397</v>
      </c>
      <c r="K1449" s="36" t="n">
        <f aca="false">$E1449/H1449-1</f>
        <v>-0.220621411247952</v>
      </c>
      <c r="L1449" s="37" t="n">
        <v>2.69</v>
      </c>
      <c r="M1449" s="37" t="n">
        <v>0.96</v>
      </c>
      <c r="N1449" s="34" t="n">
        <v>25411.1</v>
      </c>
      <c r="O1449" s="34" t="n">
        <v>15100</v>
      </c>
      <c r="P1449" s="38" t="n">
        <v>13.78</v>
      </c>
      <c r="Q1449" s="38" t="n">
        <v>1.58</v>
      </c>
    </row>
    <row r="1450" customFormat="false" ht="15" hidden="false" customHeight="false" outlineLevel="0" collapsed="false">
      <c r="A1450" s="34" t="n">
        <v>1442</v>
      </c>
      <c r="B1450" s="35" t="s">
        <v>2928</v>
      </c>
      <c r="C1450" s="35" t="s">
        <v>2929</v>
      </c>
      <c r="D1450" s="35" t="s">
        <v>133</v>
      </c>
      <c r="E1450" s="34" t="n">
        <v>11200</v>
      </c>
      <c r="F1450" s="34" t="n">
        <v>11200</v>
      </c>
      <c r="G1450" s="34" t="n">
        <v>10700</v>
      </c>
      <c r="H1450" s="34" t="n">
        <v>11800</v>
      </c>
      <c r="I1450" s="36" t="n">
        <f aca="false">$E1450/F1450-1</f>
        <v>0</v>
      </c>
      <c r="J1450" s="36" t="n">
        <f aca="false">$E1450/G1450-1</f>
        <v>0.0467289719626167</v>
      </c>
      <c r="K1450" s="36" t="n">
        <f aca="false">$E1450/H1450-1</f>
        <v>-0.0508474576271186</v>
      </c>
      <c r="L1450" s="37" t="n">
        <v>9.81</v>
      </c>
      <c r="M1450" s="37" t="n">
        <v>0.8</v>
      </c>
      <c r="N1450" s="34" t="n">
        <v>12700</v>
      </c>
      <c r="O1450" s="34" t="n">
        <v>9700</v>
      </c>
      <c r="P1450" s="38"/>
      <c r="Q1450" s="38"/>
    </row>
    <row r="1451" customFormat="false" ht="15" hidden="false" customHeight="false" outlineLevel="0" collapsed="false">
      <c r="A1451" s="34" t="n">
        <v>1443</v>
      </c>
      <c r="B1451" s="35" t="s">
        <v>2930</v>
      </c>
      <c r="C1451" s="35" t="s">
        <v>2931</v>
      </c>
      <c r="D1451" s="35" t="s">
        <v>133</v>
      </c>
      <c r="E1451" s="34" t="n">
        <v>6100</v>
      </c>
      <c r="F1451" s="34" t="n">
        <v>6000</v>
      </c>
      <c r="G1451" s="34" t="n">
        <v>6100</v>
      </c>
      <c r="H1451" s="34" t="n">
        <v>6600</v>
      </c>
      <c r="I1451" s="36" t="n">
        <f aca="false">$E1451/F1451-1</f>
        <v>0.0166666666666666</v>
      </c>
      <c r="J1451" s="36" t="n">
        <f aca="false">$E1451/G1451-1</f>
        <v>0</v>
      </c>
      <c r="K1451" s="36" t="n">
        <f aca="false">$E1451/H1451-1</f>
        <v>-0.0757575757575758</v>
      </c>
      <c r="L1451" s="37" t="n">
        <v>77.92</v>
      </c>
      <c r="M1451" s="37" t="n">
        <v>0.6</v>
      </c>
      <c r="N1451" s="34" t="n">
        <v>7200</v>
      </c>
      <c r="O1451" s="34" t="n">
        <v>4900</v>
      </c>
      <c r="P1451" s="38"/>
      <c r="Q1451" s="38"/>
    </row>
    <row r="1452" customFormat="false" ht="15" hidden="false" customHeight="false" outlineLevel="0" collapsed="false">
      <c r="A1452" s="34" t="n">
        <v>1444</v>
      </c>
      <c r="B1452" s="35" t="s">
        <v>2932</v>
      </c>
      <c r="C1452" s="35" t="s">
        <v>2933</v>
      </c>
      <c r="D1452" s="35" t="s">
        <v>133</v>
      </c>
      <c r="E1452" s="34" t="n">
        <v>9500</v>
      </c>
      <c r="F1452" s="34" t="n">
        <v>9500</v>
      </c>
      <c r="G1452" s="34" t="n">
        <v>9800</v>
      </c>
      <c r="H1452" s="34" t="n">
        <v>9900</v>
      </c>
      <c r="I1452" s="36" t="n">
        <f aca="false">$E1452/F1452-1</f>
        <v>0</v>
      </c>
      <c r="J1452" s="36" t="n">
        <f aca="false">$E1452/G1452-1</f>
        <v>-0.0306122448979592</v>
      </c>
      <c r="K1452" s="36" t="n">
        <f aca="false">$E1452/H1452-1</f>
        <v>-0.0404040404040404</v>
      </c>
      <c r="L1452" s="37" t="n">
        <v>9.73</v>
      </c>
      <c r="M1452" s="37" t="n">
        <v>0.75</v>
      </c>
      <c r="N1452" s="34" t="n">
        <v>13400</v>
      </c>
      <c r="O1452" s="34" t="n">
        <v>8900</v>
      </c>
      <c r="P1452" s="38"/>
      <c r="Q1452" s="38"/>
    </row>
    <row r="1453" customFormat="false" ht="15" hidden="false" customHeight="false" outlineLevel="0" collapsed="false">
      <c r="A1453" s="34" t="n">
        <v>1445</v>
      </c>
      <c r="B1453" s="35" t="s">
        <v>2934</v>
      </c>
      <c r="C1453" s="35" t="s">
        <v>2935</v>
      </c>
      <c r="D1453" s="35" t="s">
        <v>111</v>
      </c>
      <c r="E1453" s="34" t="n">
        <v>1405</v>
      </c>
      <c r="F1453" s="34" t="n">
        <v>1425</v>
      </c>
      <c r="G1453" s="34" t="n">
        <v>1300</v>
      </c>
      <c r="H1453" s="34" t="n">
        <v>1400</v>
      </c>
      <c r="I1453" s="36" t="n">
        <f aca="false">$E1453/F1453-1</f>
        <v>-0.0140350877192983</v>
      </c>
      <c r="J1453" s="36" t="n">
        <f aca="false">$E1453/G1453-1</f>
        <v>0.0807692307692307</v>
      </c>
      <c r="K1453" s="36" t="n">
        <f aca="false">$E1453/H1453-1</f>
        <v>0.00357142857142856</v>
      </c>
      <c r="L1453" s="37" t="n">
        <v>0.23</v>
      </c>
      <c r="M1453" s="37" t="n">
        <v>-1.33</v>
      </c>
      <c r="N1453" s="34" t="n">
        <v>2231</v>
      </c>
      <c r="O1453" s="34" t="n">
        <v>1100</v>
      </c>
      <c r="P1453" s="38"/>
      <c r="Q1453" s="38"/>
    </row>
    <row r="1454" customFormat="false" ht="15" hidden="false" customHeight="false" outlineLevel="0" collapsed="false">
      <c r="A1454" s="34" t="n">
        <v>1446</v>
      </c>
      <c r="B1454" s="35" t="s">
        <v>2936</v>
      </c>
      <c r="C1454" s="35" t="s">
        <v>2937</v>
      </c>
      <c r="D1454" s="35" t="s">
        <v>111</v>
      </c>
      <c r="E1454" s="34"/>
      <c r="F1454" s="34"/>
      <c r="G1454" s="34"/>
      <c r="H1454" s="34"/>
      <c r="I1454" s="36" t="e">
        <f aca="false">$E1454/F1454-1</f>
        <v>#DIV/0!</v>
      </c>
      <c r="J1454" s="36" t="e">
        <f aca="false">$E1454/G1454-1</f>
        <v>#DIV/0!</v>
      </c>
      <c r="K1454" s="36" t="e">
        <f aca="false">$E1454/H1454-1</f>
        <v>#DIV/0!</v>
      </c>
      <c r="L1454" s="37"/>
      <c r="M1454" s="37"/>
      <c r="N1454" s="34"/>
      <c r="O1454" s="34"/>
      <c r="P1454" s="38"/>
      <c r="Q1454" s="38"/>
    </row>
    <row r="1455" customFormat="false" ht="15" hidden="false" customHeight="false" outlineLevel="0" collapsed="false">
      <c r="A1455" s="34" t="n">
        <v>1447</v>
      </c>
      <c r="B1455" s="35" t="s">
        <v>2938</v>
      </c>
      <c r="C1455" s="35" t="s">
        <v>2939</v>
      </c>
      <c r="D1455" s="35" t="s">
        <v>133</v>
      </c>
      <c r="E1455" s="34" t="n">
        <v>36100</v>
      </c>
      <c r="F1455" s="34" t="n">
        <v>36000</v>
      </c>
      <c r="G1455" s="34" t="n">
        <v>36000</v>
      </c>
      <c r="H1455" s="34" t="n">
        <v>34910.7</v>
      </c>
      <c r="I1455" s="36" t="n">
        <f aca="false">$E1455/F1455-1</f>
        <v>0.00277777777777777</v>
      </c>
      <c r="J1455" s="36" t="n">
        <f aca="false">$E1455/G1455-1</f>
        <v>0.00277777777777777</v>
      </c>
      <c r="K1455" s="36" t="n">
        <f aca="false">$E1455/H1455-1</f>
        <v>0.0340669193112715</v>
      </c>
      <c r="L1455" s="37" t="n">
        <v>7.52</v>
      </c>
      <c r="M1455" s="37" t="n">
        <v>2.19</v>
      </c>
      <c r="N1455" s="34" t="n">
        <v>41007.78</v>
      </c>
      <c r="O1455" s="34" t="n">
        <v>28947.36</v>
      </c>
      <c r="P1455" s="38"/>
      <c r="Q1455" s="38"/>
    </row>
    <row r="1456" customFormat="false" ht="15" hidden="false" customHeight="false" outlineLevel="0" collapsed="false">
      <c r="A1456" s="34" t="n">
        <v>1448</v>
      </c>
      <c r="B1456" s="35" t="s">
        <v>2940</v>
      </c>
      <c r="C1456" s="35" t="s">
        <v>2941</v>
      </c>
      <c r="D1456" s="35" t="s">
        <v>111</v>
      </c>
      <c r="E1456" s="34" t="n">
        <v>27147</v>
      </c>
      <c r="F1456" s="34" t="n">
        <v>28407</v>
      </c>
      <c r="G1456" s="34" t="n">
        <v>25539</v>
      </c>
      <c r="H1456" s="34" t="n">
        <v>24566</v>
      </c>
      <c r="I1456" s="36" t="n">
        <f aca="false">$E1456/F1456-1</f>
        <v>-0.0443552645474707</v>
      </c>
      <c r="J1456" s="36" t="n">
        <f aca="false">$E1456/G1456-1</f>
        <v>0.0629625278985082</v>
      </c>
      <c r="K1456" s="36" t="n">
        <f aca="false">$E1456/H1456-1</f>
        <v>0.105063909468371</v>
      </c>
      <c r="L1456" s="37" t="n">
        <v>456.16</v>
      </c>
      <c r="M1456" s="37" t="n">
        <v>5.9</v>
      </c>
      <c r="N1456" s="34" t="n">
        <v>33262</v>
      </c>
      <c r="O1456" s="34" t="n">
        <v>24445</v>
      </c>
      <c r="P1456" s="38"/>
      <c r="Q1456" s="38"/>
    </row>
    <row r="1457" customFormat="false" ht="15" hidden="false" customHeight="false" outlineLevel="0" collapsed="false">
      <c r="A1457" s="34" t="n">
        <v>1449</v>
      </c>
      <c r="B1457" s="35" t="s">
        <v>2942</v>
      </c>
      <c r="C1457" s="35" t="s">
        <v>2943</v>
      </c>
      <c r="D1457" s="35" t="s">
        <v>133</v>
      </c>
      <c r="E1457" s="34" t="n">
        <v>12800</v>
      </c>
      <c r="F1457" s="34" t="n">
        <v>13000</v>
      </c>
      <c r="G1457" s="34" t="n">
        <v>12900</v>
      </c>
      <c r="H1457" s="34" t="n">
        <v>13900.04</v>
      </c>
      <c r="I1457" s="36" t="n">
        <f aca="false">$E1457/F1457-1</f>
        <v>-0.0153846153846153</v>
      </c>
      <c r="J1457" s="36" t="n">
        <f aca="false">$E1457/G1457-1</f>
        <v>-0.00775193798449614</v>
      </c>
      <c r="K1457" s="36" t="n">
        <f aca="false">$E1457/H1457-1</f>
        <v>-0.0791393406062142</v>
      </c>
      <c r="L1457" s="37" t="n">
        <v>6.11</v>
      </c>
      <c r="M1457" s="37" t="n">
        <v>0.68</v>
      </c>
      <c r="N1457" s="34" t="n">
        <v>15705.24</v>
      </c>
      <c r="O1457" s="34" t="n">
        <v>12636.4</v>
      </c>
      <c r="P1457" s="38"/>
      <c r="Q1457" s="38"/>
    </row>
    <row r="1458" customFormat="false" ht="15" hidden="false" customHeight="false" outlineLevel="0" collapsed="false">
      <c r="A1458" s="34" t="n">
        <v>1450</v>
      </c>
      <c r="B1458" s="35" t="s">
        <v>2944</v>
      </c>
      <c r="C1458" s="35" t="s">
        <v>2945</v>
      </c>
      <c r="D1458" s="35" t="s">
        <v>116</v>
      </c>
      <c r="E1458" s="34" t="n">
        <v>19200</v>
      </c>
      <c r="F1458" s="34" t="n">
        <v>19100</v>
      </c>
      <c r="G1458" s="34" t="n">
        <v>18900</v>
      </c>
      <c r="H1458" s="34" t="n">
        <v>20001.28</v>
      </c>
      <c r="I1458" s="36" t="n">
        <f aca="false">$E1458/F1458-1</f>
        <v>0.00523560209424079</v>
      </c>
      <c r="J1458" s="36" t="n">
        <f aca="false">$E1458/G1458-1</f>
        <v>0.0158730158730158</v>
      </c>
      <c r="K1458" s="36" t="n">
        <f aca="false">$E1458/H1458-1</f>
        <v>-0.0400614360680915</v>
      </c>
      <c r="L1458" s="37" t="n">
        <v>4.89</v>
      </c>
      <c r="M1458" s="37" t="n">
        <v>0.78</v>
      </c>
      <c r="N1458" s="34" t="n">
        <v>22886.08</v>
      </c>
      <c r="O1458" s="34" t="n">
        <v>18350</v>
      </c>
      <c r="P1458" s="38"/>
      <c r="Q1458" s="38"/>
    </row>
    <row r="1459" customFormat="false" ht="15" hidden="false" customHeight="false" outlineLevel="0" collapsed="false">
      <c r="A1459" s="34" t="n">
        <v>1451</v>
      </c>
      <c r="B1459" s="35" t="s">
        <v>2946</v>
      </c>
      <c r="C1459" s="35" t="s">
        <v>2947</v>
      </c>
      <c r="D1459" s="35" t="s">
        <v>111</v>
      </c>
      <c r="E1459" s="34" t="n">
        <v>1211</v>
      </c>
      <c r="F1459" s="34" t="n">
        <v>1351</v>
      </c>
      <c r="G1459" s="34" t="n">
        <v>1410</v>
      </c>
      <c r="H1459" s="34" t="n">
        <v>1300</v>
      </c>
      <c r="I1459" s="36" t="n">
        <f aca="false">$E1459/F1459-1</f>
        <v>-0.103626943005181</v>
      </c>
      <c r="J1459" s="36" t="n">
        <f aca="false">$E1459/G1459-1</f>
        <v>-0.14113475177305</v>
      </c>
      <c r="K1459" s="36" t="n">
        <f aca="false">$E1459/H1459-1</f>
        <v>-0.0684615384615385</v>
      </c>
      <c r="L1459" s="37" t="n">
        <v>-3.26</v>
      </c>
      <c r="M1459" s="37" t="n">
        <v>0.09</v>
      </c>
      <c r="N1459" s="34" t="n">
        <v>1759</v>
      </c>
      <c r="O1459" s="34" t="n">
        <v>1000</v>
      </c>
      <c r="P1459" s="38"/>
      <c r="Q1459" s="38"/>
    </row>
    <row r="1460" customFormat="false" ht="15" hidden="false" customHeight="false" outlineLevel="0" collapsed="false">
      <c r="A1460" s="34" t="n">
        <v>1452</v>
      </c>
      <c r="B1460" s="35" t="s">
        <v>58</v>
      </c>
      <c r="C1460" s="35" t="s">
        <v>2948</v>
      </c>
      <c r="D1460" s="35" t="s">
        <v>116</v>
      </c>
      <c r="E1460" s="34" t="n">
        <v>62000</v>
      </c>
      <c r="F1460" s="34" t="n">
        <v>60900</v>
      </c>
      <c r="G1460" s="34" t="n">
        <v>55100</v>
      </c>
      <c r="H1460" s="34" t="n">
        <v>59259.96</v>
      </c>
      <c r="I1460" s="36" t="n">
        <f aca="false">$E1460/F1460-1</f>
        <v>0.0180623973727423</v>
      </c>
      <c r="J1460" s="36" t="n">
        <f aca="false">$E1460/G1460-1</f>
        <v>0.125226860254084</v>
      </c>
      <c r="K1460" s="36" t="n">
        <f aca="false">$E1460/H1460-1</f>
        <v>0.0462376282400461</v>
      </c>
      <c r="L1460" s="37" t="n">
        <v>11.82</v>
      </c>
      <c r="M1460" s="37" t="n">
        <v>4.07</v>
      </c>
      <c r="N1460" s="34" t="n">
        <v>71073.22</v>
      </c>
      <c r="O1460" s="34" t="n">
        <v>53256.5</v>
      </c>
      <c r="P1460" s="38" t="n">
        <v>15.62</v>
      </c>
      <c r="Q1460" s="38" t="n">
        <v>4.51</v>
      </c>
    </row>
    <row r="1461" customFormat="false" ht="15" hidden="false" customHeight="false" outlineLevel="0" collapsed="false">
      <c r="A1461" s="34" t="n">
        <v>1453</v>
      </c>
      <c r="B1461" s="35" t="s">
        <v>2949</v>
      </c>
      <c r="C1461" s="35" t="s">
        <v>2950</v>
      </c>
      <c r="D1461" s="35" t="s">
        <v>111</v>
      </c>
      <c r="E1461" s="34" t="n">
        <v>6800</v>
      </c>
      <c r="F1461" s="34" t="n">
        <v>6996.8</v>
      </c>
      <c r="G1461" s="34" t="n">
        <v>7346.64</v>
      </c>
      <c r="H1461" s="34" t="n">
        <v>8439.89</v>
      </c>
      <c r="I1461" s="36" t="n">
        <f aca="false">$E1461/F1461-1</f>
        <v>-0.0281271438371827</v>
      </c>
      <c r="J1461" s="36" t="n">
        <f aca="false">$E1461/G1461-1</f>
        <v>-0.0744068036544597</v>
      </c>
      <c r="K1461" s="36" t="n">
        <f aca="false">$E1461/H1461-1</f>
        <v>-0.194302295409063</v>
      </c>
      <c r="L1461" s="37" t="n">
        <v>7.12</v>
      </c>
      <c r="M1461" s="37" t="n">
        <v>0.53</v>
      </c>
      <c r="N1461" s="34" t="n">
        <v>9008.38</v>
      </c>
      <c r="O1461" s="34" t="n">
        <v>6384.58</v>
      </c>
      <c r="P1461" s="38"/>
      <c r="Q1461" s="38"/>
    </row>
    <row r="1462" customFormat="false" ht="15" hidden="false" customHeight="false" outlineLevel="0" collapsed="false">
      <c r="A1462" s="34" t="n">
        <v>1454</v>
      </c>
      <c r="B1462" s="35" t="s">
        <v>2951</v>
      </c>
      <c r="C1462" s="35" t="s">
        <v>2952</v>
      </c>
      <c r="D1462" s="35" t="s">
        <v>111</v>
      </c>
      <c r="E1462" s="34" t="n">
        <v>11323</v>
      </c>
      <c r="F1462" s="34" t="n">
        <v>10842</v>
      </c>
      <c r="G1462" s="34" t="n">
        <v>11539</v>
      </c>
      <c r="H1462" s="34" t="n">
        <v>11869.2</v>
      </c>
      <c r="I1462" s="36" t="n">
        <f aca="false">$E1462/F1462-1</f>
        <v>0.0443645083932853</v>
      </c>
      <c r="J1462" s="36" t="n">
        <f aca="false">$E1462/G1462-1</f>
        <v>-0.0187191264407661</v>
      </c>
      <c r="K1462" s="36" t="n">
        <f aca="false">$E1462/H1462-1</f>
        <v>-0.0460182657634888</v>
      </c>
      <c r="L1462" s="37" t="n">
        <v>5.52</v>
      </c>
      <c r="M1462" s="37" t="n">
        <v>0.72</v>
      </c>
      <c r="N1462" s="34" t="n">
        <v>15719</v>
      </c>
      <c r="O1462" s="34" t="n">
        <v>10456</v>
      </c>
      <c r="P1462" s="38"/>
      <c r="Q1462" s="38"/>
    </row>
    <row r="1463" customFormat="false" ht="15" hidden="false" customHeight="false" outlineLevel="0" collapsed="false">
      <c r="A1463" s="34" t="n">
        <v>1455</v>
      </c>
      <c r="B1463" s="35" t="s">
        <v>2953</v>
      </c>
      <c r="C1463" s="35" t="s">
        <v>2954</v>
      </c>
      <c r="D1463" s="35" t="s">
        <v>111</v>
      </c>
      <c r="E1463" s="34" t="n">
        <v>36700</v>
      </c>
      <c r="F1463" s="34" t="n">
        <v>36700</v>
      </c>
      <c r="G1463" s="34" t="n">
        <v>34099.5</v>
      </c>
      <c r="H1463" s="34" t="n">
        <v>33025.5</v>
      </c>
      <c r="I1463" s="36" t="n">
        <f aca="false">$E1463/F1463-1</f>
        <v>0</v>
      </c>
      <c r="J1463" s="36" t="n">
        <f aca="false">$E1463/G1463-1</f>
        <v>0.0762621152802827</v>
      </c>
      <c r="K1463" s="36" t="n">
        <f aca="false">$E1463/H1463-1</f>
        <v>0.111262509273137</v>
      </c>
      <c r="L1463" s="37" t="n">
        <v>9.95</v>
      </c>
      <c r="M1463" s="37" t="n">
        <v>1.52</v>
      </c>
      <c r="N1463" s="34" t="n">
        <v>39150</v>
      </c>
      <c r="O1463" s="34" t="n">
        <v>14991.25</v>
      </c>
      <c r="P1463" s="38"/>
      <c r="Q1463" s="38"/>
    </row>
    <row r="1464" customFormat="false" ht="15" hidden="false" customHeight="false" outlineLevel="0" collapsed="false">
      <c r="A1464" s="34" t="n">
        <v>1456</v>
      </c>
      <c r="B1464" s="35" t="s">
        <v>75</v>
      </c>
      <c r="C1464" s="35" t="s">
        <v>2955</v>
      </c>
      <c r="D1464" s="35" t="s">
        <v>116</v>
      </c>
      <c r="E1464" s="34" t="n">
        <v>24950</v>
      </c>
      <c r="F1464" s="34" t="n">
        <v>24800</v>
      </c>
      <c r="G1464" s="34" t="n">
        <v>27350</v>
      </c>
      <c r="H1464" s="34" t="n">
        <v>32499.17</v>
      </c>
      <c r="I1464" s="36" t="n">
        <f aca="false">$E1464/F1464-1</f>
        <v>0.00604838709677424</v>
      </c>
      <c r="J1464" s="36" t="n">
        <f aca="false">$E1464/G1464-1</f>
        <v>-0.0877513711151737</v>
      </c>
      <c r="K1464" s="36" t="n">
        <f aca="false">$E1464/H1464-1</f>
        <v>-0.232288086126507</v>
      </c>
      <c r="L1464" s="37" t="n">
        <v>7.82</v>
      </c>
      <c r="M1464" s="37" t="n">
        <v>1.15</v>
      </c>
      <c r="N1464" s="34" t="n">
        <v>41915.72</v>
      </c>
      <c r="O1464" s="34" t="n">
        <v>21300</v>
      </c>
      <c r="P1464" s="38" t="n">
        <v>15.63</v>
      </c>
      <c r="Q1464" s="38" t="n">
        <v>1.6</v>
      </c>
    </row>
    <row r="1465" customFormat="false" ht="15" hidden="false" customHeight="false" outlineLevel="0" collapsed="false">
      <c r="A1465" s="34" t="n">
        <v>1457</v>
      </c>
      <c r="B1465" s="35" t="s">
        <v>78</v>
      </c>
      <c r="C1465" s="35" t="s">
        <v>2956</v>
      </c>
      <c r="D1465" s="35" t="s">
        <v>116</v>
      </c>
      <c r="E1465" s="34" t="n">
        <v>215000</v>
      </c>
      <c r="F1465" s="34" t="n">
        <v>214100</v>
      </c>
      <c r="G1465" s="34" t="n">
        <v>220300</v>
      </c>
      <c r="H1465" s="34" t="n">
        <v>169600</v>
      </c>
      <c r="I1465" s="36" t="n">
        <f aca="false">$E1465/F1465-1</f>
        <v>0.00420364315740307</v>
      </c>
      <c r="J1465" s="36" t="n">
        <f aca="false">$E1465/G1465-1</f>
        <v>-0.0240581025873808</v>
      </c>
      <c r="K1465" s="36" t="n">
        <f aca="false">$E1465/H1465-1</f>
        <v>0.267688679245283</v>
      </c>
      <c r="L1465" s="37" t="n">
        <v>73.62</v>
      </c>
      <c r="M1465" s="37" t="n">
        <v>9.84</v>
      </c>
      <c r="N1465" s="34" t="n">
        <v>230500</v>
      </c>
      <c r="O1465" s="34" t="n">
        <v>57750</v>
      </c>
      <c r="P1465" s="38" t="n">
        <v>42.395</v>
      </c>
      <c r="Q1465" s="38" t="n">
        <v>2.17</v>
      </c>
    </row>
    <row r="1466" customFormat="false" ht="15" hidden="false" customHeight="false" outlineLevel="0" collapsed="false">
      <c r="A1466" s="34" t="n">
        <v>1458</v>
      </c>
      <c r="B1466" s="35" t="s">
        <v>86</v>
      </c>
      <c r="C1466" s="35" t="s">
        <v>2957</v>
      </c>
      <c r="D1466" s="35" t="s">
        <v>116</v>
      </c>
      <c r="E1466" s="34" t="n">
        <v>73000</v>
      </c>
      <c r="F1466" s="34" t="n">
        <v>74050</v>
      </c>
      <c r="G1466" s="34" t="n">
        <v>75050</v>
      </c>
      <c r="H1466" s="34" t="n">
        <v>59706</v>
      </c>
      <c r="I1466" s="36" t="n">
        <f aca="false">$E1466/F1466-1</f>
        <v>-0.0141796083727211</v>
      </c>
      <c r="J1466" s="36" t="n">
        <f aca="false">$E1466/G1466-1</f>
        <v>-0.0273151232511659</v>
      </c>
      <c r="K1466" s="36" t="n">
        <f aca="false">$E1466/H1466-1</f>
        <v>0.222657689344455</v>
      </c>
      <c r="L1466" s="37" t="n">
        <v>7.51</v>
      </c>
      <c r="M1466" s="37" t="n">
        <v>2.31</v>
      </c>
      <c r="N1466" s="34" t="n">
        <v>78966</v>
      </c>
      <c r="O1466" s="34" t="n">
        <v>41842.35</v>
      </c>
      <c r="P1466" s="38" t="n">
        <v>8.025</v>
      </c>
      <c r="Q1466" s="38" t="n">
        <v>1.58</v>
      </c>
    </row>
    <row r="1467" customFormat="false" ht="15" hidden="false" customHeight="false" outlineLevel="0" collapsed="false">
      <c r="A1467" s="34" t="n">
        <v>1459</v>
      </c>
      <c r="B1467" s="35" t="s">
        <v>2958</v>
      </c>
      <c r="C1467" s="35" t="s">
        <v>2959</v>
      </c>
      <c r="D1467" s="35" t="s">
        <v>116</v>
      </c>
      <c r="E1467" s="34" t="n">
        <v>79000</v>
      </c>
      <c r="F1467" s="34" t="n">
        <v>79600</v>
      </c>
      <c r="G1467" s="34" t="n">
        <v>82400</v>
      </c>
      <c r="H1467" s="34" t="n">
        <v>94200</v>
      </c>
      <c r="I1467" s="36" t="n">
        <f aca="false">$E1467/F1467-1</f>
        <v>-0.00753768844221103</v>
      </c>
      <c r="J1467" s="36" t="n">
        <f aca="false">$E1467/G1467-1</f>
        <v>-0.0412621359223301</v>
      </c>
      <c r="K1467" s="36" t="n">
        <f aca="false">$E1467/H1467-1</f>
        <v>-0.16135881104034</v>
      </c>
      <c r="L1467" s="37" t="n">
        <v>47.55</v>
      </c>
      <c r="M1467" s="37" t="n">
        <v>3.18</v>
      </c>
      <c r="N1467" s="34" t="n">
        <v>106300</v>
      </c>
      <c r="O1467" s="34" t="n">
        <v>70500</v>
      </c>
      <c r="P1467" s="38" t="n">
        <v>0</v>
      </c>
      <c r="Q1467" s="38" t="n">
        <v>3.57</v>
      </c>
    </row>
    <row r="1468" customFormat="false" ht="15" hidden="false" customHeight="false" outlineLevel="0" collapsed="false">
      <c r="A1468" s="34" t="n">
        <v>1460</v>
      </c>
      <c r="B1468" s="35" t="s">
        <v>2960</v>
      </c>
      <c r="C1468" s="35" t="s">
        <v>2961</v>
      </c>
      <c r="D1468" s="35" t="s">
        <v>133</v>
      </c>
      <c r="E1468" s="34" t="n">
        <v>19000</v>
      </c>
      <c r="F1468" s="34" t="n">
        <v>19000</v>
      </c>
      <c r="G1468" s="34" t="n">
        <v>20500</v>
      </c>
      <c r="H1468" s="34" t="n">
        <v>16600</v>
      </c>
      <c r="I1468" s="36" t="n">
        <f aca="false">$E1468/F1468-1</f>
        <v>0</v>
      </c>
      <c r="J1468" s="36" t="n">
        <f aca="false">$E1468/G1468-1</f>
        <v>-0.073170731707317</v>
      </c>
      <c r="K1468" s="36" t="n">
        <f aca="false">$E1468/H1468-1</f>
        <v>0.144578313253012</v>
      </c>
      <c r="L1468" s="37" t="n">
        <v>8.13</v>
      </c>
      <c r="M1468" s="37" t="n">
        <v>1.3</v>
      </c>
      <c r="N1468" s="34" t="n">
        <v>35939</v>
      </c>
      <c r="O1468" s="34" t="n">
        <v>16102</v>
      </c>
      <c r="P1468" s="38"/>
      <c r="Q1468" s="38"/>
    </row>
    <row r="1469" customFormat="false" ht="15" hidden="false" customHeight="false" outlineLevel="0" collapsed="false">
      <c r="A1469" s="34" t="n">
        <v>1461</v>
      </c>
      <c r="B1469" s="35" t="s">
        <v>2962</v>
      </c>
      <c r="C1469" s="35" t="s">
        <v>2963</v>
      </c>
      <c r="D1469" s="35" t="s">
        <v>116</v>
      </c>
      <c r="E1469" s="34" t="n">
        <v>10450</v>
      </c>
      <c r="F1469" s="34" t="n">
        <v>10450</v>
      </c>
      <c r="G1469" s="34" t="n">
        <v>10550</v>
      </c>
      <c r="H1469" s="34" t="n">
        <v>10371.72</v>
      </c>
      <c r="I1469" s="36" t="n">
        <f aca="false">$E1469/F1469-1</f>
        <v>0</v>
      </c>
      <c r="J1469" s="36" t="n">
        <f aca="false">$E1469/G1469-1</f>
        <v>-0.00947867298578198</v>
      </c>
      <c r="K1469" s="36" t="n">
        <f aca="false">$E1469/H1469-1</f>
        <v>0.00754744632519966</v>
      </c>
      <c r="L1469" s="37" t="n">
        <v>5.53</v>
      </c>
      <c r="M1469" s="37" t="n">
        <v>0.73</v>
      </c>
      <c r="N1469" s="34" t="n">
        <v>12373.28</v>
      </c>
      <c r="O1469" s="34" t="n">
        <v>10050</v>
      </c>
      <c r="P1469" s="38"/>
      <c r="Q1469" s="38"/>
    </row>
    <row r="1470" customFormat="false" ht="15" hidden="false" customHeight="false" outlineLevel="0" collapsed="false">
      <c r="A1470" s="34" t="n">
        <v>1462</v>
      </c>
      <c r="B1470" s="35" t="s">
        <v>2964</v>
      </c>
      <c r="C1470" s="35" t="s">
        <v>2965</v>
      </c>
      <c r="D1470" s="35" t="s">
        <v>111</v>
      </c>
      <c r="E1470" s="34" t="n">
        <v>35000</v>
      </c>
      <c r="F1470" s="34" t="n">
        <v>34190</v>
      </c>
      <c r="G1470" s="34" t="n">
        <v>35000</v>
      </c>
      <c r="H1470" s="34" t="n">
        <v>34182.95</v>
      </c>
      <c r="I1470" s="36" t="n">
        <f aca="false">$E1470/F1470-1</f>
        <v>0.0236911377595788</v>
      </c>
      <c r="J1470" s="36" t="n">
        <f aca="false">$E1470/G1470-1</f>
        <v>0</v>
      </c>
      <c r="K1470" s="36" t="n">
        <f aca="false">$E1470/H1470-1</f>
        <v>0.023902267065891</v>
      </c>
      <c r="L1470" s="37" t="n">
        <v>10.58</v>
      </c>
      <c r="M1470" s="37" t="n">
        <v>1.94</v>
      </c>
      <c r="N1470" s="34" t="n">
        <v>38983.97</v>
      </c>
      <c r="O1470" s="34" t="n">
        <v>31115.15</v>
      </c>
      <c r="P1470" s="38"/>
      <c r="Q1470" s="38"/>
    </row>
    <row r="1471" customFormat="false" ht="15" hidden="false" customHeight="false" outlineLevel="0" collapsed="false">
      <c r="A1471" s="34" t="n">
        <v>1463</v>
      </c>
      <c r="B1471" s="35" t="s">
        <v>2966</v>
      </c>
      <c r="C1471" s="35" t="s">
        <v>2967</v>
      </c>
      <c r="D1471" s="35" t="s">
        <v>111</v>
      </c>
      <c r="E1471" s="34"/>
      <c r="F1471" s="34"/>
      <c r="G1471" s="34"/>
      <c r="H1471" s="34"/>
      <c r="I1471" s="36" t="e">
        <f aca="false">$E1471/F1471-1</f>
        <v>#DIV/0!</v>
      </c>
      <c r="J1471" s="36" t="e">
        <f aca="false">$E1471/G1471-1</f>
        <v>#DIV/0!</v>
      </c>
      <c r="K1471" s="36" t="e">
        <f aca="false">$E1471/H1471-1</f>
        <v>#DIV/0!</v>
      </c>
      <c r="L1471" s="37"/>
      <c r="M1471" s="37"/>
      <c r="N1471" s="34"/>
      <c r="O1471" s="34"/>
      <c r="P1471" s="38"/>
      <c r="Q1471" s="38"/>
    </row>
    <row r="1472" customFormat="false" ht="15" hidden="false" customHeight="false" outlineLevel="0" collapsed="false">
      <c r="A1472" s="34" t="n">
        <v>1464</v>
      </c>
      <c r="B1472" s="35" t="s">
        <v>2968</v>
      </c>
      <c r="C1472" s="35" t="s">
        <v>2969</v>
      </c>
      <c r="D1472" s="35" t="s">
        <v>111</v>
      </c>
      <c r="E1472" s="34" t="n">
        <v>8500</v>
      </c>
      <c r="F1472" s="34" t="n">
        <v>10800</v>
      </c>
      <c r="G1472" s="34" t="n">
        <v>9100</v>
      </c>
      <c r="H1472" s="34" t="n">
        <v>9700</v>
      </c>
      <c r="I1472" s="36" t="n">
        <f aca="false">$E1472/F1472-1</f>
        <v>-0.212962962962963</v>
      </c>
      <c r="J1472" s="36" t="n">
        <f aca="false">$E1472/G1472-1</f>
        <v>-0.0659340659340659</v>
      </c>
      <c r="K1472" s="36" t="n">
        <f aca="false">$E1472/H1472-1</f>
        <v>-0.123711340206186</v>
      </c>
      <c r="L1472" s="37" t="n">
        <v>-2.91</v>
      </c>
      <c r="M1472" s="37" t="n">
        <v>0.46</v>
      </c>
      <c r="N1472" s="34" t="n">
        <v>19204</v>
      </c>
      <c r="O1472" s="34" t="n">
        <v>8500</v>
      </c>
      <c r="P1472" s="38"/>
      <c r="Q1472" s="38"/>
    </row>
    <row r="1473" customFormat="false" ht="15" hidden="false" customHeight="false" outlineLevel="0" collapsed="false">
      <c r="A1473" s="34" t="n">
        <v>1465</v>
      </c>
      <c r="B1473" s="35" t="s">
        <v>2970</v>
      </c>
      <c r="C1473" s="35" t="s">
        <v>2971</v>
      </c>
      <c r="D1473" s="35" t="s">
        <v>111</v>
      </c>
      <c r="E1473" s="34" t="n">
        <v>2166</v>
      </c>
      <c r="F1473" s="34" t="n">
        <v>2294</v>
      </c>
      <c r="G1473" s="34" t="n">
        <v>1400</v>
      </c>
      <c r="H1473" s="34" t="n">
        <v>900</v>
      </c>
      <c r="I1473" s="36" t="n">
        <f aca="false">$E1473/F1473-1</f>
        <v>-0.055797733217088</v>
      </c>
      <c r="J1473" s="36" t="n">
        <f aca="false">$E1473/G1473-1</f>
        <v>0.547142857142857</v>
      </c>
      <c r="K1473" s="36" t="n">
        <f aca="false">$E1473/H1473-1</f>
        <v>1.40666666666667</v>
      </c>
      <c r="L1473" s="37" t="n">
        <v>-0.75</v>
      </c>
      <c r="M1473" s="37" t="n">
        <v>-0.14</v>
      </c>
      <c r="N1473" s="34" t="n">
        <v>2300</v>
      </c>
      <c r="O1473" s="34" t="n">
        <v>799</v>
      </c>
      <c r="P1473" s="38"/>
      <c r="Q1473" s="38"/>
    </row>
    <row r="1474" customFormat="false" ht="15" hidden="false" customHeight="false" outlineLevel="0" collapsed="false">
      <c r="A1474" s="34" t="n">
        <v>1466</v>
      </c>
      <c r="B1474" s="35" t="s">
        <v>2972</v>
      </c>
      <c r="C1474" s="35" t="s">
        <v>2973</v>
      </c>
      <c r="D1474" s="35" t="s">
        <v>111</v>
      </c>
      <c r="E1474" s="34" t="n">
        <v>13048</v>
      </c>
      <c r="F1474" s="34" t="n">
        <v>13267</v>
      </c>
      <c r="G1474" s="34" t="n">
        <v>13369</v>
      </c>
      <c r="H1474" s="34" t="n">
        <v>16542</v>
      </c>
      <c r="I1474" s="36" t="n">
        <f aca="false">$E1474/F1474-1</f>
        <v>-0.0165071229366096</v>
      </c>
      <c r="J1474" s="36" t="n">
        <f aca="false">$E1474/G1474-1</f>
        <v>-0.0240107711870746</v>
      </c>
      <c r="K1474" s="36" t="n">
        <f aca="false">$E1474/H1474-1</f>
        <v>-0.211219925039294</v>
      </c>
      <c r="L1474" s="37" t="n">
        <v>5.02</v>
      </c>
      <c r="M1474" s="37" t="n">
        <v>0.86</v>
      </c>
      <c r="N1474" s="34" t="n">
        <v>18104</v>
      </c>
      <c r="O1474" s="34" t="n">
        <v>12681</v>
      </c>
      <c r="P1474" s="38"/>
      <c r="Q1474" s="38"/>
    </row>
    <row r="1475" customFormat="false" ht="15" hidden="false" customHeight="false" outlineLevel="0" collapsed="false">
      <c r="A1475" s="34" t="n">
        <v>1467</v>
      </c>
      <c r="B1475" s="35" t="s">
        <v>2974</v>
      </c>
      <c r="C1475" s="35" t="s">
        <v>2975</v>
      </c>
      <c r="D1475" s="35" t="s">
        <v>111</v>
      </c>
      <c r="E1475" s="34" t="n">
        <v>40700</v>
      </c>
      <c r="F1475" s="34" t="n">
        <v>40700</v>
      </c>
      <c r="G1475" s="34" t="n">
        <v>40700</v>
      </c>
      <c r="H1475" s="34" t="n">
        <v>35600</v>
      </c>
      <c r="I1475" s="36" t="n">
        <f aca="false">$E1475/F1475-1</f>
        <v>0</v>
      </c>
      <c r="J1475" s="36" t="n">
        <f aca="false">$E1475/G1475-1</f>
        <v>0</v>
      </c>
      <c r="K1475" s="36" t="n">
        <f aca="false">$E1475/H1475-1</f>
        <v>0.143258426966292</v>
      </c>
      <c r="L1475" s="37" t="n">
        <v>-13.1</v>
      </c>
      <c r="M1475" s="37" t="n">
        <v>-3.31</v>
      </c>
      <c r="N1475" s="34" t="n">
        <v>40700</v>
      </c>
      <c r="O1475" s="34" t="n">
        <v>17200</v>
      </c>
      <c r="P1475" s="38"/>
      <c r="Q1475" s="38"/>
    </row>
    <row r="1476" customFormat="false" ht="15" hidden="false" customHeight="false" outlineLevel="0" collapsed="false">
      <c r="A1476" s="34" t="n">
        <v>1468</v>
      </c>
      <c r="B1476" s="35" t="s">
        <v>2976</v>
      </c>
      <c r="C1476" s="35" t="s">
        <v>2977</v>
      </c>
      <c r="D1476" s="35" t="s">
        <v>111</v>
      </c>
      <c r="E1476" s="34" t="n">
        <v>48206</v>
      </c>
      <c r="F1476" s="34" t="n">
        <v>47932</v>
      </c>
      <c r="G1476" s="34" t="n">
        <v>47746.17</v>
      </c>
      <c r="H1476" s="34" t="n">
        <v>46523.14</v>
      </c>
      <c r="I1476" s="36" t="n">
        <f aca="false">$E1476/F1476-1</f>
        <v>0.00571643161144952</v>
      </c>
      <c r="J1476" s="36" t="n">
        <f aca="false">$E1476/G1476-1</f>
        <v>0.00963072011849331</v>
      </c>
      <c r="K1476" s="36" t="n">
        <f aca="false">$E1476/H1476-1</f>
        <v>0.0361725369353831</v>
      </c>
      <c r="L1476" s="37" t="n">
        <v>3.68</v>
      </c>
      <c r="M1476" s="37" t="n">
        <v>2.12</v>
      </c>
      <c r="N1476" s="34" t="n">
        <v>49675.46</v>
      </c>
      <c r="O1476" s="34" t="n">
        <v>40896.54</v>
      </c>
      <c r="P1476" s="38"/>
      <c r="Q1476" s="38"/>
    </row>
    <row r="1477" customFormat="false" ht="15" hidden="false" customHeight="false" outlineLevel="0" collapsed="false">
      <c r="A1477" s="34" t="n">
        <v>1469</v>
      </c>
      <c r="B1477" s="35" t="s">
        <v>2978</v>
      </c>
      <c r="C1477" s="35" t="s">
        <v>2979</v>
      </c>
      <c r="D1477" s="35" t="s">
        <v>111</v>
      </c>
      <c r="E1477" s="34" t="n">
        <v>12500</v>
      </c>
      <c r="F1477" s="34" t="n">
        <v>16100</v>
      </c>
      <c r="G1477" s="34" t="n">
        <v>16000</v>
      </c>
      <c r="H1477" s="34" t="n">
        <v>16500</v>
      </c>
      <c r="I1477" s="36" t="n">
        <f aca="false">$E1477/F1477-1</f>
        <v>-0.22360248447205</v>
      </c>
      <c r="J1477" s="36" t="n">
        <f aca="false">$E1477/G1477-1</f>
        <v>-0.21875</v>
      </c>
      <c r="K1477" s="36" t="n">
        <f aca="false">$E1477/H1477-1</f>
        <v>-0.242424242424242</v>
      </c>
      <c r="L1477" s="37" t="n">
        <v>31.14</v>
      </c>
      <c r="M1477" s="37" t="n">
        <v>1.17</v>
      </c>
      <c r="N1477" s="34" t="n">
        <v>18135</v>
      </c>
      <c r="O1477" s="34" t="n">
        <v>6600</v>
      </c>
      <c r="P1477" s="38"/>
      <c r="Q1477" s="38"/>
    </row>
    <row r="1478" customFormat="false" ht="15" hidden="false" customHeight="false" outlineLevel="0" collapsed="false">
      <c r="A1478" s="34" t="n">
        <v>1470</v>
      </c>
      <c r="B1478" s="35" t="s">
        <v>2980</v>
      </c>
      <c r="C1478" s="35" t="s">
        <v>2981</v>
      </c>
      <c r="D1478" s="35" t="s">
        <v>111</v>
      </c>
      <c r="E1478" s="34" t="n">
        <v>2400</v>
      </c>
      <c r="F1478" s="34" t="n">
        <v>2400</v>
      </c>
      <c r="G1478" s="34" t="n">
        <v>2399.95</v>
      </c>
      <c r="H1478" s="34" t="n">
        <v>2400.07</v>
      </c>
      <c r="I1478" s="36" t="n">
        <f aca="false">$E1478/F1478-1</f>
        <v>0</v>
      </c>
      <c r="J1478" s="36" t="n">
        <f aca="false">$E1478/G1478-1</f>
        <v>2.08337673701653E-005</v>
      </c>
      <c r="K1478" s="36" t="n">
        <f aca="false">$E1478/H1478-1</f>
        <v>-2.91658159971009E-005</v>
      </c>
      <c r="L1478" s="37" t="n">
        <v>0.83</v>
      </c>
      <c r="M1478" s="37" t="n">
        <v>0.16</v>
      </c>
      <c r="N1478" s="34" t="n">
        <v>2400.07</v>
      </c>
      <c r="O1478" s="34" t="n">
        <v>2399.95</v>
      </c>
      <c r="P1478" s="38"/>
      <c r="Q1478" s="38"/>
    </row>
    <row r="1479" customFormat="false" ht="15" hidden="false" customHeight="false" outlineLevel="0" collapsed="false">
      <c r="A1479" s="34" t="n">
        <v>1471</v>
      </c>
      <c r="B1479" s="35" t="s">
        <v>2982</v>
      </c>
      <c r="C1479" s="35" t="s">
        <v>2983</v>
      </c>
      <c r="D1479" s="35" t="s">
        <v>111</v>
      </c>
      <c r="E1479" s="34" t="n">
        <v>8877</v>
      </c>
      <c r="F1479" s="34" t="n">
        <v>8600</v>
      </c>
      <c r="G1479" s="34" t="n">
        <v>8700</v>
      </c>
      <c r="H1479" s="34" t="n">
        <v>9652</v>
      </c>
      <c r="I1479" s="36" t="n">
        <f aca="false">$E1479/F1479-1</f>
        <v>0.0322093023255814</v>
      </c>
      <c r="J1479" s="36" t="n">
        <f aca="false">$E1479/G1479-1</f>
        <v>0.0203448275862068</v>
      </c>
      <c r="K1479" s="36" t="n">
        <f aca="false">$E1479/H1479-1</f>
        <v>-0.0802942395358475</v>
      </c>
      <c r="L1479" s="37" t="n">
        <v>17.93</v>
      </c>
      <c r="M1479" s="37" t="n">
        <v>0.63</v>
      </c>
      <c r="N1479" s="34" t="n">
        <v>10283</v>
      </c>
      <c r="O1479" s="34" t="n">
        <v>8195</v>
      </c>
      <c r="P1479" s="38"/>
      <c r="Q1479" s="38"/>
    </row>
    <row r="1480" customFormat="false" ht="15" hidden="false" customHeight="false" outlineLevel="0" collapsed="false">
      <c r="A1480" s="34" t="n">
        <v>1472</v>
      </c>
      <c r="B1480" s="35" t="s">
        <v>2984</v>
      </c>
      <c r="C1480" s="35" t="s">
        <v>2985</v>
      </c>
      <c r="D1480" s="35" t="s">
        <v>111</v>
      </c>
      <c r="E1480" s="34" t="n">
        <v>15400</v>
      </c>
      <c r="F1480" s="34" t="n">
        <v>14913</v>
      </c>
      <c r="G1480" s="34" t="n">
        <v>17100</v>
      </c>
      <c r="H1480" s="34" t="n">
        <v>17145.92</v>
      </c>
      <c r="I1480" s="36" t="n">
        <f aca="false">$E1480/F1480-1</f>
        <v>0.0326560718835915</v>
      </c>
      <c r="J1480" s="36" t="n">
        <f aca="false">$E1480/G1480-1</f>
        <v>-0.0994152046783626</v>
      </c>
      <c r="K1480" s="36" t="n">
        <f aca="false">$E1480/H1480-1</f>
        <v>-0.101827140217614</v>
      </c>
      <c r="L1480" s="37" t="n">
        <v>15.6</v>
      </c>
      <c r="M1480" s="37" t="n">
        <v>1.17</v>
      </c>
      <c r="N1480" s="34" t="n">
        <v>25546.45</v>
      </c>
      <c r="O1480" s="34" t="n">
        <v>12038.19</v>
      </c>
      <c r="P1480" s="38"/>
      <c r="Q1480" s="38"/>
    </row>
    <row r="1481" customFormat="false" ht="15" hidden="false" customHeight="false" outlineLevel="0" collapsed="false">
      <c r="A1481" s="34" t="n">
        <v>1473</v>
      </c>
      <c r="B1481" s="35" t="s">
        <v>2986</v>
      </c>
      <c r="C1481" s="35" t="s">
        <v>2987</v>
      </c>
      <c r="D1481" s="35" t="s">
        <v>111</v>
      </c>
      <c r="E1481" s="34" t="n">
        <v>7266</v>
      </c>
      <c r="F1481" s="34" t="n">
        <v>7800</v>
      </c>
      <c r="G1481" s="34" t="n">
        <v>7600</v>
      </c>
      <c r="H1481" s="34" t="n">
        <v>7900</v>
      </c>
      <c r="I1481" s="36" t="n">
        <f aca="false">$E1481/F1481-1</f>
        <v>-0.0684615384615385</v>
      </c>
      <c r="J1481" s="36" t="n">
        <f aca="false">$E1481/G1481-1</f>
        <v>-0.0439473684210526</v>
      </c>
      <c r="K1481" s="36" t="n">
        <f aca="false">$E1481/H1481-1</f>
        <v>-0.0802531645569621</v>
      </c>
      <c r="L1481" s="37" t="n">
        <v>4.68</v>
      </c>
      <c r="M1481" s="37" t="n">
        <v>0.54</v>
      </c>
      <c r="N1481" s="34" t="n">
        <v>9200</v>
      </c>
      <c r="O1481" s="34" t="n">
        <v>7000</v>
      </c>
      <c r="P1481" s="38"/>
      <c r="Q1481" s="38"/>
    </row>
    <row r="1482" customFormat="false" ht="15" hidden="false" customHeight="false" outlineLevel="0" collapsed="false">
      <c r="A1482" s="34" t="n">
        <v>1474</v>
      </c>
      <c r="B1482" s="35" t="s">
        <v>2988</v>
      </c>
      <c r="C1482" s="35" t="s">
        <v>2989</v>
      </c>
      <c r="D1482" s="35" t="s">
        <v>111</v>
      </c>
      <c r="E1482" s="34" t="n">
        <v>17945</v>
      </c>
      <c r="F1482" s="34" t="n">
        <v>18085</v>
      </c>
      <c r="G1482" s="34" t="n">
        <v>18500</v>
      </c>
      <c r="H1482" s="34" t="n">
        <v>20917</v>
      </c>
      <c r="I1482" s="36" t="n">
        <f aca="false">$E1482/F1482-1</f>
        <v>-0.0077412220071883</v>
      </c>
      <c r="J1482" s="36" t="n">
        <f aca="false">$E1482/G1482-1</f>
        <v>-0.03</v>
      </c>
      <c r="K1482" s="36" t="n">
        <f aca="false">$E1482/H1482-1</f>
        <v>-0.142085385093465</v>
      </c>
      <c r="L1482" s="37" t="n">
        <v>6.17</v>
      </c>
      <c r="M1482" s="37" t="n">
        <v>0.84</v>
      </c>
      <c r="N1482" s="34" t="n">
        <v>21143.48</v>
      </c>
      <c r="O1482" s="34" t="n">
        <v>17025.47</v>
      </c>
      <c r="P1482" s="38"/>
      <c r="Q1482" s="38"/>
    </row>
    <row r="1483" customFormat="false" ht="15" hidden="false" customHeight="false" outlineLevel="0" collapsed="false">
      <c r="A1483" s="34" t="n">
        <v>1475</v>
      </c>
      <c r="B1483" s="35" t="s">
        <v>2990</v>
      </c>
      <c r="C1483" s="35" t="s">
        <v>2991</v>
      </c>
      <c r="D1483" s="35" t="s">
        <v>111</v>
      </c>
      <c r="E1483" s="34" t="n">
        <v>12600</v>
      </c>
      <c r="F1483" s="34" t="n">
        <v>13000</v>
      </c>
      <c r="G1483" s="34" t="n">
        <v>12800</v>
      </c>
      <c r="H1483" s="34" t="n">
        <v>15400</v>
      </c>
      <c r="I1483" s="36" t="n">
        <f aca="false">$E1483/F1483-1</f>
        <v>-0.0307692307692308</v>
      </c>
      <c r="J1483" s="36" t="n">
        <f aca="false">$E1483/G1483-1</f>
        <v>-0.015625</v>
      </c>
      <c r="K1483" s="36" t="n">
        <f aca="false">$E1483/H1483-1</f>
        <v>-0.181818181818182</v>
      </c>
      <c r="L1483" s="37" t="n">
        <v>11.87</v>
      </c>
      <c r="M1483" s="37" t="n">
        <v>0.82</v>
      </c>
      <c r="N1483" s="34" t="n">
        <v>17615</v>
      </c>
      <c r="O1483" s="34" t="n">
        <v>12280</v>
      </c>
      <c r="P1483" s="38"/>
      <c r="Q1483" s="38"/>
    </row>
    <row r="1484" customFormat="false" ht="15" hidden="false" customHeight="false" outlineLevel="0" collapsed="false">
      <c r="A1484" s="34" t="n">
        <v>1476</v>
      </c>
      <c r="B1484" s="35" t="s">
        <v>2992</v>
      </c>
      <c r="C1484" s="35" t="s">
        <v>2993</v>
      </c>
      <c r="D1484" s="35" t="s">
        <v>133</v>
      </c>
      <c r="E1484" s="34" t="n">
        <v>2900</v>
      </c>
      <c r="F1484" s="34" t="n">
        <v>3000</v>
      </c>
      <c r="G1484" s="34" t="n">
        <v>3100</v>
      </c>
      <c r="H1484" s="34" t="n">
        <v>3400</v>
      </c>
      <c r="I1484" s="36" t="n">
        <f aca="false">$E1484/F1484-1</f>
        <v>-0.0333333333333333</v>
      </c>
      <c r="J1484" s="36" t="n">
        <f aca="false">$E1484/G1484-1</f>
        <v>-0.0645161290322581</v>
      </c>
      <c r="K1484" s="36" t="n">
        <f aca="false">$E1484/H1484-1</f>
        <v>-0.147058823529412</v>
      </c>
      <c r="L1484" s="37" t="n">
        <v>6.38</v>
      </c>
      <c r="M1484" s="37" t="n">
        <v>0.59</v>
      </c>
      <c r="N1484" s="34" t="n">
        <v>4100</v>
      </c>
      <c r="O1484" s="34" t="n">
        <v>2900</v>
      </c>
      <c r="P1484" s="38"/>
      <c r="Q1484" s="38"/>
    </row>
    <row r="1485" customFormat="false" ht="15" hidden="false" customHeight="false" outlineLevel="0" collapsed="false">
      <c r="A1485" s="34" t="n">
        <v>1477</v>
      </c>
      <c r="B1485" s="35" t="s">
        <v>2994</v>
      </c>
      <c r="C1485" s="35" t="s">
        <v>2995</v>
      </c>
      <c r="D1485" s="35" t="s">
        <v>111</v>
      </c>
      <c r="E1485" s="34" t="n">
        <v>2600</v>
      </c>
      <c r="F1485" s="34" t="n">
        <v>2600</v>
      </c>
      <c r="G1485" s="34" t="n">
        <v>3000</v>
      </c>
      <c r="H1485" s="34" t="n">
        <v>3909</v>
      </c>
      <c r="I1485" s="36" t="n">
        <f aca="false">$E1485/F1485-1</f>
        <v>0</v>
      </c>
      <c r="J1485" s="36" t="n">
        <f aca="false">$E1485/G1485-1</f>
        <v>-0.133333333333333</v>
      </c>
      <c r="K1485" s="36" t="n">
        <f aca="false">$E1485/H1485-1</f>
        <v>-0.334868252750064</v>
      </c>
      <c r="L1485" s="37" t="n">
        <v>11.36</v>
      </c>
      <c r="M1485" s="37" t="n">
        <v>2.72</v>
      </c>
      <c r="N1485" s="34" t="n">
        <v>5006</v>
      </c>
      <c r="O1485" s="34" t="n">
        <v>2533</v>
      </c>
      <c r="P1485" s="38"/>
      <c r="Q1485" s="38"/>
    </row>
    <row r="1486" customFormat="false" ht="15" hidden="false" customHeight="false" outlineLevel="0" collapsed="false">
      <c r="A1486" s="34" t="n">
        <v>1478</v>
      </c>
      <c r="B1486" s="35" t="s">
        <v>72</v>
      </c>
      <c r="C1486" s="35" t="s">
        <v>2996</v>
      </c>
      <c r="D1486" s="35" t="s">
        <v>116</v>
      </c>
      <c r="E1486" s="34" t="n">
        <v>25000</v>
      </c>
      <c r="F1486" s="34" t="n">
        <v>24800</v>
      </c>
      <c r="G1486" s="34" t="n">
        <v>27600</v>
      </c>
      <c r="H1486" s="34" t="n">
        <v>28148.62</v>
      </c>
      <c r="I1486" s="36" t="n">
        <f aca="false">$E1486/F1486-1</f>
        <v>0.00806451612903225</v>
      </c>
      <c r="J1486" s="36" t="n">
        <f aca="false">$E1486/G1486-1</f>
        <v>-0.0942028985507246</v>
      </c>
      <c r="K1486" s="36" t="n">
        <f aca="false">$E1486/H1486-1</f>
        <v>-0.111856993344612</v>
      </c>
      <c r="L1486" s="37" t="n">
        <v>6.65</v>
      </c>
      <c r="M1486" s="37" t="n">
        <v>1.11</v>
      </c>
      <c r="N1486" s="34" t="n">
        <v>37973.62</v>
      </c>
      <c r="O1486" s="34" t="n">
        <v>23580</v>
      </c>
      <c r="P1486" s="38" t="n">
        <v>11.24</v>
      </c>
      <c r="Q1486" s="38" t="n">
        <v>1.335</v>
      </c>
    </row>
    <row r="1487" customFormat="false" ht="15" hidden="false" customHeight="false" outlineLevel="0" collapsed="false">
      <c r="A1487" s="34" t="n">
        <v>1479</v>
      </c>
      <c r="B1487" s="35" t="s">
        <v>2997</v>
      </c>
      <c r="C1487" s="35" t="s">
        <v>2998</v>
      </c>
      <c r="D1487" s="35" t="s">
        <v>133</v>
      </c>
      <c r="E1487" s="34" t="n">
        <v>15700</v>
      </c>
      <c r="F1487" s="34" t="n">
        <v>15700</v>
      </c>
      <c r="G1487" s="34" t="n">
        <v>17300</v>
      </c>
      <c r="H1487" s="34" t="n">
        <v>22293.04</v>
      </c>
      <c r="I1487" s="36" t="n">
        <f aca="false">$E1487/F1487-1</f>
        <v>0</v>
      </c>
      <c r="J1487" s="36" t="n">
        <f aca="false">$E1487/G1487-1</f>
        <v>-0.0924855491329479</v>
      </c>
      <c r="K1487" s="36" t="n">
        <f aca="false">$E1487/H1487-1</f>
        <v>-0.295744321994667</v>
      </c>
      <c r="L1487" s="37" t="n">
        <v>3.76</v>
      </c>
      <c r="M1487" s="37" t="n">
        <v>1</v>
      </c>
      <c r="N1487" s="34" t="n">
        <v>29294.16</v>
      </c>
      <c r="O1487" s="34" t="n">
        <v>15700</v>
      </c>
      <c r="P1487" s="38"/>
      <c r="Q1487" s="38"/>
    </row>
    <row r="1488" customFormat="false" ht="15" hidden="false" customHeight="false" outlineLevel="0" collapsed="false">
      <c r="A1488" s="34" t="n">
        <v>1480</v>
      </c>
      <c r="B1488" s="35" t="s">
        <v>2999</v>
      </c>
      <c r="C1488" s="35" t="s">
        <v>3000</v>
      </c>
      <c r="D1488" s="35" t="s">
        <v>111</v>
      </c>
      <c r="E1488" s="34" t="n">
        <v>14500</v>
      </c>
      <c r="F1488" s="34" t="n">
        <v>14500</v>
      </c>
      <c r="G1488" s="34" t="n">
        <v>16999.2</v>
      </c>
      <c r="H1488" s="34" t="n">
        <v>16715.88</v>
      </c>
      <c r="I1488" s="36" t="n">
        <f aca="false">$E1488/F1488-1</f>
        <v>0</v>
      </c>
      <c r="J1488" s="36" t="n">
        <f aca="false">$E1488/G1488-1</f>
        <v>-0.147018683232152</v>
      </c>
      <c r="K1488" s="36" t="n">
        <f aca="false">$E1488/H1488-1</f>
        <v>-0.13256137277846</v>
      </c>
      <c r="L1488" s="37" t="n">
        <v>13.9</v>
      </c>
      <c r="M1488" s="37" t="n">
        <v>1.14</v>
      </c>
      <c r="N1488" s="34" t="n">
        <v>20000</v>
      </c>
      <c r="O1488" s="34" t="n">
        <v>14166</v>
      </c>
      <c r="P1488" s="38"/>
      <c r="Q1488" s="38"/>
    </row>
    <row r="1489" customFormat="false" ht="15" hidden="false" customHeight="false" outlineLevel="0" collapsed="false">
      <c r="A1489" s="34" t="n">
        <v>1481</v>
      </c>
      <c r="B1489" s="35" t="s">
        <v>3001</v>
      </c>
      <c r="C1489" s="35" t="s">
        <v>3002</v>
      </c>
      <c r="D1489" s="35" t="s">
        <v>111</v>
      </c>
      <c r="E1489" s="34" t="n">
        <v>16000</v>
      </c>
      <c r="F1489" s="34" t="n">
        <v>15598</v>
      </c>
      <c r="G1489" s="34" t="n">
        <v>15260</v>
      </c>
      <c r="H1489" s="34" t="n">
        <v>15154</v>
      </c>
      <c r="I1489" s="36" t="n">
        <f aca="false">$E1489/F1489-1</f>
        <v>0.025772534940377</v>
      </c>
      <c r="J1489" s="36" t="n">
        <f aca="false">$E1489/G1489-1</f>
        <v>0.0484927916120577</v>
      </c>
      <c r="K1489" s="36" t="n">
        <f aca="false">$E1489/H1489-1</f>
        <v>0.0558268443975187</v>
      </c>
      <c r="L1489" s="37" t="n">
        <v>1.89</v>
      </c>
      <c r="M1489" s="37" t="n">
        <v>0.81</v>
      </c>
      <c r="N1489" s="34" t="n">
        <v>16970</v>
      </c>
      <c r="O1489" s="34" t="n">
        <v>13482</v>
      </c>
      <c r="P1489" s="38"/>
      <c r="Q1489" s="38"/>
    </row>
    <row r="1490" customFormat="false" ht="15" hidden="false" customHeight="false" outlineLevel="0" collapsed="false">
      <c r="A1490" s="34" t="n">
        <v>1482</v>
      </c>
      <c r="B1490" s="35" t="s">
        <v>3003</v>
      </c>
      <c r="C1490" s="35" t="s">
        <v>3004</v>
      </c>
      <c r="D1490" s="35" t="s">
        <v>111</v>
      </c>
      <c r="E1490" s="34" t="n">
        <v>7000</v>
      </c>
      <c r="F1490" s="34" t="n">
        <v>7000</v>
      </c>
      <c r="G1490" s="34" t="n">
        <v>6500</v>
      </c>
      <c r="H1490" s="34" t="n">
        <v>6800</v>
      </c>
      <c r="I1490" s="36" t="n">
        <f aca="false">$E1490/F1490-1</f>
        <v>0</v>
      </c>
      <c r="J1490" s="36" t="n">
        <f aca="false">$E1490/G1490-1</f>
        <v>0.0769230769230769</v>
      </c>
      <c r="K1490" s="36" t="n">
        <f aca="false">$E1490/H1490-1</f>
        <v>0.0294117647058823</v>
      </c>
      <c r="L1490" s="37" t="n">
        <v>44.71</v>
      </c>
      <c r="M1490" s="37" t="n">
        <v>1.05</v>
      </c>
      <c r="N1490" s="34" t="n">
        <v>10292</v>
      </c>
      <c r="O1490" s="34" t="n">
        <v>4200</v>
      </c>
      <c r="P1490" s="38"/>
      <c r="Q1490" s="38"/>
    </row>
    <row r="1491" customFormat="false" ht="15" hidden="false" customHeight="false" outlineLevel="0" collapsed="false">
      <c r="A1491" s="34" t="n">
        <v>1483</v>
      </c>
      <c r="B1491" s="35" t="s">
        <v>3005</v>
      </c>
      <c r="C1491" s="35" t="s">
        <v>3006</v>
      </c>
      <c r="D1491" s="35" t="s">
        <v>133</v>
      </c>
      <c r="E1491" s="34" t="n">
        <v>7100</v>
      </c>
      <c r="F1491" s="34" t="n">
        <v>7300</v>
      </c>
      <c r="G1491" s="34" t="n">
        <v>5928.29</v>
      </c>
      <c r="H1491" s="34" t="n">
        <v>6327.95</v>
      </c>
      <c r="I1491" s="36" t="n">
        <f aca="false">$E1491/F1491-1</f>
        <v>-0.0273972602739726</v>
      </c>
      <c r="J1491" s="36" t="n">
        <f aca="false">$E1491/G1491-1</f>
        <v>0.197647213614719</v>
      </c>
      <c r="K1491" s="36" t="n">
        <f aca="false">$E1491/H1491-1</f>
        <v>0.122006336965368</v>
      </c>
      <c r="L1491" s="37" t="n">
        <v>5.66</v>
      </c>
      <c r="M1491" s="37" t="n">
        <v>0.59</v>
      </c>
      <c r="N1491" s="34" t="n">
        <v>7400</v>
      </c>
      <c r="O1491" s="34" t="n">
        <v>5462.02</v>
      </c>
      <c r="P1491" s="38"/>
      <c r="Q1491" s="38"/>
    </row>
    <row r="1492" customFormat="false" ht="15" hidden="false" customHeight="false" outlineLevel="0" collapsed="false">
      <c r="A1492" s="34" t="n">
        <v>1484</v>
      </c>
      <c r="B1492" s="35" t="s">
        <v>3007</v>
      </c>
      <c r="C1492" s="35" t="s">
        <v>3008</v>
      </c>
      <c r="D1492" s="35" t="s">
        <v>111</v>
      </c>
      <c r="E1492" s="34" t="n">
        <v>8500</v>
      </c>
      <c r="F1492" s="34" t="n">
        <v>8500</v>
      </c>
      <c r="G1492" s="34" t="n">
        <v>8500</v>
      </c>
      <c r="H1492" s="34" t="n">
        <v>10000</v>
      </c>
      <c r="I1492" s="36" t="n">
        <f aca="false">$E1492/F1492-1</f>
        <v>0</v>
      </c>
      <c r="J1492" s="36" t="n">
        <f aca="false">$E1492/G1492-1</f>
        <v>0</v>
      </c>
      <c r="K1492" s="36" t="n">
        <f aca="false">$E1492/H1492-1</f>
        <v>-0.15</v>
      </c>
      <c r="L1492" s="37" t="n">
        <v>6.07</v>
      </c>
      <c r="M1492" s="37" t="n">
        <v>0.88</v>
      </c>
      <c r="N1492" s="34" t="n">
        <v>10000</v>
      </c>
      <c r="O1492" s="34" t="n">
        <v>7700</v>
      </c>
      <c r="P1492" s="38"/>
      <c r="Q1492" s="38"/>
    </row>
    <row r="1493" customFormat="false" ht="15" hidden="false" customHeight="false" outlineLevel="0" collapsed="false">
      <c r="A1493" s="34" t="n">
        <v>1485</v>
      </c>
      <c r="B1493" s="35" t="s">
        <v>3009</v>
      </c>
      <c r="C1493" s="35" t="s">
        <v>3010</v>
      </c>
      <c r="D1493" s="35" t="s">
        <v>133</v>
      </c>
      <c r="E1493" s="34" t="n">
        <v>16200</v>
      </c>
      <c r="F1493" s="34" t="n">
        <v>17400</v>
      </c>
      <c r="G1493" s="34" t="n">
        <v>19700</v>
      </c>
      <c r="H1493" s="34" t="n">
        <v>12600</v>
      </c>
      <c r="I1493" s="36" t="n">
        <f aca="false">$E1493/F1493-1</f>
        <v>-0.0689655172413793</v>
      </c>
      <c r="J1493" s="36" t="n">
        <f aca="false">$E1493/G1493-1</f>
        <v>-0.177664974619289</v>
      </c>
      <c r="K1493" s="36" t="n">
        <f aca="false">$E1493/H1493-1</f>
        <v>0.285714285714286</v>
      </c>
      <c r="L1493" s="37" t="n">
        <v>27.02</v>
      </c>
      <c r="M1493" s="37" t="n">
        <v>1.43</v>
      </c>
      <c r="N1493" s="34" t="n">
        <v>20300</v>
      </c>
      <c r="O1493" s="34" t="n">
        <v>9100</v>
      </c>
      <c r="P1493" s="38"/>
      <c r="Q1493" s="38"/>
    </row>
    <row r="1494" customFormat="false" ht="15" hidden="false" customHeight="false" outlineLevel="0" collapsed="false">
      <c r="A1494" s="34" t="n">
        <v>1486</v>
      </c>
      <c r="B1494" s="35" t="s">
        <v>3011</v>
      </c>
      <c r="C1494" s="35" t="s">
        <v>3012</v>
      </c>
      <c r="D1494" s="35" t="s">
        <v>116</v>
      </c>
      <c r="E1494" s="34" t="n">
        <v>8950</v>
      </c>
      <c r="F1494" s="34" t="n">
        <v>9390</v>
      </c>
      <c r="G1494" s="34" t="n">
        <v>9400</v>
      </c>
      <c r="H1494" s="34" t="n">
        <v>10000</v>
      </c>
      <c r="I1494" s="36" t="n">
        <f aca="false">$E1494/F1494-1</f>
        <v>-0.0468583599574015</v>
      </c>
      <c r="J1494" s="36" t="n">
        <f aca="false">$E1494/G1494-1</f>
        <v>-0.0478723404255319</v>
      </c>
      <c r="K1494" s="36" t="n">
        <f aca="false">$E1494/H1494-1</f>
        <v>-0.105</v>
      </c>
      <c r="L1494" s="37" t="n">
        <v>4.79</v>
      </c>
      <c r="M1494" s="37" t="n">
        <v>0.69</v>
      </c>
      <c r="N1494" s="34" t="n">
        <v>12700</v>
      </c>
      <c r="O1494" s="34" t="n">
        <v>8890</v>
      </c>
      <c r="P1494" s="38"/>
      <c r="Q1494" s="38"/>
    </row>
    <row r="1495" customFormat="false" ht="15" hidden="false" customHeight="false" outlineLevel="0" collapsed="false">
      <c r="A1495" s="34" t="n">
        <v>1487</v>
      </c>
      <c r="B1495" s="35" t="s">
        <v>3013</v>
      </c>
      <c r="C1495" s="35" t="s">
        <v>3014</v>
      </c>
      <c r="D1495" s="35" t="s">
        <v>111</v>
      </c>
      <c r="E1495" s="34" t="n">
        <v>7012</v>
      </c>
      <c r="F1495" s="34" t="n">
        <v>6714</v>
      </c>
      <c r="G1495" s="34" t="n">
        <v>6915</v>
      </c>
      <c r="H1495" s="34" t="n">
        <v>7470</v>
      </c>
      <c r="I1495" s="36" t="n">
        <f aca="false">$E1495/F1495-1</f>
        <v>0.0443848674411678</v>
      </c>
      <c r="J1495" s="36" t="n">
        <f aca="false">$E1495/G1495-1</f>
        <v>0.0140274765003616</v>
      </c>
      <c r="K1495" s="36" t="n">
        <f aca="false">$E1495/H1495-1</f>
        <v>-0.0613119143239625</v>
      </c>
      <c r="L1495" s="37" t="n">
        <v>5.7</v>
      </c>
      <c r="M1495" s="37" t="n">
        <v>0.48</v>
      </c>
      <c r="N1495" s="34" t="n">
        <v>10498</v>
      </c>
      <c r="O1495" s="34" t="n">
        <v>6507</v>
      </c>
      <c r="P1495" s="38"/>
      <c r="Q1495" s="38"/>
    </row>
    <row r="1496" customFormat="false" ht="15" hidden="false" customHeight="false" outlineLevel="0" collapsed="false">
      <c r="A1496" s="34" t="n">
        <v>1488</v>
      </c>
      <c r="B1496" s="35" t="s">
        <v>3015</v>
      </c>
      <c r="C1496" s="35" t="s">
        <v>3016</v>
      </c>
      <c r="D1496" s="35" t="s">
        <v>111</v>
      </c>
      <c r="E1496" s="34" t="n">
        <v>4300</v>
      </c>
      <c r="F1496" s="34" t="n">
        <v>4200</v>
      </c>
      <c r="G1496" s="34" t="n">
        <v>4400</v>
      </c>
      <c r="H1496" s="34" t="n">
        <v>6200</v>
      </c>
      <c r="I1496" s="36" t="n">
        <f aca="false">$E1496/F1496-1</f>
        <v>0.0238095238095237</v>
      </c>
      <c r="J1496" s="36" t="n">
        <f aca="false">$E1496/G1496-1</f>
        <v>-0.0227272727272727</v>
      </c>
      <c r="K1496" s="36" t="n">
        <f aca="false">$E1496/H1496-1</f>
        <v>-0.306451612903226</v>
      </c>
      <c r="L1496" s="37" t="n">
        <v>6.59</v>
      </c>
      <c r="M1496" s="37" t="n">
        <v>0.36</v>
      </c>
      <c r="N1496" s="34" t="n">
        <v>7896.81</v>
      </c>
      <c r="O1496" s="34" t="n">
        <v>3892</v>
      </c>
      <c r="P1496" s="38"/>
      <c r="Q1496" s="38"/>
    </row>
    <row r="1497" customFormat="false" ht="15" hidden="false" customHeight="false" outlineLevel="0" collapsed="false">
      <c r="A1497" s="34" t="n">
        <v>1489</v>
      </c>
      <c r="B1497" s="35" t="s">
        <v>3017</v>
      </c>
      <c r="C1497" s="35" t="s">
        <v>3018</v>
      </c>
      <c r="D1497" s="35" t="s">
        <v>116</v>
      </c>
      <c r="E1497" s="34" t="n">
        <v>7470</v>
      </c>
      <c r="F1497" s="34" t="n">
        <v>7500</v>
      </c>
      <c r="G1497" s="34" t="n">
        <v>7490</v>
      </c>
      <c r="H1497" s="34" t="n">
        <v>11600</v>
      </c>
      <c r="I1497" s="36" t="n">
        <f aca="false">$E1497/F1497-1</f>
        <v>-0.004</v>
      </c>
      <c r="J1497" s="36" t="n">
        <f aca="false">$E1497/G1497-1</f>
        <v>-0.00267022696929242</v>
      </c>
      <c r="K1497" s="36" t="n">
        <f aca="false">$E1497/H1497-1</f>
        <v>-0.356034482758621</v>
      </c>
      <c r="L1497" s="37" t="n">
        <v>7.72</v>
      </c>
      <c r="M1497" s="37" t="n">
        <v>0.49</v>
      </c>
      <c r="N1497" s="34" t="n">
        <v>17743.12</v>
      </c>
      <c r="O1497" s="34" t="n">
        <v>6960</v>
      </c>
      <c r="P1497" s="38"/>
      <c r="Q1497" s="38"/>
    </row>
    <row r="1498" customFormat="false" ht="15" hidden="false" customHeight="false" outlineLevel="0" collapsed="false">
      <c r="A1498" s="34" t="n">
        <v>1490</v>
      </c>
      <c r="B1498" s="35" t="s">
        <v>3019</v>
      </c>
      <c r="C1498" s="35" t="s">
        <v>3020</v>
      </c>
      <c r="D1498" s="35" t="s">
        <v>116</v>
      </c>
      <c r="E1498" s="34" t="n">
        <v>7190</v>
      </c>
      <c r="F1498" s="34" t="n">
        <v>7400</v>
      </c>
      <c r="G1498" s="34" t="n">
        <v>7130</v>
      </c>
      <c r="H1498" s="34" t="n">
        <v>8500</v>
      </c>
      <c r="I1498" s="36" t="n">
        <f aca="false">$E1498/F1498-1</f>
        <v>-0.0283783783783784</v>
      </c>
      <c r="J1498" s="36" t="n">
        <f aca="false">$E1498/G1498-1</f>
        <v>0.00841514726507708</v>
      </c>
      <c r="K1498" s="36" t="n">
        <f aca="false">$E1498/H1498-1</f>
        <v>-0.154117647058824</v>
      </c>
      <c r="L1498" s="37" t="n">
        <v>3.31</v>
      </c>
      <c r="M1498" s="37" t="n">
        <v>0.86</v>
      </c>
      <c r="N1498" s="34" t="n">
        <v>10100</v>
      </c>
      <c r="O1498" s="34" t="n">
        <v>5680</v>
      </c>
      <c r="P1498" s="38"/>
      <c r="Q1498" s="38"/>
    </row>
    <row r="1499" customFormat="false" ht="15" hidden="false" customHeight="false" outlineLevel="0" collapsed="false">
      <c r="A1499" s="34" t="n">
        <v>1491</v>
      </c>
      <c r="B1499" s="35" t="s">
        <v>3021</v>
      </c>
      <c r="C1499" s="35" t="s">
        <v>3022</v>
      </c>
      <c r="D1499" s="35" t="s">
        <v>111</v>
      </c>
      <c r="E1499" s="34" t="n">
        <v>50000</v>
      </c>
      <c r="F1499" s="34" t="n">
        <v>50000</v>
      </c>
      <c r="G1499" s="34" t="n">
        <v>61043.2</v>
      </c>
      <c r="H1499" s="34" t="n">
        <v>61520.1</v>
      </c>
      <c r="I1499" s="36" t="n">
        <f aca="false">$E1499/F1499-1</f>
        <v>0</v>
      </c>
      <c r="J1499" s="36" t="n">
        <f aca="false">$E1499/G1499-1</f>
        <v>-0.180907947158733</v>
      </c>
      <c r="K1499" s="36" t="n">
        <f aca="false">$E1499/H1499-1</f>
        <v>-0.187257497955953</v>
      </c>
      <c r="L1499" s="37" t="n">
        <v>11.8</v>
      </c>
      <c r="M1499" s="37" t="n">
        <v>2.64</v>
      </c>
      <c r="N1499" s="34" t="n">
        <v>71535</v>
      </c>
      <c r="O1499" s="34" t="n">
        <v>45432.36</v>
      </c>
      <c r="P1499" s="38"/>
      <c r="Q1499" s="38"/>
    </row>
    <row r="1500" customFormat="false" ht="15" hidden="false" customHeight="false" outlineLevel="0" collapsed="false">
      <c r="A1500" s="34" t="n">
        <v>1492</v>
      </c>
      <c r="B1500" s="35" t="s">
        <v>59</v>
      </c>
      <c r="C1500" s="35" t="s">
        <v>3023</v>
      </c>
      <c r="D1500" s="35" t="s">
        <v>116</v>
      </c>
      <c r="E1500" s="34" t="n">
        <v>62100</v>
      </c>
      <c r="F1500" s="34" t="n">
        <v>61000</v>
      </c>
      <c r="G1500" s="34" t="n">
        <v>71700</v>
      </c>
      <c r="H1500" s="34" t="n">
        <v>72382.4</v>
      </c>
      <c r="I1500" s="36" t="n">
        <f aca="false">$E1500/F1500-1</f>
        <v>0.0180327868852459</v>
      </c>
      <c r="J1500" s="36" t="n">
        <f aca="false">$E1500/G1500-1</f>
        <v>-0.133891213389121</v>
      </c>
      <c r="K1500" s="36" t="n">
        <f aca="false">$E1500/H1500-1</f>
        <v>-0.142056632551559</v>
      </c>
      <c r="L1500" s="37" t="n">
        <v>8.81</v>
      </c>
      <c r="M1500" s="37" t="n">
        <v>0.72</v>
      </c>
      <c r="N1500" s="34" t="n">
        <v>92782.89</v>
      </c>
      <c r="O1500" s="34" t="n">
        <v>55100</v>
      </c>
      <c r="P1500" s="38" t="n">
        <v>21.47</v>
      </c>
      <c r="Q1500" s="38" t="n">
        <v>0.78</v>
      </c>
    </row>
    <row r="1501" customFormat="false" ht="15" hidden="false" customHeight="false" outlineLevel="0" collapsed="false">
      <c r="A1501" s="34" t="n">
        <v>1493</v>
      </c>
      <c r="B1501" s="35" t="s">
        <v>3024</v>
      </c>
      <c r="C1501" s="35" t="s">
        <v>3025</v>
      </c>
      <c r="D1501" s="35" t="s">
        <v>111</v>
      </c>
      <c r="E1501" s="34" t="n">
        <v>28500</v>
      </c>
      <c r="F1501" s="34" t="n">
        <v>28500</v>
      </c>
      <c r="G1501" s="34" t="n">
        <v>33200</v>
      </c>
      <c r="H1501" s="34" t="n">
        <v>49900</v>
      </c>
      <c r="I1501" s="36" t="n">
        <f aca="false">$E1501/F1501-1</f>
        <v>0</v>
      </c>
      <c r="J1501" s="36" t="n">
        <f aca="false">$E1501/G1501-1</f>
        <v>-0.141566265060241</v>
      </c>
      <c r="K1501" s="36" t="n">
        <f aca="false">$E1501/H1501-1</f>
        <v>-0.428857715430862</v>
      </c>
      <c r="L1501" s="37" t="n">
        <v>8.63</v>
      </c>
      <c r="M1501" s="37" t="n">
        <v>0.72</v>
      </c>
      <c r="N1501" s="34" t="n">
        <v>65400</v>
      </c>
      <c r="O1501" s="34" t="n">
        <v>28400</v>
      </c>
      <c r="P1501" s="38"/>
      <c r="Q1501" s="38"/>
    </row>
    <row r="1502" customFormat="false" ht="15" hidden="false" customHeight="false" outlineLevel="0" collapsed="false">
      <c r="A1502" s="34" t="n">
        <v>1494</v>
      </c>
      <c r="B1502" s="35" t="s">
        <v>3026</v>
      </c>
      <c r="C1502" s="35" t="s">
        <v>3027</v>
      </c>
      <c r="D1502" s="35" t="s">
        <v>111</v>
      </c>
      <c r="E1502" s="34" t="n">
        <v>6755</v>
      </c>
      <c r="F1502" s="34" t="n">
        <v>7000</v>
      </c>
      <c r="G1502" s="34" t="n">
        <v>7000</v>
      </c>
      <c r="H1502" s="34" t="n">
        <v>5500</v>
      </c>
      <c r="I1502" s="36" t="n">
        <f aca="false">$E1502/F1502-1</f>
        <v>-0.035</v>
      </c>
      <c r="J1502" s="36" t="n">
        <f aca="false">$E1502/G1502-1</f>
        <v>-0.035</v>
      </c>
      <c r="K1502" s="36" t="n">
        <f aca="false">$E1502/H1502-1</f>
        <v>0.228181818181818</v>
      </c>
      <c r="L1502" s="37" t="n">
        <v>356.14</v>
      </c>
      <c r="M1502" s="37" t="n">
        <v>0.51</v>
      </c>
      <c r="N1502" s="34" t="n">
        <v>8138</v>
      </c>
      <c r="O1502" s="34" t="n">
        <v>5000</v>
      </c>
      <c r="P1502" s="38"/>
      <c r="Q1502" s="38"/>
    </row>
    <row r="1503" customFormat="false" ht="15" hidden="false" customHeight="false" outlineLevel="0" collapsed="false">
      <c r="A1503" s="34" t="n">
        <v>1495</v>
      </c>
      <c r="B1503" s="35" t="s">
        <v>3028</v>
      </c>
      <c r="C1503" s="35" t="s">
        <v>3029</v>
      </c>
      <c r="D1503" s="35" t="s">
        <v>111</v>
      </c>
      <c r="E1503" s="34" t="n">
        <v>20000</v>
      </c>
      <c r="F1503" s="34" t="n">
        <v>20000</v>
      </c>
      <c r="G1503" s="34" t="n">
        <v>20000</v>
      </c>
      <c r="H1503" s="34" t="n">
        <v>19000</v>
      </c>
      <c r="I1503" s="36" t="n">
        <f aca="false">$E1503/F1503-1</f>
        <v>0</v>
      </c>
      <c r="J1503" s="36" t="n">
        <f aca="false">$E1503/G1503-1</f>
        <v>0</v>
      </c>
      <c r="K1503" s="36" t="n">
        <f aca="false">$E1503/H1503-1</f>
        <v>0.0526315789473684</v>
      </c>
      <c r="L1503" s="37" t="n">
        <v>29.58</v>
      </c>
      <c r="M1503" s="37" t="n">
        <v>1.31</v>
      </c>
      <c r="N1503" s="34" t="n">
        <v>21900</v>
      </c>
      <c r="O1503" s="34" t="n">
        <v>14843.04</v>
      </c>
      <c r="P1503" s="38"/>
      <c r="Q1503" s="38"/>
    </row>
    <row r="1504" customFormat="false" ht="15" hidden="false" customHeight="false" outlineLevel="0" collapsed="false">
      <c r="A1504" s="34" t="n">
        <v>1496</v>
      </c>
      <c r="B1504" s="35" t="s">
        <v>3030</v>
      </c>
      <c r="C1504" s="35" t="s">
        <v>3031</v>
      </c>
      <c r="D1504" s="35" t="s">
        <v>111</v>
      </c>
      <c r="E1504" s="34" t="n">
        <v>2408</v>
      </c>
      <c r="F1504" s="34" t="n">
        <v>1995</v>
      </c>
      <c r="G1504" s="34"/>
      <c r="H1504" s="34" t="n">
        <v>5520</v>
      </c>
      <c r="I1504" s="36" t="n">
        <f aca="false">$E1504/F1504-1</f>
        <v>0.207017543859649</v>
      </c>
      <c r="J1504" s="36" t="e">
        <f aca="false">$E1504/G1504-1</f>
        <v>#DIV/0!</v>
      </c>
      <c r="K1504" s="36" t="n">
        <f aca="false">$E1504/H1504-1</f>
        <v>-0.563768115942029</v>
      </c>
      <c r="L1504" s="37" t="n">
        <v>2.04</v>
      </c>
      <c r="M1504" s="37" t="n">
        <v>0.27</v>
      </c>
      <c r="N1504" s="34" t="n">
        <v>8380</v>
      </c>
      <c r="O1504" s="34" t="n">
        <v>1982</v>
      </c>
      <c r="P1504" s="38"/>
      <c r="Q1504" s="38"/>
    </row>
    <row r="1505" customFormat="false" ht="15" hidden="false" customHeight="false" outlineLevel="0" collapsed="false">
      <c r="A1505" s="34" t="n">
        <v>1497</v>
      </c>
      <c r="B1505" s="35" t="s">
        <v>3032</v>
      </c>
      <c r="C1505" s="35" t="s">
        <v>3033</v>
      </c>
      <c r="D1505" s="35" t="s">
        <v>337</v>
      </c>
      <c r="E1505" s="34"/>
      <c r="F1505" s="34"/>
      <c r="G1505" s="34" t="n">
        <v>7100</v>
      </c>
      <c r="H1505" s="34" t="n">
        <v>7100</v>
      </c>
      <c r="I1505" s="36" t="e">
        <f aca="false">$E1505/F1505-1</f>
        <v>#DIV/0!</v>
      </c>
      <c r="J1505" s="36" t="n">
        <f aca="false">$E1505/G1505-1</f>
        <v>-1</v>
      </c>
      <c r="K1505" s="36" t="n">
        <f aca="false">$E1505/H1505-1</f>
        <v>-1</v>
      </c>
      <c r="L1505" s="37"/>
      <c r="M1505" s="37"/>
      <c r="N1505" s="34"/>
      <c r="O1505" s="34"/>
      <c r="P1505" s="38"/>
      <c r="Q1505" s="38"/>
    </row>
    <row r="1506" customFormat="false" ht="15" hidden="false" customHeight="false" outlineLevel="0" collapsed="false">
      <c r="A1506" s="34" t="n">
        <v>1498</v>
      </c>
      <c r="B1506" s="35" t="s">
        <v>3034</v>
      </c>
      <c r="C1506" s="35" t="s">
        <v>3035</v>
      </c>
      <c r="D1506" s="35" t="s">
        <v>133</v>
      </c>
      <c r="E1506" s="34" t="n">
        <v>7500</v>
      </c>
      <c r="F1506" s="34" t="n">
        <v>6900</v>
      </c>
      <c r="G1506" s="34" t="n">
        <v>6200</v>
      </c>
      <c r="H1506" s="34" t="n">
        <v>8600</v>
      </c>
      <c r="I1506" s="36" t="n">
        <f aca="false">$E1506/F1506-1</f>
        <v>0.0869565217391304</v>
      </c>
      <c r="J1506" s="36" t="n">
        <f aca="false">$E1506/G1506-1</f>
        <v>0.209677419354839</v>
      </c>
      <c r="K1506" s="36" t="n">
        <f aca="false">$E1506/H1506-1</f>
        <v>-0.127906976744186</v>
      </c>
      <c r="L1506" s="37" t="n">
        <v>-2.71</v>
      </c>
      <c r="M1506" s="37" t="n">
        <v>0.82</v>
      </c>
      <c r="N1506" s="34" t="n">
        <v>9500</v>
      </c>
      <c r="O1506" s="34" t="n">
        <v>5400</v>
      </c>
      <c r="P1506" s="38"/>
      <c r="Q1506" s="38"/>
    </row>
    <row r="1507" customFormat="false" ht="15" hidden="false" customHeight="false" outlineLevel="0" collapsed="false">
      <c r="A1507" s="34" t="n">
        <v>1499</v>
      </c>
      <c r="B1507" s="35" t="s">
        <v>3036</v>
      </c>
      <c r="C1507" s="35" t="s">
        <v>3037</v>
      </c>
      <c r="D1507" s="35" t="s">
        <v>111</v>
      </c>
      <c r="E1507" s="34" t="n">
        <v>2400</v>
      </c>
      <c r="F1507" s="34" t="n">
        <v>2400</v>
      </c>
      <c r="G1507" s="34" t="n">
        <v>1700</v>
      </c>
      <c r="H1507" s="34" t="n">
        <v>2000</v>
      </c>
      <c r="I1507" s="36" t="n">
        <f aca="false">$E1507/F1507-1</f>
        <v>0</v>
      </c>
      <c r="J1507" s="36" t="n">
        <f aca="false">$E1507/G1507-1</f>
        <v>0.411764705882353</v>
      </c>
      <c r="K1507" s="36" t="n">
        <f aca="false">$E1507/H1507-1</f>
        <v>0.2</v>
      </c>
      <c r="L1507" s="37" t="n">
        <v>-0.21</v>
      </c>
      <c r="M1507" s="37" t="n">
        <v>-0.22</v>
      </c>
      <c r="N1507" s="34" t="n">
        <v>2510</v>
      </c>
      <c r="O1507" s="34" t="n">
        <v>1500</v>
      </c>
      <c r="P1507" s="38"/>
      <c r="Q1507" s="38"/>
    </row>
    <row r="1508" customFormat="false" ht="15" hidden="false" customHeight="false" outlineLevel="0" collapsed="false">
      <c r="A1508" s="34" t="n">
        <v>1500</v>
      </c>
      <c r="B1508" s="35" t="s">
        <v>3038</v>
      </c>
      <c r="C1508" s="35" t="s">
        <v>3039</v>
      </c>
      <c r="D1508" s="35" t="s">
        <v>133</v>
      </c>
      <c r="E1508" s="34" t="n">
        <v>260000</v>
      </c>
      <c r="F1508" s="34" t="n">
        <v>260000</v>
      </c>
      <c r="G1508" s="34" t="n">
        <v>260000</v>
      </c>
      <c r="H1508" s="34" t="n">
        <v>260000</v>
      </c>
      <c r="I1508" s="36" t="n">
        <f aca="false">$E1508/F1508-1</f>
        <v>0</v>
      </c>
      <c r="J1508" s="36" t="n">
        <f aca="false">$E1508/G1508-1</f>
        <v>0</v>
      </c>
      <c r="K1508" s="36" t="n">
        <f aca="false">$E1508/H1508-1</f>
        <v>0</v>
      </c>
      <c r="L1508" s="37" t="n">
        <v>-739.82</v>
      </c>
      <c r="M1508" s="37" t="n">
        <v>26.08</v>
      </c>
      <c r="N1508" s="34" t="n">
        <v>260000</v>
      </c>
      <c r="O1508" s="34" t="n">
        <v>259000</v>
      </c>
      <c r="P1508" s="38"/>
      <c r="Q1508" s="38"/>
    </row>
    <row r="1509" customFormat="false" ht="15" hidden="false" customHeight="false" outlineLevel="0" collapsed="false">
      <c r="A1509" s="34" t="n">
        <v>1501</v>
      </c>
      <c r="B1509" s="35" t="s">
        <v>3040</v>
      </c>
      <c r="C1509" s="35" t="s">
        <v>3041</v>
      </c>
      <c r="D1509" s="35" t="s">
        <v>111</v>
      </c>
      <c r="E1509" s="34" t="n">
        <v>8283</v>
      </c>
      <c r="F1509" s="34" t="n">
        <v>7800</v>
      </c>
      <c r="G1509" s="34" t="n">
        <v>8000</v>
      </c>
      <c r="H1509" s="34" t="n">
        <v>9300</v>
      </c>
      <c r="I1509" s="36" t="n">
        <f aca="false">$E1509/F1509-1</f>
        <v>0.061923076923077</v>
      </c>
      <c r="J1509" s="36" t="n">
        <f aca="false">$E1509/G1509-1</f>
        <v>0.0353749999999999</v>
      </c>
      <c r="K1509" s="36" t="n">
        <f aca="false">$E1509/H1509-1</f>
        <v>-0.109354838709677</v>
      </c>
      <c r="L1509" s="37" t="n">
        <v>20.03</v>
      </c>
      <c r="M1509" s="37" t="n">
        <v>0.76</v>
      </c>
      <c r="N1509" s="34" t="n">
        <v>9978</v>
      </c>
      <c r="O1509" s="34" t="n">
        <v>7277</v>
      </c>
      <c r="P1509" s="38"/>
      <c r="Q1509" s="38"/>
    </row>
    <row r="1510" customFormat="false" ht="15" hidden="false" customHeight="false" outlineLevel="0" collapsed="false">
      <c r="A1510" s="34" t="n">
        <v>1502</v>
      </c>
      <c r="B1510" s="35" t="s">
        <v>3042</v>
      </c>
      <c r="C1510" s="35" t="s">
        <v>3043</v>
      </c>
      <c r="D1510" s="35" t="s">
        <v>116</v>
      </c>
      <c r="E1510" s="34" t="n">
        <v>5610</v>
      </c>
      <c r="F1510" s="34" t="n">
        <v>5250</v>
      </c>
      <c r="G1510" s="34" t="n">
        <v>5880</v>
      </c>
      <c r="H1510" s="34" t="n">
        <v>6820</v>
      </c>
      <c r="I1510" s="36" t="n">
        <f aca="false">$E1510/F1510-1</f>
        <v>0.0685714285714285</v>
      </c>
      <c r="J1510" s="36" t="n">
        <f aca="false">$E1510/G1510-1</f>
        <v>-0.0459183673469388</v>
      </c>
      <c r="K1510" s="36" t="n">
        <f aca="false">$E1510/H1510-1</f>
        <v>-0.17741935483871</v>
      </c>
      <c r="L1510" s="37" t="n">
        <v>16.91</v>
      </c>
      <c r="M1510" s="37" t="n">
        <v>0.48</v>
      </c>
      <c r="N1510" s="34" t="n">
        <v>8190</v>
      </c>
      <c r="O1510" s="34" t="n">
        <v>5220</v>
      </c>
      <c r="P1510" s="38"/>
      <c r="Q1510" s="38"/>
    </row>
    <row r="1511" customFormat="false" ht="15" hidden="false" customHeight="false" outlineLevel="0" collapsed="false">
      <c r="A1511" s="34" t="n">
        <v>1503</v>
      </c>
      <c r="B1511" s="35" t="s">
        <v>3044</v>
      </c>
      <c r="C1511" s="35" t="s">
        <v>3045</v>
      </c>
      <c r="D1511" s="35" t="s">
        <v>111</v>
      </c>
      <c r="E1511" s="34" t="n">
        <v>9700</v>
      </c>
      <c r="F1511" s="34" t="n">
        <v>13200</v>
      </c>
      <c r="G1511" s="34" t="n">
        <v>25700</v>
      </c>
      <c r="H1511" s="34" t="n">
        <v>9500</v>
      </c>
      <c r="I1511" s="36" t="n">
        <f aca="false">$E1511/F1511-1</f>
        <v>-0.265151515151515</v>
      </c>
      <c r="J1511" s="36" t="n">
        <f aca="false">$E1511/G1511-1</f>
        <v>-0.622568093385214</v>
      </c>
      <c r="K1511" s="36" t="n">
        <f aca="false">$E1511/H1511-1</f>
        <v>0.0210526315789474</v>
      </c>
      <c r="L1511" s="37" t="n">
        <v>78.13</v>
      </c>
      <c r="M1511" s="37" t="n">
        <v>0.73</v>
      </c>
      <c r="N1511" s="34" t="n">
        <v>25700</v>
      </c>
      <c r="O1511" s="34" t="n">
        <v>6000</v>
      </c>
      <c r="P1511" s="38"/>
      <c r="Q1511" s="38"/>
    </row>
    <row r="1512" customFormat="false" ht="15" hidden="false" customHeight="false" outlineLevel="0" collapsed="false">
      <c r="A1512" s="34" t="n">
        <v>1504</v>
      </c>
      <c r="B1512" s="35" t="s">
        <v>3046</v>
      </c>
      <c r="C1512" s="35" t="s">
        <v>3047</v>
      </c>
      <c r="D1512" s="35" t="s">
        <v>111</v>
      </c>
      <c r="E1512" s="34" t="n">
        <v>3013</v>
      </c>
      <c r="F1512" s="34" t="n">
        <v>2800</v>
      </c>
      <c r="G1512" s="34" t="n">
        <v>2801</v>
      </c>
      <c r="H1512" s="34" t="n">
        <v>3500</v>
      </c>
      <c r="I1512" s="36" t="n">
        <f aca="false">$E1512/F1512-1</f>
        <v>0.0760714285714286</v>
      </c>
      <c r="J1512" s="36" t="n">
        <f aca="false">$E1512/G1512-1</f>
        <v>0.0756872545519458</v>
      </c>
      <c r="K1512" s="36" t="n">
        <f aca="false">$E1512/H1512-1</f>
        <v>-0.139142857142857</v>
      </c>
      <c r="L1512" s="37" t="n">
        <v>-9.15</v>
      </c>
      <c r="M1512" s="37" t="n">
        <v>0.22</v>
      </c>
      <c r="N1512" s="34" t="n">
        <v>3800</v>
      </c>
      <c r="O1512" s="34" t="n">
        <v>2700</v>
      </c>
      <c r="P1512" s="38"/>
      <c r="Q1512" s="38"/>
    </row>
    <row r="1513" customFormat="false" ht="15" hidden="false" customHeight="false" outlineLevel="0" collapsed="false">
      <c r="A1513" s="34" t="n">
        <v>1505</v>
      </c>
      <c r="B1513" s="35" t="s">
        <v>3048</v>
      </c>
      <c r="C1513" s="35" t="s">
        <v>3049</v>
      </c>
      <c r="D1513" s="35" t="s">
        <v>116</v>
      </c>
      <c r="E1513" s="34" t="n">
        <v>37000</v>
      </c>
      <c r="F1513" s="34" t="n">
        <v>37100</v>
      </c>
      <c r="G1513" s="34" t="n">
        <v>37700</v>
      </c>
      <c r="H1513" s="34" t="n">
        <v>26344.4</v>
      </c>
      <c r="I1513" s="36" t="n">
        <f aca="false">$E1513/F1513-1</f>
        <v>-0.00269541778975746</v>
      </c>
      <c r="J1513" s="36" t="n">
        <f aca="false">$E1513/G1513-1</f>
        <v>-0.0185676392572944</v>
      </c>
      <c r="K1513" s="36" t="n">
        <f aca="false">$E1513/H1513-1</f>
        <v>0.404473056892546</v>
      </c>
      <c r="L1513" s="37" t="n">
        <v>3.63</v>
      </c>
      <c r="M1513" s="37" t="n">
        <v>1.66</v>
      </c>
      <c r="N1513" s="34" t="n">
        <v>44972.25</v>
      </c>
      <c r="O1513" s="34" t="n">
        <v>13762</v>
      </c>
      <c r="P1513" s="38"/>
      <c r="Q1513" s="38"/>
    </row>
    <row r="1514" customFormat="false" ht="15" hidden="false" customHeight="false" outlineLevel="0" collapsed="false">
      <c r="A1514" s="34" t="n">
        <v>1506</v>
      </c>
      <c r="B1514" s="35" t="s">
        <v>3050</v>
      </c>
      <c r="C1514" s="35" t="s">
        <v>3051</v>
      </c>
      <c r="D1514" s="35" t="s">
        <v>116</v>
      </c>
      <c r="E1514" s="34" t="n">
        <v>4050</v>
      </c>
      <c r="F1514" s="34" t="n">
        <v>4010</v>
      </c>
      <c r="G1514" s="34" t="n">
        <v>4590</v>
      </c>
      <c r="H1514" s="34" t="n">
        <v>4930</v>
      </c>
      <c r="I1514" s="36" t="n">
        <f aca="false">$E1514/F1514-1</f>
        <v>0.0099750623441397</v>
      </c>
      <c r="J1514" s="36" t="n">
        <f aca="false">$E1514/G1514-1</f>
        <v>-0.117647058823529</v>
      </c>
      <c r="K1514" s="36" t="n">
        <f aca="false">$E1514/H1514-1</f>
        <v>-0.178498985801217</v>
      </c>
      <c r="L1514" s="37" t="n">
        <v>7.57</v>
      </c>
      <c r="M1514" s="37" t="n">
        <v>0.33</v>
      </c>
      <c r="N1514" s="34" t="n">
        <v>6390</v>
      </c>
      <c r="O1514" s="34" t="n">
        <v>3910</v>
      </c>
      <c r="P1514" s="38"/>
      <c r="Q1514" s="38"/>
    </row>
    <row r="1515" customFormat="false" ht="15" hidden="false" customHeight="false" outlineLevel="0" collapsed="false">
      <c r="A1515" s="34" t="n">
        <v>1507</v>
      </c>
      <c r="B1515" s="35" t="s">
        <v>3052</v>
      </c>
      <c r="C1515" s="35" t="s">
        <v>3053</v>
      </c>
      <c r="D1515" s="35" t="s">
        <v>133</v>
      </c>
      <c r="E1515" s="34" t="n">
        <v>65000</v>
      </c>
      <c r="F1515" s="34" t="n">
        <v>65300</v>
      </c>
      <c r="G1515" s="34" t="n">
        <v>61400</v>
      </c>
      <c r="H1515" s="34" t="n">
        <v>64200</v>
      </c>
      <c r="I1515" s="36" t="n">
        <f aca="false">$E1515/F1515-1</f>
        <v>-0.00459418070444106</v>
      </c>
      <c r="J1515" s="36" t="n">
        <f aca="false">$E1515/G1515-1</f>
        <v>0.0586319218241043</v>
      </c>
      <c r="K1515" s="36" t="n">
        <f aca="false">$E1515/H1515-1</f>
        <v>0.0124610591900312</v>
      </c>
      <c r="L1515" s="37" t="n">
        <v>21</v>
      </c>
      <c r="M1515" s="37" t="n">
        <v>3.22</v>
      </c>
      <c r="N1515" s="34" t="n">
        <v>74100</v>
      </c>
      <c r="O1515" s="34" t="n">
        <v>60600</v>
      </c>
      <c r="P1515" s="38"/>
      <c r="Q1515" s="38"/>
    </row>
    <row r="1516" customFormat="false" ht="15" hidden="false" customHeight="false" outlineLevel="0" collapsed="false">
      <c r="A1516" s="34" t="n">
        <v>1508</v>
      </c>
      <c r="B1516" s="35" t="s">
        <v>3054</v>
      </c>
      <c r="C1516" s="35" t="s">
        <v>3055</v>
      </c>
      <c r="D1516" s="35" t="s">
        <v>133</v>
      </c>
      <c r="E1516" s="34" t="n">
        <v>12800</v>
      </c>
      <c r="F1516" s="34" t="n">
        <v>12400</v>
      </c>
      <c r="G1516" s="34" t="n">
        <v>13300</v>
      </c>
      <c r="H1516" s="34" t="n">
        <v>12900</v>
      </c>
      <c r="I1516" s="36" t="n">
        <f aca="false">$E1516/F1516-1</f>
        <v>0.032258064516129</v>
      </c>
      <c r="J1516" s="36" t="n">
        <f aca="false">$E1516/G1516-1</f>
        <v>-0.0375939849624061</v>
      </c>
      <c r="K1516" s="36" t="n">
        <f aca="false">$E1516/H1516-1</f>
        <v>-0.00775193798449614</v>
      </c>
      <c r="L1516" s="37" t="n">
        <v>26.76</v>
      </c>
      <c r="M1516" s="37" t="n">
        <v>0.59</v>
      </c>
      <c r="N1516" s="34" t="n">
        <v>16500</v>
      </c>
      <c r="O1516" s="34" t="n">
        <v>10100</v>
      </c>
      <c r="P1516" s="38"/>
      <c r="Q1516" s="38"/>
    </row>
    <row r="1517" customFormat="false" ht="15" hidden="false" customHeight="false" outlineLevel="0" collapsed="false">
      <c r="A1517" s="34" t="n">
        <v>1509</v>
      </c>
      <c r="B1517" s="35" t="s">
        <v>3056</v>
      </c>
      <c r="C1517" s="35" t="s">
        <v>3057</v>
      </c>
      <c r="D1517" s="35" t="s">
        <v>111</v>
      </c>
      <c r="E1517" s="34" t="n">
        <v>12800</v>
      </c>
      <c r="F1517" s="34" t="n">
        <v>12900</v>
      </c>
      <c r="G1517" s="34" t="n">
        <v>13400</v>
      </c>
      <c r="H1517" s="34" t="n">
        <v>13000</v>
      </c>
      <c r="I1517" s="36" t="n">
        <f aca="false">$E1517/F1517-1</f>
        <v>-0.00775193798449614</v>
      </c>
      <c r="J1517" s="36" t="n">
        <f aca="false">$E1517/G1517-1</f>
        <v>-0.0447761194029851</v>
      </c>
      <c r="K1517" s="36" t="n">
        <f aca="false">$E1517/H1517-1</f>
        <v>-0.0153846153846153</v>
      </c>
      <c r="L1517" s="37" t="n">
        <v>7.78</v>
      </c>
      <c r="M1517" s="37" t="n">
        <v>0.47</v>
      </c>
      <c r="N1517" s="34" t="n">
        <v>13700</v>
      </c>
      <c r="O1517" s="34" t="n">
        <v>7900</v>
      </c>
      <c r="P1517" s="38"/>
      <c r="Q1517" s="38"/>
    </row>
    <row r="1518" customFormat="false" ht="15" hidden="false" customHeight="false" outlineLevel="0" collapsed="false">
      <c r="A1518" s="34" t="n">
        <v>1510</v>
      </c>
      <c r="B1518" s="35" t="s">
        <v>3058</v>
      </c>
      <c r="C1518" s="35" t="s">
        <v>3059</v>
      </c>
      <c r="D1518" s="35" t="s">
        <v>111</v>
      </c>
      <c r="E1518" s="34" t="n">
        <v>25000</v>
      </c>
      <c r="F1518" s="34" t="n">
        <v>25000</v>
      </c>
      <c r="G1518" s="34" t="n">
        <v>26000</v>
      </c>
      <c r="H1518" s="34" t="n">
        <v>24575.28</v>
      </c>
      <c r="I1518" s="36" t="n">
        <f aca="false">$E1518/F1518-1</f>
        <v>0</v>
      </c>
      <c r="J1518" s="36" t="n">
        <f aca="false">$E1518/G1518-1</f>
        <v>-0.0384615384615384</v>
      </c>
      <c r="K1518" s="36" t="n">
        <f aca="false">$E1518/H1518-1</f>
        <v>0.0172824073621949</v>
      </c>
      <c r="L1518" s="37"/>
      <c r="M1518" s="37" t="n">
        <v>0.92</v>
      </c>
      <c r="N1518" s="34" t="n">
        <v>26964</v>
      </c>
      <c r="O1518" s="34" t="n">
        <v>23184.22</v>
      </c>
      <c r="P1518" s="38"/>
      <c r="Q1518" s="38"/>
    </row>
    <row r="1519" customFormat="false" ht="15" hidden="false" customHeight="false" outlineLevel="0" collapsed="false">
      <c r="A1519" s="34" t="n">
        <v>1511</v>
      </c>
      <c r="B1519" s="35" t="s">
        <v>3060</v>
      </c>
      <c r="C1519" s="35" t="s">
        <v>3061</v>
      </c>
      <c r="D1519" s="35" t="s">
        <v>111</v>
      </c>
      <c r="E1519" s="34"/>
      <c r="F1519" s="34"/>
      <c r="G1519" s="34"/>
      <c r="H1519" s="34"/>
      <c r="I1519" s="36" t="e">
        <f aca="false">$E1519/F1519-1</f>
        <v>#DIV/0!</v>
      </c>
      <c r="J1519" s="36" t="e">
        <f aca="false">$E1519/G1519-1</f>
        <v>#DIV/0!</v>
      </c>
      <c r="K1519" s="36" t="e">
        <f aca="false">$E1519/H1519-1</f>
        <v>#DIV/0!</v>
      </c>
      <c r="L1519" s="37"/>
      <c r="M1519" s="37"/>
      <c r="N1519" s="34"/>
      <c r="O1519" s="34"/>
      <c r="P1519" s="38"/>
      <c r="Q1519" s="38"/>
    </row>
    <row r="1520" customFormat="false" ht="15" hidden="false" customHeight="false" outlineLevel="0" collapsed="false">
      <c r="A1520" s="34" t="n">
        <v>1512</v>
      </c>
      <c r="B1520" s="35" t="s">
        <v>3062</v>
      </c>
      <c r="C1520" s="35" t="s">
        <v>3063</v>
      </c>
      <c r="D1520" s="35" t="s">
        <v>116</v>
      </c>
      <c r="E1520" s="34" t="n">
        <v>15000</v>
      </c>
      <c r="F1520" s="34" t="n">
        <v>16000</v>
      </c>
      <c r="G1520" s="34" t="n">
        <v>15200</v>
      </c>
      <c r="H1520" s="34" t="n">
        <v>15500</v>
      </c>
      <c r="I1520" s="36" t="n">
        <f aca="false">$E1520/F1520-1</f>
        <v>-0.0625</v>
      </c>
      <c r="J1520" s="36" t="n">
        <f aca="false">$E1520/G1520-1</f>
        <v>-0.0131578947368421</v>
      </c>
      <c r="K1520" s="36" t="n">
        <f aca="false">$E1520/H1520-1</f>
        <v>-0.032258064516129</v>
      </c>
      <c r="L1520" s="37" t="n">
        <v>5.28</v>
      </c>
      <c r="M1520" s="37" t="n">
        <v>0.52</v>
      </c>
      <c r="N1520" s="34" t="n">
        <v>18300</v>
      </c>
      <c r="O1520" s="34" t="n">
        <v>14050</v>
      </c>
      <c r="P1520" s="38"/>
      <c r="Q1520" s="38"/>
    </row>
    <row r="1521" customFormat="false" ht="15" hidden="false" customHeight="false" outlineLevel="0" collapsed="false">
      <c r="A1521" s="34" t="n">
        <v>1513</v>
      </c>
      <c r="B1521" s="35" t="s">
        <v>3064</v>
      </c>
      <c r="C1521" s="35" t="s">
        <v>3065</v>
      </c>
      <c r="D1521" s="35" t="s">
        <v>111</v>
      </c>
      <c r="E1521" s="34" t="n">
        <v>9300</v>
      </c>
      <c r="F1521" s="34" t="n">
        <v>15400</v>
      </c>
      <c r="G1521" s="34" t="n">
        <v>15400</v>
      </c>
      <c r="H1521" s="34" t="n">
        <v>11012.94</v>
      </c>
      <c r="I1521" s="36" t="n">
        <f aca="false">$E1521/F1521-1</f>
        <v>-0.396103896103896</v>
      </c>
      <c r="J1521" s="36" t="n">
        <f aca="false">$E1521/G1521-1</f>
        <v>-0.396103896103896</v>
      </c>
      <c r="K1521" s="36" t="n">
        <f aca="false">$E1521/H1521-1</f>
        <v>-0.155538847937063</v>
      </c>
      <c r="L1521" s="37" t="n">
        <v>6.84</v>
      </c>
      <c r="M1521" s="37" t="n">
        <v>0.44</v>
      </c>
      <c r="N1521" s="34" t="n">
        <v>15400</v>
      </c>
      <c r="O1521" s="34" t="n">
        <v>6906.42</v>
      </c>
      <c r="P1521" s="38"/>
      <c r="Q1521" s="38"/>
    </row>
    <row r="1522" customFormat="false" ht="15" hidden="false" customHeight="false" outlineLevel="0" collapsed="false">
      <c r="A1522" s="34" t="n">
        <v>1514</v>
      </c>
      <c r="B1522" s="35" t="s">
        <v>3066</v>
      </c>
      <c r="C1522" s="35" t="s">
        <v>3067</v>
      </c>
      <c r="D1522" s="35" t="s">
        <v>133</v>
      </c>
      <c r="E1522" s="34" t="n">
        <v>4500</v>
      </c>
      <c r="F1522" s="34" t="n">
        <v>4500</v>
      </c>
      <c r="G1522" s="34" t="n">
        <v>4600</v>
      </c>
      <c r="H1522" s="34" t="n">
        <v>3700</v>
      </c>
      <c r="I1522" s="36" t="n">
        <f aca="false">$E1522/F1522-1</f>
        <v>0</v>
      </c>
      <c r="J1522" s="36" t="n">
        <f aca="false">$E1522/G1522-1</f>
        <v>-0.0217391304347826</v>
      </c>
      <c r="K1522" s="36" t="n">
        <f aca="false">$E1522/H1522-1</f>
        <v>0.216216216216216</v>
      </c>
      <c r="L1522" s="37" t="n">
        <v>79.43</v>
      </c>
      <c r="M1522" s="37" t="n">
        <v>1.16</v>
      </c>
      <c r="N1522" s="34" t="n">
        <v>5900</v>
      </c>
      <c r="O1522" s="34" t="n">
        <v>3500</v>
      </c>
      <c r="P1522" s="38"/>
      <c r="Q1522" s="38"/>
    </row>
    <row r="1523" customFormat="false" ht="15" hidden="false" customHeight="false" outlineLevel="0" collapsed="false">
      <c r="A1523" s="34" t="n">
        <v>1515</v>
      </c>
      <c r="B1523" s="35" t="s">
        <v>3068</v>
      </c>
      <c r="C1523" s="35" t="s">
        <v>3069</v>
      </c>
      <c r="D1523" s="35" t="s">
        <v>133</v>
      </c>
      <c r="E1523" s="34" t="n">
        <v>15900</v>
      </c>
      <c r="F1523" s="34" t="n">
        <v>15200</v>
      </c>
      <c r="G1523" s="34" t="n">
        <v>15500</v>
      </c>
      <c r="H1523" s="34" t="n">
        <v>15420.14</v>
      </c>
      <c r="I1523" s="36" t="n">
        <f aca="false">$E1523/F1523-1</f>
        <v>0.0460526315789473</v>
      </c>
      <c r="J1523" s="36" t="n">
        <f aca="false">$E1523/G1523-1</f>
        <v>0.0258064516129033</v>
      </c>
      <c r="K1523" s="36" t="n">
        <f aca="false">$E1523/H1523-1</f>
        <v>0.0311190430177677</v>
      </c>
      <c r="L1523" s="37" t="n">
        <v>10.75</v>
      </c>
      <c r="M1523" s="37" t="n">
        <v>1.11</v>
      </c>
      <c r="N1523" s="34" t="n">
        <v>17759.15</v>
      </c>
      <c r="O1523" s="34" t="n">
        <v>11521.79</v>
      </c>
      <c r="P1523" s="38"/>
      <c r="Q1523" s="38"/>
    </row>
    <row r="1524" customFormat="false" ht="15" hidden="false" customHeight="false" outlineLevel="0" collapsed="false">
      <c r="A1524" s="34" t="n">
        <v>1516</v>
      </c>
      <c r="B1524" s="35" t="s">
        <v>3070</v>
      </c>
      <c r="C1524" s="35" t="s">
        <v>3071</v>
      </c>
      <c r="D1524" s="35" t="s">
        <v>111</v>
      </c>
      <c r="E1524" s="34" t="n">
        <v>1800</v>
      </c>
      <c r="F1524" s="34" t="n">
        <v>1800</v>
      </c>
      <c r="G1524" s="34" t="n">
        <v>1800</v>
      </c>
      <c r="H1524" s="34" t="n">
        <v>1800</v>
      </c>
      <c r="I1524" s="36" t="n">
        <f aca="false">$E1524/F1524-1</f>
        <v>0</v>
      </c>
      <c r="J1524" s="36" t="n">
        <f aca="false">$E1524/G1524-1</f>
        <v>0</v>
      </c>
      <c r="K1524" s="36" t="n">
        <f aca="false">$E1524/H1524-1</f>
        <v>0</v>
      </c>
      <c r="L1524" s="37" t="n">
        <v>-12.97</v>
      </c>
      <c r="M1524" s="37" t="n">
        <v>0.21</v>
      </c>
      <c r="N1524" s="34" t="n">
        <v>1800</v>
      </c>
      <c r="O1524" s="34" t="n">
        <v>1800</v>
      </c>
      <c r="P1524" s="38"/>
      <c r="Q1524" s="38"/>
    </row>
    <row r="1525" customFormat="false" ht="15" hidden="false" customHeight="false" outlineLevel="0" collapsed="false">
      <c r="A1525" s="34" t="n">
        <v>1517</v>
      </c>
      <c r="B1525" s="35" t="s">
        <v>3072</v>
      </c>
      <c r="C1525" s="35" t="s">
        <v>3073</v>
      </c>
      <c r="D1525" s="35" t="s">
        <v>111</v>
      </c>
      <c r="E1525" s="34" t="n">
        <v>7900</v>
      </c>
      <c r="F1525" s="34" t="n">
        <v>7900</v>
      </c>
      <c r="G1525" s="34" t="n">
        <v>8800</v>
      </c>
      <c r="H1525" s="34" t="n">
        <v>8200</v>
      </c>
      <c r="I1525" s="36" t="n">
        <f aca="false">$E1525/F1525-1</f>
        <v>0</v>
      </c>
      <c r="J1525" s="36" t="n">
        <f aca="false">$E1525/G1525-1</f>
        <v>-0.102272727272727</v>
      </c>
      <c r="K1525" s="36" t="n">
        <f aca="false">$E1525/H1525-1</f>
        <v>-0.0365853658536586</v>
      </c>
      <c r="L1525" s="37" t="n">
        <v>8.18</v>
      </c>
      <c r="M1525" s="37" t="n">
        <v>0.34</v>
      </c>
      <c r="N1525" s="34" t="n">
        <v>10933</v>
      </c>
      <c r="O1525" s="34" t="n">
        <v>7525</v>
      </c>
      <c r="P1525" s="38"/>
      <c r="Q1525" s="38"/>
    </row>
    <row r="1526" customFormat="false" ht="15" hidden="false" customHeight="false" outlineLevel="0" collapsed="false">
      <c r="A1526" s="34" t="n">
        <v>1518</v>
      </c>
      <c r="B1526" s="35" t="s">
        <v>3074</v>
      </c>
      <c r="C1526" s="35" t="s">
        <v>3075</v>
      </c>
      <c r="D1526" s="35" t="s">
        <v>111</v>
      </c>
      <c r="E1526" s="34" t="n">
        <v>3500</v>
      </c>
      <c r="F1526" s="34" t="n">
        <v>3400</v>
      </c>
      <c r="G1526" s="34" t="n">
        <v>3800</v>
      </c>
      <c r="H1526" s="34" t="n">
        <v>4100</v>
      </c>
      <c r="I1526" s="36" t="n">
        <f aca="false">$E1526/F1526-1</f>
        <v>0.0294117647058823</v>
      </c>
      <c r="J1526" s="36" t="n">
        <f aca="false">$E1526/G1526-1</f>
        <v>-0.0789473684210527</v>
      </c>
      <c r="K1526" s="36" t="n">
        <f aca="false">$E1526/H1526-1</f>
        <v>-0.146341463414634</v>
      </c>
      <c r="L1526" s="37" t="n">
        <v>10.55</v>
      </c>
      <c r="M1526" s="37" t="n">
        <v>0.29</v>
      </c>
      <c r="N1526" s="34" t="n">
        <v>4964</v>
      </c>
      <c r="O1526" s="34" t="n">
        <v>3331</v>
      </c>
      <c r="P1526" s="38"/>
      <c r="Q1526" s="38"/>
    </row>
    <row r="1527" customFormat="false" ht="15" hidden="false" customHeight="false" outlineLevel="0" collapsed="false">
      <c r="A1527" s="34" t="n">
        <v>1519</v>
      </c>
      <c r="B1527" s="35" t="s">
        <v>3076</v>
      </c>
      <c r="C1527" s="35" t="s">
        <v>3077</v>
      </c>
      <c r="D1527" s="35" t="s">
        <v>111</v>
      </c>
      <c r="E1527" s="34" t="n">
        <v>23800</v>
      </c>
      <c r="F1527" s="34" t="n">
        <v>23745</v>
      </c>
      <c r="G1527" s="34" t="n">
        <v>23600</v>
      </c>
      <c r="H1527" s="34" t="n">
        <v>24600</v>
      </c>
      <c r="I1527" s="36" t="n">
        <f aca="false">$E1527/F1527-1</f>
        <v>0.00231627711097082</v>
      </c>
      <c r="J1527" s="36" t="n">
        <f aca="false">$E1527/G1527-1</f>
        <v>0.00847457627118642</v>
      </c>
      <c r="K1527" s="36" t="n">
        <f aca="false">$E1527/H1527-1</f>
        <v>-0.032520325203252</v>
      </c>
      <c r="L1527" s="37" t="n">
        <v>3.43</v>
      </c>
      <c r="M1527" s="37" t="n">
        <v>0.81</v>
      </c>
      <c r="N1527" s="34" t="n">
        <v>26887.91</v>
      </c>
      <c r="O1527" s="34" t="n">
        <v>22704</v>
      </c>
      <c r="P1527" s="38"/>
      <c r="Q1527" s="38"/>
    </row>
    <row r="1528" customFormat="false" ht="15" hidden="false" customHeight="false" outlineLevel="0" collapsed="false">
      <c r="A1528" s="34" t="n">
        <v>1520</v>
      </c>
      <c r="B1528" s="35" t="s">
        <v>3078</v>
      </c>
      <c r="C1528" s="35" t="s">
        <v>3079</v>
      </c>
      <c r="D1528" s="35" t="s">
        <v>111</v>
      </c>
      <c r="E1528" s="34" t="n">
        <v>8300</v>
      </c>
      <c r="F1528" s="34" t="n">
        <v>7800</v>
      </c>
      <c r="G1528" s="34" t="n">
        <v>8200</v>
      </c>
      <c r="H1528" s="34" t="n">
        <v>8463.28</v>
      </c>
      <c r="I1528" s="36" t="n">
        <f aca="false">$E1528/F1528-1</f>
        <v>0.0641025641025641</v>
      </c>
      <c r="J1528" s="36" t="n">
        <f aca="false">$E1528/G1528-1</f>
        <v>0.0121951219512195</v>
      </c>
      <c r="K1528" s="36" t="n">
        <f aca="false">$E1528/H1528-1</f>
        <v>-0.0192927564726679</v>
      </c>
      <c r="L1528" s="37" t="n">
        <v>4.91</v>
      </c>
      <c r="M1528" s="37" t="n">
        <v>0.53</v>
      </c>
      <c r="N1528" s="34" t="n">
        <v>17335.04</v>
      </c>
      <c r="O1528" s="34" t="n">
        <v>7388.1</v>
      </c>
      <c r="P1528" s="38"/>
      <c r="Q1528" s="38"/>
    </row>
    <row r="1529" customFormat="false" ht="15" hidden="false" customHeight="false" outlineLevel="0" collapsed="false">
      <c r="A1529" s="34" t="n">
        <v>1521</v>
      </c>
      <c r="B1529" s="35" t="s">
        <v>3080</v>
      </c>
      <c r="C1529" s="35" t="s">
        <v>3081</v>
      </c>
      <c r="D1529" s="35" t="s">
        <v>111</v>
      </c>
      <c r="E1529" s="34" t="n">
        <v>23200</v>
      </c>
      <c r="F1529" s="34" t="n">
        <v>23200</v>
      </c>
      <c r="G1529" s="34" t="n">
        <v>25500</v>
      </c>
      <c r="H1529" s="34" t="n">
        <v>27000</v>
      </c>
      <c r="I1529" s="36" t="n">
        <f aca="false">$E1529/F1529-1</f>
        <v>0</v>
      </c>
      <c r="J1529" s="36" t="n">
        <f aca="false">$E1529/G1529-1</f>
        <v>-0.0901960784313726</v>
      </c>
      <c r="K1529" s="36" t="n">
        <f aca="false">$E1529/H1529-1</f>
        <v>-0.140740740740741</v>
      </c>
      <c r="L1529" s="37" t="n">
        <v>9.53</v>
      </c>
      <c r="M1529" s="37" t="n">
        <v>1.04</v>
      </c>
      <c r="N1529" s="34" t="n">
        <v>36833</v>
      </c>
      <c r="O1529" s="34" t="n">
        <v>21500</v>
      </c>
      <c r="P1529" s="38"/>
      <c r="Q1529" s="38"/>
    </row>
    <row r="1530" customFormat="false" ht="15" hidden="false" customHeight="false" outlineLevel="0" collapsed="false">
      <c r="A1530" s="34" t="n">
        <v>1522</v>
      </c>
      <c r="B1530" s="35" t="s">
        <v>3082</v>
      </c>
      <c r="C1530" s="35" t="s">
        <v>3083</v>
      </c>
      <c r="D1530" s="35" t="s">
        <v>111</v>
      </c>
      <c r="E1530" s="34" t="n">
        <v>20200</v>
      </c>
      <c r="F1530" s="34" t="n">
        <v>20200</v>
      </c>
      <c r="G1530" s="34" t="n">
        <v>32600</v>
      </c>
      <c r="H1530" s="34" t="n">
        <v>84100</v>
      </c>
      <c r="I1530" s="36" t="n">
        <f aca="false">$E1530/F1530-1</f>
        <v>0</v>
      </c>
      <c r="J1530" s="36" t="n">
        <f aca="false">$E1530/G1530-1</f>
        <v>-0.380368098159509</v>
      </c>
      <c r="K1530" s="36" t="n">
        <f aca="false">$E1530/H1530-1</f>
        <v>-0.759809750297265</v>
      </c>
      <c r="L1530" s="37" t="n">
        <v>11.13</v>
      </c>
      <c r="M1530" s="37" t="n">
        <v>1.49</v>
      </c>
      <c r="N1530" s="34" t="n">
        <v>84100.86</v>
      </c>
      <c r="O1530" s="34" t="n">
        <v>20200</v>
      </c>
      <c r="P1530" s="38"/>
      <c r="Q1530" s="38"/>
    </row>
    <row r="1531" customFormat="false" ht="15" hidden="false" customHeight="false" outlineLevel="0" collapsed="false">
      <c r="A1531" s="34" t="n">
        <v>1523</v>
      </c>
      <c r="B1531" s="35" t="s">
        <v>3084</v>
      </c>
      <c r="C1531" s="35" t="s">
        <v>3085</v>
      </c>
      <c r="D1531" s="35" t="s">
        <v>111</v>
      </c>
      <c r="E1531" s="34" t="n">
        <v>404</v>
      </c>
      <c r="F1531" s="34" t="n">
        <v>500</v>
      </c>
      <c r="G1531" s="34" t="n">
        <v>500</v>
      </c>
      <c r="H1531" s="34" t="n">
        <v>400</v>
      </c>
      <c r="I1531" s="36" t="n">
        <f aca="false">$E1531/F1531-1</f>
        <v>-0.192</v>
      </c>
      <c r="J1531" s="36" t="n">
        <f aca="false">$E1531/G1531-1</f>
        <v>-0.192</v>
      </c>
      <c r="K1531" s="36" t="n">
        <f aca="false">$E1531/H1531-1</f>
        <v>0.01</v>
      </c>
      <c r="L1531" s="37" t="n">
        <v>-0.31</v>
      </c>
      <c r="M1531" s="37" t="n">
        <v>-0.01</v>
      </c>
      <c r="N1531" s="34" t="n">
        <v>700</v>
      </c>
      <c r="O1531" s="34" t="n">
        <v>400</v>
      </c>
      <c r="P1531" s="38"/>
      <c r="Q1531" s="38"/>
    </row>
    <row r="1532" customFormat="false" ht="15" hidden="false" customHeight="false" outlineLevel="0" collapsed="false">
      <c r="A1532" s="34" t="n">
        <v>1524</v>
      </c>
      <c r="B1532" s="35" t="s">
        <v>3086</v>
      </c>
      <c r="C1532" s="35" t="s">
        <v>3087</v>
      </c>
      <c r="D1532" s="35" t="s">
        <v>111</v>
      </c>
      <c r="E1532" s="34" t="n">
        <v>600</v>
      </c>
      <c r="F1532" s="34" t="n">
        <v>633</v>
      </c>
      <c r="G1532" s="34" t="n">
        <v>600</v>
      </c>
      <c r="H1532" s="34" t="n">
        <v>600</v>
      </c>
      <c r="I1532" s="36" t="n">
        <f aca="false">$E1532/F1532-1</f>
        <v>-0.0521327014218009</v>
      </c>
      <c r="J1532" s="36" t="n">
        <f aca="false">$E1532/G1532-1</f>
        <v>0</v>
      </c>
      <c r="K1532" s="36" t="n">
        <f aca="false">$E1532/H1532-1</f>
        <v>0</v>
      </c>
      <c r="L1532" s="37" t="n">
        <v>-1.48</v>
      </c>
      <c r="M1532" s="37" t="n">
        <v>0.29</v>
      </c>
      <c r="N1532" s="34" t="n">
        <v>800</v>
      </c>
      <c r="O1532" s="34" t="n">
        <v>500</v>
      </c>
      <c r="P1532" s="38"/>
      <c r="Q1532" s="38"/>
    </row>
    <row r="1533" customFormat="false" ht="15" hidden="false" customHeight="false" outlineLevel="0" collapsed="false">
      <c r="A1533" s="34" t="n">
        <v>1525</v>
      </c>
      <c r="B1533" s="35" t="s">
        <v>3088</v>
      </c>
      <c r="C1533" s="35" t="s">
        <v>3089</v>
      </c>
      <c r="D1533" s="35" t="s">
        <v>111</v>
      </c>
      <c r="E1533" s="34" t="n">
        <v>1536</v>
      </c>
      <c r="F1533" s="34" t="n">
        <v>1413</v>
      </c>
      <c r="G1533" s="34" t="n">
        <v>1600</v>
      </c>
      <c r="H1533" s="34" t="n">
        <v>1700</v>
      </c>
      <c r="I1533" s="36" t="n">
        <f aca="false">$E1533/F1533-1</f>
        <v>0.0870488322717622</v>
      </c>
      <c r="J1533" s="36" t="n">
        <f aca="false">$E1533/G1533-1</f>
        <v>-0.04</v>
      </c>
      <c r="K1533" s="36" t="n">
        <f aca="false">$E1533/H1533-1</f>
        <v>-0.0964705882352941</v>
      </c>
      <c r="L1533" s="37" t="n">
        <v>-30.98</v>
      </c>
      <c r="M1533" s="37" t="n">
        <v>5.02</v>
      </c>
      <c r="N1533" s="34" t="n">
        <v>2900</v>
      </c>
      <c r="O1533" s="34" t="n">
        <v>1400</v>
      </c>
      <c r="P1533" s="38"/>
      <c r="Q1533" s="38"/>
    </row>
    <row r="1534" customFormat="false" ht="15" hidden="false" customHeight="false" outlineLevel="0" collapsed="false">
      <c r="A1534" s="34" t="n">
        <v>1526</v>
      </c>
      <c r="B1534" s="35" t="s">
        <v>3090</v>
      </c>
      <c r="C1534" s="35" t="s">
        <v>3091</v>
      </c>
      <c r="D1534" s="35" t="s">
        <v>111</v>
      </c>
      <c r="E1534" s="34" t="n">
        <v>1373</v>
      </c>
      <c r="F1534" s="34" t="n">
        <v>1290</v>
      </c>
      <c r="G1534" s="34" t="n">
        <v>1400</v>
      </c>
      <c r="H1534" s="34" t="n">
        <v>1400</v>
      </c>
      <c r="I1534" s="36" t="n">
        <f aca="false">$E1534/F1534-1</f>
        <v>0.0643410852713178</v>
      </c>
      <c r="J1534" s="36" t="n">
        <f aca="false">$E1534/G1534-1</f>
        <v>-0.0192857142857142</v>
      </c>
      <c r="K1534" s="36" t="n">
        <f aca="false">$E1534/H1534-1</f>
        <v>-0.0192857142857142</v>
      </c>
      <c r="L1534" s="37" t="n">
        <v>21.94</v>
      </c>
      <c r="M1534" s="37" t="n">
        <v>0.47</v>
      </c>
      <c r="N1534" s="34" t="n">
        <v>2100</v>
      </c>
      <c r="O1534" s="34" t="n">
        <v>1290</v>
      </c>
      <c r="P1534" s="38"/>
      <c r="Q1534" s="38"/>
    </row>
    <row r="1535" customFormat="false" ht="15" hidden="false" customHeight="false" outlineLevel="0" collapsed="false">
      <c r="A1535" s="34" t="n">
        <v>1527</v>
      </c>
      <c r="B1535" s="35" t="s">
        <v>3092</v>
      </c>
      <c r="C1535" s="35" t="s">
        <v>3093</v>
      </c>
      <c r="D1535" s="35" t="s">
        <v>116</v>
      </c>
      <c r="E1535" s="34" t="n">
        <v>12150</v>
      </c>
      <c r="F1535" s="34" t="n">
        <v>12150</v>
      </c>
      <c r="G1535" s="34" t="n">
        <v>12650</v>
      </c>
      <c r="H1535" s="34" t="n">
        <v>15400</v>
      </c>
      <c r="I1535" s="36" t="n">
        <f aca="false">$E1535/F1535-1</f>
        <v>0</v>
      </c>
      <c r="J1535" s="36" t="n">
        <f aca="false">$E1535/G1535-1</f>
        <v>-0.0395256916996047</v>
      </c>
      <c r="K1535" s="36" t="n">
        <f aca="false">$E1535/H1535-1</f>
        <v>-0.211038961038961</v>
      </c>
      <c r="L1535" s="37" t="n">
        <v>4.47</v>
      </c>
      <c r="M1535" s="37" t="n">
        <v>0.55</v>
      </c>
      <c r="N1535" s="34" t="n">
        <v>17650</v>
      </c>
      <c r="O1535" s="34" t="n">
        <v>11950</v>
      </c>
      <c r="P1535" s="38"/>
      <c r="Q1535" s="38"/>
    </row>
    <row r="1536" customFormat="false" ht="15" hidden="false" customHeight="false" outlineLevel="0" collapsed="false">
      <c r="A1536" s="34" t="n">
        <v>1528</v>
      </c>
      <c r="B1536" s="35" t="s">
        <v>3094</v>
      </c>
      <c r="C1536" s="35" t="s">
        <v>3095</v>
      </c>
      <c r="D1536" s="35" t="s">
        <v>133</v>
      </c>
      <c r="E1536" s="34" t="n">
        <v>10500</v>
      </c>
      <c r="F1536" s="34" t="n">
        <v>10500</v>
      </c>
      <c r="G1536" s="34" t="n">
        <v>10500</v>
      </c>
      <c r="H1536" s="34" t="n">
        <v>8300</v>
      </c>
      <c r="I1536" s="36" t="n">
        <f aca="false">$E1536/F1536-1</f>
        <v>0</v>
      </c>
      <c r="J1536" s="36" t="n">
        <f aca="false">$E1536/G1536-1</f>
        <v>0</v>
      </c>
      <c r="K1536" s="36" t="n">
        <f aca="false">$E1536/H1536-1</f>
        <v>0.265060240963855</v>
      </c>
      <c r="L1536" s="37" t="n">
        <v>-16.45</v>
      </c>
      <c r="M1536" s="37" t="n">
        <v>0.95</v>
      </c>
      <c r="N1536" s="34" t="n">
        <v>11200</v>
      </c>
      <c r="O1536" s="34" t="n">
        <v>7100</v>
      </c>
      <c r="P1536" s="38"/>
      <c r="Q1536" s="38"/>
    </row>
    <row r="1537" customFormat="false" ht="15" hidden="false" customHeight="false" outlineLevel="0" collapsed="false">
      <c r="A1537" s="34" t="n">
        <v>1529</v>
      </c>
      <c r="B1537" s="35" t="s">
        <v>3096</v>
      </c>
      <c r="C1537" s="35" t="s">
        <v>3097</v>
      </c>
      <c r="D1537" s="35" t="s">
        <v>111</v>
      </c>
      <c r="E1537" s="34" t="n">
        <v>8000</v>
      </c>
      <c r="F1537" s="34" t="n">
        <v>8000</v>
      </c>
      <c r="G1537" s="34" t="n">
        <v>8000</v>
      </c>
      <c r="H1537" s="34" t="n">
        <v>8000</v>
      </c>
      <c r="I1537" s="36" t="n">
        <f aca="false">$E1537/F1537-1</f>
        <v>0</v>
      </c>
      <c r="J1537" s="36" t="n">
        <f aca="false">$E1537/G1537-1</f>
        <v>0</v>
      </c>
      <c r="K1537" s="36" t="n">
        <f aca="false">$E1537/H1537-1</f>
        <v>0</v>
      </c>
      <c r="L1537" s="37" t="n">
        <v>-38.96</v>
      </c>
      <c r="M1537" s="37" t="n">
        <v>0.71</v>
      </c>
      <c r="N1537" s="34" t="n">
        <v>8000</v>
      </c>
      <c r="O1537" s="34" t="n">
        <v>8000</v>
      </c>
      <c r="P1537" s="38"/>
      <c r="Q1537" s="38"/>
    </row>
    <row r="1538" customFormat="false" ht="15" hidden="false" customHeight="false" outlineLevel="0" collapsed="false">
      <c r="A1538" s="34" t="n">
        <v>1530</v>
      </c>
      <c r="B1538" s="35" t="s">
        <v>3098</v>
      </c>
      <c r="C1538" s="35" t="s">
        <v>3099</v>
      </c>
      <c r="D1538" s="35" t="s">
        <v>111</v>
      </c>
      <c r="E1538" s="34" t="n">
        <v>1300</v>
      </c>
      <c r="F1538" s="34" t="n">
        <v>1300</v>
      </c>
      <c r="G1538" s="34" t="n">
        <v>1300</v>
      </c>
      <c r="H1538" s="34" t="n">
        <v>1300</v>
      </c>
      <c r="I1538" s="36" t="n">
        <f aca="false">$E1538/F1538-1</f>
        <v>0</v>
      </c>
      <c r="J1538" s="36" t="n">
        <f aca="false">$E1538/G1538-1</f>
        <v>0</v>
      </c>
      <c r="K1538" s="36" t="n">
        <f aca="false">$E1538/H1538-1</f>
        <v>0</v>
      </c>
      <c r="L1538" s="37" t="n">
        <v>-1.96</v>
      </c>
      <c r="M1538" s="37" t="n">
        <v>0.28</v>
      </c>
      <c r="N1538" s="34" t="n">
        <v>1400</v>
      </c>
      <c r="O1538" s="34" t="n">
        <v>1098</v>
      </c>
      <c r="P1538" s="38"/>
      <c r="Q1538" s="38"/>
    </row>
    <row r="1539" customFormat="false" ht="15" hidden="false" customHeight="false" outlineLevel="0" collapsed="false">
      <c r="A1539" s="34" t="n">
        <v>1531</v>
      </c>
      <c r="B1539" s="35" t="s">
        <v>3100</v>
      </c>
      <c r="C1539" s="35" t="s">
        <v>3101</v>
      </c>
      <c r="D1539" s="35" t="s">
        <v>111</v>
      </c>
      <c r="E1539" s="34"/>
      <c r="F1539" s="34"/>
      <c r="G1539" s="34"/>
      <c r="H1539" s="34"/>
      <c r="I1539" s="36" t="e">
        <f aca="false">$E1539/F1539-1</f>
        <v>#DIV/0!</v>
      </c>
      <c r="J1539" s="36" t="e">
        <f aca="false">$E1539/G1539-1</f>
        <v>#DIV/0!</v>
      </c>
      <c r="K1539" s="36" t="e">
        <f aca="false">$E1539/H1539-1</f>
        <v>#DIV/0!</v>
      </c>
      <c r="L1539" s="37"/>
      <c r="M1539" s="37"/>
      <c r="N1539" s="34"/>
      <c r="O1539" s="34"/>
      <c r="P1539" s="38"/>
      <c r="Q1539" s="38"/>
    </row>
    <row r="1540" customFormat="false" ht="15" hidden="false" customHeight="false" outlineLevel="0" collapsed="false">
      <c r="A1540" s="34" t="n">
        <v>1532</v>
      </c>
      <c r="B1540" s="35" t="s">
        <v>3102</v>
      </c>
      <c r="C1540" s="35" t="s">
        <v>3103</v>
      </c>
      <c r="D1540" s="35" t="s">
        <v>133</v>
      </c>
      <c r="E1540" s="34" t="n">
        <v>10100</v>
      </c>
      <c r="F1540" s="34" t="n">
        <v>10200</v>
      </c>
      <c r="G1540" s="34" t="n">
        <v>9995.52</v>
      </c>
      <c r="H1540" s="34" t="n">
        <v>10784.64</v>
      </c>
      <c r="I1540" s="36" t="n">
        <f aca="false">$E1540/F1540-1</f>
        <v>-0.00980392156862742</v>
      </c>
      <c r="J1540" s="36" t="n">
        <f aca="false">$E1540/G1540-1</f>
        <v>0.0104526828018952</v>
      </c>
      <c r="K1540" s="36" t="n">
        <f aca="false">$E1540/H1540-1</f>
        <v>-0.0634828793543409</v>
      </c>
      <c r="L1540" s="37" t="n">
        <v>5.49</v>
      </c>
      <c r="M1540" s="37" t="n">
        <v>0.85</v>
      </c>
      <c r="N1540" s="34" t="n">
        <v>12086.95</v>
      </c>
      <c r="O1540" s="34" t="n">
        <v>9820.16</v>
      </c>
      <c r="P1540" s="38"/>
      <c r="Q1540" s="38"/>
    </row>
    <row r="1541" customFormat="false" ht="15" hidden="false" customHeight="false" outlineLevel="0" collapsed="false">
      <c r="A1541" s="34" t="n">
        <v>1533</v>
      </c>
      <c r="B1541" s="35" t="s">
        <v>3104</v>
      </c>
      <c r="C1541" s="35" t="s">
        <v>3105</v>
      </c>
      <c r="D1541" s="35" t="s">
        <v>111</v>
      </c>
      <c r="E1541" s="34" t="n">
        <v>6200</v>
      </c>
      <c r="F1541" s="34" t="n">
        <v>7200</v>
      </c>
      <c r="G1541" s="34" t="n">
        <v>5300</v>
      </c>
      <c r="H1541" s="34" t="n">
        <v>4000</v>
      </c>
      <c r="I1541" s="36" t="n">
        <f aca="false">$E1541/F1541-1</f>
        <v>-0.138888888888889</v>
      </c>
      <c r="J1541" s="36" t="n">
        <f aca="false">$E1541/G1541-1</f>
        <v>0.169811320754717</v>
      </c>
      <c r="K1541" s="36" t="n">
        <f aca="false">$E1541/H1541-1</f>
        <v>0.55</v>
      </c>
      <c r="L1541" s="37" t="n">
        <v>103.32</v>
      </c>
      <c r="M1541" s="37" t="n">
        <v>0.46</v>
      </c>
      <c r="N1541" s="34" t="n">
        <v>7200</v>
      </c>
      <c r="O1541" s="34" t="n">
        <v>2300</v>
      </c>
      <c r="P1541" s="38"/>
      <c r="Q1541" s="38"/>
    </row>
    <row r="1542" customFormat="false" ht="15" hidden="false" customHeight="false" outlineLevel="0" collapsed="false">
      <c r="A1542" s="34" t="n">
        <v>1534</v>
      </c>
      <c r="B1542" s="35" t="s">
        <v>3106</v>
      </c>
      <c r="C1542" s="35" t="s">
        <v>3107</v>
      </c>
      <c r="D1542" s="35" t="s">
        <v>111</v>
      </c>
      <c r="E1542" s="34" t="n">
        <v>2000</v>
      </c>
      <c r="F1542" s="34" t="n">
        <v>2000</v>
      </c>
      <c r="G1542" s="34" t="n">
        <v>2000</v>
      </c>
      <c r="H1542" s="34" t="n">
        <v>1900</v>
      </c>
      <c r="I1542" s="36" t="n">
        <f aca="false">$E1542/F1542-1</f>
        <v>0</v>
      </c>
      <c r="J1542" s="36" t="n">
        <f aca="false">$E1542/G1542-1</f>
        <v>0</v>
      </c>
      <c r="K1542" s="36" t="n">
        <f aca="false">$E1542/H1542-1</f>
        <v>0.0526315789473684</v>
      </c>
      <c r="L1542" s="37" t="n">
        <v>7.57</v>
      </c>
      <c r="M1542" s="37" t="n">
        <v>0.17</v>
      </c>
      <c r="N1542" s="34" t="n">
        <v>2100</v>
      </c>
      <c r="O1542" s="34" t="n">
        <v>1300</v>
      </c>
      <c r="P1542" s="38"/>
      <c r="Q1542" s="38"/>
    </row>
    <row r="1543" customFormat="false" ht="15" hidden="false" customHeight="false" outlineLevel="0" collapsed="false">
      <c r="A1543" s="34" t="n">
        <v>1535</v>
      </c>
      <c r="B1543" s="35" t="s">
        <v>3108</v>
      </c>
      <c r="C1543" s="35" t="s">
        <v>3109</v>
      </c>
      <c r="D1543" s="35" t="s">
        <v>111</v>
      </c>
      <c r="E1543" s="34" t="n">
        <v>29000</v>
      </c>
      <c r="F1543" s="34" t="n">
        <v>29503</v>
      </c>
      <c r="G1543" s="34" t="n">
        <v>31709</v>
      </c>
      <c r="H1543" s="34" t="n">
        <v>34835</v>
      </c>
      <c r="I1543" s="36" t="n">
        <f aca="false">$E1543/F1543-1</f>
        <v>-0.0170491136494594</v>
      </c>
      <c r="J1543" s="36" t="n">
        <f aca="false">$E1543/G1543-1</f>
        <v>-0.0854331577785487</v>
      </c>
      <c r="K1543" s="36" t="n">
        <f aca="false">$E1543/H1543-1</f>
        <v>-0.167503947179561</v>
      </c>
      <c r="L1543" s="37" t="n">
        <v>2.32</v>
      </c>
      <c r="M1543" s="37" t="n">
        <v>0.49</v>
      </c>
      <c r="N1543" s="34" t="n">
        <v>48950</v>
      </c>
      <c r="O1543" s="34" t="n">
        <v>29000</v>
      </c>
      <c r="P1543" s="38"/>
      <c r="Q1543" s="38"/>
    </row>
    <row r="1544" customFormat="false" ht="15" hidden="false" customHeight="false" outlineLevel="0" collapsed="false">
      <c r="A1544" s="34" t="n">
        <v>1536</v>
      </c>
      <c r="B1544" s="35" t="s">
        <v>3110</v>
      </c>
      <c r="C1544" s="35" t="s">
        <v>3111</v>
      </c>
      <c r="D1544" s="35" t="s">
        <v>111</v>
      </c>
      <c r="E1544" s="34" t="n">
        <v>74500</v>
      </c>
      <c r="F1544" s="34" t="n">
        <v>74500</v>
      </c>
      <c r="G1544" s="34" t="n">
        <v>74500</v>
      </c>
      <c r="H1544" s="34" t="n">
        <v>46746.6</v>
      </c>
      <c r="I1544" s="36" t="n">
        <f aca="false">$E1544/F1544-1</f>
        <v>0</v>
      </c>
      <c r="J1544" s="36" t="n">
        <f aca="false">$E1544/G1544-1</f>
        <v>0</v>
      </c>
      <c r="K1544" s="36" t="n">
        <f aca="false">$E1544/H1544-1</f>
        <v>0.593698793067303</v>
      </c>
      <c r="L1544" s="37" t="n">
        <v>7.64</v>
      </c>
      <c r="M1544" s="37" t="n">
        <v>2.8</v>
      </c>
      <c r="N1544" s="34" t="n">
        <v>74500</v>
      </c>
      <c r="O1544" s="34" t="n">
        <v>41247</v>
      </c>
      <c r="P1544" s="38"/>
      <c r="Q1544" s="38"/>
    </row>
    <row r="1545" customFormat="false" ht="15" hidden="false" customHeight="false" outlineLevel="0" collapsed="false">
      <c r="A1545" s="34" t="n">
        <v>1537</v>
      </c>
      <c r="B1545" s="35" t="s">
        <v>3112</v>
      </c>
      <c r="C1545" s="35" t="s">
        <v>3113</v>
      </c>
      <c r="D1545" s="35" t="s">
        <v>111</v>
      </c>
      <c r="E1545" s="34" t="n">
        <v>3300</v>
      </c>
      <c r="F1545" s="34" t="n">
        <v>3300</v>
      </c>
      <c r="G1545" s="34" t="n">
        <v>2900</v>
      </c>
      <c r="H1545" s="34" t="n">
        <v>3000</v>
      </c>
      <c r="I1545" s="36" t="n">
        <f aca="false">$E1545/F1545-1</f>
        <v>0</v>
      </c>
      <c r="J1545" s="36" t="n">
        <f aca="false">$E1545/G1545-1</f>
        <v>0.137931034482759</v>
      </c>
      <c r="K1545" s="36" t="n">
        <f aca="false">$E1545/H1545-1</f>
        <v>0.1</v>
      </c>
      <c r="L1545" s="37" t="n">
        <v>-0.26</v>
      </c>
      <c r="M1545" s="37" t="n">
        <v>-0.06</v>
      </c>
      <c r="N1545" s="34" t="n">
        <v>3800</v>
      </c>
      <c r="O1545" s="34" t="n">
        <v>1800</v>
      </c>
      <c r="P1545" s="38"/>
      <c r="Q1545" s="38"/>
    </row>
    <row r="1546" customFormat="false" ht="15" hidden="false" customHeight="false" outlineLevel="0" collapsed="false">
      <c r="A1546" s="34" t="n">
        <v>1538</v>
      </c>
      <c r="B1546" s="35" t="s">
        <v>3114</v>
      </c>
      <c r="C1546" s="35" t="s">
        <v>3115</v>
      </c>
      <c r="D1546" s="35" t="s">
        <v>111</v>
      </c>
      <c r="E1546" s="34" t="n">
        <v>25910</v>
      </c>
      <c r="F1546" s="34" t="n">
        <v>26400</v>
      </c>
      <c r="G1546" s="34" t="n">
        <v>27543</v>
      </c>
      <c r="H1546" s="34" t="n">
        <v>34963.35</v>
      </c>
      <c r="I1546" s="36" t="n">
        <f aca="false">$E1546/F1546-1</f>
        <v>-0.0185606060606061</v>
      </c>
      <c r="J1546" s="36" t="n">
        <f aca="false">$E1546/G1546-1</f>
        <v>-0.059289111570998</v>
      </c>
      <c r="K1546" s="36" t="n">
        <f aca="false">$E1546/H1546-1</f>
        <v>-0.25893828823611</v>
      </c>
      <c r="L1546" s="37" t="n">
        <v>19.68</v>
      </c>
      <c r="M1546" s="37" t="n">
        <v>1.66</v>
      </c>
      <c r="N1546" s="34" t="n">
        <v>39774.11</v>
      </c>
      <c r="O1546" s="34" t="n">
        <v>25662</v>
      </c>
      <c r="P1546" s="38"/>
      <c r="Q1546" s="38"/>
    </row>
    <row r="1547" customFormat="false" ht="15" hidden="false" customHeight="false" outlineLevel="0" collapsed="false">
      <c r="A1547" s="34" t="n">
        <v>1539</v>
      </c>
      <c r="B1547" s="35" t="s">
        <v>3116</v>
      </c>
      <c r="C1547" s="35" t="s">
        <v>3117</v>
      </c>
      <c r="D1547" s="35" t="s">
        <v>111</v>
      </c>
      <c r="E1547" s="34" t="n">
        <v>4200</v>
      </c>
      <c r="F1547" s="34" t="n">
        <v>3900</v>
      </c>
      <c r="G1547" s="34" t="n">
        <v>3000</v>
      </c>
      <c r="H1547" s="34" t="n">
        <v>5783</v>
      </c>
      <c r="I1547" s="36" t="n">
        <f aca="false">$E1547/F1547-1</f>
        <v>0.0769230769230769</v>
      </c>
      <c r="J1547" s="36" t="n">
        <f aca="false">$E1547/G1547-1</f>
        <v>0.4</v>
      </c>
      <c r="K1547" s="36" t="n">
        <f aca="false">$E1547/H1547-1</f>
        <v>-0.273733356389417</v>
      </c>
      <c r="L1547" s="37" t="n">
        <v>-0.76</v>
      </c>
      <c r="M1547" s="37" t="n">
        <v>1.39</v>
      </c>
      <c r="N1547" s="34" t="n">
        <v>7172</v>
      </c>
      <c r="O1547" s="34" t="n">
        <v>3000</v>
      </c>
      <c r="P1547" s="38"/>
      <c r="Q1547" s="38"/>
    </row>
    <row r="1548" customFormat="false" ht="15" hidden="false" customHeight="false" outlineLevel="0" collapsed="false">
      <c r="A1548" s="34" t="n">
        <v>1540</v>
      </c>
      <c r="B1548" s="35" t="s">
        <v>3118</v>
      </c>
      <c r="C1548" s="35" t="s">
        <v>3119</v>
      </c>
      <c r="D1548" s="35" t="s">
        <v>111</v>
      </c>
      <c r="E1548" s="34" t="n">
        <v>13700</v>
      </c>
      <c r="F1548" s="34" t="n">
        <v>13738</v>
      </c>
      <c r="G1548" s="34" t="n">
        <v>16000</v>
      </c>
      <c r="H1548" s="34" t="n">
        <v>16000</v>
      </c>
      <c r="I1548" s="36" t="n">
        <f aca="false">$E1548/F1548-1</f>
        <v>-0.00276605037123312</v>
      </c>
      <c r="J1548" s="36" t="n">
        <f aca="false">$E1548/G1548-1</f>
        <v>-0.14375</v>
      </c>
      <c r="K1548" s="36" t="n">
        <f aca="false">$E1548/H1548-1</f>
        <v>-0.14375</v>
      </c>
      <c r="L1548" s="37" t="n">
        <v>186.84</v>
      </c>
      <c r="M1548" s="37" t="n">
        <v>0.91</v>
      </c>
      <c r="N1548" s="34" t="n">
        <v>16000</v>
      </c>
      <c r="O1548" s="34" t="n">
        <v>13700</v>
      </c>
      <c r="P1548" s="38"/>
      <c r="Q1548" s="38"/>
    </row>
    <row r="1549" customFormat="false" ht="15" hidden="false" customHeight="false" outlineLevel="0" collapsed="false">
      <c r="A1549" s="34" t="n">
        <v>1541</v>
      </c>
      <c r="B1549" s="35" t="s">
        <v>3120</v>
      </c>
      <c r="C1549" s="35" t="s">
        <v>3121</v>
      </c>
      <c r="D1549" s="35" t="s">
        <v>111</v>
      </c>
      <c r="E1549" s="34" t="n">
        <v>7750</v>
      </c>
      <c r="F1549" s="34" t="n">
        <v>8000</v>
      </c>
      <c r="G1549" s="34" t="n">
        <v>9167.13</v>
      </c>
      <c r="H1549" s="34" t="n">
        <v>12563.66</v>
      </c>
      <c r="I1549" s="36" t="n">
        <f aca="false">$E1549/F1549-1</f>
        <v>-0.03125</v>
      </c>
      <c r="J1549" s="36" t="n">
        <f aca="false">$E1549/G1549-1</f>
        <v>-0.154588186269858</v>
      </c>
      <c r="K1549" s="36" t="n">
        <f aca="false">$E1549/H1549-1</f>
        <v>-0.383141536781479</v>
      </c>
      <c r="L1549" s="37" t="n">
        <v>9.7</v>
      </c>
      <c r="M1549" s="37" t="n">
        <v>0.65</v>
      </c>
      <c r="N1549" s="34" t="n">
        <v>14360.26</v>
      </c>
      <c r="O1549" s="34" t="n">
        <v>7614</v>
      </c>
      <c r="P1549" s="38"/>
      <c r="Q1549" s="38"/>
    </row>
    <row r="1550" customFormat="false" ht="15" hidden="false" customHeight="false" outlineLevel="0" collapsed="false">
      <c r="A1550" s="34" t="n">
        <v>1542</v>
      </c>
      <c r="B1550" s="35" t="s">
        <v>3122</v>
      </c>
      <c r="C1550" s="35" t="s">
        <v>3123</v>
      </c>
      <c r="D1550" s="35" t="s">
        <v>111</v>
      </c>
      <c r="E1550" s="34" t="n">
        <v>8200</v>
      </c>
      <c r="F1550" s="34" t="n">
        <v>9600</v>
      </c>
      <c r="G1550" s="34" t="n">
        <v>8500</v>
      </c>
      <c r="H1550" s="34" t="n">
        <v>11700</v>
      </c>
      <c r="I1550" s="36" t="n">
        <f aca="false">$E1550/F1550-1</f>
        <v>-0.145833333333333</v>
      </c>
      <c r="J1550" s="36" t="n">
        <f aca="false">$E1550/G1550-1</f>
        <v>-0.0352941176470588</v>
      </c>
      <c r="K1550" s="36" t="n">
        <f aca="false">$E1550/H1550-1</f>
        <v>-0.299145299145299</v>
      </c>
      <c r="L1550" s="37" t="n">
        <v>14.58</v>
      </c>
      <c r="M1550" s="37" t="n">
        <v>0.69</v>
      </c>
      <c r="N1550" s="34" t="n">
        <v>13100</v>
      </c>
      <c r="O1550" s="34" t="n">
        <v>8000</v>
      </c>
      <c r="P1550" s="38"/>
      <c r="Q1550" s="38"/>
    </row>
    <row r="1551" customFormat="false" ht="15" hidden="false" customHeight="false" outlineLevel="0" collapsed="false">
      <c r="A1551" s="34" t="n">
        <v>1543</v>
      </c>
      <c r="B1551" s="35" t="s">
        <v>3124</v>
      </c>
      <c r="C1551" s="35" t="s">
        <v>3125</v>
      </c>
      <c r="D1551" s="35" t="s">
        <v>133</v>
      </c>
      <c r="E1551" s="34" t="n">
        <v>45300</v>
      </c>
      <c r="F1551" s="34" t="n">
        <v>45600</v>
      </c>
      <c r="G1551" s="34" t="n">
        <v>46900</v>
      </c>
      <c r="H1551" s="34" t="n">
        <v>58600</v>
      </c>
      <c r="I1551" s="36" t="n">
        <f aca="false">$E1551/F1551-1</f>
        <v>-0.00657894736842102</v>
      </c>
      <c r="J1551" s="36" t="n">
        <f aca="false">$E1551/G1551-1</f>
        <v>-0.0341151385927505</v>
      </c>
      <c r="K1551" s="36" t="n">
        <f aca="false">$E1551/H1551-1</f>
        <v>-0.226962457337884</v>
      </c>
      <c r="L1551" s="37" t="n">
        <v>13.74</v>
      </c>
      <c r="M1551" s="37" t="n">
        <v>2.09</v>
      </c>
      <c r="N1551" s="34" t="n">
        <v>60050</v>
      </c>
      <c r="O1551" s="34" t="n">
        <v>43100</v>
      </c>
      <c r="P1551" s="38"/>
      <c r="Q1551" s="38"/>
    </row>
    <row r="1552" customFormat="false" ht="15" hidden="false" customHeight="false" outlineLevel="0" collapsed="false">
      <c r="A1552" s="34" t="n">
        <v>1544</v>
      </c>
      <c r="B1552" s="35" t="s">
        <v>3126</v>
      </c>
      <c r="C1552" s="35" t="s">
        <v>3127</v>
      </c>
      <c r="D1552" s="35" t="s">
        <v>116</v>
      </c>
      <c r="E1552" s="34" t="n">
        <v>28450</v>
      </c>
      <c r="F1552" s="34" t="n">
        <v>29650</v>
      </c>
      <c r="G1552" s="34" t="n">
        <v>33150</v>
      </c>
      <c r="H1552" s="34" t="n">
        <v>39336.49</v>
      </c>
      <c r="I1552" s="36" t="n">
        <f aca="false">$E1552/F1552-1</f>
        <v>-0.0404721753794266</v>
      </c>
      <c r="J1552" s="36" t="n">
        <f aca="false">$E1552/G1552-1</f>
        <v>-0.141779788838612</v>
      </c>
      <c r="K1552" s="36" t="n">
        <f aca="false">$E1552/H1552-1</f>
        <v>-0.276752958893892</v>
      </c>
      <c r="L1552" s="37" t="n">
        <v>6.73</v>
      </c>
      <c r="M1552" s="37" t="n">
        <v>1.31</v>
      </c>
      <c r="N1552" s="34" t="n">
        <v>45330.95</v>
      </c>
      <c r="O1552" s="34" t="n">
        <v>28200</v>
      </c>
      <c r="P1552" s="38"/>
      <c r="Q1552" s="38"/>
    </row>
    <row r="1553" customFormat="false" ht="15" hidden="false" customHeight="false" outlineLevel="0" collapsed="false">
      <c r="A1553" s="34" t="n">
        <v>1545</v>
      </c>
      <c r="B1553" s="35" t="s">
        <v>3128</v>
      </c>
      <c r="C1553" s="35" t="s">
        <v>3129</v>
      </c>
      <c r="D1553" s="35" t="s">
        <v>111</v>
      </c>
      <c r="E1553" s="34"/>
      <c r="F1553" s="34"/>
      <c r="G1553" s="34"/>
      <c r="H1553" s="34"/>
      <c r="I1553" s="36" t="e">
        <f aca="false">$E1553/F1553-1</f>
        <v>#DIV/0!</v>
      </c>
      <c r="J1553" s="36" t="e">
        <f aca="false">$E1553/G1553-1</f>
        <v>#DIV/0!</v>
      </c>
      <c r="K1553" s="36" t="e">
        <f aca="false">$E1553/H1553-1</f>
        <v>#DIV/0!</v>
      </c>
      <c r="L1553" s="37"/>
      <c r="M1553" s="37"/>
      <c r="N1553" s="34"/>
      <c r="O1553" s="34"/>
      <c r="P1553" s="38"/>
      <c r="Q1553" s="38"/>
    </row>
    <row r="1554" customFormat="false" ht="15" hidden="false" customHeight="false" outlineLevel="0" collapsed="false">
      <c r="A1554" s="34" t="n">
        <v>1546</v>
      </c>
      <c r="B1554" s="35" t="s">
        <v>3130</v>
      </c>
      <c r="C1554" s="35" t="s">
        <v>3131</v>
      </c>
      <c r="D1554" s="35" t="s">
        <v>111</v>
      </c>
      <c r="E1554" s="34"/>
      <c r="F1554" s="34"/>
      <c r="G1554" s="34"/>
      <c r="H1554" s="34"/>
      <c r="I1554" s="36" t="e">
        <f aca="false">$E1554/F1554-1</f>
        <v>#DIV/0!</v>
      </c>
      <c r="J1554" s="36" t="e">
        <f aca="false">$E1554/G1554-1</f>
        <v>#DIV/0!</v>
      </c>
      <c r="K1554" s="36" t="e">
        <f aca="false">$E1554/H1554-1</f>
        <v>#DIV/0!</v>
      </c>
      <c r="L1554" s="37"/>
      <c r="M1554" s="37"/>
      <c r="N1554" s="34"/>
      <c r="O1554" s="34"/>
      <c r="P1554" s="38"/>
      <c r="Q1554" s="38"/>
    </row>
    <row r="1555" customFormat="false" ht="15" hidden="false" customHeight="false" outlineLevel="0" collapsed="false">
      <c r="A1555" s="34" t="n">
        <v>1547</v>
      </c>
      <c r="B1555" s="35" t="s">
        <v>3132</v>
      </c>
      <c r="C1555" s="35" t="s">
        <v>3133</v>
      </c>
      <c r="D1555" s="35" t="s">
        <v>116</v>
      </c>
      <c r="E1555" s="34" t="n">
        <v>5620</v>
      </c>
      <c r="F1555" s="34" t="n">
        <v>5470</v>
      </c>
      <c r="G1555" s="34" t="n">
        <v>8080</v>
      </c>
      <c r="H1555" s="34" t="n">
        <v>9082.97</v>
      </c>
      <c r="I1555" s="36" t="n">
        <f aca="false">$E1555/F1555-1</f>
        <v>0.0274223034734917</v>
      </c>
      <c r="J1555" s="36" t="n">
        <f aca="false">$E1555/G1555-1</f>
        <v>-0.304455445544555</v>
      </c>
      <c r="K1555" s="36" t="n">
        <f aca="false">$E1555/H1555-1</f>
        <v>-0.381259654055887</v>
      </c>
      <c r="L1555" s="37" t="n">
        <v>3.27</v>
      </c>
      <c r="M1555" s="37" t="n">
        <v>0.55</v>
      </c>
      <c r="N1555" s="34" t="n">
        <v>9916.27</v>
      </c>
      <c r="O1555" s="34" t="n">
        <v>5440</v>
      </c>
      <c r="P1555" s="38"/>
      <c r="Q1555" s="38"/>
    </row>
    <row r="1556" customFormat="false" ht="15" hidden="false" customHeight="false" outlineLevel="0" collapsed="false">
      <c r="A1556" s="34" t="n">
        <v>1548</v>
      </c>
      <c r="B1556" s="35" t="s">
        <v>3134</v>
      </c>
      <c r="C1556" s="35" t="s">
        <v>3135</v>
      </c>
      <c r="D1556" s="35" t="s">
        <v>116</v>
      </c>
      <c r="E1556" s="34" t="n">
        <v>11400</v>
      </c>
      <c r="F1556" s="34" t="n">
        <v>10600</v>
      </c>
      <c r="G1556" s="34" t="n">
        <v>11350</v>
      </c>
      <c r="H1556" s="34" t="n">
        <v>10600</v>
      </c>
      <c r="I1556" s="36" t="n">
        <f aca="false">$E1556/F1556-1</f>
        <v>0.0754716981132075</v>
      </c>
      <c r="J1556" s="36" t="n">
        <f aca="false">$E1556/G1556-1</f>
        <v>0.00440528634361237</v>
      </c>
      <c r="K1556" s="36" t="n">
        <f aca="false">$E1556/H1556-1</f>
        <v>0.0754716981132075</v>
      </c>
      <c r="L1556" s="37" t="n">
        <v>7.94</v>
      </c>
      <c r="M1556" s="37" t="n">
        <v>0.82</v>
      </c>
      <c r="N1556" s="34" t="n">
        <v>12400</v>
      </c>
      <c r="O1556" s="34" t="n">
        <v>10250</v>
      </c>
      <c r="P1556" s="38"/>
      <c r="Q1556" s="38"/>
    </row>
    <row r="1557" customFormat="false" ht="15" hidden="false" customHeight="false" outlineLevel="0" collapsed="false">
      <c r="A1557" s="34" t="n">
        <v>1549</v>
      </c>
      <c r="B1557" s="35" t="s">
        <v>3136</v>
      </c>
      <c r="C1557" s="35" t="s">
        <v>3137</v>
      </c>
      <c r="D1557" s="35" t="s">
        <v>111</v>
      </c>
      <c r="E1557" s="34" t="n">
        <v>31900</v>
      </c>
      <c r="F1557" s="34" t="n">
        <v>31900</v>
      </c>
      <c r="G1557" s="34" t="n">
        <v>32200</v>
      </c>
      <c r="H1557" s="34" t="n">
        <v>34823.1</v>
      </c>
      <c r="I1557" s="36" t="n">
        <f aca="false">$E1557/F1557-1</f>
        <v>0</v>
      </c>
      <c r="J1557" s="36" t="n">
        <f aca="false">$E1557/G1557-1</f>
        <v>-0.00931677018633537</v>
      </c>
      <c r="K1557" s="36" t="n">
        <f aca="false">$E1557/H1557-1</f>
        <v>-0.0839414067099138</v>
      </c>
      <c r="L1557" s="37" t="n">
        <v>22.39</v>
      </c>
      <c r="M1557" s="37" t="n">
        <v>2.78</v>
      </c>
      <c r="N1557" s="34" t="n">
        <v>40180.5</v>
      </c>
      <c r="O1557" s="34" t="n">
        <v>25000</v>
      </c>
      <c r="P1557" s="38"/>
      <c r="Q1557" s="38"/>
    </row>
    <row r="1558" customFormat="false" ht="15" hidden="false" customHeight="false" outlineLevel="0" collapsed="false">
      <c r="A1558" s="34" t="n">
        <v>1550</v>
      </c>
      <c r="B1558" s="35" t="s">
        <v>3138</v>
      </c>
      <c r="C1558" s="35" t="s">
        <v>3139</v>
      </c>
      <c r="D1558" s="35" t="s">
        <v>111</v>
      </c>
      <c r="E1558" s="34" t="n">
        <v>7300</v>
      </c>
      <c r="F1558" s="34" t="n">
        <v>10000</v>
      </c>
      <c r="G1558" s="34" t="n">
        <v>8600</v>
      </c>
      <c r="H1558" s="34" t="n">
        <v>9200</v>
      </c>
      <c r="I1558" s="36" t="n">
        <f aca="false">$E1558/F1558-1</f>
        <v>-0.27</v>
      </c>
      <c r="J1558" s="36" t="n">
        <f aca="false">$E1558/G1558-1</f>
        <v>-0.151162790697674</v>
      </c>
      <c r="K1558" s="36" t="n">
        <f aca="false">$E1558/H1558-1</f>
        <v>-0.206521739130435</v>
      </c>
      <c r="L1558" s="37" t="n">
        <v>-7.38</v>
      </c>
      <c r="M1558" s="37" t="n">
        <v>0.67</v>
      </c>
      <c r="N1558" s="34" t="n">
        <v>12900</v>
      </c>
      <c r="O1558" s="34" t="n">
        <v>6800</v>
      </c>
      <c r="P1558" s="38"/>
      <c r="Q1558" s="38"/>
    </row>
    <row r="1559" customFormat="false" ht="15" hidden="false" customHeight="false" outlineLevel="0" collapsed="false">
      <c r="A1559" s="34" t="n">
        <v>1551</v>
      </c>
      <c r="B1559" s="35" t="s">
        <v>3140</v>
      </c>
      <c r="C1559" s="35" t="s">
        <v>3141</v>
      </c>
      <c r="D1559" s="35" t="s">
        <v>111</v>
      </c>
      <c r="E1559" s="34" t="n">
        <v>7900</v>
      </c>
      <c r="F1559" s="34" t="n">
        <v>7900</v>
      </c>
      <c r="G1559" s="34" t="n">
        <v>7900</v>
      </c>
      <c r="H1559" s="34" t="n">
        <v>9100</v>
      </c>
      <c r="I1559" s="36" t="n">
        <f aca="false">$E1559/F1559-1</f>
        <v>0</v>
      </c>
      <c r="J1559" s="36" t="n">
        <f aca="false">$E1559/G1559-1</f>
        <v>0</v>
      </c>
      <c r="K1559" s="36" t="n">
        <f aca="false">$E1559/H1559-1</f>
        <v>-0.131868131868132</v>
      </c>
      <c r="L1559" s="37" t="n">
        <v>3.68</v>
      </c>
      <c r="M1559" s="37" t="n">
        <v>0.64</v>
      </c>
      <c r="N1559" s="34" t="n">
        <v>9100</v>
      </c>
      <c r="O1559" s="34" t="n">
        <v>6000</v>
      </c>
      <c r="P1559" s="38"/>
      <c r="Q1559" s="38"/>
    </row>
    <row r="1560" customFormat="false" ht="15" hidden="false" customHeight="false" outlineLevel="0" collapsed="false">
      <c r="A1560" s="34" t="n">
        <v>1552</v>
      </c>
      <c r="B1560" s="35" t="s">
        <v>3142</v>
      </c>
      <c r="C1560" s="35" t="s">
        <v>3143</v>
      </c>
      <c r="D1560" s="35" t="s">
        <v>111</v>
      </c>
      <c r="E1560" s="34" t="n">
        <v>8000</v>
      </c>
      <c r="F1560" s="34" t="n">
        <v>8000</v>
      </c>
      <c r="G1560" s="34" t="n">
        <v>11000</v>
      </c>
      <c r="H1560" s="34" t="n">
        <v>18600</v>
      </c>
      <c r="I1560" s="36" t="n">
        <f aca="false">$E1560/F1560-1</f>
        <v>0</v>
      </c>
      <c r="J1560" s="36" t="n">
        <f aca="false">$E1560/G1560-1</f>
        <v>-0.272727272727273</v>
      </c>
      <c r="K1560" s="36" t="n">
        <f aca="false">$E1560/H1560-1</f>
        <v>-0.56989247311828</v>
      </c>
      <c r="L1560" s="37" t="n">
        <v>-12.61</v>
      </c>
      <c r="M1560" s="37" t="n">
        <v>1.38</v>
      </c>
      <c r="N1560" s="34" t="n">
        <v>22000</v>
      </c>
      <c r="O1560" s="34" t="n">
        <v>8000</v>
      </c>
      <c r="P1560" s="38"/>
      <c r="Q1560" s="38"/>
    </row>
    <row r="1561" customFormat="false" ht="15" hidden="false" customHeight="false" outlineLevel="0" collapsed="false">
      <c r="A1561" s="34" t="n">
        <v>1553</v>
      </c>
      <c r="B1561" s="35" t="s">
        <v>3144</v>
      </c>
      <c r="C1561" s="35" t="s">
        <v>3145</v>
      </c>
      <c r="D1561" s="35" t="s">
        <v>133</v>
      </c>
      <c r="E1561" s="34" t="n">
        <v>6000</v>
      </c>
      <c r="F1561" s="34" t="n">
        <v>5900</v>
      </c>
      <c r="G1561" s="34" t="n">
        <v>7000</v>
      </c>
      <c r="H1561" s="34" t="n">
        <v>7600</v>
      </c>
      <c r="I1561" s="36" t="n">
        <f aca="false">$E1561/F1561-1</f>
        <v>0.0169491525423728</v>
      </c>
      <c r="J1561" s="36" t="n">
        <f aca="false">$E1561/G1561-1</f>
        <v>-0.142857142857143</v>
      </c>
      <c r="K1561" s="36" t="n">
        <f aca="false">$E1561/H1561-1</f>
        <v>-0.210526315789474</v>
      </c>
      <c r="L1561" s="37" t="n">
        <v>28.87</v>
      </c>
      <c r="M1561" s="37" t="n">
        <v>0.4</v>
      </c>
      <c r="N1561" s="34" t="n">
        <v>9500</v>
      </c>
      <c r="O1561" s="34" t="n">
        <v>5900</v>
      </c>
      <c r="P1561" s="38"/>
      <c r="Q1561" s="38"/>
    </row>
    <row r="1562" customFormat="false" ht="15" hidden="false" customHeight="false" outlineLevel="0" collapsed="false">
      <c r="A1562" s="34" t="n">
        <v>1554</v>
      </c>
      <c r="B1562" s="35" t="s">
        <v>3146</v>
      </c>
      <c r="C1562" s="35" t="s">
        <v>3147</v>
      </c>
      <c r="D1562" s="35" t="s">
        <v>133</v>
      </c>
      <c r="E1562" s="34" t="n">
        <v>4900</v>
      </c>
      <c r="F1562" s="34" t="n">
        <v>4900</v>
      </c>
      <c r="G1562" s="34" t="n">
        <v>5000</v>
      </c>
      <c r="H1562" s="34" t="n">
        <v>5400</v>
      </c>
      <c r="I1562" s="36" t="n">
        <f aca="false">$E1562/F1562-1</f>
        <v>0</v>
      </c>
      <c r="J1562" s="36" t="n">
        <f aca="false">$E1562/G1562-1</f>
        <v>-0.02</v>
      </c>
      <c r="K1562" s="36" t="n">
        <f aca="false">$E1562/H1562-1</f>
        <v>-0.0925925925925926</v>
      </c>
      <c r="L1562" s="37" t="n">
        <v>9.79</v>
      </c>
      <c r="M1562" s="37" t="n">
        <v>0.54</v>
      </c>
      <c r="N1562" s="34" t="n">
        <v>5700</v>
      </c>
      <c r="O1562" s="34" t="n">
        <v>4800</v>
      </c>
      <c r="P1562" s="38"/>
      <c r="Q1562" s="38"/>
    </row>
    <row r="1563" customFormat="false" ht="15" hidden="false" customHeight="false" outlineLevel="0" collapsed="false">
      <c r="A1563" s="34" t="n">
        <v>1555</v>
      </c>
      <c r="B1563" s="35" t="s">
        <v>3148</v>
      </c>
      <c r="C1563" s="35" t="s">
        <v>3149</v>
      </c>
      <c r="D1563" s="35" t="s">
        <v>111</v>
      </c>
      <c r="E1563" s="34" t="n">
        <v>29700</v>
      </c>
      <c r="F1563" s="34" t="n">
        <v>29700</v>
      </c>
      <c r="G1563" s="34" t="n">
        <v>29900</v>
      </c>
      <c r="H1563" s="34" t="n">
        <v>36847.2</v>
      </c>
      <c r="I1563" s="36" t="n">
        <f aca="false">$E1563/F1563-1</f>
        <v>0</v>
      </c>
      <c r="J1563" s="36" t="n">
        <f aca="false">$E1563/G1563-1</f>
        <v>-0.00668896321070234</v>
      </c>
      <c r="K1563" s="36" t="n">
        <f aca="false">$E1563/H1563-1</f>
        <v>-0.19396860548427</v>
      </c>
      <c r="L1563" s="37" t="n">
        <v>6.75</v>
      </c>
      <c r="M1563" s="37" t="n">
        <v>0.33</v>
      </c>
      <c r="N1563" s="34" t="n">
        <v>40664.19</v>
      </c>
      <c r="O1563" s="34" t="n">
        <v>29671</v>
      </c>
      <c r="P1563" s="38"/>
      <c r="Q1563" s="38"/>
    </row>
    <row r="1564" customFormat="false" ht="15" hidden="false" customHeight="false" outlineLevel="0" collapsed="false">
      <c r="A1564" s="34" t="n">
        <v>1556</v>
      </c>
      <c r="B1564" s="35" t="s">
        <v>3150</v>
      </c>
      <c r="C1564" s="35" t="s">
        <v>3151</v>
      </c>
      <c r="D1564" s="35" t="s">
        <v>111</v>
      </c>
      <c r="E1564" s="34"/>
      <c r="F1564" s="34"/>
      <c r="G1564" s="34"/>
      <c r="H1564" s="34"/>
      <c r="I1564" s="36" t="e">
        <f aca="false">$E1564/F1564-1</f>
        <v>#DIV/0!</v>
      </c>
      <c r="J1564" s="36" t="e">
        <f aca="false">$E1564/G1564-1</f>
        <v>#DIV/0!</v>
      </c>
      <c r="K1564" s="36" t="e">
        <f aca="false">$E1564/H1564-1</f>
        <v>#DIV/0!</v>
      </c>
      <c r="L1564" s="37"/>
      <c r="M1564" s="37"/>
      <c r="N1564" s="34"/>
      <c r="O1564" s="34"/>
      <c r="P1564" s="38"/>
      <c r="Q1564" s="38"/>
    </row>
    <row r="1565" customFormat="false" ht="15" hidden="false" customHeight="false" outlineLevel="0" collapsed="false">
      <c r="A1565" s="34" t="n">
        <v>1557</v>
      </c>
      <c r="B1565" s="35" t="s">
        <v>3152</v>
      </c>
      <c r="C1565" s="35" t="s">
        <v>3153</v>
      </c>
      <c r="D1565" s="35" t="s">
        <v>133</v>
      </c>
      <c r="E1565" s="34" t="n">
        <v>20400</v>
      </c>
      <c r="F1565" s="34" t="n">
        <v>20200</v>
      </c>
      <c r="G1565" s="34" t="n">
        <v>20100</v>
      </c>
      <c r="H1565" s="34" t="n">
        <v>19241.28</v>
      </c>
      <c r="I1565" s="36" t="n">
        <f aca="false">$E1565/F1565-1</f>
        <v>0.00990099009900991</v>
      </c>
      <c r="J1565" s="36" t="n">
        <f aca="false">$E1565/G1565-1</f>
        <v>0.0149253731343284</v>
      </c>
      <c r="K1565" s="36" t="n">
        <f aca="false">$E1565/H1565-1</f>
        <v>0.0602205258693809</v>
      </c>
      <c r="L1565" s="37" t="n">
        <v>5.08</v>
      </c>
      <c r="M1565" s="37" t="n">
        <v>1.33</v>
      </c>
      <c r="N1565" s="34" t="n">
        <v>21900</v>
      </c>
      <c r="O1565" s="34" t="n">
        <v>18706.8</v>
      </c>
      <c r="P1565" s="38"/>
      <c r="Q1565" s="38"/>
    </row>
    <row r="1566" customFormat="false" ht="15" hidden="false" customHeight="false" outlineLevel="0" collapsed="false">
      <c r="A1566" s="34" t="n">
        <v>1558</v>
      </c>
      <c r="B1566" s="35" t="s">
        <v>3154</v>
      </c>
      <c r="C1566" s="35" t="s">
        <v>3155</v>
      </c>
      <c r="D1566" s="35" t="s">
        <v>111</v>
      </c>
      <c r="E1566" s="34" t="n">
        <v>5800</v>
      </c>
      <c r="F1566" s="34" t="n">
        <v>5800</v>
      </c>
      <c r="G1566" s="34" t="n">
        <v>5800</v>
      </c>
      <c r="H1566" s="34" t="n">
        <v>4200</v>
      </c>
      <c r="I1566" s="36" t="n">
        <f aca="false">$E1566/F1566-1</f>
        <v>0</v>
      </c>
      <c r="J1566" s="36" t="n">
        <f aca="false">$E1566/G1566-1</f>
        <v>0</v>
      </c>
      <c r="K1566" s="36" t="n">
        <f aca="false">$E1566/H1566-1</f>
        <v>0.380952380952381</v>
      </c>
      <c r="L1566" s="37" t="n">
        <v>-1.96</v>
      </c>
      <c r="M1566" s="37" t="n">
        <v>-0.19</v>
      </c>
      <c r="N1566" s="34" t="n">
        <v>5800</v>
      </c>
      <c r="O1566" s="34" t="n">
        <v>4200</v>
      </c>
      <c r="P1566" s="38"/>
      <c r="Q1566" s="38"/>
    </row>
    <row r="1567" customFormat="false" ht="15" hidden="false" customHeight="false" outlineLevel="0" collapsed="false">
      <c r="A1567" s="34" t="n">
        <v>1559</v>
      </c>
      <c r="B1567" s="35" t="s">
        <v>3156</v>
      </c>
      <c r="C1567" s="35" t="s">
        <v>3157</v>
      </c>
      <c r="D1567" s="35" t="s">
        <v>111</v>
      </c>
      <c r="E1567" s="34" t="n">
        <v>6400</v>
      </c>
      <c r="F1567" s="34" t="n">
        <v>6699.7</v>
      </c>
      <c r="G1567" s="34" t="n">
        <v>6508.28</v>
      </c>
      <c r="H1567" s="34" t="n">
        <v>7752.51</v>
      </c>
      <c r="I1567" s="36" t="n">
        <f aca="false">$E1567/F1567-1</f>
        <v>-0.0447333462692359</v>
      </c>
      <c r="J1567" s="36" t="n">
        <f aca="false">$E1567/G1567-1</f>
        <v>-0.0166372682183311</v>
      </c>
      <c r="K1567" s="36" t="n">
        <f aca="false">$E1567/H1567-1</f>
        <v>-0.174460916528969</v>
      </c>
      <c r="L1567" s="37" t="n">
        <v>25.42</v>
      </c>
      <c r="M1567" s="37" t="n">
        <v>0.63</v>
      </c>
      <c r="N1567" s="34" t="n">
        <v>9188.16</v>
      </c>
      <c r="O1567" s="34" t="n">
        <v>6221.15</v>
      </c>
      <c r="P1567" s="38"/>
      <c r="Q1567" s="38"/>
    </row>
    <row r="1568" customFormat="false" ht="15" hidden="false" customHeight="false" outlineLevel="0" collapsed="false">
      <c r="A1568" s="34" t="n">
        <v>1560</v>
      </c>
      <c r="B1568" s="35" t="s">
        <v>3158</v>
      </c>
      <c r="C1568" s="35" t="s">
        <v>3159</v>
      </c>
      <c r="D1568" s="35" t="s">
        <v>111</v>
      </c>
      <c r="E1568" s="34" t="n">
        <v>5510</v>
      </c>
      <c r="F1568" s="34" t="n">
        <v>4828</v>
      </c>
      <c r="G1568" s="34" t="n">
        <v>5500</v>
      </c>
      <c r="H1568" s="34" t="n">
        <v>5800</v>
      </c>
      <c r="I1568" s="36" t="n">
        <f aca="false">$E1568/F1568-1</f>
        <v>0.14125932062966</v>
      </c>
      <c r="J1568" s="36" t="n">
        <f aca="false">$E1568/G1568-1</f>
        <v>0.00181818181818172</v>
      </c>
      <c r="K1568" s="36" t="n">
        <f aca="false">$E1568/H1568-1</f>
        <v>-0.05</v>
      </c>
      <c r="L1568" s="37" t="n">
        <v>8.55</v>
      </c>
      <c r="M1568" s="37" t="n">
        <v>0.46</v>
      </c>
      <c r="N1568" s="34" t="n">
        <v>6700</v>
      </c>
      <c r="O1568" s="34" t="n">
        <v>4714</v>
      </c>
      <c r="P1568" s="38"/>
      <c r="Q1568" s="38"/>
    </row>
    <row r="1569" customFormat="false" ht="15" hidden="false" customHeight="false" outlineLevel="0" collapsed="false">
      <c r="A1569" s="34" t="n">
        <v>1561</v>
      </c>
      <c r="B1569" s="35" t="s">
        <v>3160</v>
      </c>
      <c r="C1569" s="35" t="s">
        <v>3161</v>
      </c>
      <c r="D1569" s="35" t="s">
        <v>111</v>
      </c>
      <c r="E1569" s="34" t="n">
        <v>2800</v>
      </c>
      <c r="F1569" s="34" t="n">
        <v>2568</v>
      </c>
      <c r="G1569" s="34" t="n">
        <v>2900</v>
      </c>
      <c r="H1569" s="34" t="n">
        <v>3700</v>
      </c>
      <c r="I1569" s="36" t="n">
        <f aca="false">$E1569/F1569-1</f>
        <v>0.0903426791277258</v>
      </c>
      <c r="J1569" s="36" t="n">
        <f aca="false">$E1569/G1569-1</f>
        <v>-0.0344827586206896</v>
      </c>
      <c r="K1569" s="36" t="n">
        <f aca="false">$E1569/H1569-1</f>
        <v>-0.243243243243243</v>
      </c>
      <c r="L1569" s="37" t="n">
        <v>13.67</v>
      </c>
      <c r="M1569" s="37" t="n">
        <v>0.23</v>
      </c>
      <c r="N1569" s="34" t="n">
        <v>4001</v>
      </c>
      <c r="O1569" s="34" t="n">
        <v>2568</v>
      </c>
      <c r="P1569" s="38"/>
      <c r="Q1569" s="38"/>
    </row>
    <row r="1570" customFormat="false" ht="15" hidden="false" customHeight="false" outlineLevel="0" collapsed="false">
      <c r="A1570" s="34" t="n">
        <v>1562</v>
      </c>
      <c r="B1570" s="35" t="s">
        <v>3162</v>
      </c>
      <c r="C1570" s="35" t="s">
        <v>3163</v>
      </c>
      <c r="D1570" s="35" t="s">
        <v>111</v>
      </c>
      <c r="E1570" s="34" t="n">
        <v>900</v>
      </c>
      <c r="F1570" s="34" t="n">
        <v>800</v>
      </c>
      <c r="G1570" s="34" t="n">
        <v>800</v>
      </c>
      <c r="H1570" s="34" t="n">
        <v>1900</v>
      </c>
      <c r="I1570" s="36" t="n">
        <f aca="false">$E1570/F1570-1</f>
        <v>0.125</v>
      </c>
      <c r="J1570" s="36" t="n">
        <f aca="false">$E1570/G1570-1</f>
        <v>0.125</v>
      </c>
      <c r="K1570" s="36" t="n">
        <f aca="false">$E1570/H1570-1</f>
        <v>-0.526315789473684</v>
      </c>
      <c r="L1570" s="37" t="n">
        <v>0.63</v>
      </c>
      <c r="M1570" s="37" t="n">
        <v>-0.54</v>
      </c>
      <c r="N1570" s="34" t="n">
        <v>1900</v>
      </c>
      <c r="O1570" s="34" t="n">
        <v>700</v>
      </c>
      <c r="P1570" s="38"/>
      <c r="Q1570" s="38"/>
    </row>
    <row r="1571" customFormat="false" ht="15" hidden="false" customHeight="false" outlineLevel="0" collapsed="false">
      <c r="A1571" s="34" t="n">
        <v>1563</v>
      </c>
      <c r="B1571" s="35" t="s">
        <v>3164</v>
      </c>
      <c r="C1571" s="35" t="s">
        <v>3165</v>
      </c>
      <c r="D1571" s="35" t="s">
        <v>111</v>
      </c>
      <c r="E1571" s="34" t="n">
        <v>7400</v>
      </c>
      <c r="F1571" s="34" t="n">
        <v>6500</v>
      </c>
      <c r="G1571" s="34" t="n">
        <v>7300</v>
      </c>
      <c r="H1571" s="34" t="n">
        <v>10000</v>
      </c>
      <c r="I1571" s="36" t="n">
        <f aca="false">$E1571/F1571-1</f>
        <v>0.138461538461538</v>
      </c>
      <c r="J1571" s="36" t="n">
        <f aca="false">$E1571/G1571-1</f>
        <v>0.0136986301369864</v>
      </c>
      <c r="K1571" s="36" t="n">
        <f aca="false">$E1571/H1571-1</f>
        <v>-0.26</v>
      </c>
      <c r="L1571" s="37" t="n">
        <v>11.44</v>
      </c>
      <c r="M1571" s="37" t="n">
        <v>0.6</v>
      </c>
      <c r="N1571" s="34" t="n">
        <v>11900</v>
      </c>
      <c r="O1571" s="34" t="n">
        <v>5833</v>
      </c>
      <c r="P1571" s="38"/>
      <c r="Q1571" s="38"/>
    </row>
    <row r="1572" customFormat="false" ht="15" hidden="false" customHeight="false" outlineLevel="0" collapsed="false">
      <c r="A1572" s="34" t="n">
        <v>1564</v>
      </c>
      <c r="B1572" s="35" t="s">
        <v>3166</v>
      </c>
      <c r="C1572" s="35" t="s">
        <v>3167</v>
      </c>
      <c r="D1572" s="35" t="s">
        <v>111</v>
      </c>
      <c r="E1572" s="34" t="n">
        <v>2261</v>
      </c>
      <c r="F1572" s="34" t="n">
        <v>2393</v>
      </c>
      <c r="G1572" s="34" t="n">
        <v>2360</v>
      </c>
      <c r="H1572" s="34" t="n">
        <v>2600</v>
      </c>
      <c r="I1572" s="36" t="n">
        <f aca="false">$E1572/F1572-1</f>
        <v>-0.0551608859172587</v>
      </c>
      <c r="J1572" s="36" t="n">
        <f aca="false">$E1572/G1572-1</f>
        <v>-0.0419491525423729</v>
      </c>
      <c r="K1572" s="36" t="n">
        <f aca="false">$E1572/H1572-1</f>
        <v>-0.130384615384615</v>
      </c>
      <c r="L1572" s="37" t="n">
        <v>-2.23</v>
      </c>
      <c r="M1572" s="37" t="n">
        <v>0.35</v>
      </c>
      <c r="N1572" s="34" t="n">
        <v>3220</v>
      </c>
      <c r="O1572" s="34" t="n">
        <v>2029</v>
      </c>
      <c r="P1572" s="38"/>
      <c r="Q1572" s="38"/>
    </row>
    <row r="1573" customFormat="false" ht="15" hidden="false" customHeight="false" outlineLevel="0" collapsed="false">
      <c r="A1573" s="34" t="n">
        <v>1565</v>
      </c>
      <c r="B1573" s="35" t="s">
        <v>3168</v>
      </c>
      <c r="C1573" s="35" t="s">
        <v>3169</v>
      </c>
      <c r="D1573" s="35" t="s">
        <v>133</v>
      </c>
      <c r="E1573" s="34" t="n">
        <v>4000</v>
      </c>
      <c r="F1573" s="34" t="n">
        <v>4100</v>
      </c>
      <c r="G1573" s="34" t="n">
        <v>4100</v>
      </c>
      <c r="H1573" s="34" t="n">
        <v>5000</v>
      </c>
      <c r="I1573" s="36" t="n">
        <f aca="false">$E1573/F1573-1</f>
        <v>-0.024390243902439</v>
      </c>
      <c r="J1573" s="36" t="n">
        <f aca="false">$E1573/G1573-1</f>
        <v>-0.024390243902439</v>
      </c>
      <c r="K1573" s="36" t="n">
        <f aca="false">$E1573/H1573-1</f>
        <v>-0.2</v>
      </c>
      <c r="L1573" s="37" t="n">
        <v>12.28</v>
      </c>
      <c r="M1573" s="37" t="n">
        <v>0.32</v>
      </c>
      <c r="N1573" s="34" t="n">
        <v>5700</v>
      </c>
      <c r="O1573" s="34" t="n">
        <v>3900</v>
      </c>
      <c r="P1573" s="38"/>
      <c r="Q1573" s="38"/>
    </row>
    <row r="1574" customFormat="false" ht="15" hidden="false" customHeight="false" outlineLevel="0" collapsed="false">
      <c r="A1574" s="34" t="n">
        <v>1566</v>
      </c>
      <c r="B1574" s="35" t="s">
        <v>3170</v>
      </c>
      <c r="C1574" s="35" t="s">
        <v>3171</v>
      </c>
      <c r="D1574" s="35" t="s">
        <v>111</v>
      </c>
      <c r="E1574" s="34" t="n">
        <v>11600</v>
      </c>
      <c r="F1574" s="34" t="n">
        <v>12000</v>
      </c>
      <c r="G1574" s="34" t="n">
        <v>12000</v>
      </c>
      <c r="H1574" s="34" t="n">
        <v>7400</v>
      </c>
      <c r="I1574" s="36" t="n">
        <f aca="false">$E1574/F1574-1</f>
        <v>-0.0333333333333333</v>
      </c>
      <c r="J1574" s="36" t="n">
        <f aca="false">$E1574/G1574-1</f>
        <v>-0.0333333333333333</v>
      </c>
      <c r="K1574" s="36" t="n">
        <f aca="false">$E1574/H1574-1</f>
        <v>0.567567567567568</v>
      </c>
      <c r="L1574" s="37" t="n">
        <v>17.01</v>
      </c>
      <c r="M1574" s="37" t="n">
        <v>1.13</v>
      </c>
      <c r="N1574" s="34" t="n">
        <v>12000</v>
      </c>
      <c r="O1574" s="34" t="n">
        <v>5700</v>
      </c>
      <c r="P1574" s="38"/>
      <c r="Q1574" s="38"/>
    </row>
    <row r="1575" customFormat="false" ht="15" hidden="false" customHeight="false" outlineLevel="0" collapsed="false">
      <c r="A1575" s="34" t="n">
        <v>1567</v>
      </c>
      <c r="B1575" s="35" t="s">
        <v>3172</v>
      </c>
      <c r="C1575" s="35" t="s">
        <v>3173</v>
      </c>
      <c r="D1575" s="35" t="s">
        <v>111</v>
      </c>
      <c r="E1575" s="34" t="n">
        <v>29000</v>
      </c>
      <c r="F1575" s="34" t="n">
        <v>28500</v>
      </c>
      <c r="G1575" s="34" t="n">
        <v>28950</v>
      </c>
      <c r="H1575" s="34" t="n">
        <v>25262.4</v>
      </c>
      <c r="I1575" s="36" t="n">
        <f aca="false">$E1575/F1575-1</f>
        <v>0.0175438596491229</v>
      </c>
      <c r="J1575" s="36" t="n">
        <f aca="false">$E1575/G1575-1</f>
        <v>0.0017271157167531</v>
      </c>
      <c r="K1575" s="36" t="n">
        <f aca="false">$E1575/H1575-1</f>
        <v>0.147951105199823</v>
      </c>
      <c r="L1575" s="37" t="n">
        <v>7</v>
      </c>
      <c r="M1575" s="37" t="n">
        <v>1.29</v>
      </c>
      <c r="N1575" s="34" t="n">
        <v>30423.91</v>
      </c>
      <c r="O1575" s="34" t="n">
        <v>23276.86</v>
      </c>
      <c r="P1575" s="38"/>
      <c r="Q1575" s="38"/>
    </row>
    <row r="1576" customFormat="false" ht="15" hidden="false" customHeight="false" outlineLevel="0" collapsed="false">
      <c r="A1576" s="34" t="n">
        <v>1568</v>
      </c>
      <c r="B1576" s="35" t="s">
        <v>3174</v>
      </c>
      <c r="C1576" s="35" t="s">
        <v>3175</v>
      </c>
      <c r="D1576" s="35" t="s">
        <v>111</v>
      </c>
      <c r="E1576" s="34" t="n">
        <v>1812</v>
      </c>
      <c r="F1576" s="34" t="n">
        <v>1700</v>
      </c>
      <c r="G1576" s="34" t="n">
        <v>2001</v>
      </c>
      <c r="H1576" s="34" t="n">
        <v>2300</v>
      </c>
      <c r="I1576" s="36" t="n">
        <f aca="false">$E1576/F1576-1</f>
        <v>0.0658823529411765</v>
      </c>
      <c r="J1576" s="36" t="n">
        <f aca="false">$E1576/G1576-1</f>
        <v>-0.0944527736131934</v>
      </c>
      <c r="K1576" s="36" t="n">
        <f aca="false">$E1576/H1576-1</f>
        <v>-0.212173913043478</v>
      </c>
      <c r="L1576" s="37" t="n">
        <v>8.49</v>
      </c>
      <c r="M1576" s="37" t="n">
        <v>0.52</v>
      </c>
      <c r="N1576" s="34" t="n">
        <v>3500</v>
      </c>
      <c r="O1576" s="34" t="n">
        <v>1500</v>
      </c>
      <c r="P1576" s="38"/>
      <c r="Q1576" s="38"/>
    </row>
    <row r="1577" customFormat="false" ht="15" hidden="false" customHeight="false" outlineLevel="0" collapsed="false">
      <c r="A1577" s="34" t="n">
        <v>1569</v>
      </c>
      <c r="B1577" s="35" t="s">
        <v>3176</v>
      </c>
      <c r="C1577" s="35" t="s">
        <v>3177</v>
      </c>
      <c r="D1577" s="35" t="s">
        <v>111</v>
      </c>
      <c r="E1577" s="34" t="n">
        <v>661</v>
      </c>
      <c r="F1577" s="34" t="n">
        <v>700</v>
      </c>
      <c r="G1577" s="34" t="n">
        <v>700</v>
      </c>
      <c r="H1577" s="34" t="n">
        <v>1100</v>
      </c>
      <c r="I1577" s="36" t="n">
        <f aca="false">$E1577/F1577-1</f>
        <v>-0.0557142857142857</v>
      </c>
      <c r="J1577" s="36" t="n">
        <f aca="false">$E1577/G1577-1</f>
        <v>-0.0557142857142857</v>
      </c>
      <c r="K1577" s="36" t="n">
        <f aca="false">$E1577/H1577-1</f>
        <v>-0.399090909090909</v>
      </c>
      <c r="L1577" s="37" t="n">
        <v>83.07</v>
      </c>
      <c r="M1577" s="37" t="n">
        <v>0.15</v>
      </c>
      <c r="N1577" s="34" t="n">
        <v>1300</v>
      </c>
      <c r="O1577" s="34" t="n">
        <v>600</v>
      </c>
      <c r="P1577" s="38"/>
      <c r="Q1577" s="38"/>
    </row>
    <row r="1578" customFormat="false" ht="15" hidden="false" customHeight="false" outlineLevel="0" collapsed="false">
      <c r="A1578" s="34" t="n">
        <v>1570</v>
      </c>
      <c r="B1578" s="35" t="s">
        <v>3178</v>
      </c>
      <c r="C1578" s="35" t="s">
        <v>3179</v>
      </c>
      <c r="D1578" s="35" t="s">
        <v>133</v>
      </c>
      <c r="E1578" s="34"/>
      <c r="F1578" s="34"/>
      <c r="G1578" s="34"/>
      <c r="H1578" s="34"/>
      <c r="I1578" s="36" t="e">
        <f aca="false">$E1578/F1578-1</f>
        <v>#DIV/0!</v>
      </c>
      <c r="J1578" s="36" t="e">
        <f aca="false">$E1578/G1578-1</f>
        <v>#DIV/0!</v>
      </c>
      <c r="K1578" s="36" t="e">
        <f aca="false">$E1578/H1578-1</f>
        <v>#DIV/0!</v>
      </c>
      <c r="L1578" s="37"/>
      <c r="M1578" s="37"/>
      <c r="N1578" s="34"/>
      <c r="O1578" s="34"/>
      <c r="P1578" s="38"/>
      <c r="Q1578" s="38"/>
    </row>
    <row r="1579" customFormat="false" ht="15" hidden="false" customHeight="false" outlineLevel="0" collapsed="false">
      <c r="A1579" s="34" t="n">
        <v>1571</v>
      </c>
      <c r="B1579" s="35" t="s">
        <v>3180</v>
      </c>
      <c r="C1579" s="35" t="s">
        <v>3181</v>
      </c>
      <c r="D1579" s="35" t="s">
        <v>111</v>
      </c>
      <c r="E1579" s="34" t="n">
        <v>11700</v>
      </c>
      <c r="F1579" s="34" t="n">
        <v>13700</v>
      </c>
      <c r="G1579" s="34" t="n">
        <v>13519.5</v>
      </c>
      <c r="H1579" s="34" t="n">
        <v>11716.9</v>
      </c>
      <c r="I1579" s="36" t="n">
        <f aca="false">$E1579/F1579-1</f>
        <v>-0.145985401459854</v>
      </c>
      <c r="J1579" s="36" t="n">
        <f aca="false">$E1579/G1579-1</f>
        <v>-0.134583379562854</v>
      </c>
      <c r="K1579" s="36" t="n">
        <f aca="false">$E1579/H1579-1</f>
        <v>-0.00144236103406192</v>
      </c>
      <c r="L1579" s="37" t="n">
        <v>3.18</v>
      </c>
      <c r="M1579" s="37" t="n">
        <v>0.56</v>
      </c>
      <c r="N1579" s="34" t="n">
        <v>14420.8</v>
      </c>
      <c r="O1579" s="34" t="n">
        <v>10184.69</v>
      </c>
      <c r="P1579" s="38"/>
      <c r="Q1579" s="38"/>
    </row>
    <row r="1580" customFormat="false" ht="15" hidden="false" customHeight="false" outlineLevel="0" collapsed="false">
      <c r="A1580" s="34" t="n">
        <v>1572</v>
      </c>
      <c r="B1580" s="35" t="s">
        <v>3182</v>
      </c>
      <c r="C1580" s="35" t="s">
        <v>3183</v>
      </c>
      <c r="D1580" s="35" t="s">
        <v>111</v>
      </c>
      <c r="E1580" s="34" t="n">
        <v>1400</v>
      </c>
      <c r="F1580" s="34" t="n">
        <v>1480</v>
      </c>
      <c r="G1580" s="34" t="n">
        <v>1700</v>
      </c>
      <c r="H1580" s="34" t="n">
        <v>2500</v>
      </c>
      <c r="I1580" s="36" t="n">
        <f aca="false">$E1580/F1580-1</f>
        <v>-0.0540540540540541</v>
      </c>
      <c r="J1580" s="36" t="n">
        <f aca="false">$E1580/G1580-1</f>
        <v>-0.176470588235294</v>
      </c>
      <c r="K1580" s="36" t="n">
        <f aca="false">$E1580/H1580-1</f>
        <v>-0.44</v>
      </c>
      <c r="L1580" s="37" t="n">
        <v>71.26</v>
      </c>
      <c r="M1580" s="37" t="n">
        <v>0.35</v>
      </c>
      <c r="N1580" s="34" t="n">
        <v>3600</v>
      </c>
      <c r="O1580" s="34" t="n">
        <v>1300</v>
      </c>
      <c r="P1580" s="38"/>
      <c r="Q1580" s="38"/>
    </row>
    <row r="1581" customFormat="false" ht="15" hidden="false" customHeight="false" outlineLevel="0" collapsed="false">
      <c r="A1581" s="34" t="n">
        <v>1573</v>
      </c>
      <c r="B1581" s="35" t="s">
        <v>3184</v>
      </c>
      <c r="C1581" s="35" t="s">
        <v>3185</v>
      </c>
      <c r="D1581" s="35" t="s">
        <v>111</v>
      </c>
      <c r="E1581" s="34" t="n">
        <v>1900</v>
      </c>
      <c r="F1581" s="34" t="n">
        <v>1841</v>
      </c>
      <c r="G1581" s="34" t="n">
        <v>2300</v>
      </c>
      <c r="H1581" s="34" t="n">
        <v>2500</v>
      </c>
      <c r="I1581" s="36" t="n">
        <f aca="false">$E1581/F1581-1</f>
        <v>0.0320478001086366</v>
      </c>
      <c r="J1581" s="36" t="n">
        <f aca="false">$E1581/G1581-1</f>
        <v>-0.173913043478261</v>
      </c>
      <c r="K1581" s="36" t="n">
        <f aca="false">$E1581/H1581-1</f>
        <v>-0.24</v>
      </c>
      <c r="L1581" s="37" t="n">
        <v>-0.42</v>
      </c>
      <c r="M1581" s="37" t="n">
        <v>-0.09</v>
      </c>
      <c r="N1581" s="34" t="n">
        <v>3934</v>
      </c>
      <c r="O1581" s="34" t="n">
        <v>1800</v>
      </c>
      <c r="P1581" s="38"/>
      <c r="Q1581" s="38"/>
    </row>
    <row r="1582" customFormat="false" ht="15" hidden="false" customHeight="false" outlineLevel="0" collapsed="false">
      <c r="A1582" s="34" t="n">
        <v>1574</v>
      </c>
      <c r="B1582" s="35" t="s">
        <v>3186</v>
      </c>
      <c r="C1582" s="35" t="s">
        <v>3187</v>
      </c>
      <c r="D1582" s="35" t="s">
        <v>116</v>
      </c>
      <c r="E1582" s="34" t="n">
        <v>7660</v>
      </c>
      <c r="F1582" s="34" t="n">
        <v>6660</v>
      </c>
      <c r="G1582" s="34" t="n">
        <v>11500</v>
      </c>
      <c r="H1582" s="34" t="n">
        <v>13600</v>
      </c>
      <c r="I1582" s="36" t="n">
        <f aca="false">$E1582/F1582-1</f>
        <v>0.15015015015015</v>
      </c>
      <c r="J1582" s="36" t="n">
        <f aca="false">$E1582/G1582-1</f>
        <v>-0.333913043478261</v>
      </c>
      <c r="K1582" s="36" t="n">
        <f aca="false">$E1582/H1582-1</f>
        <v>-0.436764705882353</v>
      </c>
      <c r="L1582" s="37" t="n">
        <v>6.48</v>
      </c>
      <c r="M1582" s="37" t="n">
        <v>0.31</v>
      </c>
      <c r="N1582" s="34" t="n">
        <v>21400</v>
      </c>
      <c r="O1582" s="34" t="n">
        <v>6550</v>
      </c>
      <c r="P1582" s="38"/>
      <c r="Q1582" s="38"/>
    </row>
    <row r="1583" customFormat="false" ht="15" hidden="false" customHeight="false" outlineLevel="0" collapsed="false">
      <c r="A1583" s="34" t="n">
        <v>1575</v>
      </c>
      <c r="B1583" s="35" t="s">
        <v>3188</v>
      </c>
      <c r="C1583" s="35" t="s">
        <v>3189</v>
      </c>
      <c r="D1583" s="35" t="s">
        <v>133</v>
      </c>
      <c r="E1583" s="34" t="n">
        <v>45800</v>
      </c>
      <c r="F1583" s="34" t="n">
        <v>45800</v>
      </c>
      <c r="G1583" s="34" t="n">
        <v>45800</v>
      </c>
      <c r="H1583" s="34" t="n">
        <v>24758.58</v>
      </c>
      <c r="I1583" s="36" t="n">
        <f aca="false">$E1583/F1583-1</f>
        <v>0</v>
      </c>
      <c r="J1583" s="36" t="n">
        <f aca="false">$E1583/G1583-1</f>
        <v>0</v>
      </c>
      <c r="K1583" s="36" t="n">
        <f aca="false">$E1583/H1583-1</f>
        <v>0.849863764400058</v>
      </c>
      <c r="L1583" s="37" t="n">
        <v>16.9</v>
      </c>
      <c r="M1583" s="37" t="n">
        <v>3.41</v>
      </c>
      <c r="N1583" s="34" t="n">
        <v>45800</v>
      </c>
      <c r="O1583" s="34" t="n">
        <v>24665.03</v>
      </c>
      <c r="P1583" s="38"/>
      <c r="Q1583" s="38"/>
    </row>
    <row r="1584" customFormat="false" ht="15" hidden="false" customHeight="false" outlineLevel="0" collapsed="false">
      <c r="A1584" s="34" t="n">
        <v>1576</v>
      </c>
      <c r="B1584" s="35" t="s">
        <v>3190</v>
      </c>
      <c r="C1584" s="35" t="s">
        <v>3191</v>
      </c>
      <c r="D1584" s="35" t="s">
        <v>111</v>
      </c>
      <c r="E1584" s="34" t="n">
        <v>1004</v>
      </c>
      <c r="F1584" s="34" t="n">
        <v>1002</v>
      </c>
      <c r="G1584" s="34" t="n">
        <v>1182</v>
      </c>
      <c r="H1584" s="34" t="n">
        <v>1491</v>
      </c>
      <c r="I1584" s="36" t="n">
        <f aca="false">$E1584/F1584-1</f>
        <v>0.00199600798403199</v>
      </c>
      <c r="J1584" s="36" t="n">
        <f aca="false">$E1584/G1584-1</f>
        <v>-0.150592216582064</v>
      </c>
      <c r="K1584" s="36" t="n">
        <f aca="false">$E1584/H1584-1</f>
        <v>-0.326626425217974</v>
      </c>
      <c r="L1584" s="37" t="n">
        <v>-1.85</v>
      </c>
      <c r="M1584" s="37" t="n">
        <v>0.12</v>
      </c>
      <c r="N1584" s="34" t="n">
        <v>1996</v>
      </c>
      <c r="O1584" s="34" t="n">
        <v>999</v>
      </c>
      <c r="P1584" s="38"/>
      <c r="Q1584" s="38"/>
    </row>
    <row r="1585" customFormat="false" ht="15" hidden="false" customHeight="false" outlineLevel="0" collapsed="false">
      <c r="A1585" s="34" t="n">
        <v>1577</v>
      </c>
      <c r="B1585" s="35" t="s">
        <v>3192</v>
      </c>
      <c r="C1585" s="35" t="s">
        <v>3193</v>
      </c>
      <c r="D1585" s="35" t="s">
        <v>111</v>
      </c>
      <c r="E1585" s="34" t="n">
        <v>5500</v>
      </c>
      <c r="F1585" s="34" t="n">
        <v>5112</v>
      </c>
      <c r="G1585" s="34" t="n">
        <v>5400</v>
      </c>
      <c r="H1585" s="34" t="n">
        <v>5201.65</v>
      </c>
      <c r="I1585" s="36" t="n">
        <f aca="false">$E1585/F1585-1</f>
        <v>0.0758998435054774</v>
      </c>
      <c r="J1585" s="36" t="n">
        <f aca="false">$E1585/G1585-1</f>
        <v>0.0185185185185186</v>
      </c>
      <c r="K1585" s="36" t="n">
        <f aca="false">$E1585/H1585-1</f>
        <v>0.0573568002460758</v>
      </c>
      <c r="L1585" s="37" t="n">
        <v>10.81</v>
      </c>
      <c r="M1585" s="37" t="n">
        <v>0.52</v>
      </c>
      <c r="N1585" s="34" t="n">
        <v>5602.85</v>
      </c>
      <c r="O1585" s="34" t="n">
        <v>4749</v>
      </c>
      <c r="P1585" s="38"/>
      <c r="Q1585" s="38"/>
    </row>
    <row r="1586" customFormat="false" ht="15" hidden="false" customHeight="false" outlineLevel="0" collapsed="false">
      <c r="A1586" s="34" t="n">
        <v>1578</v>
      </c>
      <c r="B1586" s="35" t="s">
        <v>3194</v>
      </c>
      <c r="C1586" s="35" t="s">
        <v>3195</v>
      </c>
      <c r="D1586" s="35" t="s">
        <v>111</v>
      </c>
      <c r="E1586" s="34" t="n">
        <v>8900</v>
      </c>
      <c r="F1586" s="34" t="n">
        <v>8900</v>
      </c>
      <c r="G1586" s="34" t="n">
        <v>8900</v>
      </c>
      <c r="H1586" s="34" t="n">
        <v>8900</v>
      </c>
      <c r="I1586" s="36" t="n">
        <f aca="false">$E1586/F1586-1</f>
        <v>0</v>
      </c>
      <c r="J1586" s="36" t="n">
        <f aca="false">$E1586/G1586-1</f>
        <v>0</v>
      </c>
      <c r="K1586" s="36" t="n">
        <f aca="false">$E1586/H1586-1</f>
        <v>0</v>
      </c>
      <c r="L1586" s="37" t="n">
        <v>9.59</v>
      </c>
      <c r="M1586" s="37" t="n">
        <v>0.26</v>
      </c>
      <c r="N1586" s="34" t="n">
        <v>8900</v>
      </c>
      <c r="O1586" s="34" t="n">
        <v>8900</v>
      </c>
      <c r="P1586" s="38"/>
      <c r="Q1586" s="38"/>
    </row>
    <row r="1587" customFormat="false" ht="15" hidden="false" customHeight="false" outlineLevel="0" collapsed="false">
      <c r="A1587" s="34" t="n">
        <v>1579</v>
      </c>
      <c r="B1587" s="35" t="s">
        <v>3196</v>
      </c>
      <c r="C1587" s="35" t="s">
        <v>3197</v>
      </c>
      <c r="D1587" s="35" t="s">
        <v>116</v>
      </c>
      <c r="E1587" s="34" t="n">
        <v>10500</v>
      </c>
      <c r="F1587" s="34" t="n">
        <v>10300</v>
      </c>
      <c r="G1587" s="34" t="n">
        <v>10150</v>
      </c>
      <c r="H1587" s="34" t="n">
        <v>11800</v>
      </c>
      <c r="I1587" s="36" t="n">
        <f aca="false">$E1587/F1587-1</f>
        <v>0.0194174757281553</v>
      </c>
      <c r="J1587" s="36" t="n">
        <f aca="false">$E1587/G1587-1</f>
        <v>0.0344827586206897</v>
      </c>
      <c r="K1587" s="36" t="n">
        <f aca="false">$E1587/H1587-1</f>
        <v>-0.110169491525424</v>
      </c>
      <c r="L1587" s="37" t="n">
        <v>5.81</v>
      </c>
      <c r="M1587" s="37" t="n">
        <v>0.67</v>
      </c>
      <c r="N1587" s="34" t="n">
        <v>14348</v>
      </c>
      <c r="O1587" s="34" t="n">
        <v>9387</v>
      </c>
      <c r="P1587" s="38"/>
      <c r="Q1587" s="38"/>
    </row>
    <row r="1588" customFormat="false" ht="15" hidden="false" customHeight="false" outlineLevel="0" collapsed="false">
      <c r="A1588" s="34" t="n">
        <v>1580</v>
      </c>
      <c r="B1588" s="35" t="s">
        <v>3198</v>
      </c>
      <c r="C1588" s="35" t="s">
        <v>3199</v>
      </c>
      <c r="D1588" s="35" t="s">
        <v>116</v>
      </c>
      <c r="E1588" s="34" t="n">
        <v>7400</v>
      </c>
      <c r="F1588" s="34" t="n">
        <v>8080</v>
      </c>
      <c r="G1588" s="34" t="n">
        <v>7700</v>
      </c>
      <c r="H1588" s="34" t="n">
        <v>6880</v>
      </c>
      <c r="I1588" s="36" t="n">
        <f aca="false">$E1588/F1588-1</f>
        <v>-0.0841584158415841</v>
      </c>
      <c r="J1588" s="36" t="n">
        <f aca="false">$E1588/G1588-1</f>
        <v>-0.038961038961039</v>
      </c>
      <c r="K1588" s="36" t="n">
        <f aca="false">$E1588/H1588-1</f>
        <v>0.0755813953488371</v>
      </c>
      <c r="L1588" s="37" t="n">
        <v>-7.15</v>
      </c>
      <c r="M1588" s="37" t="n">
        <v>1.07</v>
      </c>
      <c r="N1588" s="34" t="n">
        <v>9270</v>
      </c>
      <c r="O1588" s="34" t="n">
        <v>6000</v>
      </c>
      <c r="P1588" s="38"/>
      <c r="Q1588" s="38"/>
    </row>
    <row r="1589" customFormat="false" ht="15" hidden="false" customHeight="false" outlineLevel="0" collapsed="false">
      <c r="A1589" s="34" t="n">
        <v>1581</v>
      </c>
      <c r="B1589" s="35" t="s">
        <v>3200</v>
      </c>
      <c r="C1589" s="35" t="s">
        <v>3201</v>
      </c>
      <c r="D1589" s="35" t="s">
        <v>111</v>
      </c>
      <c r="E1589" s="34" t="n">
        <v>5100</v>
      </c>
      <c r="F1589" s="34" t="n">
        <v>5100</v>
      </c>
      <c r="G1589" s="34" t="n">
        <v>5100</v>
      </c>
      <c r="H1589" s="34" t="n">
        <v>5600</v>
      </c>
      <c r="I1589" s="36" t="n">
        <f aca="false">$E1589/F1589-1</f>
        <v>0</v>
      </c>
      <c r="J1589" s="36" t="n">
        <f aca="false">$E1589/G1589-1</f>
        <v>0</v>
      </c>
      <c r="K1589" s="36" t="n">
        <f aca="false">$E1589/H1589-1</f>
        <v>-0.0892857142857143</v>
      </c>
      <c r="L1589" s="37" t="n">
        <v>-0.58</v>
      </c>
      <c r="M1589" s="37" t="n">
        <v>-0.03</v>
      </c>
      <c r="N1589" s="34" t="n">
        <v>5600</v>
      </c>
      <c r="O1589" s="34" t="n">
        <v>5100</v>
      </c>
      <c r="P1589" s="38"/>
      <c r="Q1589" s="38"/>
    </row>
    <row r="1590" customFormat="false" ht="15" hidden="false" customHeight="false" outlineLevel="0" collapsed="false">
      <c r="A1590" s="34" t="n">
        <v>1582</v>
      </c>
      <c r="B1590" s="35" t="s">
        <v>3202</v>
      </c>
      <c r="C1590" s="35" t="s">
        <v>3203</v>
      </c>
      <c r="D1590" s="35" t="s">
        <v>111</v>
      </c>
      <c r="E1590" s="34" t="n">
        <v>3700</v>
      </c>
      <c r="F1590" s="34" t="n">
        <v>3700</v>
      </c>
      <c r="G1590" s="34" t="n">
        <v>3700</v>
      </c>
      <c r="H1590" s="34" t="n">
        <v>3700</v>
      </c>
      <c r="I1590" s="36" t="n">
        <f aca="false">$E1590/F1590-1</f>
        <v>0</v>
      </c>
      <c r="J1590" s="36" t="n">
        <f aca="false">$E1590/G1590-1</f>
        <v>0</v>
      </c>
      <c r="K1590" s="36" t="n">
        <f aca="false">$E1590/H1590-1</f>
        <v>0</v>
      </c>
      <c r="L1590" s="37" t="n">
        <v>1.84</v>
      </c>
      <c r="M1590" s="37" t="n">
        <v>0.32</v>
      </c>
      <c r="N1590" s="34" t="n">
        <v>3700</v>
      </c>
      <c r="O1590" s="34" t="n">
        <v>3700</v>
      </c>
      <c r="P1590" s="38"/>
      <c r="Q1590" s="38"/>
    </row>
    <row r="1591" customFormat="false" ht="15" hidden="false" customHeight="false" outlineLevel="0" collapsed="false">
      <c r="A1591" s="34" t="n">
        <v>1583</v>
      </c>
      <c r="B1591" s="35" t="s">
        <v>3204</v>
      </c>
      <c r="C1591" s="35" t="s">
        <v>3205</v>
      </c>
      <c r="D1591" s="35" t="s">
        <v>133</v>
      </c>
      <c r="E1591" s="34" t="n">
        <v>7000</v>
      </c>
      <c r="F1591" s="34" t="n">
        <v>7200</v>
      </c>
      <c r="G1591" s="34" t="n">
        <v>7700</v>
      </c>
      <c r="H1591" s="34" t="n">
        <v>6988.56</v>
      </c>
      <c r="I1591" s="36" t="n">
        <f aca="false">$E1591/F1591-1</f>
        <v>-0.0277777777777778</v>
      </c>
      <c r="J1591" s="36" t="n">
        <f aca="false">$E1591/G1591-1</f>
        <v>-0.0909090909090909</v>
      </c>
      <c r="K1591" s="36" t="n">
        <f aca="false">$E1591/H1591-1</f>
        <v>0.0016369609762239</v>
      </c>
      <c r="L1591" s="37" t="n">
        <v>8</v>
      </c>
      <c r="M1591" s="37" t="n">
        <v>0.46</v>
      </c>
      <c r="N1591" s="34" t="n">
        <v>8027.4</v>
      </c>
      <c r="O1591" s="34" t="n">
        <v>6500</v>
      </c>
      <c r="P1591" s="38"/>
      <c r="Q1591" s="38"/>
    </row>
    <row r="1592" customFormat="false" ht="15" hidden="false" customHeight="false" outlineLevel="0" collapsed="false">
      <c r="A1592" s="34" t="n">
        <v>1584</v>
      </c>
      <c r="B1592" s="35" t="s">
        <v>3206</v>
      </c>
      <c r="C1592" s="35" t="s">
        <v>3207</v>
      </c>
      <c r="D1592" s="35" t="s">
        <v>111</v>
      </c>
      <c r="E1592" s="34" t="n">
        <v>12500</v>
      </c>
      <c r="F1592" s="34" t="n">
        <v>12500</v>
      </c>
      <c r="G1592" s="34" t="n">
        <v>13000</v>
      </c>
      <c r="H1592" s="34" t="n">
        <v>9788.41</v>
      </c>
      <c r="I1592" s="36" t="n">
        <f aca="false">$E1592/F1592-1</f>
        <v>0</v>
      </c>
      <c r="J1592" s="36" t="n">
        <f aca="false">$E1592/G1592-1</f>
        <v>-0.0384615384615384</v>
      </c>
      <c r="K1592" s="36" t="n">
        <f aca="false">$E1592/H1592-1</f>
        <v>0.277020476257124</v>
      </c>
      <c r="L1592" s="37" t="n">
        <v>6.19</v>
      </c>
      <c r="M1592" s="37" t="n">
        <v>1.04</v>
      </c>
      <c r="N1592" s="34" t="n">
        <v>13900</v>
      </c>
      <c r="O1592" s="34" t="n">
        <v>8883.14</v>
      </c>
      <c r="P1592" s="38"/>
      <c r="Q1592" s="38"/>
    </row>
    <row r="1593" customFormat="false" ht="15" hidden="false" customHeight="false" outlineLevel="0" collapsed="false">
      <c r="A1593" s="34" t="n">
        <v>1585</v>
      </c>
      <c r="B1593" s="35" t="s">
        <v>3208</v>
      </c>
      <c r="C1593" s="35" t="s">
        <v>3209</v>
      </c>
      <c r="D1593" s="35" t="s">
        <v>111</v>
      </c>
      <c r="E1593" s="34" t="n">
        <v>6800</v>
      </c>
      <c r="F1593" s="34" t="n">
        <v>6800</v>
      </c>
      <c r="G1593" s="34" t="n">
        <v>6800</v>
      </c>
      <c r="H1593" s="34" t="n">
        <v>10000</v>
      </c>
      <c r="I1593" s="36" t="n">
        <f aca="false">$E1593/F1593-1</f>
        <v>0</v>
      </c>
      <c r="J1593" s="36" t="n">
        <f aca="false">$E1593/G1593-1</f>
        <v>0</v>
      </c>
      <c r="K1593" s="36" t="n">
        <f aca="false">$E1593/H1593-1</f>
        <v>-0.32</v>
      </c>
      <c r="L1593" s="37" t="n">
        <v>2</v>
      </c>
      <c r="M1593" s="37" t="n">
        <v>0.74</v>
      </c>
      <c r="N1593" s="34" t="n">
        <v>10000</v>
      </c>
      <c r="O1593" s="34" t="n">
        <v>6800</v>
      </c>
      <c r="P1593" s="38"/>
      <c r="Q1593" s="38"/>
    </row>
    <row r="1594" customFormat="false" ht="15" hidden="false" customHeight="false" outlineLevel="0" collapsed="false">
      <c r="A1594" s="34" t="n">
        <v>1586</v>
      </c>
      <c r="B1594" s="35" t="s">
        <v>3210</v>
      </c>
      <c r="C1594" s="35" t="s">
        <v>3211</v>
      </c>
      <c r="D1594" s="35" t="s">
        <v>111</v>
      </c>
      <c r="E1594" s="34" t="n">
        <v>6952</v>
      </c>
      <c r="F1594" s="34" t="n">
        <v>8000</v>
      </c>
      <c r="G1594" s="34" t="n">
        <v>5300</v>
      </c>
      <c r="H1594" s="34" t="n">
        <v>3000</v>
      </c>
      <c r="I1594" s="36" t="n">
        <f aca="false">$E1594/F1594-1</f>
        <v>-0.131</v>
      </c>
      <c r="J1594" s="36" t="n">
        <f aca="false">$E1594/G1594-1</f>
        <v>0.311698113207547</v>
      </c>
      <c r="K1594" s="36" t="n">
        <f aca="false">$E1594/H1594-1</f>
        <v>1.31733333333333</v>
      </c>
      <c r="L1594" s="37" t="n">
        <v>1.86</v>
      </c>
      <c r="M1594" s="37" t="n">
        <v>1.9</v>
      </c>
      <c r="N1594" s="34" t="n">
        <v>8613</v>
      </c>
      <c r="O1594" s="34" t="n">
        <v>2000</v>
      </c>
      <c r="P1594" s="38"/>
      <c r="Q1594" s="38"/>
    </row>
    <row r="1595" customFormat="false" ht="15" hidden="false" customHeight="false" outlineLevel="0" collapsed="false">
      <c r="A1595" s="34" t="n">
        <v>1587</v>
      </c>
      <c r="B1595" s="35" t="s">
        <v>3212</v>
      </c>
      <c r="C1595" s="35" t="s">
        <v>3213</v>
      </c>
      <c r="D1595" s="35" t="s">
        <v>111</v>
      </c>
      <c r="E1595" s="34" t="n">
        <v>13300</v>
      </c>
      <c r="F1595" s="34" t="n">
        <v>13284</v>
      </c>
      <c r="G1595" s="34" t="n">
        <v>13738.81</v>
      </c>
      <c r="H1595" s="34" t="n">
        <v>14794.54</v>
      </c>
      <c r="I1595" s="36" t="n">
        <f aca="false">$E1595/F1595-1</f>
        <v>0.00120445648900924</v>
      </c>
      <c r="J1595" s="36" t="n">
        <f aca="false">$E1595/G1595-1</f>
        <v>-0.0319394474485053</v>
      </c>
      <c r="K1595" s="36" t="n">
        <f aca="false">$E1595/H1595-1</f>
        <v>-0.101019700511135</v>
      </c>
      <c r="L1595" s="37" t="n">
        <v>5.19</v>
      </c>
      <c r="M1595" s="37" t="n">
        <v>0.59</v>
      </c>
      <c r="N1595" s="34" t="n">
        <v>16315.6</v>
      </c>
      <c r="O1595" s="34" t="n">
        <v>12964</v>
      </c>
      <c r="P1595" s="38"/>
      <c r="Q1595" s="38"/>
    </row>
    <row r="1596" customFormat="false" ht="15" hidden="false" customHeight="false" outlineLevel="0" collapsed="false">
      <c r="A1596" s="34" t="n">
        <v>1588</v>
      </c>
      <c r="B1596" s="35" t="s">
        <v>3214</v>
      </c>
      <c r="C1596" s="35" t="s">
        <v>3215</v>
      </c>
      <c r="D1596" s="35" t="s">
        <v>111</v>
      </c>
      <c r="E1596" s="34" t="n">
        <v>21700</v>
      </c>
      <c r="F1596" s="34" t="n">
        <v>21700</v>
      </c>
      <c r="G1596" s="34" t="n">
        <v>25500</v>
      </c>
      <c r="H1596" s="34" t="n">
        <v>29500</v>
      </c>
      <c r="I1596" s="36" t="n">
        <f aca="false">$E1596/F1596-1</f>
        <v>0</v>
      </c>
      <c r="J1596" s="36" t="n">
        <f aca="false">$E1596/G1596-1</f>
        <v>-0.149019607843137</v>
      </c>
      <c r="K1596" s="36" t="n">
        <f aca="false">$E1596/H1596-1</f>
        <v>-0.264406779661017</v>
      </c>
      <c r="L1596" s="37" t="n">
        <v>16.15</v>
      </c>
      <c r="M1596" s="37" t="n">
        <v>1.09</v>
      </c>
      <c r="N1596" s="34" t="n">
        <v>39600</v>
      </c>
      <c r="O1596" s="34" t="n">
        <v>21000</v>
      </c>
      <c r="P1596" s="38"/>
      <c r="Q1596" s="38"/>
    </row>
    <row r="1597" customFormat="false" ht="15" hidden="false" customHeight="false" outlineLevel="0" collapsed="false">
      <c r="A1597" s="34" t="n">
        <v>1589</v>
      </c>
      <c r="B1597" s="35" t="s">
        <v>3216</v>
      </c>
      <c r="C1597" s="35" t="s">
        <v>3217</v>
      </c>
      <c r="D1597" s="35" t="s">
        <v>111</v>
      </c>
      <c r="E1597" s="34" t="n">
        <v>6100</v>
      </c>
      <c r="F1597" s="34" t="n">
        <v>6100</v>
      </c>
      <c r="G1597" s="34" t="n">
        <v>7100</v>
      </c>
      <c r="H1597" s="34" t="n">
        <v>6100</v>
      </c>
      <c r="I1597" s="36" t="n">
        <f aca="false">$E1597/F1597-1</f>
        <v>0</v>
      </c>
      <c r="J1597" s="36" t="n">
        <f aca="false">$E1597/G1597-1</f>
        <v>-0.140845070422535</v>
      </c>
      <c r="K1597" s="36" t="n">
        <f aca="false">$E1597/H1597-1</f>
        <v>0</v>
      </c>
      <c r="L1597" s="37" t="n">
        <v>5.93</v>
      </c>
      <c r="M1597" s="37" t="n">
        <v>0.52</v>
      </c>
      <c r="N1597" s="34" t="n">
        <v>8800</v>
      </c>
      <c r="O1597" s="34" t="n">
        <v>4496</v>
      </c>
      <c r="P1597" s="38"/>
      <c r="Q1597" s="38"/>
    </row>
    <row r="1598" customFormat="false" ht="15" hidden="false" customHeight="false" outlineLevel="0" collapsed="false">
      <c r="A1598" s="34" t="n">
        <v>1590</v>
      </c>
      <c r="B1598" s="35" t="s">
        <v>3218</v>
      </c>
      <c r="C1598" s="35" t="s">
        <v>3219</v>
      </c>
      <c r="D1598" s="35" t="s">
        <v>111</v>
      </c>
      <c r="E1598" s="34"/>
      <c r="F1598" s="34"/>
      <c r="G1598" s="34"/>
      <c r="H1598" s="34"/>
      <c r="I1598" s="36" t="e">
        <f aca="false">$E1598/F1598-1</f>
        <v>#DIV/0!</v>
      </c>
      <c r="J1598" s="36" t="e">
        <f aca="false">$E1598/G1598-1</f>
        <v>#DIV/0!</v>
      </c>
      <c r="K1598" s="36" t="e">
        <f aca="false">$E1598/H1598-1</f>
        <v>#DIV/0!</v>
      </c>
      <c r="L1598" s="37"/>
      <c r="M1598" s="37"/>
      <c r="N1598" s="34"/>
      <c r="O1598" s="34"/>
      <c r="P1598" s="38"/>
      <c r="Q1598" s="38"/>
    </row>
    <row r="1599" customFormat="false" ht="15" hidden="false" customHeight="false" outlineLevel="0" collapsed="false">
      <c r="A1599" s="34" t="n">
        <v>1591</v>
      </c>
      <c r="B1599" s="35" t="s">
        <v>3220</v>
      </c>
      <c r="C1599" s="35" t="s">
        <v>3221</v>
      </c>
      <c r="D1599" s="35" t="s">
        <v>111</v>
      </c>
      <c r="E1599" s="34" t="n">
        <v>463</v>
      </c>
      <c r="F1599" s="34" t="n">
        <v>458</v>
      </c>
      <c r="G1599" s="34" t="n">
        <v>600</v>
      </c>
      <c r="H1599" s="34" t="n">
        <v>600</v>
      </c>
      <c r="I1599" s="36" t="n">
        <f aca="false">$E1599/F1599-1</f>
        <v>0.0109170305676856</v>
      </c>
      <c r="J1599" s="36" t="n">
        <f aca="false">$E1599/G1599-1</f>
        <v>-0.228333333333333</v>
      </c>
      <c r="K1599" s="36" t="n">
        <f aca="false">$E1599/H1599-1</f>
        <v>-0.228333333333333</v>
      </c>
      <c r="L1599" s="37" t="n">
        <v>-0.41</v>
      </c>
      <c r="M1599" s="37" t="n">
        <v>0.15</v>
      </c>
      <c r="N1599" s="34" t="n">
        <v>800</v>
      </c>
      <c r="O1599" s="34" t="n">
        <v>458</v>
      </c>
      <c r="P1599" s="38"/>
      <c r="Q1599" s="38"/>
    </row>
    <row r="1600" customFormat="false" ht="15" hidden="false" customHeight="false" outlineLevel="0" collapsed="false">
      <c r="A1600" s="34" t="n">
        <v>1592</v>
      </c>
      <c r="B1600" s="35" t="s">
        <v>3222</v>
      </c>
      <c r="C1600" s="35" t="s">
        <v>3223</v>
      </c>
      <c r="D1600" s="35" t="s">
        <v>133</v>
      </c>
      <c r="E1600" s="34" t="n">
        <v>58000</v>
      </c>
      <c r="F1600" s="34" t="n">
        <v>52094.25</v>
      </c>
      <c r="G1600" s="34" t="n">
        <v>57037.5</v>
      </c>
      <c r="H1600" s="34" t="n">
        <v>47626.01</v>
      </c>
      <c r="I1600" s="36" t="n">
        <f aca="false">$E1600/F1600-1</f>
        <v>0.113366638352601</v>
      </c>
      <c r="J1600" s="36" t="n">
        <f aca="false">$E1600/G1600-1</f>
        <v>0.0168748630287092</v>
      </c>
      <c r="K1600" s="36" t="n">
        <f aca="false">$E1600/H1600-1</f>
        <v>0.217821942253823</v>
      </c>
      <c r="L1600" s="37" t="n">
        <v>9.88</v>
      </c>
      <c r="M1600" s="37" t="n">
        <v>1.02</v>
      </c>
      <c r="N1600" s="34" t="n">
        <v>59900</v>
      </c>
      <c r="O1600" s="34" t="n">
        <v>47479.92</v>
      </c>
      <c r="P1600" s="38"/>
      <c r="Q1600" s="38"/>
    </row>
    <row r="1601" customFormat="false" ht="15" hidden="false" customHeight="false" outlineLevel="0" collapsed="false">
      <c r="A1601" s="34" t="n">
        <v>1593</v>
      </c>
      <c r="B1601" s="35" t="s">
        <v>3224</v>
      </c>
      <c r="C1601" s="35" t="s">
        <v>3225</v>
      </c>
      <c r="D1601" s="35" t="s">
        <v>111</v>
      </c>
      <c r="E1601" s="34"/>
      <c r="F1601" s="34"/>
      <c r="G1601" s="34"/>
      <c r="H1601" s="34"/>
      <c r="I1601" s="36" t="e">
        <f aca="false">$E1601/F1601-1</f>
        <v>#DIV/0!</v>
      </c>
      <c r="J1601" s="36" t="e">
        <f aca="false">$E1601/G1601-1</f>
        <v>#DIV/0!</v>
      </c>
      <c r="K1601" s="36" t="e">
        <f aca="false">$E1601/H1601-1</f>
        <v>#DIV/0!</v>
      </c>
      <c r="L1601" s="37"/>
      <c r="M1601" s="37"/>
      <c r="N1601" s="34"/>
      <c r="O1601" s="34"/>
      <c r="P1601" s="38"/>
      <c r="Q1601" s="38"/>
    </row>
    <row r="1602" customFormat="false" ht="15" hidden="false" customHeight="false" outlineLevel="0" collapsed="false">
      <c r="A1602" s="34" t="n">
        <v>1594</v>
      </c>
      <c r="B1602" s="35" t="s">
        <v>3226</v>
      </c>
      <c r="C1602" s="35" t="s">
        <v>3227</v>
      </c>
      <c r="D1602" s="35" t="s">
        <v>116</v>
      </c>
      <c r="E1602" s="34" t="n">
        <v>13600</v>
      </c>
      <c r="F1602" s="34" t="n">
        <v>13900</v>
      </c>
      <c r="G1602" s="34" t="n">
        <v>14500</v>
      </c>
      <c r="H1602" s="34" t="n">
        <v>16500</v>
      </c>
      <c r="I1602" s="36" t="n">
        <f aca="false">$E1602/F1602-1</f>
        <v>-0.0215827338129496</v>
      </c>
      <c r="J1602" s="36" t="n">
        <f aca="false">$E1602/G1602-1</f>
        <v>-0.0620689655172414</v>
      </c>
      <c r="K1602" s="36" t="n">
        <f aca="false">$E1602/H1602-1</f>
        <v>-0.175757575757576</v>
      </c>
      <c r="L1602" s="37" t="n">
        <v>4.96</v>
      </c>
      <c r="M1602" s="37" t="n">
        <v>0.56</v>
      </c>
      <c r="N1602" s="34" t="n">
        <v>20700</v>
      </c>
      <c r="O1602" s="34" t="n">
        <v>13600</v>
      </c>
      <c r="P1602" s="38"/>
      <c r="Q1602" s="38"/>
    </row>
    <row r="1603" customFormat="false" ht="15" hidden="false" customHeight="false" outlineLevel="0" collapsed="false">
      <c r="A1603" s="34" t="n">
        <v>1595</v>
      </c>
      <c r="B1603" s="35" t="s">
        <v>3228</v>
      </c>
      <c r="C1603" s="35" t="s">
        <v>3229</v>
      </c>
      <c r="D1603" s="35" t="s">
        <v>111</v>
      </c>
      <c r="E1603" s="34" t="n">
        <v>5100</v>
      </c>
      <c r="F1603" s="34" t="n">
        <v>5100</v>
      </c>
      <c r="G1603" s="34" t="n">
        <v>5100</v>
      </c>
      <c r="H1603" s="34" t="n">
        <v>9800</v>
      </c>
      <c r="I1603" s="36" t="n">
        <f aca="false">$E1603/F1603-1</f>
        <v>0</v>
      </c>
      <c r="J1603" s="36" t="n">
        <f aca="false">$E1603/G1603-1</f>
        <v>0</v>
      </c>
      <c r="K1603" s="36" t="n">
        <f aca="false">$E1603/H1603-1</f>
        <v>-0.479591836734694</v>
      </c>
      <c r="L1603" s="37" t="n">
        <v>2.66</v>
      </c>
      <c r="M1603" s="37" t="n">
        <v>2.11</v>
      </c>
      <c r="N1603" s="34" t="n">
        <v>14300</v>
      </c>
      <c r="O1603" s="34" t="n">
        <v>5100</v>
      </c>
      <c r="P1603" s="38"/>
      <c r="Q1603" s="38"/>
    </row>
  </sheetData>
  <autoFilter ref="A8:O160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Nguyễn Đức Cường</dc:creator>
  <dc:description/>
  <dc:language>en-US</dc:language>
  <cp:lastModifiedBy>Long Dang</cp:lastModifiedBy>
  <dcterms:modified xsi:type="dcterms:W3CDTF">2026-08-09T14:39:10Z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