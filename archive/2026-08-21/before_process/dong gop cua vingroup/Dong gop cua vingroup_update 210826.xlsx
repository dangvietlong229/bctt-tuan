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40" yWindow="10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;\-#,##0;\-"/>
    <numFmt numFmtId="165" formatCode="#,##0.0_ ;\-#,##0.0\ "/>
    <numFmt numFmtId="166" formatCode="mm/dd/yyyy"/>
    <numFmt numFmtId="167" formatCode="_(* #,##0_);_(* \(#,##0\);_(* &quot;-&quot;??_);_(@_)"/>
    <numFmt numFmtId="168" formatCode="0.0%"/>
    <numFmt numFmtId="169" formatCode="#,##0.0_);\(#,##0.0\)"/>
    <numFmt numFmtId="170" formatCode="0.0"/>
    <numFmt numFmtId="171" formatCode="yyyy-mm-dd h:mm:ss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Aptos Mono"/>
      <family val="3"/>
      <color theme="1"/>
      <sz val="11"/>
    </font>
    <font>
      <name val="Aptos Narrow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9" fontId="3" fillId="0" borderId="0"/>
    <xf numFmtId="43" fontId="3" fillId="0" borderId="0"/>
  </cellStyleXfs>
  <cellXfs count="46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3" fontId="0" fillId="0" borderId="1" pivotButton="0" quotePrefix="0" xfId="0"/>
    <xf numFmtId="14" fontId="0" fillId="0" borderId="1" pivotButton="0" quotePrefix="0" xfId="0"/>
    <xf numFmtId="0" fontId="2" fillId="2" borderId="1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1" pivotButton="0" quotePrefix="0" xfId="0"/>
    <xf numFmtId="164" fontId="0" fillId="3" borderId="0" pivotButton="0" quotePrefix="0" xfId="0"/>
    <xf numFmtId="0" fontId="2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horizontal="center" vertical="center"/>
    </xf>
    <xf numFmtId="14" fontId="0" fillId="4" borderId="0" pivotButton="0" quotePrefix="0" xfId="0"/>
    <xf numFmtId="4" fontId="0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vertical="center" wrapText="1"/>
    </xf>
    <xf numFmtId="167" fontId="0" fillId="4" borderId="0" pivotButton="0" quotePrefix="0" xfId="1"/>
    <xf numFmtId="167" fontId="0" fillId="0" borderId="0" pivotButton="0" quotePrefix="0" xfId="1"/>
    <xf numFmtId="4" fontId="0" fillId="0" borderId="1" pivotButton="0" quotePrefix="0" xfId="0"/>
    <xf numFmtId="3" fontId="4" fillId="0" borderId="2" pivotButton="0" quotePrefix="0" xfId="0"/>
    <xf numFmtId="3" fontId="0" fillId="0" borderId="2" pivotButton="0" quotePrefix="0" xfId="0"/>
    <xf numFmtId="3" fontId="0" fillId="0" borderId="3" pivotButton="0" quotePrefix="0" xfId="0"/>
    <xf numFmtId="0" fontId="2" fillId="2" borderId="4" applyAlignment="1" pivotButton="0" quotePrefix="0" xfId="0">
      <alignment vertical="center" wrapText="1"/>
    </xf>
    <xf numFmtId="3" fontId="0" fillId="0" borderId="5" pivotButton="0" quotePrefix="0" xfId="0"/>
    <xf numFmtId="168" fontId="0" fillId="0" borderId="0" pivotButton="0" quotePrefix="0" xfId="2"/>
    <xf numFmtId="169" fontId="0" fillId="0" borderId="0" pivotButton="0" quotePrefix="0" xfId="0"/>
    <xf numFmtId="166" fontId="3" fillId="0" borderId="1" pivotButton="0" quotePrefix="0" xfId="0"/>
    <xf numFmtId="4" fontId="3" fillId="0" borderId="1" pivotButton="0" quotePrefix="0" xfId="0"/>
    <xf numFmtId="3" fontId="3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1" fontId="3" fillId="0" borderId="0" pivotButton="0" quotePrefix="0" xfId="0"/>
    <xf numFmtId="164" fontId="3" fillId="0" borderId="0" pivotButton="0" quotePrefix="0" xfId="0"/>
    <xf numFmtId="164" fontId="3" fillId="3" borderId="0" pivotButton="0" quotePrefix="0" xfId="0"/>
    <xf numFmtId="169" fontId="3" fillId="0" borderId="0" pivotButton="0" quotePrefix="0" xfId="0"/>
    <xf numFmtId="4" fontId="3" fillId="0" borderId="0" pivotButton="0" quotePrefix="0" xfId="0"/>
    <xf numFmtId="168" fontId="3" fillId="0" borderId="0" pivotButton="0" quotePrefix="0" xfId="0"/>
    <xf numFmtId="164" fontId="0" fillId="0" borderId="0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0" fontId="5" fillId="0" borderId="0" pivotButton="0" quotePrefix="0" xfId="0"/>
    <xf numFmtId="170" fontId="5" fillId="0" borderId="0" pivotButton="0" quotePrefix="0" xfId="0"/>
    <xf numFmtId="165" fontId="3" fillId="0" borderId="0" pivotButton="0" quotePrefix="0" xfId="0"/>
    <xf numFmtId="3" fontId="1" fillId="2" borderId="1" applyAlignment="1" pivotButton="0" quotePrefix="0" xfId="0">
      <alignment horizontal="center" vertical="center"/>
    </xf>
    <xf numFmtId="0" fontId="0" fillId="0" borderId="6" pivotButton="0" quotePrefix="0" xfId="0"/>
  </cellXfs>
  <cellStyles count="4">
    <cellStyle name="Normal" xfId="0" builtinId="0"/>
    <cellStyle name="Comma" xfId="1" builtinId="3"/>
    <cellStyle name="Percent" xfId="2" builtinId="5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2"/>
          <order val="0"/>
          <tx>
            <v>VNINDEX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Sheet1!$A$2:$A$383</f>
              <numCache>
                <formatCode>mm/dd/yyyy</formatCode>
                <ptCount val="382"/>
                <pt idx="1">
                  <v>46241</v>
                </pt>
                <pt idx="2">
                  <v>46240</v>
                </pt>
                <pt idx="3">
                  <v>46239</v>
                </pt>
                <pt idx="4">
                  <v>46238</v>
                </pt>
                <pt idx="5">
                  <v>46237</v>
                </pt>
                <pt idx="6">
                  <v>46234</v>
                </pt>
                <pt idx="7">
                  <v>46233</v>
                </pt>
                <pt idx="8">
                  <v>46232</v>
                </pt>
                <pt idx="9">
                  <v>46231</v>
                </pt>
                <pt idx="10">
                  <v>46230</v>
                </pt>
                <pt idx="11">
                  <v>46227</v>
                </pt>
                <pt idx="12">
                  <v>46226</v>
                </pt>
                <pt idx="13">
                  <v>46225</v>
                </pt>
                <pt idx="14">
                  <v>46224</v>
                </pt>
                <pt idx="15">
                  <v>46223</v>
                </pt>
                <pt idx="16">
                  <v>46220</v>
                </pt>
                <pt idx="17">
                  <v>46219</v>
                </pt>
                <pt idx="18">
                  <v>46218</v>
                </pt>
                <pt idx="19">
                  <v>46217</v>
                </pt>
                <pt idx="20">
                  <v>46216</v>
                </pt>
                <pt idx="21">
                  <v>46213</v>
                </pt>
                <pt idx="22">
                  <v>46212</v>
                </pt>
                <pt idx="23">
                  <v>46211</v>
                </pt>
                <pt idx="24">
                  <v>46210</v>
                </pt>
                <pt idx="25">
                  <v>46209</v>
                </pt>
                <pt idx="26">
                  <v>46206</v>
                </pt>
                <pt idx="27">
                  <v>46205</v>
                </pt>
                <pt idx="28">
                  <v>46204</v>
                </pt>
                <pt idx="29">
                  <v>46203</v>
                </pt>
                <pt idx="30">
                  <v>46202</v>
                </pt>
                <pt idx="31">
                  <v>46199</v>
                </pt>
                <pt idx="32">
                  <v>46198</v>
                </pt>
                <pt idx="33">
                  <v>46197</v>
                </pt>
                <pt idx="34">
                  <v>46196</v>
                </pt>
                <pt idx="35">
                  <v>46195</v>
                </pt>
                <pt idx="36">
                  <v>46192</v>
                </pt>
                <pt idx="37">
                  <v>46191</v>
                </pt>
                <pt idx="38">
                  <v>46190</v>
                </pt>
                <pt idx="39">
                  <v>46189</v>
                </pt>
                <pt idx="40">
                  <v>46188</v>
                </pt>
                <pt idx="41">
                  <v>46185</v>
                </pt>
                <pt idx="42">
                  <v>46184</v>
                </pt>
                <pt idx="43">
                  <v>46183</v>
                </pt>
                <pt idx="44">
                  <v>46182</v>
                </pt>
                <pt idx="45">
                  <v>46181</v>
                </pt>
                <pt idx="46">
                  <v>46178</v>
                </pt>
                <pt idx="47">
                  <v>46177</v>
                </pt>
                <pt idx="48">
                  <v>46176</v>
                </pt>
                <pt idx="49">
                  <v>46175</v>
                </pt>
                <pt idx="50">
                  <v>46174</v>
                </pt>
                <pt idx="51">
                  <v>46171</v>
                </pt>
                <pt idx="52">
                  <v>46170</v>
                </pt>
                <pt idx="53">
                  <v>46169</v>
                </pt>
                <pt idx="54">
                  <v>46168</v>
                </pt>
                <pt idx="55">
                  <v>46167</v>
                </pt>
                <pt idx="56">
                  <v>46164</v>
                </pt>
                <pt idx="57">
                  <v>46163</v>
                </pt>
                <pt idx="58">
                  <v>46162</v>
                </pt>
                <pt idx="59">
                  <v>46161</v>
                </pt>
                <pt idx="60">
                  <v>46160</v>
                </pt>
                <pt idx="61">
                  <v>46157</v>
                </pt>
                <pt idx="62">
                  <v>46156</v>
                </pt>
                <pt idx="63">
                  <v>46155</v>
                </pt>
                <pt idx="64">
                  <v>46154</v>
                </pt>
                <pt idx="65">
                  <v>46153</v>
                </pt>
                <pt idx="66">
                  <v>46150</v>
                </pt>
                <pt idx="67">
                  <v>46149</v>
                </pt>
                <pt idx="68">
                  <v>46148</v>
                </pt>
                <pt idx="69">
                  <v>46147</v>
                </pt>
                <pt idx="70">
                  <v>46146</v>
                </pt>
                <pt idx="71">
                  <v>46141</v>
                </pt>
                <pt idx="72">
                  <v>46140</v>
                </pt>
                <pt idx="73">
                  <v>46136</v>
                </pt>
                <pt idx="74">
                  <v>46135</v>
                </pt>
                <pt idx="75">
                  <v>46134</v>
                </pt>
                <pt idx="76">
                  <v>46133</v>
                </pt>
                <pt idx="77">
                  <v>46132</v>
                </pt>
                <pt idx="78">
                  <v>46129</v>
                </pt>
                <pt idx="79">
                  <v>46128</v>
                </pt>
                <pt idx="80">
                  <v>46127</v>
                </pt>
                <pt idx="81">
                  <v>46126</v>
                </pt>
                <pt idx="82">
                  <v>46125</v>
                </pt>
                <pt idx="83">
                  <v>46122</v>
                </pt>
                <pt idx="84">
                  <v>46121</v>
                </pt>
                <pt idx="85">
                  <v>46120</v>
                </pt>
                <pt idx="86">
                  <v>46119</v>
                </pt>
                <pt idx="87">
                  <v>46118</v>
                </pt>
                <pt idx="88">
                  <v>46115</v>
                </pt>
                <pt idx="89">
                  <v>46114</v>
                </pt>
                <pt idx="90">
                  <v>46113</v>
                </pt>
                <pt idx="91">
                  <v>46112</v>
                </pt>
                <pt idx="92">
                  <v>46111</v>
                </pt>
                <pt idx="93">
                  <v>46108</v>
                </pt>
                <pt idx="94">
                  <v>46107</v>
                </pt>
                <pt idx="95">
                  <v>46106</v>
                </pt>
                <pt idx="96">
                  <v>46105</v>
                </pt>
                <pt idx="97">
                  <v>46104</v>
                </pt>
                <pt idx="98">
                  <v>46101</v>
                </pt>
                <pt idx="99">
                  <v>46100</v>
                </pt>
                <pt idx="100">
                  <v>46099</v>
                </pt>
                <pt idx="101">
                  <v>46098</v>
                </pt>
                <pt idx="102">
                  <v>46097</v>
                </pt>
                <pt idx="103">
                  <v>46094</v>
                </pt>
                <pt idx="104">
                  <v>46093</v>
                </pt>
                <pt idx="105">
                  <v>46092</v>
                </pt>
                <pt idx="106">
                  <v>46091</v>
                </pt>
                <pt idx="107">
                  <v>46090</v>
                </pt>
                <pt idx="108">
                  <v>46087</v>
                </pt>
                <pt idx="109">
                  <v>46086</v>
                </pt>
                <pt idx="110">
                  <v>46085</v>
                </pt>
                <pt idx="111">
                  <v>46084</v>
                </pt>
                <pt idx="112">
                  <v>46083</v>
                </pt>
                <pt idx="113">
                  <v>46080</v>
                </pt>
                <pt idx="114">
                  <v>46079</v>
                </pt>
                <pt idx="115">
                  <v>46078</v>
                </pt>
                <pt idx="116">
                  <v>46077</v>
                </pt>
                <pt idx="117">
                  <v>46076</v>
                </pt>
                <pt idx="118">
                  <v>46066</v>
                </pt>
                <pt idx="119">
                  <v>46065</v>
                </pt>
                <pt idx="120">
                  <v>46064</v>
                </pt>
                <pt idx="121">
                  <v>46063</v>
                </pt>
                <pt idx="122">
                  <v>46062</v>
                </pt>
                <pt idx="123">
                  <v>46059</v>
                </pt>
                <pt idx="124">
                  <v>46058</v>
                </pt>
                <pt idx="125">
                  <v>46057</v>
                </pt>
                <pt idx="126">
                  <v>46056</v>
                </pt>
                <pt idx="127">
                  <v>46055</v>
                </pt>
                <pt idx="128">
                  <v>46052</v>
                </pt>
                <pt idx="129">
                  <v>46051</v>
                </pt>
                <pt idx="130">
                  <v>46050</v>
                </pt>
                <pt idx="131">
                  <v>46049</v>
                </pt>
                <pt idx="132">
                  <v>46048</v>
                </pt>
                <pt idx="133">
                  <v>46045</v>
                </pt>
                <pt idx="134">
                  <v>46044</v>
                </pt>
                <pt idx="135">
                  <v>46043</v>
                </pt>
                <pt idx="136">
                  <v>46042</v>
                </pt>
                <pt idx="137">
                  <v>46041</v>
                </pt>
                <pt idx="138">
                  <v>46038</v>
                </pt>
                <pt idx="139">
                  <v>46037</v>
                </pt>
                <pt idx="140">
                  <v>46036</v>
                </pt>
                <pt idx="141">
                  <v>46035</v>
                </pt>
                <pt idx="142">
                  <v>46034</v>
                </pt>
                <pt idx="143">
                  <v>46031</v>
                </pt>
                <pt idx="144">
                  <v>46030</v>
                </pt>
                <pt idx="145">
                  <v>46029</v>
                </pt>
                <pt idx="146">
                  <v>46028</v>
                </pt>
                <pt idx="147">
                  <v>46027</v>
                </pt>
                <pt idx="148">
                  <formatCode>m/d/yy</formatCode>
                  <v>46022</v>
                </pt>
                <pt idx="149">
                  <formatCode>m/d/yy</formatCode>
                  <v>46021</v>
                </pt>
                <pt idx="150">
                  <formatCode>m/d/yy</formatCode>
                  <v>46020</v>
                </pt>
                <pt idx="151">
                  <formatCode>m/d/yy</formatCode>
                  <v>46017</v>
                </pt>
                <pt idx="152">
                  <formatCode>m/d/yy</formatCode>
                  <v>46016</v>
                </pt>
                <pt idx="153">
                  <formatCode>m/d/yy</formatCode>
                  <v>46015</v>
                </pt>
                <pt idx="154">
                  <formatCode>m/d/yy</formatCode>
                  <v>46014</v>
                </pt>
                <pt idx="155">
                  <formatCode>m/d/yy</formatCode>
                  <v>46013</v>
                </pt>
                <pt idx="156">
                  <formatCode>m/d/yy</formatCode>
                  <v>46010</v>
                </pt>
                <pt idx="157">
                  <formatCode>m/d/yy</formatCode>
                  <v>46009</v>
                </pt>
                <pt idx="158">
                  <formatCode>m/d/yy</formatCode>
                  <v>46008</v>
                </pt>
                <pt idx="159">
                  <formatCode>m/d/yy</formatCode>
                  <v>46007</v>
                </pt>
                <pt idx="160">
                  <formatCode>m/d/yy</formatCode>
                  <v>46006</v>
                </pt>
                <pt idx="161">
                  <formatCode>m/d/yy</formatCode>
                  <v>46003</v>
                </pt>
                <pt idx="162">
                  <formatCode>m/d/yy</formatCode>
                  <v>46002</v>
                </pt>
                <pt idx="163">
                  <formatCode>m/d/yy</formatCode>
                  <v>46001</v>
                </pt>
                <pt idx="164">
                  <formatCode>m/d/yy</formatCode>
                  <v>46000</v>
                </pt>
                <pt idx="165">
                  <formatCode>m/d/yy</formatCode>
                  <v>45999</v>
                </pt>
                <pt idx="166">
                  <formatCode>m/d/yy</formatCode>
                  <v>45996</v>
                </pt>
                <pt idx="167">
                  <formatCode>m/d/yy</formatCode>
                  <v>45995</v>
                </pt>
                <pt idx="168">
                  <formatCode>m/d/yy</formatCode>
                  <v>45994</v>
                </pt>
                <pt idx="169">
                  <formatCode>m/d/yy</formatCode>
                  <v>45993</v>
                </pt>
                <pt idx="170">
                  <formatCode>m/d/yy</formatCode>
                  <v>45992</v>
                </pt>
                <pt idx="171">
                  <formatCode>m/d/yy</formatCode>
                  <v>45989</v>
                </pt>
                <pt idx="172">
                  <formatCode>m/d/yy</formatCode>
                  <v>45988</v>
                </pt>
                <pt idx="173">
                  <formatCode>m/d/yy</formatCode>
                  <v>45987</v>
                </pt>
                <pt idx="174">
                  <formatCode>m/d/yy</formatCode>
                  <v>45986</v>
                </pt>
                <pt idx="175">
                  <formatCode>m/d/yy</formatCode>
                  <v>45985</v>
                </pt>
                <pt idx="176">
                  <formatCode>m/d/yy</formatCode>
                  <v>45982</v>
                </pt>
                <pt idx="177">
                  <formatCode>m/d/yy</formatCode>
                  <v>45981</v>
                </pt>
                <pt idx="178">
                  <formatCode>m/d/yy</formatCode>
                  <v>45980</v>
                </pt>
                <pt idx="179">
                  <formatCode>m/d/yy</formatCode>
                  <v>45979</v>
                </pt>
                <pt idx="180">
                  <formatCode>m/d/yy</formatCode>
                  <v>45978</v>
                </pt>
                <pt idx="181">
                  <formatCode>m/d/yy</formatCode>
                  <v>45975</v>
                </pt>
                <pt idx="182">
                  <formatCode>m/d/yy</formatCode>
                  <v>45974</v>
                </pt>
                <pt idx="183">
                  <formatCode>m/d/yy</formatCode>
                  <v>45973</v>
                </pt>
                <pt idx="184">
                  <formatCode>m/d/yy</formatCode>
                  <v>45972</v>
                </pt>
                <pt idx="185">
                  <formatCode>m/d/yy</formatCode>
                  <v>45971</v>
                </pt>
                <pt idx="186">
                  <formatCode>m/d/yy</formatCode>
                  <v>45968</v>
                </pt>
                <pt idx="187">
                  <formatCode>m/d/yy</formatCode>
                  <v>45967</v>
                </pt>
                <pt idx="188">
                  <formatCode>m/d/yy</formatCode>
                  <v>45966</v>
                </pt>
                <pt idx="189">
                  <formatCode>m/d/yy</formatCode>
                  <v>45965</v>
                </pt>
                <pt idx="190">
                  <formatCode>m/d/yy</formatCode>
                  <v>45964</v>
                </pt>
                <pt idx="191">
                  <formatCode>m/d/yy</formatCode>
                  <v>45961</v>
                </pt>
                <pt idx="192">
                  <formatCode>m/d/yy</formatCode>
                  <v>45960</v>
                </pt>
                <pt idx="193">
                  <formatCode>m/d/yy</formatCode>
                  <v>45959</v>
                </pt>
                <pt idx="194">
                  <formatCode>m/d/yy</formatCode>
                  <v>45958</v>
                </pt>
                <pt idx="195">
                  <formatCode>m/d/yy</formatCode>
                  <v>45957</v>
                </pt>
                <pt idx="196">
                  <formatCode>m/d/yy</formatCode>
                  <v>45954</v>
                </pt>
                <pt idx="197">
                  <formatCode>m/d/yy</formatCode>
                  <v>45953</v>
                </pt>
                <pt idx="198">
                  <formatCode>m/d/yy</formatCode>
                  <v>45952</v>
                </pt>
                <pt idx="199">
                  <formatCode>m/d/yy</formatCode>
                  <v>45951</v>
                </pt>
                <pt idx="200">
                  <formatCode>m/d/yy</formatCode>
                  <v>45950</v>
                </pt>
                <pt idx="201">
                  <formatCode>m/d/yy</formatCode>
                  <v>45947</v>
                </pt>
                <pt idx="202">
                  <formatCode>m/d/yy</formatCode>
                  <v>45946</v>
                </pt>
                <pt idx="203">
                  <formatCode>m/d/yy</formatCode>
                  <v>45945</v>
                </pt>
                <pt idx="204">
                  <formatCode>m/d/yy</formatCode>
                  <v>45944</v>
                </pt>
                <pt idx="205">
                  <formatCode>m/d/yy</formatCode>
                  <v>45943</v>
                </pt>
                <pt idx="206">
                  <formatCode>m/d/yy</formatCode>
                  <v>45940</v>
                </pt>
                <pt idx="207">
                  <formatCode>m/d/yy</formatCode>
                  <v>45939</v>
                </pt>
                <pt idx="208">
                  <formatCode>m/d/yy</formatCode>
                  <v>45938</v>
                </pt>
                <pt idx="209">
                  <formatCode>m/d/yy</formatCode>
                  <v>45937</v>
                </pt>
                <pt idx="210">
                  <formatCode>m/d/yy</formatCode>
                  <v>45936</v>
                </pt>
                <pt idx="211">
                  <formatCode>m/d/yy</formatCode>
                  <v>45933</v>
                </pt>
                <pt idx="212">
                  <formatCode>m/d/yy</formatCode>
                  <v>45932</v>
                </pt>
                <pt idx="213">
                  <formatCode>m/d/yy</formatCode>
                  <v>45931</v>
                </pt>
                <pt idx="214">
                  <formatCode>m/d/yy</formatCode>
                  <v>45930</v>
                </pt>
                <pt idx="215">
                  <formatCode>m/d/yy</formatCode>
                  <v>45929</v>
                </pt>
                <pt idx="216">
                  <formatCode>m/d/yy</formatCode>
                  <v>45926</v>
                </pt>
                <pt idx="217">
                  <formatCode>m/d/yy</formatCode>
                  <v>45925</v>
                </pt>
                <pt idx="218">
                  <formatCode>m/d/yy</formatCode>
                  <v>45924</v>
                </pt>
                <pt idx="219">
                  <formatCode>m/d/yy</formatCode>
                  <v>45923</v>
                </pt>
                <pt idx="220">
                  <formatCode>m/d/yy</formatCode>
                  <v>45922</v>
                </pt>
                <pt idx="221">
                  <formatCode>m/d/yy</formatCode>
                  <v>45919</v>
                </pt>
                <pt idx="222">
                  <formatCode>m/d/yy</formatCode>
                  <v>45918</v>
                </pt>
                <pt idx="223">
                  <formatCode>m/d/yy</formatCode>
                  <v>45917</v>
                </pt>
                <pt idx="224">
                  <formatCode>m/d/yy</formatCode>
                  <v>45916</v>
                </pt>
                <pt idx="225">
                  <formatCode>m/d/yy</formatCode>
                  <v>45915</v>
                </pt>
                <pt idx="226">
                  <formatCode>m/d/yy</formatCode>
                  <v>45912</v>
                </pt>
                <pt idx="227">
                  <formatCode>m/d/yy</formatCode>
                  <v>45911</v>
                </pt>
                <pt idx="228">
                  <formatCode>m/d/yy</formatCode>
                  <v>45910</v>
                </pt>
                <pt idx="229">
                  <formatCode>m/d/yy</formatCode>
                  <v>45909</v>
                </pt>
                <pt idx="230">
                  <formatCode>m/d/yy</formatCode>
                  <v>45908</v>
                </pt>
                <pt idx="231">
                  <formatCode>m/d/yy</formatCode>
                  <v>45905</v>
                </pt>
                <pt idx="232">
                  <formatCode>m/d/yy</formatCode>
                  <v>45904</v>
                </pt>
                <pt idx="233">
                  <formatCode>m/d/yy</formatCode>
                  <v>45903</v>
                </pt>
                <pt idx="234">
                  <formatCode>m/d/yy</formatCode>
                  <v>45898</v>
                </pt>
                <pt idx="235">
                  <formatCode>m/d/yy</formatCode>
                  <v>45897</v>
                </pt>
                <pt idx="236">
                  <formatCode>m/d/yy</formatCode>
                  <v>45896</v>
                </pt>
                <pt idx="237">
                  <formatCode>m/d/yy</formatCode>
                  <v>45895</v>
                </pt>
                <pt idx="238">
                  <formatCode>m/d/yy</formatCode>
                  <v>45894</v>
                </pt>
                <pt idx="239">
                  <formatCode>m/d/yy</formatCode>
                  <v>45891</v>
                </pt>
                <pt idx="240">
                  <formatCode>m/d/yy</formatCode>
                  <v>45890</v>
                </pt>
                <pt idx="241">
                  <formatCode>m/d/yy</formatCode>
                  <v>45889</v>
                </pt>
                <pt idx="242">
                  <formatCode>m/d/yy</formatCode>
                  <v>45888</v>
                </pt>
                <pt idx="243">
                  <formatCode>m/d/yy</formatCode>
                  <v>45887</v>
                </pt>
                <pt idx="244">
                  <formatCode>m/d/yy</formatCode>
                  <v>45884</v>
                </pt>
                <pt idx="245">
                  <formatCode>m/d/yy</formatCode>
                  <v>45883</v>
                </pt>
                <pt idx="246">
                  <formatCode>m/d/yy</formatCode>
                  <v>45882</v>
                </pt>
                <pt idx="247">
                  <formatCode>m/d/yy</formatCode>
                  <v>45881</v>
                </pt>
                <pt idx="248">
                  <formatCode>m/d/yy</formatCode>
                  <v>45880</v>
                </pt>
                <pt idx="249">
                  <formatCode>m/d/yy</formatCode>
                  <v>45877</v>
                </pt>
                <pt idx="250">
                  <formatCode>m/d/yy</formatCode>
                  <v>45876</v>
                </pt>
                <pt idx="251">
                  <formatCode>m/d/yy</formatCode>
                  <v>45875</v>
                </pt>
                <pt idx="252">
                  <formatCode>m/d/yy</formatCode>
                  <v>45874</v>
                </pt>
                <pt idx="253">
                  <formatCode>m/d/yy</formatCode>
                  <v>45873</v>
                </pt>
                <pt idx="254">
                  <formatCode>m/d/yy</formatCode>
                  <v>45870</v>
                </pt>
                <pt idx="255">
                  <formatCode>m/d/yy</formatCode>
                  <v>45869</v>
                </pt>
                <pt idx="256">
                  <formatCode>m/d/yy</formatCode>
                  <v>45868</v>
                </pt>
                <pt idx="257">
                  <formatCode>m/d/yy</formatCode>
                  <v>45867</v>
                </pt>
                <pt idx="258">
                  <formatCode>m/d/yy</formatCode>
                  <v>45866</v>
                </pt>
                <pt idx="259">
                  <formatCode>m/d/yy</formatCode>
                  <v>45863</v>
                </pt>
                <pt idx="260">
                  <formatCode>m/d/yy</formatCode>
                  <v>45862</v>
                </pt>
                <pt idx="261">
                  <formatCode>m/d/yy</formatCode>
                  <v>45861</v>
                </pt>
                <pt idx="262">
                  <formatCode>m/d/yy</formatCode>
                  <v>45860</v>
                </pt>
                <pt idx="263">
                  <formatCode>m/d/yy</formatCode>
                  <v>45859</v>
                </pt>
                <pt idx="264">
                  <formatCode>m/d/yy</formatCode>
                  <v>45856</v>
                </pt>
                <pt idx="265">
                  <formatCode>m/d/yy</formatCode>
                  <v>45855</v>
                </pt>
                <pt idx="266">
                  <formatCode>m/d/yy</formatCode>
                  <v>45854</v>
                </pt>
                <pt idx="267">
                  <formatCode>m/d/yy</formatCode>
                  <v>45853</v>
                </pt>
                <pt idx="268">
                  <formatCode>m/d/yy</formatCode>
                  <v>45852</v>
                </pt>
                <pt idx="269">
                  <formatCode>m/d/yy</formatCode>
                  <v>45849</v>
                </pt>
                <pt idx="270">
                  <formatCode>m/d/yy</formatCode>
                  <v>45848</v>
                </pt>
                <pt idx="271">
                  <formatCode>m/d/yy</formatCode>
                  <v>45847</v>
                </pt>
                <pt idx="272">
                  <formatCode>m/d/yy</formatCode>
                  <v>45846</v>
                </pt>
                <pt idx="273">
                  <formatCode>m/d/yy</formatCode>
                  <v>45845</v>
                </pt>
                <pt idx="274">
                  <formatCode>m/d/yy</formatCode>
                  <v>45842</v>
                </pt>
                <pt idx="275">
                  <formatCode>m/d/yy</formatCode>
                  <v>45841</v>
                </pt>
                <pt idx="276">
                  <formatCode>m/d/yy</formatCode>
                  <v>45840</v>
                </pt>
                <pt idx="277">
                  <formatCode>m/d/yy</formatCode>
                  <v>45839</v>
                </pt>
                <pt idx="278">
                  <formatCode>m/d/yy</formatCode>
                  <v>45838</v>
                </pt>
                <pt idx="279">
                  <formatCode>m/d/yy</formatCode>
                  <v>45835</v>
                </pt>
                <pt idx="280">
                  <formatCode>m/d/yy</formatCode>
                  <v>45834</v>
                </pt>
                <pt idx="281">
                  <formatCode>m/d/yy</formatCode>
                  <v>45833</v>
                </pt>
                <pt idx="282">
                  <formatCode>m/d/yy</formatCode>
                  <v>45832</v>
                </pt>
                <pt idx="283">
                  <formatCode>m/d/yy</formatCode>
                  <v>45831</v>
                </pt>
                <pt idx="284">
                  <formatCode>m/d/yy</formatCode>
                  <v>45828</v>
                </pt>
                <pt idx="285">
                  <formatCode>m/d/yy</formatCode>
                  <v>45827</v>
                </pt>
                <pt idx="286">
                  <formatCode>m/d/yy</formatCode>
                  <v>45826</v>
                </pt>
                <pt idx="287">
                  <formatCode>m/d/yy</formatCode>
                  <v>45825</v>
                </pt>
                <pt idx="288">
                  <formatCode>m/d/yy</formatCode>
                  <v>45824</v>
                </pt>
                <pt idx="289">
                  <formatCode>m/d/yy</formatCode>
                  <v>45821</v>
                </pt>
                <pt idx="290">
                  <formatCode>m/d/yy</formatCode>
                  <v>45820</v>
                </pt>
                <pt idx="291">
                  <formatCode>m/d/yy</formatCode>
                  <v>45819</v>
                </pt>
                <pt idx="292">
                  <formatCode>m/d/yy</formatCode>
                  <v>45818</v>
                </pt>
                <pt idx="293">
                  <formatCode>m/d/yy</formatCode>
                  <v>45817</v>
                </pt>
                <pt idx="294">
                  <formatCode>m/d/yy</formatCode>
                  <v>45814</v>
                </pt>
                <pt idx="295">
                  <formatCode>m/d/yy</formatCode>
                  <v>45813</v>
                </pt>
                <pt idx="296">
                  <formatCode>m/d/yy</formatCode>
                  <v>45812</v>
                </pt>
                <pt idx="297">
                  <formatCode>m/d/yy</formatCode>
                  <v>45811</v>
                </pt>
                <pt idx="298">
                  <formatCode>m/d/yy</formatCode>
                  <v>45810</v>
                </pt>
                <pt idx="299">
                  <formatCode>m/d/yy</formatCode>
                  <v>45807</v>
                </pt>
                <pt idx="300">
                  <formatCode>m/d/yy</formatCode>
                  <v>45806</v>
                </pt>
                <pt idx="301">
                  <formatCode>m/d/yy</formatCode>
                  <v>45805</v>
                </pt>
                <pt idx="302">
                  <formatCode>m/d/yy</formatCode>
                  <v>45804</v>
                </pt>
                <pt idx="303">
                  <formatCode>m/d/yy</formatCode>
                  <v>45803</v>
                </pt>
                <pt idx="304">
                  <formatCode>m/d/yy</formatCode>
                  <v>45800</v>
                </pt>
                <pt idx="305">
                  <formatCode>m/d/yy</formatCode>
                  <v>45799</v>
                </pt>
                <pt idx="306">
                  <formatCode>m/d/yy</formatCode>
                  <v>45798</v>
                </pt>
                <pt idx="307">
                  <formatCode>m/d/yy</formatCode>
                  <v>45797</v>
                </pt>
                <pt idx="308">
                  <formatCode>m/d/yy</formatCode>
                  <v>45796</v>
                </pt>
                <pt idx="309">
                  <formatCode>m/d/yy</formatCode>
                  <v>45793</v>
                </pt>
                <pt idx="310">
                  <formatCode>m/d/yy</formatCode>
                  <v>45792</v>
                </pt>
                <pt idx="311">
                  <formatCode>m/d/yy</formatCode>
                  <v>45791</v>
                </pt>
                <pt idx="312">
                  <formatCode>m/d/yy</formatCode>
                  <v>45790</v>
                </pt>
                <pt idx="313">
                  <formatCode>m/d/yy</formatCode>
                  <v>45789</v>
                </pt>
                <pt idx="314">
                  <formatCode>m/d/yy</formatCode>
                  <v>45786</v>
                </pt>
                <pt idx="315">
                  <formatCode>m/d/yy</formatCode>
                  <v>45785</v>
                </pt>
                <pt idx="316">
                  <formatCode>m/d/yy</formatCode>
                  <v>45784</v>
                </pt>
                <pt idx="317">
                  <formatCode>m/d/yy</formatCode>
                  <v>45783</v>
                </pt>
                <pt idx="318">
                  <formatCode>m/d/yy</formatCode>
                  <v>45782</v>
                </pt>
                <pt idx="319">
                  <formatCode>m/d/yy</formatCode>
                  <v>45776</v>
                </pt>
                <pt idx="320">
                  <formatCode>m/d/yy</formatCode>
                  <v>45775</v>
                </pt>
                <pt idx="321">
                  <formatCode>m/d/yy</formatCode>
                  <v>45772</v>
                </pt>
                <pt idx="322">
                  <formatCode>m/d/yy</formatCode>
                  <v>45771</v>
                </pt>
                <pt idx="323">
                  <formatCode>m/d/yy</formatCode>
                  <v>45770</v>
                </pt>
                <pt idx="324">
                  <formatCode>m/d/yy</formatCode>
                  <v>45769</v>
                </pt>
                <pt idx="325">
                  <formatCode>m/d/yy</formatCode>
                  <v>45768</v>
                </pt>
                <pt idx="326">
                  <formatCode>m/d/yy</formatCode>
                  <v>45765</v>
                </pt>
                <pt idx="327">
                  <formatCode>m/d/yy</formatCode>
                  <v>45764</v>
                </pt>
                <pt idx="328">
                  <formatCode>m/d/yy</formatCode>
                  <v>45763</v>
                </pt>
                <pt idx="329">
                  <formatCode>m/d/yy</formatCode>
                  <v>45762</v>
                </pt>
                <pt idx="330">
                  <formatCode>m/d/yy</formatCode>
                  <v>45761</v>
                </pt>
                <pt idx="331">
                  <formatCode>m/d/yy</formatCode>
                  <v>45758</v>
                </pt>
                <pt idx="332">
                  <formatCode>m/d/yy</formatCode>
                  <v>45757</v>
                </pt>
                <pt idx="333">
                  <formatCode>m/d/yy</formatCode>
                  <v>45756</v>
                </pt>
                <pt idx="334">
                  <formatCode>m/d/yy</formatCode>
                  <v>45755</v>
                </pt>
                <pt idx="335">
                  <formatCode>m/d/yy</formatCode>
                  <v>45751</v>
                </pt>
                <pt idx="336">
                  <formatCode>m/d/yy</formatCode>
                  <v>45750</v>
                </pt>
                <pt idx="337">
                  <formatCode>m/d/yy</formatCode>
                  <v>45749</v>
                </pt>
                <pt idx="338">
                  <formatCode>m/d/yy</formatCode>
                  <v>45748</v>
                </pt>
                <pt idx="339">
                  <formatCode>m/d/yy</formatCode>
                  <v>45747</v>
                </pt>
                <pt idx="340">
                  <formatCode>m/d/yy</formatCode>
                  <v>45744</v>
                </pt>
                <pt idx="341">
                  <formatCode>m/d/yy</formatCode>
                  <v>45743</v>
                </pt>
                <pt idx="342">
                  <formatCode>m/d/yy</formatCode>
                  <v>45742</v>
                </pt>
                <pt idx="343">
                  <formatCode>m/d/yy</formatCode>
                  <v>45741</v>
                </pt>
                <pt idx="344">
                  <formatCode>m/d/yy</formatCode>
                  <v>45740</v>
                </pt>
                <pt idx="345">
                  <formatCode>m/d/yy</formatCode>
                  <v>45737</v>
                </pt>
                <pt idx="346">
                  <formatCode>m/d/yy</formatCode>
                  <v>45736</v>
                </pt>
                <pt idx="347">
                  <formatCode>m/d/yy</formatCode>
                  <v>45735</v>
                </pt>
                <pt idx="348">
                  <formatCode>m/d/yy</formatCode>
                  <v>45734</v>
                </pt>
                <pt idx="349">
                  <formatCode>m/d/yy</formatCode>
                  <v>45733</v>
                </pt>
                <pt idx="350">
                  <formatCode>m/d/yy</formatCode>
                  <v>45730</v>
                </pt>
                <pt idx="351">
                  <formatCode>m/d/yy</formatCode>
                  <v>45729</v>
                </pt>
                <pt idx="352">
                  <formatCode>m/d/yy</formatCode>
                  <v>45728</v>
                </pt>
                <pt idx="353">
                  <formatCode>m/d/yy</formatCode>
                  <v>45727</v>
                </pt>
                <pt idx="354">
                  <formatCode>m/d/yy</formatCode>
                  <v>45726</v>
                </pt>
                <pt idx="355">
                  <formatCode>m/d/yy</formatCode>
                  <v>45723</v>
                </pt>
                <pt idx="356">
                  <formatCode>m/d/yy</formatCode>
                  <v>45722</v>
                </pt>
                <pt idx="357">
                  <formatCode>m/d/yy</formatCode>
                  <v>45721</v>
                </pt>
                <pt idx="358">
                  <formatCode>m/d/yy</formatCode>
                  <v>45720</v>
                </pt>
                <pt idx="359">
                  <formatCode>m/d/yy</formatCode>
                  <v>45719</v>
                </pt>
                <pt idx="360">
                  <formatCode>m/d/yy</formatCode>
                  <v>45716</v>
                </pt>
                <pt idx="361">
                  <formatCode>m/d/yy</formatCode>
                  <v>45715</v>
                </pt>
                <pt idx="362">
                  <formatCode>m/d/yy</formatCode>
                  <v>45714</v>
                </pt>
                <pt idx="363">
                  <formatCode>m/d/yy</formatCode>
                  <v>45713</v>
                </pt>
                <pt idx="364">
                  <formatCode>m/d/yy</formatCode>
                  <v>45712</v>
                </pt>
                <pt idx="365">
                  <formatCode>m/d/yy</formatCode>
                  <v>45709</v>
                </pt>
                <pt idx="366">
                  <formatCode>m/d/yy</formatCode>
                  <v>45708</v>
                </pt>
                <pt idx="367">
                  <formatCode>m/d/yy</formatCode>
                  <v>45707</v>
                </pt>
                <pt idx="368">
                  <formatCode>m/d/yy</formatCode>
                  <v>45706</v>
                </pt>
                <pt idx="369">
                  <formatCode>m/d/yy</formatCode>
                  <v>45705</v>
                </pt>
                <pt idx="370">
                  <formatCode>m/d/yy</formatCode>
                  <v>45702</v>
                </pt>
                <pt idx="371">
                  <formatCode>m/d/yy</formatCode>
                  <v>45701</v>
                </pt>
                <pt idx="372">
                  <formatCode>m/d/yy</formatCode>
                  <v>45700</v>
                </pt>
                <pt idx="373">
                  <formatCode>m/d/yy</formatCode>
                  <v>45699</v>
                </pt>
                <pt idx="374">
                  <formatCode>m/d/yy</formatCode>
                  <v>45698</v>
                </pt>
                <pt idx="375">
                  <formatCode>m/d/yy</formatCode>
                  <v>45695</v>
                </pt>
                <pt idx="376">
                  <formatCode>m/d/yy</formatCode>
                  <v>45694</v>
                </pt>
                <pt idx="377">
                  <formatCode>m/d/yy</formatCode>
                  <v>45693</v>
                </pt>
                <pt idx="378">
                  <formatCode>m/d/yy</formatCode>
                  <v>45692</v>
                </pt>
                <pt idx="379">
                  <formatCode>m/d/yy</formatCode>
                  <v>45691</v>
                </pt>
                <pt idx="380">
                  <formatCode>m/d/yy</formatCode>
                  <v>45681</v>
                </pt>
                <pt idx="381">
                  <formatCode>m/d/yy</formatCode>
                  <v>45680</v>
                </pt>
              </numCache>
            </numRef>
          </cat>
          <val>
            <numRef>
              <f>Sheet1!$B$2:$B$383</f>
              <numCache>
                <formatCode>#,##0.00</formatCode>
                <ptCount val="382"/>
                <pt idx="0">
                  <v>0</v>
                </pt>
                <pt idx="1">
                  <v>1768.06</v>
                </pt>
                <pt idx="2">
                  <v>1764.78</v>
                </pt>
                <pt idx="3">
                  <v>1776.46</v>
                </pt>
                <pt idx="4">
                  <v>1777.23</v>
                </pt>
                <pt idx="5">
                  <v>1762.84</v>
                </pt>
                <pt idx="6">
                  <v>1735.78</v>
                </pt>
                <pt idx="7">
                  <v>1744.66</v>
                </pt>
                <pt idx="8">
                  <v>1704.68</v>
                </pt>
                <pt idx="9">
                  <v>1680.62</v>
                </pt>
                <pt idx="10">
                  <v>1669.01</v>
                </pt>
                <pt idx="11">
                  <v>1686.11</v>
                </pt>
                <pt idx="12">
                  <v>1699.38</v>
                </pt>
                <pt idx="13">
                  <v>1668.53</v>
                </pt>
                <pt idx="14">
                  <v>1730.56</v>
                </pt>
                <pt idx="15">
                  <v>1743.51</v>
                </pt>
                <pt idx="16">
                  <v>1787.45</v>
                </pt>
                <pt idx="17">
                  <v>1804.24</v>
                </pt>
                <pt idx="18">
                  <v>1782.12</v>
                </pt>
                <pt idx="19">
                  <v>1806.63</v>
                </pt>
                <pt idx="20">
                  <v>1800.54</v>
                </pt>
                <pt idx="21">
                  <v>1828.34</v>
                </pt>
                <pt idx="22">
                  <v>1840.7</v>
                </pt>
                <pt idx="23">
                  <v>1853.7</v>
                </pt>
                <pt idx="24">
                  <v>1848.25</v>
                </pt>
                <pt idx="25">
                  <v>1843.5</v>
                </pt>
                <pt idx="26">
                  <v>1862.08</v>
                </pt>
                <pt idx="27">
                  <v>1866.35</v>
                </pt>
                <pt idx="28">
                  <v>1867.21</v>
                </pt>
                <pt idx="29">
                  <v>1860.01</v>
                </pt>
                <pt idx="30">
                  <v>1854.97</v>
                </pt>
                <pt idx="31">
                  <v>1871.91</v>
                </pt>
                <pt idx="32">
                  <v>1863.07</v>
                </pt>
                <pt idx="33">
                  <v>1878.02</v>
                </pt>
                <pt idx="34">
                  <v>1869.04</v>
                </pt>
                <pt idx="35">
                  <v>1857.91</v>
                </pt>
                <pt idx="36">
                  <v>1824.53</v>
                </pt>
                <pt idx="37">
                  <v>1830.47</v>
                </pt>
                <pt idx="38">
                  <v>1806.2</v>
                </pt>
                <pt idx="39">
                  <v>1807.94</v>
                </pt>
                <pt idx="40">
                  <v>1799.31</v>
                </pt>
                <pt idx="41">
                  <v>1791.65</v>
                </pt>
                <pt idx="42">
                  <v>1798.61</v>
                </pt>
                <pt idx="43">
                  <v>1803.71</v>
                </pt>
                <pt idx="44">
                  <v>1793.05</v>
                </pt>
                <pt idx="45">
                  <v>1790.53</v>
                </pt>
                <pt idx="46">
                  <v>1838.9</v>
                </pt>
                <pt idx="47">
                  <v>1831.55</v>
                </pt>
                <pt idx="48">
                  <v>1819.01</v>
                </pt>
                <pt idx="49">
                  <v>1826.47</v>
                </pt>
                <pt idx="50">
                  <v>1844.54</v>
                </pt>
                <pt idx="51">
                  <v>1863.49</v>
                </pt>
                <pt idx="52">
                  <v>1863.67</v>
                </pt>
                <pt idx="53">
                  <v>1874.43</v>
                </pt>
                <pt idx="54">
                  <v>1884.18</v>
                </pt>
                <pt idx="55">
                  <v>1886.03</v>
                </pt>
                <pt idx="56">
                  <v>1877.13</v>
                </pt>
                <pt idx="57">
                  <v>1896.89</v>
                </pt>
                <pt idx="58">
                  <v>1913.23</v>
                </pt>
                <pt idx="59">
                  <v>1912.93</v>
                </pt>
                <pt idx="60">
                  <v>1927.94</v>
                </pt>
                <pt idx="61">
                  <v>1921.6</v>
                </pt>
                <pt idx="62">
                  <v>1925.46</v>
                </pt>
                <pt idx="63">
                  <v>1898.37</v>
                </pt>
                <pt idx="64">
                  <v>1901.1</v>
                </pt>
                <pt idx="65">
                  <v>1895.5</v>
                </pt>
                <pt idx="66">
                  <v>1915.37</v>
                </pt>
                <pt idx="67">
                  <v>1909.01</v>
                </pt>
                <pt idx="68">
                  <v>1891.2</v>
                </pt>
                <pt idx="69">
                  <v>1874.85</v>
                </pt>
                <pt idx="70">
                  <v>1854.06</v>
                </pt>
                <pt idx="71">
                  <v>1854.1</v>
                </pt>
                <pt idx="72">
                  <v>1875.84</v>
                </pt>
                <pt idx="73">
                  <v>1853.29</v>
                </pt>
                <pt idx="74">
                  <v>1870.36</v>
                </pt>
                <pt idx="75">
                  <v>1857.3</v>
                </pt>
                <pt idx="76">
                  <v>1833.48</v>
                </pt>
                <pt idx="77">
                  <v>1837.11</v>
                </pt>
                <pt idx="78">
                  <v>1817.17</v>
                </pt>
                <pt idx="79">
                  <v>1819.83</v>
                </pt>
                <pt idx="80">
                  <v>1800.65</v>
                </pt>
                <pt idx="81">
                  <v>1775.65</v>
                </pt>
                <pt idx="82">
                  <v>1758.96</v>
                </pt>
                <pt idx="83">
                  <v>1750</v>
                </pt>
                <pt idx="84">
                  <v>1736.68</v>
                </pt>
                <pt idx="85">
                  <v>1756.55</v>
                </pt>
                <pt idx="86">
                  <v>1677.54</v>
                </pt>
                <pt idx="87">
                  <v>1674.99</v>
                </pt>
                <pt idx="88">
                  <v>1684.04</v>
                </pt>
                <pt idx="89">
                  <v>1694.82</v>
                </pt>
                <pt idx="90">
                  <v>1702.93</v>
                </pt>
                <pt idx="91">
                  <v>1674.49</v>
                </pt>
                <pt idx="92">
                  <v>1662.54</v>
                </pt>
                <pt idx="93">
                  <v>1672.8</v>
                </pt>
                <pt idx="94">
                  <v>1644.63</v>
                </pt>
                <pt idx="95">
                  <v>1658.19</v>
                </pt>
                <pt idx="96">
                  <v>1614.77</v>
                </pt>
                <pt idx="97">
                  <v>1591.17</v>
                </pt>
                <pt idx="98">
                  <v>1647.81</v>
                </pt>
                <pt idx="99">
                  <v>1699.13</v>
                </pt>
                <pt idx="100">
                  <v>1713.83</v>
                </pt>
                <pt idx="101">
                  <v>1710.29</v>
                </pt>
                <pt idx="102">
                  <v>1693.21</v>
                </pt>
                <pt idx="103">
                  <v>1696.24</v>
                </pt>
                <pt idx="104">
                  <v>1709.61</v>
                </pt>
                <pt idx="105">
                  <v>1728.34</v>
                </pt>
                <pt idx="106">
                  <v>1676.73</v>
                </pt>
                <pt idx="107">
                  <v>1652.79</v>
                </pt>
                <pt idx="108">
                  <v>1767.84</v>
                </pt>
                <pt idx="109">
                  <v>1808.51</v>
                </pt>
                <pt idx="110">
                  <v>1818.27</v>
                </pt>
                <pt idx="111">
                  <v>1813.14</v>
                </pt>
                <pt idx="112">
                  <v>1846.1</v>
                </pt>
                <pt idx="113">
                  <v>1880.33</v>
                </pt>
                <pt idx="114">
                  <v>1879.64</v>
                </pt>
                <pt idx="115">
                  <v>1860.91</v>
                </pt>
                <pt idx="116">
                  <v>1867.62</v>
                </pt>
                <pt idx="117">
                  <v>1860.14</v>
                </pt>
                <pt idx="118">
                  <v>1824.09</v>
                </pt>
                <pt idx="119">
                  <v>1814.09</v>
                </pt>
                <pt idx="120">
                  <v>1796.85</v>
                </pt>
                <pt idx="121">
                  <v>1754.03</v>
                </pt>
                <pt idx="122">
                  <v>1754.82</v>
                </pt>
                <pt idx="123">
                  <v>1755.49</v>
                </pt>
                <pt idx="124">
                  <v>1782.56</v>
                </pt>
                <pt idx="125">
                  <v>1791.43</v>
                </pt>
                <pt idx="126">
                  <v>1813.4</v>
                </pt>
                <pt idx="127">
                  <v>1806.5</v>
                </pt>
                <pt idx="128">
                  <v>1829.04</v>
                </pt>
                <pt idx="129">
                  <v>1814.98</v>
                </pt>
                <pt idx="130">
                  <v>1802.91</v>
                </pt>
                <pt idx="131">
                  <v>1830.5</v>
                </pt>
                <pt idx="132">
                  <v>1843.72</v>
                </pt>
                <pt idx="133">
                  <v>1870.79</v>
                </pt>
                <pt idx="134">
                  <v>1882.73</v>
                </pt>
                <pt idx="135">
                  <v>1885.44</v>
                </pt>
                <pt idx="136">
                  <v>1893.78</v>
                </pt>
                <pt idx="137">
                  <v>1896.59</v>
                </pt>
                <pt idx="138">
                  <v>1879.13</v>
                </pt>
                <pt idx="139">
                  <v>1864.8</v>
                </pt>
                <pt idx="140">
                  <v>1894.44</v>
                </pt>
                <pt idx="141">
                  <v>1902.93</v>
                </pt>
                <pt idx="142">
                  <v>1877.33</v>
                </pt>
                <pt idx="143">
                  <v>1867.9</v>
                </pt>
                <pt idx="144">
                  <v>1855.56</v>
                </pt>
                <pt idx="145">
                  <v>1861.58</v>
                </pt>
                <pt idx="146">
                  <v>1816.27</v>
                </pt>
                <pt idx="147">
                  <v>1788.4</v>
                </pt>
                <pt idx="148">
                  <v>1784.49</v>
                </pt>
                <pt idx="149">
                  <v>1766.9</v>
                </pt>
                <pt idx="150">
                  <v>1754.84</v>
                </pt>
                <pt idx="151">
                  <v>1729.8</v>
                </pt>
                <pt idx="152">
                  <v>1742.85</v>
                </pt>
                <pt idx="153">
                  <v>1782.82</v>
                </pt>
                <pt idx="154">
                  <v>1772.15</v>
                </pt>
                <pt idx="155">
                  <v>1751.03</v>
                </pt>
                <pt idx="156">
                  <v>1704.31</v>
                </pt>
                <pt idx="157">
                  <v>1676.98</v>
                </pt>
                <pt idx="158">
                  <v>1673.66</v>
                </pt>
                <pt idx="159">
                  <v>1679.18</v>
                </pt>
                <pt idx="160">
                  <v>1646.01</v>
                </pt>
                <pt idx="161">
                  <v>1646.89</v>
                </pt>
                <pt idx="162">
                  <v>1698.9</v>
                </pt>
                <pt idx="163">
                  <v>1718.98</v>
                </pt>
                <pt idx="164">
                  <v>1747.17</v>
                </pt>
                <pt idx="165">
                  <v>1753.74</v>
                </pt>
                <pt idx="166">
                  <v>1741.32</v>
                </pt>
                <pt idx="167">
                  <v>1737.24</v>
                </pt>
                <pt idx="168">
                  <v>1731.77</v>
                </pt>
                <pt idx="169">
                  <v>1717.06</v>
                </pt>
                <pt idx="170">
                  <v>1701.67</v>
                </pt>
                <pt idx="171">
                  <v>1690.99</v>
                </pt>
                <pt idx="172">
                  <v>1684.32</v>
                </pt>
                <pt idx="173">
                  <v>1680.36</v>
                </pt>
                <pt idx="174">
                  <v>1660.36</v>
                </pt>
                <pt idx="175">
                  <v>1667.98</v>
                </pt>
                <pt idx="176">
                  <v>1654.93</v>
                </pt>
                <pt idx="177">
                  <v>1655.99</v>
                </pt>
                <pt idx="178">
                  <v>1649</v>
                </pt>
                <pt idx="179">
                  <v>1659.92</v>
                </pt>
                <pt idx="180">
                  <v>1654.42</v>
                </pt>
                <pt idx="181">
                  <v>1635.46</v>
                </pt>
                <pt idx="182">
                  <v>1631.44</v>
                </pt>
                <pt idx="183">
                  <v>1631.86</v>
                </pt>
                <pt idx="184">
                  <v>1593.61</v>
                </pt>
                <pt idx="185">
                  <v>1580.54</v>
                </pt>
                <pt idx="186">
                  <v>1599.1</v>
                </pt>
                <pt idx="187">
                  <v>1642.64</v>
                </pt>
                <pt idx="188">
                  <v>1654.89</v>
                </pt>
                <pt idx="189">
                  <v>1651.98</v>
                </pt>
                <pt idx="190">
                  <v>1617</v>
                </pt>
                <pt idx="191">
                  <v>1639.65</v>
                </pt>
                <pt idx="192">
                  <v>1669.57</v>
                </pt>
                <pt idx="193">
                  <v>1685.83</v>
                </pt>
                <pt idx="194">
                  <v>1680.5</v>
                </pt>
                <pt idx="195">
                  <v>1652.54</v>
                </pt>
                <pt idx="196">
                  <v>1683.18</v>
                </pt>
                <pt idx="197">
                  <v>1687.06</v>
                </pt>
                <pt idx="198">
                  <v>1678.5</v>
                </pt>
                <pt idx="199">
                  <v>1663.43</v>
                </pt>
                <pt idx="200">
                  <v>1636.43</v>
                </pt>
                <pt idx="201">
                  <v>1731.19</v>
                </pt>
                <pt idx="202">
                  <v>1766.85</v>
                </pt>
                <pt idx="203">
                  <v>1757.95</v>
                </pt>
                <pt idx="204">
                  <v>1761.06</v>
                </pt>
                <pt idx="205">
                  <v>1765.12</v>
                </pt>
                <pt idx="206">
                  <v>1747.55</v>
                </pt>
                <pt idx="207">
                  <v>1716.47</v>
                </pt>
                <pt idx="208">
                  <v>1697.83</v>
                </pt>
                <pt idx="209">
                  <v>1685.3</v>
                </pt>
                <pt idx="210">
                  <v>1695.5</v>
                </pt>
                <pt idx="211">
                  <v>1645.82</v>
                </pt>
                <pt idx="212">
                  <v>1652.71</v>
                </pt>
                <pt idx="213">
                  <v>1665.05</v>
                </pt>
                <pt idx="214">
                  <v>1661.7</v>
                </pt>
                <pt idx="215">
                  <v>1666.48</v>
                </pt>
                <pt idx="216">
                  <v>1660.7</v>
                </pt>
                <pt idx="217">
                  <v>1666.09</v>
                </pt>
                <pt idx="218">
                  <v>1657.46</v>
                </pt>
                <pt idx="219">
                  <v>1635.26</v>
                </pt>
                <pt idx="220">
                  <v>1634.45</v>
                </pt>
                <pt idx="221">
                  <v>1658.62</v>
                </pt>
                <pt idx="222">
                  <v>1665.18</v>
                </pt>
                <pt idx="223">
                  <v>1670.97</v>
                </pt>
                <pt idx="224">
                  <v>1680.9</v>
                </pt>
                <pt idx="225">
                  <v>1684.9</v>
                </pt>
                <pt idx="226">
                  <v>1667.26</v>
                </pt>
                <pt idx="227">
                  <v>1657.75</v>
                </pt>
                <pt idx="228">
                  <v>1643.26</v>
                </pt>
                <pt idx="229">
                  <v>1637.32</v>
                </pt>
                <pt idx="230">
                  <v>1624.53</v>
                </pt>
                <pt idx="231">
                  <v>1666.97</v>
                </pt>
                <pt idx="232">
                  <v>1696.29</v>
                </pt>
                <pt idx="233">
                  <v>1681.3</v>
                </pt>
                <pt idx="234">
                  <v>1682.21</v>
                </pt>
                <pt idx="235">
                  <v>1680.86</v>
                </pt>
                <pt idx="236">
                  <v>1672.78</v>
                </pt>
                <pt idx="237">
                  <v>1667.63</v>
                </pt>
                <pt idx="238">
                  <v>1614.03</v>
                </pt>
                <pt idx="239">
                  <v>1645.47</v>
                </pt>
                <pt idx="240">
                  <v>1688</v>
                </pt>
                <pt idx="241">
                  <v>1664.36</v>
                </pt>
                <pt idx="242">
                  <v>1654.2</v>
                </pt>
                <pt idx="243">
                  <v>1636.37</v>
                </pt>
                <pt idx="244">
                  <v>1630</v>
                </pt>
                <pt idx="245">
                  <v>1640.69</v>
                </pt>
                <pt idx="246">
                  <v>1611.6</v>
                </pt>
                <pt idx="247">
                  <v>1608.22</v>
                </pt>
                <pt idx="248">
                  <v>1596.86</v>
                </pt>
                <pt idx="249">
                  <v>1584.95</v>
                </pt>
                <pt idx="250">
                  <v>1581.81</v>
                </pt>
                <pt idx="251">
                  <v>1573.71</v>
                </pt>
                <pt idx="252">
                  <v>1547.15</v>
                </pt>
                <pt idx="253">
                  <v>1528.19</v>
                </pt>
                <pt idx="254">
                  <v>1495.21</v>
                </pt>
                <pt idx="255">
                  <v>1502.52</v>
                </pt>
                <pt idx="256">
                  <v>1507.63</v>
                </pt>
                <pt idx="257">
                  <v>1493.41</v>
                </pt>
                <pt idx="258">
                  <v>1557.42</v>
                </pt>
                <pt idx="259">
                  <v>1531.13</v>
                </pt>
                <pt idx="260">
                  <v>1521.02</v>
                </pt>
                <pt idx="261">
                  <v>1512.31</v>
                </pt>
                <pt idx="262">
                  <v>1509.54</v>
                </pt>
                <pt idx="263">
                  <v>1485.05</v>
                </pt>
                <pt idx="264">
                  <v>1497.28</v>
                </pt>
                <pt idx="265">
                  <v>1490.01</v>
                </pt>
                <pt idx="266">
                  <v>1475.47</v>
                </pt>
                <pt idx="267">
                  <v>1460.65</v>
                </pt>
                <pt idx="268">
                  <v>1470.42</v>
                </pt>
                <pt idx="269">
                  <v>1457.76</v>
                </pt>
                <pt idx="270">
                  <v>1445.64</v>
                </pt>
                <pt idx="271">
                  <v>1431.32</v>
                </pt>
                <pt idx="272">
                  <v>1415.46</v>
                </pt>
                <pt idx="273">
                  <v>1402.06</v>
                </pt>
                <pt idx="274">
                  <v>1386.97</v>
                </pt>
                <pt idx="275">
                  <v>1381.96</v>
                </pt>
                <pt idx="276">
                  <v>1384.59</v>
                </pt>
                <pt idx="277">
                  <v>1377.84</v>
                </pt>
                <pt idx="278">
                  <v>1376.07</v>
                </pt>
                <pt idx="279">
                  <v>1371.44</v>
                </pt>
                <pt idx="280">
                  <v>1365.67</v>
                </pt>
                <pt idx="281">
                  <v>1366.75</v>
                </pt>
                <pt idx="282">
                  <v>1366.77</v>
                </pt>
                <pt idx="283">
                  <v>1358.18</v>
                </pt>
                <pt idx="284">
                  <v>1349.35</v>
                </pt>
                <pt idx="285">
                  <v>1352.04</v>
                </pt>
                <pt idx="286">
                  <v>1346.83</v>
                </pt>
                <pt idx="287">
                  <v>1347.69</v>
                </pt>
                <pt idx="288">
                  <v>1338.11</v>
                </pt>
                <pt idx="289">
                  <v>1315.49</v>
                </pt>
                <pt idx="290">
                  <v>1322.99</v>
                </pt>
                <pt idx="291">
                  <v>1315.2</v>
                </pt>
                <pt idx="292">
                  <v>1316.23</v>
                </pt>
                <pt idx="293">
                  <v>1310.57</v>
                </pt>
                <pt idx="294">
                  <v>1329.89</v>
                </pt>
                <pt idx="295">
                  <v>1342.09</v>
                </pt>
                <pt idx="296">
                  <v>1345.74</v>
                </pt>
                <pt idx="297">
                  <v>1347.25</v>
                </pt>
                <pt idx="298">
                  <v>1336.3</v>
                </pt>
                <pt idx="299">
                  <v>1332.6</v>
                </pt>
                <pt idx="300">
                  <v>1341.86</v>
                </pt>
                <pt idx="301">
                  <v>1341.87</v>
                </pt>
                <pt idx="302">
                  <v>1339.81</v>
                </pt>
                <pt idx="303">
                  <v>1332.51</v>
                </pt>
                <pt idx="304">
                  <v>1314.46</v>
                </pt>
                <pt idx="305">
                  <v>1313.84</v>
                </pt>
                <pt idx="306">
                  <v>1323.05</v>
                </pt>
                <pt idx="307">
                  <v>1315.15</v>
                </pt>
                <pt idx="308">
                  <v>1296.29</v>
                </pt>
                <pt idx="309">
                  <v>1301.39</v>
                </pt>
                <pt idx="310">
                  <v>1313.2</v>
                </pt>
                <pt idx="311">
                  <v>1309.73</v>
                </pt>
                <pt idx="312">
                  <v>1293.43</v>
                </pt>
                <pt idx="313">
                  <v>1283.26</v>
                </pt>
                <pt idx="314">
                  <v>1267.3</v>
                </pt>
                <pt idx="315">
                  <v>1269.8</v>
                </pt>
                <pt idx="316">
                  <v>1250.37</v>
                </pt>
                <pt idx="317">
                  <v>1241.95</v>
                </pt>
                <pt idx="318">
                  <v>1240.05</v>
                </pt>
                <pt idx="319">
                  <v>1226.3</v>
                </pt>
                <pt idx="320">
                  <v>1226.8</v>
                </pt>
                <pt idx="321">
                  <v>1229.23</v>
                </pt>
                <pt idx="322">
                  <v>1223.35</v>
                </pt>
                <pt idx="323">
                  <v>1211</v>
                </pt>
                <pt idx="324">
                  <v>1197.13</v>
                </pt>
                <pt idx="325">
                  <v>1207.07</v>
                </pt>
                <pt idx="326">
                  <v>1219.12</v>
                </pt>
                <pt idx="327">
                  <v>1217.25</v>
                </pt>
                <pt idx="328">
                  <v>1210.3</v>
                </pt>
                <pt idx="329">
                  <v>1227.79</v>
                </pt>
                <pt idx="330">
                  <v>1241.44</v>
                </pt>
                <pt idx="331">
                  <v>1222.46</v>
                </pt>
                <pt idx="332">
                  <v>1168.34</v>
                </pt>
                <pt idx="333">
                  <v>1094.3</v>
                </pt>
                <pt idx="334">
                  <v>1132.79</v>
                </pt>
                <pt idx="335">
                  <v>1210.67</v>
                </pt>
                <pt idx="336">
                  <v>1229.84</v>
                </pt>
                <pt idx="337">
                  <v>1317.83</v>
                </pt>
                <pt idx="338">
                  <v>1317.33</v>
                </pt>
                <pt idx="339">
                  <v>1306.86</v>
                </pt>
                <pt idx="340">
                  <v>1317.46</v>
                </pt>
                <pt idx="341">
                  <v>1323.81</v>
                </pt>
                <pt idx="342">
                  <v>1326.09</v>
                </pt>
                <pt idx="343">
                  <v>1331.92</v>
                </pt>
                <pt idx="344">
                  <v>1330.32</v>
                </pt>
                <pt idx="345">
                  <v>1324.88</v>
                </pt>
                <pt idx="346">
                  <v>1323.93</v>
                </pt>
                <pt idx="347">
                  <v>1324.63</v>
                </pt>
                <pt idx="348">
                  <v>1330.97</v>
                </pt>
                <pt idx="349">
                  <v>1336.26</v>
                </pt>
                <pt idx="350">
                  <v>1326.15</v>
                </pt>
                <pt idx="351">
                  <v>1326.27</v>
                </pt>
                <pt idx="352">
                  <v>1334.41</v>
                </pt>
                <pt idx="353">
                  <v>1332.54</v>
                </pt>
                <pt idx="354">
                  <v>1330.28</v>
                </pt>
                <pt idx="355">
                  <v>1326.05</v>
                </pt>
                <pt idx="356">
                  <v>1318.22</v>
                </pt>
                <pt idx="357">
                  <v>1304.71</v>
                </pt>
                <pt idx="358">
                  <v>1311.91</v>
                </pt>
                <pt idx="359">
                  <v>1309.37</v>
                </pt>
                <pt idx="360">
                  <v>1305.36</v>
                </pt>
                <pt idx="361">
                  <v>1307.8</v>
                </pt>
                <pt idx="362">
                  <v>1302.96</v>
                </pt>
                <pt idx="363">
                  <v>1303.16</v>
                </pt>
                <pt idx="364">
                  <v>1304.56</v>
                </pt>
                <pt idx="365">
                  <v>1296.75</v>
                </pt>
                <pt idx="366">
                  <v>1292.98</v>
                </pt>
                <pt idx="367">
                  <v>1288.56</v>
                </pt>
                <pt idx="368">
                  <v>1278.14</v>
                </pt>
                <pt idx="369">
                  <v>1272.72</v>
                </pt>
                <pt idx="370">
                  <v>1276.08</v>
                </pt>
                <pt idx="371">
                  <v>1270.35</v>
                </pt>
                <pt idx="372">
                  <v>1266.91</v>
                </pt>
                <pt idx="373">
                  <v>1268.45</v>
                </pt>
                <pt idx="374">
                  <v>1263.26</v>
                </pt>
                <pt idx="375">
                  <v>1275.2</v>
                </pt>
                <pt idx="376">
                  <v>1271.48</v>
                </pt>
                <pt idx="377">
                  <v>1269.61</v>
                </pt>
                <pt idx="378">
                  <v>1264.68</v>
                </pt>
                <pt idx="379">
                  <v>1253.03</v>
                </pt>
                <pt idx="380">
                  <v>1265.05</v>
                </pt>
                <pt idx="381">
                  <v>1259.63</v>
                </pt>
              </numCache>
            </numRef>
          </val>
          <smooth val="0"/>
        </ser>
        <ser>
          <idx val="3"/>
          <order val="1"/>
          <tx>
            <strRef>
              <f>Sheet1!$AL$1</f>
              <strCache>
                <ptCount val="1"/>
                <pt idx="0">
                  <v>VNINDEX loại trừ Vingroup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Sheet1!$A$2:$A$383</f>
              <numCache>
                <formatCode>mm/dd/yyyy</formatCode>
                <ptCount val="382"/>
                <pt idx="1">
                  <v>46241</v>
                </pt>
                <pt idx="2">
                  <v>46240</v>
                </pt>
                <pt idx="3">
                  <v>46239</v>
                </pt>
                <pt idx="4">
                  <v>46238</v>
                </pt>
                <pt idx="5">
                  <v>46237</v>
                </pt>
                <pt idx="6">
                  <v>46234</v>
                </pt>
                <pt idx="7">
                  <v>46233</v>
                </pt>
                <pt idx="8">
                  <v>46232</v>
                </pt>
                <pt idx="9">
                  <v>46231</v>
                </pt>
                <pt idx="10">
                  <v>46230</v>
                </pt>
                <pt idx="11">
                  <v>46227</v>
                </pt>
                <pt idx="12">
                  <v>46226</v>
                </pt>
                <pt idx="13">
                  <v>46225</v>
                </pt>
                <pt idx="14">
                  <v>46224</v>
                </pt>
                <pt idx="15">
                  <v>46223</v>
                </pt>
                <pt idx="16">
                  <v>46220</v>
                </pt>
                <pt idx="17">
                  <v>46219</v>
                </pt>
                <pt idx="18">
                  <v>46218</v>
                </pt>
                <pt idx="19">
                  <v>46217</v>
                </pt>
                <pt idx="20">
                  <v>46216</v>
                </pt>
                <pt idx="21">
                  <v>46213</v>
                </pt>
                <pt idx="22">
                  <v>46212</v>
                </pt>
                <pt idx="23">
                  <v>46211</v>
                </pt>
                <pt idx="24">
                  <v>46210</v>
                </pt>
                <pt idx="25">
                  <v>46209</v>
                </pt>
                <pt idx="26">
                  <v>46206</v>
                </pt>
                <pt idx="27">
                  <v>46205</v>
                </pt>
                <pt idx="28">
                  <v>46204</v>
                </pt>
                <pt idx="29">
                  <v>46203</v>
                </pt>
                <pt idx="30">
                  <v>46202</v>
                </pt>
                <pt idx="31">
                  <v>46199</v>
                </pt>
                <pt idx="32">
                  <v>46198</v>
                </pt>
                <pt idx="33">
                  <v>46197</v>
                </pt>
                <pt idx="34">
                  <v>46196</v>
                </pt>
                <pt idx="35">
                  <v>46195</v>
                </pt>
                <pt idx="36">
                  <v>46192</v>
                </pt>
                <pt idx="37">
                  <v>46191</v>
                </pt>
                <pt idx="38">
                  <v>46190</v>
                </pt>
                <pt idx="39">
                  <v>46189</v>
                </pt>
                <pt idx="40">
                  <v>46188</v>
                </pt>
                <pt idx="41">
                  <v>46185</v>
                </pt>
                <pt idx="42">
                  <v>46184</v>
                </pt>
                <pt idx="43">
                  <v>46183</v>
                </pt>
                <pt idx="44">
                  <v>46182</v>
                </pt>
                <pt idx="45">
                  <v>46181</v>
                </pt>
                <pt idx="46">
                  <v>46178</v>
                </pt>
                <pt idx="47">
                  <v>46177</v>
                </pt>
                <pt idx="48">
                  <v>46176</v>
                </pt>
                <pt idx="49">
                  <v>46175</v>
                </pt>
                <pt idx="50">
                  <v>46174</v>
                </pt>
                <pt idx="51">
                  <v>46171</v>
                </pt>
                <pt idx="52">
                  <v>46170</v>
                </pt>
                <pt idx="53">
                  <v>46169</v>
                </pt>
                <pt idx="54">
                  <v>46168</v>
                </pt>
                <pt idx="55">
                  <v>46167</v>
                </pt>
                <pt idx="56">
                  <v>46164</v>
                </pt>
                <pt idx="57">
                  <v>46163</v>
                </pt>
                <pt idx="58">
                  <v>46162</v>
                </pt>
                <pt idx="59">
                  <v>46161</v>
                </pt>
                <pt idx="60">
                  <v>46160</v>
                </pt>
                <pt idx="61">
                  <v>46157</v>
                </pt>
                <pt idx="62">
                  <v>46156</v>
                </pt>
                <pt idx="63">
                  <v>46155</v>
                </pt>
                <pt idx="64">
                  <v>46154</v>
                </pt>
                <pt idx="65">
                  <v>46153</v>
                </pt>
                <pt idx="66">
                  <v>46150</v>
                </pt>
                <pt idx="67">
                  <v>46149</v>
                </pt>
                <pt idx="68">
                  <v>46148</v>
                </pt>
                <pt idx="69">
                  <v>46147</v>
                </pt>
                <pt idx="70">
                  <v>46146</v>
                </pt>
                <pt idx="71">
                  <v>46141</v>
                </pt>
                <pt idx="72">
                  <v>46140</v>
                </pt>
                <pt idx="73">
                  <v>46136</v>
                </pt>
                <pt idx="74">
                  <v>46135</v>
                </pt>
                <pt idx="75">
                  <v>46134</v>
                </pt>
                <pt idx="76">
                  <v>46133</v>
                </pt>
                <pt idx="77">
                  <v>46132</v>
                </pt>
                <pt idx="78">
                  <v>46129</v>
                </pt>
                <pt idx="79">
                  <v>46128</v>
                </pt>
                <pt idx="80">
                  <v>46127</v>
                </pt>
                <pt idx="81">
                  <v>46126</v>
                </pt>
                <pt idx="82">
                  <v>46125</v>
                </pt>
                <pt idx="83">
                  <v>46122</v>
                </pt>
                <pt idx="84">
                  <v>46121</v>
                </pt>
                <pt idx="85">
                  <v>46120</v>
                </pt>
                <pt idx="86">
                  <v>46119</v>
                </pt>
                <pt idx="87">
                  <v>46118</v>
                </pt>
                <pt idx="88">
                  <v>46115</v>
                </pt>
                <pt idx="89">
                  <v>46114</v>
                </pt>
                <pt idx="90">
                  <v>46113</v>
                </pt>
                <pt idx="91">
                  <v>46112</v>
                </pt>
                <pt idx="92">
                  <v>46111</v>
                </pt>
                <pt idx="93">
                  <v>46108</v>
                </pt>
                <pt idx="94">
                  <v>46107</v>
                </pt>
                <pt idx="95">
                  <v>46106</v>
                </pt>
                <pt idx="96">
                  <v>46105</v>
                </pt>
                <pt idx="97">
                  <v>46104</v>
                </pt>
                <pt idx="98">
                  <v>46101</v>
                </pt>
                <pt idx="99">
                  <v>46100</v>
                </pt>
                <pt idx="100">
                  <v>46099</v>
                </pt>
                <pt idx="101">
                  <v>46098</v>
                </pt>
                <pt idx="102">
                  <v>46097</v>
                </pt>
                <pt idx="103">
                  <v>46094</v>
                </pt>
                <pt idx="104">
                  <v>46093</v>
                </pt>
                <pt idx="105">
                  <v>46092</v>
                </pt>
                <pt idx="106">
                  <v>46091</v>
                </pt>
                <pt idx="107">
                  <v>46090</v>
                </pt>
                <pt idx="108">
                  <v>46087</v>
                </pt>
                <pt idx="109">
                  <v>46086</v>
                </pt>
                <pt idx="110">
                  <v>46085</v>
                </pt>
                <pt idx="111">
                  <v>46084</v>
                </pt>
                <pt idx="112">
                  <v>46083</v>
                </pt>
                <pt idx="113">
                  <v>46080</v>
                </pt>
                <pt idx="114">
                  <v>46079</v>
                </pt>
                <pt idx="115">
                  <v>46078</v>
                </pt>
                <pt idx="116">
                  <v>46077</v>
                </pt>
                <pt idx="117">
                  <v>46076</v>
                </pt>
                <pt idx="118">
                  <v>46066</v>
                </pt>
                <pt idx="119">
                  <v>46065</v>
                </pt>
                <pt idx="120">
                  <v>46064</v>
                </pt>
                <pt idx="121">
                  <v>46063</v>
                </pt>
                <pt idx="122">
                  <v>46062</v>
                </pt>
                <pt idx="123">
                  <v>46059</v>
                </pt>
                <pt idx="124">
                  <v>46058</v>
                </pt>
                <pt idx="125">
                  <v>46057</v>
                </pt>
                <pt idx="126">
                  <v>46056</v>
                </pt>
                <pt idx="127">
                  <v>46055</v>
                </pt>
                <pt idx="128">
                  <v>46052</v>
                </pt>
                <pt idx="129">
                  <v>46051</v>
                </pt>
                <pt idx="130">
                  <v>46050</v>
                </pt>
                <pt idx="131">
                  <v>46049</v>
                </pt>
                <pt idx="132">
                  <v>46048</v>
                </pt>
                <pt idx="133">
                  <v>46045</v>
                </pt>
                <pt idx="134">
                  <v>46044</v>
                </pt>
                <pt idx="135">
                  <v>46043</v>
                </pt>
                <pt idx="136">
                  <v>46042</v>
                </pt>
                <pt idx="137">
                  <v>46041</v>
                </pt>
                <pt idx="138">
                  <v>46038</v>
                </pt>
                <pt idx="139">
                  <v>46037</v>
                </pt>
                <pt idx="140">
                  <v>46036</v>
                </pt>
                <pt idx="141">
                  <v>46035</v>
                </pt>
                <pt idx="142">
                  <v>46034</v>
                </pt>
                <pt idx="143">
                  <v>46031</v>
                </pt>
                <pt idx="144">
                  <v>46030</v>
                </pt>
                <pt idx="145">
                  <v>46029</v>
                </pt>
                <pt idx="146">
                  <v>46028</v>
                </pt>
                <pt idx="147">
                  <v>46027</v>
                </pt>
                <pt idx="148">
                  <formatCode>m/d/yy</formatCode>
                  <v>46022</v>
                </pt>
                <pt idx="149">
                  <formatCode>m/d/yy</formatCode>
                  <v>46021</v>
                </pt>
                <pt idx="150">
                  <formatCode>m/d/yy</formatCode>
                  <v>46020</v>
                </pt>
                <pt idx="151">
                  <formatCode>m/d/yy</formatCode>
                  <v>46017</v>
                </pt>
                <pt idx="152">
                  <formatCode>m/d/yy</formatCode>
                  <v>46016</v>
                </pt>
                <pt idx="153">
                  <formatCode>m/d/yy</formatCode>
                  <v>46015</v>
                </pt>
                <pt idx="154">
                  <formatCode>m/d/yy</formatCode>
                  <v>46014</v>
                </pt>
                <pt idx="155">
                  <formatCode>m/d/yy</formatCode>
                  <v>46013</v>
                </pt>
                <pt idx="156">
                  <formatCode>m/d/yy</formatCode>
                  <v>46010</v>
                </pt>
                <pt idx="157">
                  <formatCode>m/d/yy</formatCode>
                  <v>46009</v>
                </pt>
                <pt idx="158">
                  <formatCode>m/d/yy</formatCode>
                  <v>46008</v>
                </pt>
                <pt idx="159">
                  <formatCode>m/d/yy</formatCode>
                  <v>46007</v>
                </pt>
                <pt idx="160">
                  <formatCode>m/d/yy</formatCode>
                  <v>46006</v>
                </pt>
                <pt idx="161">
                  <formatCode>m/d/yy</formatCode>
                  <v>46003</v>
                </pt>
                <pt idx="162">
                  <formatCode>m/d/yy</formatCode>
                  <v>46002</v>
                </pt>
                <pt idx="163">
                  <formatCode>m/d/yy</formatCode>
                  <v>46001</v>
                </pt>
                <pt idx="164">
                  <formatCode>m/d/yy</formatCode>
                  <v>46000</v>
                </pt>
                <pt idx="165">
                  <formatCode>m/d/yy</formatCode>
                  <v>45999</v>
                </pt>
                <pt idx="166">
                  <formatCode>m/d/yy</formatCode>
                  <v>45996</v>
                </pt>
                <pt idx="167">
                  <formatCode>m/d/yy</formatCode>
                  <v>45995</v>
                </pt>
                <pt idx="168">
                  <formatCode>m/d/yy</formatCode>
                  <v>45994</v>
                </pt>
                <pt idx="169">
                  <formatCode>m/d/yy</formatCode>
                  <v>45993</v>
                </pt>
                <pt idx="170">
                  <formatCode>m/d/yy</formatCode>
                  <v>45992</v>
                </pt>
                <pt idx="171">
                  <formatCode>m/d/yy</formatCode>
                  <v>45989</v>
                </pt>
                <pt idx="172">
                  <formatCode>m/d/yy</formatCode>
                  <v>45988</v>
                </pt>
                <pt idx="173">
                  <formatCode>m/d/yy</formatCode>
                  <v>45987</v>
                </pt>
                <pt idx="174">
                  <formatCode>m/d/yy</formatCode>
                  <v>45986</v>
                </pt>
                <pt idx="175">
                  <formatCode>m/d/yy</formatCode>
                  <v>45985</v>
                </pt>
                <pt idx="176">
                  <formatCode>m/d/yy</formatCode>
                  <v>45982</v>
                </pt>
                <pt idx="177">
                  <formatCode>m/d/yy</formatCode>
                  <v>45981</v>
                </pt>
                <pt idx="178">
                  <formatCode>m/d/yy</formatCode>
                  <v>45980</v>
                </pt>
                <pt idx="179">
                  <formatCode>m/d/yy</formatCode>
                  <v>45979</v>
                </pt>
                <pt idx="180">
                  <formatCode>m/d/yy</formatCode>
                  <v>45978</v>
                </pt>
                <pt idx="181">
                  <formatCode>m/d/yy</formatCode>
                  <v>45975</v>
                </pt>
                <pt idx="182">
                  <formatCode>m/d/yy</formatCode>
                  <v>45974</v>
                </pt>
                <pt idx="183">
                  <formatCode>m/d/yy</formatCode>
                  <v>45973</v>
                </pt>
                <pt idx="184">
                  <formatCode>m/d/yy</formatCode>
                  <v>45972</v>
                </pt>
                <pt idx="185">
                  <formatCode>m/d/yy</formatCode>
                  <v>45971</v>
                </pt>
                <pt idx="186">
                  <formatCode>m/d/yy</formatCode>
                  <v>45968</v>
                </pt>
                <pt idx="187">
                  <formatCode>m/d/yy</formatCode>
                  <v>45967</v>
                </pt>
                <pt idx="188">
                  <formatCode>m/d/yy</formatCode>
                  <v>45966</v>
                </pt>
                <pt idx="189">
                  <formatCode>m/d/yy</formatCode>
                  <v>45965</v>
                </pt>
                <pt idx="190">
                  <formatCode>m/d/yy</formatCode>
                  <v>45964</v>
                </pt>
                <pt idx="191">
                  <formatCode>m/d/yy</formatCode>
                  <v>45961</v>
                </pt>
                <pt idx="192">
                  <formatCode>m/d/yy</formatCode>
                  <v>45960</v>
                </pt>
                <pt idx="193">
                  <formatCode>m/d/yy</formatCode>
                  <v>45959</v>
                </pt>
                <pt idx="194">
                  <formatCode>m/d/yy</formatCode>
                  <v>45958</v>
                </pt>
                <pt idx="195">
                  <formatCode>m/d/yy</formatCode>
                  <v>45957</v>
                </pt>
                <pt idx="196">
                  <formatCode>m/d/yy</formatCode>
                  <v>45954</v>
                </pt>
                <pt idx="197">
                  <formatCode>m/d/yy</formatCode>
                  <v>45953</v>
                </pt>
                <pt idx="198">
                  <formatCode>m/d/yy</formatCode>
                  <v>45952</v>
                </pt>
                <pt idx="199">
                  <formatCode>m/d/yy</formatCode>
                  <v>45951</v>
                </pt>
                <pt idx="200">
                  <formatCode>m/d/yy</formatCode>
                  <v>45950</v>
                </pt>
                <pt idx="201">
                  <formatCode>m/d/yy</formatCode>
                  <v>45947</v>
                </pt>
                <pt idx="202">
                  <formatCode>m/d/yy</formatCode>
                  <v>45946</v>
                </pt>
                <pt idx="203">
                  <formatCode>m/d/yy</formatCode>
                  <v>45945</v>
                </pt>
                <pt idx="204">
                  <formatCode>m/d/yy</formatCode>
                  <v>45944</v>
                </pt>
                <pt idx="205">
                  <formatCode>m/d/yy</formatCode>
                  <v>45943</v>
                </pt>
                <pt idx="206">
                  <formatCode>m/d/yy</formatCode>
                  <v>45940</v>
                </pt>
                <pt idx="207">
                  <formatCode>m/d/yy</formatCode>
                  <v>45939</v>
                </pt>
                <pt idx="208">
                  <formatCode>m/d/yy</formatCode>
                  <v>45938</v>
                </pt>
                <pt idx="209">
                  <formatCode>m/d/yy</formatCode>
                  <v>45937</v>
                </pt>
                <pt idx="210">
                  <formatCode>m/d/yy</formatCode>
                  <v>45936</v>
                </pt>
                <pt idx="211">
                  <formatCode>m/d/yy</formatCode>
                  <v>45933</v>
                </pt>
                <pt idx="212">
                  <formatCode>m/d/yy</formatCode>
                  <v>45932</v>
                </pt>
                <pt idx="213">
                  <formatCode>m/d/yy</formatCode>
                  <v>45931</v>
                </pt>
                <pt idx="214">
                  <formatCode>m/d/yy</formatCode>
                  <v>45930</v>
                </pt>
                <pt idx="215">
                  <formatCode>m/d/yy</formatCode>
                  <v>45929</v>
                </pt>
                <pt idx="216">
                  <formatCode>m/d/yy</formatCode>
                  <v>45926</v>
                </pt>
                <pt idx="217">
                  <formatCode>m/d/yy</formatCode>
                  <v>45925</v>
                </pt>
                <pt idx="218">
                  <formatCode>m/d/yy</formatCode>
                  <v>45924</v>
                </pt>
                <pt idx="219">
                  <formatCode>m/d/yy</formatCode>
                  <v>45923</v>
                </pt>
                <pt idx="220">
                  <formatCode>m/d/yy</formatCode>
                  <v>45922</v>
                </pt>
                <pt idx="221">
                  <formatCode>m/d/yy</formatCode>
                  <v>45919</v>
                </pt>
                <pt idx="222">
                  <formatCode>m/d/yy</formatCode>
                  <v>45918</v>
                </pt>
                <pt idx="223">
                  <formatCode>m/d/yy</formatCode>
                  <v>45917</v>
                </pt>
                <pt idx="224">
                  <formatCode>m/d/yy</formatCode>
                  <v>45916</v>
                </pt>
                <pt idx="225">
                  <formatCode>m/d/yy</formatCode>
                  <v>45915</v>
                </pt>
                <pt idx="226">
                  <formatCode>m/d/yy</formatCode>
                  <v>45912</v>
                </pt>
                <pt idx="227">
                  <formatCode>m/d/yy</formatCode>
                  <v>45911</v>
                </pt>
                <pt idx="228">
                  <formatCode>m/d/yy</formatCode>
                  <v>45910</v>
                </pt>
                <pt idx="229">
                  <formatCode>m/d/yy</formatCode>
                  <v>45909</v>
                </pt>
                <pt idx="230">
                  <formatCode>m/d/yy</formatCode>
                  <v>45908</v>
                </pt>
                <pt idx="231">
                  <formatCode>m/d/yy</formatCode>
                  <v>45905</v>
                </pt>
                <pt idx="232">
                  <formatCode>m/d/yy</formatCode>
                  <v>45904</v>
                </pt>
                <pt idx="233">
                  <formatCode>m/d/yy</formatCode>
                  <v>45903</v>
                </pt>
                <pt idx="234">
                  <formatCode>m/d/yy</formatCode>
                  <v>45898</v>
                </pt>
                <pt idx="235">
                  <formatCode>m/d/yy</formatCode>
                  <v>45897</v>
                </pt>
                <pt idx="236">
                  <formatCode>m/d/yy</formatCode>
                  <v>45896</v>
                </pt>
                <pt idx="237">
                  <formatCode>m/d/yy</formatCode>
                  <v>45895</v>
                </pt>
                <pt idx="238">
                  <formatCode>m/d/yy</formatCode>
                  <v>45894</v>
                </pt>
                <pt idx="239">
                  <formatCode>m/d/yy</formatCode>
                  <v>45891</v>
                </pt>
                <pt idx="240">
                  <formatCode>m/d/yy</formatCode>
                  <v>45890</v>
                </pt>
                <pt idx="241">
                  <formatCode>m/d/yy</formatCode>
                  <v>45889</v>
                </pt>
                <pt idx="242">
                  <formatCode>m/d/yy</formatCode>
                  <v>45888</v>
                </pt>
                <pt idx="243">
                  <formatCode>m/d/yy</formatCode>
                  <v>45887</v>
                </pt>
                <pt idx="244">
                  <formatCode>m/d/yy</formatCode>
                  <v>45884</v>
                </pt>
                <pt idx="245">
                  <formatCode>m/d/yy</formatCode>
                  <v>45883</v>
                </pt>
                <pt idx="246">
                  <formatCode>m/d/yy</formatCode>
                  <v>45882</v>
                </pt>
                <pt idx="247">
                  <formatCode>m/d/yy</formatCode>
                  <v>45881</v>
                </pt>
                <pt idx="248">
                  <formatCode>m/d/yy</formatCode>
                  <v>45880</v>
                </pt>
                <pt idx="249">
                  <formatCode>m/d/yy</formatCode>
                  <v>45877</v>
                </pt>
                <pt idx="250">
                  <formatCode>m/d/yy</formatCode>
                  <v>45876</v>
                </pt>
                <pt idx="251">
                  <formatCode>m/d/yy</formatCode>
                  <v>45875</v>
                </pt>
                <pt idx="252">
                  <formatCode>m/d/yy</formatCode>
                  <v>45874</v>
                </pt>
                <pt idx="253">
                  <formatCode>m/d/yy</formatCode>
                  <v>45873</v>
                </pt>
                <pt idx="254">
                  <formatCode>m/d/yy</formatCode>
                  <v>45870</v>
                </pt>
                <pt idx="255">
                  <formatCode>m/d/yy</formatCode>
                  <v>45869</v>
                </pt>
                <pt idx="256">
                  <formatCode>m/d/yy</formatCode>
                  <v>45868</v>
                </pt>
                <pt idx="257">
                  <formatCode>m/d/yy</formatCode>
                  <v>45867</v>
                </pt>
                <pt idx="258">
                  <formatCode>m/d/yy</formatCode>
                  <v>45866</v>
                </pt>
                <pt idx="259">
                  <formatCode>m/d/yy</formatCode>
                  <v>45863</v>
                </pt>
                <pt idx="260">
                  <formatCode>m/d/yy</formatCode>
                  <v>45862</v>
                </pt>
                <pt idx="261">
                  <formatCode>m/d/yy</formatCode>
                  <v>45861</v>
                </pt>
                <pt idx="262">
                  <formatCode>m/d/yy</formatCode>
                  <v>45860</v>
                </pt>
                <pt idx="263">
                  <formatCode>m/d/yy</formatCode>
                  <v>45859</v>
                </pt>
                <pt idx="264">
                  <formatCode>m/d/yy</formatCode>
                  <v>45856</v>
                </pt>
                <pt idx="265">
                  <formatCode>m/d/yy</formatCode>
                  <v>45855</v>
                </pt>
                <pt idx="266">
                  <formatCode>m/d/yy</formatCode>
                  <v>45854</v>
                </pt>
                <pt idx="267">
                  <formatCode>m/d/yy</formatCode>
                  <v>45853</v>
                </pt>
                <pt idx="268">
                  <formatCode>m/d/yy</formatCode>
                  <v>45852</v>
                </pt>
                <pt idx="269">
                  <formatCode>m/d/yy</formatCode>
                  <v>45849</v>
                </pt>
                <pt idx="270">
                  <formatCode>m/d/yy</formatCode>
                  <v>45848</v>
                </pt>
                <pt idx="271">
                  <formatCode>m/d/yy</formatCode>
                  <v>45847</v>
                </pt>
                <pt idx="272">
                  <formatCode>m/d/yy</formatCode>
                  <v>45846</v>
                </pt>
                <pt idx="273">
                  <formatCode>m/d/yy</formatCode>
                  <v>45845</v>
                </pt>
                <pt idx="274">
                  <formatCode>m/d/yy</formatCode>
                  <v>45842</v>
                </pt>
                <pt idx="275">
                  <formatCode>m/d/yy</formatCode>
                  <v>45841</v>
                </pt>
                <pt idx="276">
                  <formatCode>m/d/yy</formatCode>
                  <v>45840</v>
                </pt>
                <pt idx="277">
                  <formatCode>m/d/yy</formatCode>
                  <v>45839</v>
                </pt>
                <pt idx="278">
                  <formatCode>m/d/yy</formatCode>
                  <v>45838</v>
                </pt>
                <pt idx="279">
                  <formatCode>m/d/yy</formatCode>
                  <v>45835</v>
                </pt>
                <pt idx="280">
                  <formatCode>m/d/yy</formatCode>
                  <v>45834</v>
                </pt>
                <pt idx="281">
                  <formatCode>m/d/yy</formatCode>
                  <v>45833</v>
                </pt>
                <pt idx="282">
                  <formatCode>m/d/yy</formatCode>
                  <v>45832</v>
                </pt>
                <pt idx="283">
                  <formatCode>m/d/yy</formatCode>
                  <v>45831</v>
                </pt>
                <pt idx="284">
                  <formatCode>m/d/yy</formatCode>
                  <v>45828</v>
                </pt>
                <pt idx="285">
                  <formatCode>m/d/yy</formatCode>
                  <v>45827</v>
                </pt>
                <pt idx="286">
                  <formatCode>m/d/yy</formatCode>
                  <v>45826</v>
                </pt>
                <pt idx="287">
                  <formatCode>m/d/yy</formatCode>
                  <v>45825</v>
                </pt>
                <pt idx="288">
                  <formatCode>m/d/yy</formatCode>
                  <v>45824</v>
                </pt>
                <pt idx="289">
                  <formatCode>m/d/yy</formatCode>
                  <v>45821</v>
                </pt>
                <pt idx="290">
                  <formatCode>m/d/yy</formatCode>
                  <v>45820</v>
                </pt>
                <pt idx="291">
                  <formatCode>m/d/yy</formatCode>
                  <v>45819</v>
                </pt>
                <pt idx="292">
                  <formatCode>m/d/yy</formatCode>
                  <v>45818</v>
                </pt>
                <pt idx="293">
                  <formatCode>m/d/yy</formatCode>
                  <v>45817</v>
                </pt>
                <pt idx="294">
                  <formatCode>m/d/yy</formatCode>
                  <v>45814</v>
                </pt>
                <pt idx="295">
                  <formatCode>m/d/yy</formatCode>
                  <v>45813</v>
                </pt>
                <pt idx="296">
                  <formatCode>m/d/yy</formatCode>
                  <v>45812</v>
                </pt>
                <pt idx="297">
                  <formatCode>m/d/yy</formatCode>
                  <v>45811</v>
                </pt>
                <pt idx="298">
                  <formatCode>m/d/yy</formatCode>
                  <v>45810</v>
                </pt>
                <pt idx="299">
                  <formatCode>m/d/yy</formatCode>
                  <v>45807</v>
                </pt>
                <pt idx="300">
                  <formatCode>m/d/yy</formatCode>
                  <v>45806</v>
                </pt>
                <pt idx="301">
                  <formatCode>m/d/yy</formatCode>
                  <v>45805</v>
                </pt>
                <pt idx="302">
                  <formatCode>m/d/yy</formatCode>
                  <v>45804</v>
                </pt>
                <pt idx="303">
                  <formatCode>m/d/yy</formatCode>
                  <v>45803</v>
                </pt>
                <pt idx="304">
                  <formatCode>m/d/yy</formatCode>
                  <v>45800</v>
                </pt>
                <pt idx="305">
                  <formatCode>m/d/yy</formatCode>
                  <v>45799</v>
                </pt>
                <pt idx="306">
                  <formatCode>m/d/yy</formatCode>
                  <v>45798</v>
                </pt>
                <pt idx="307">
                  <formatCode>m/d/yy</formatCode>
                  <v>45797</v>
                </pt>
                <pt idx="308">
                  <formatCode>m/d/yy</formatCode>
                  <v>45796</v>
                </pt>
                <pt idx="309">
                  <formatCode>m/d/yy</formatCode>
                  <v>45793</v>
                </pt>
                <pt idx="310">
                  <formatCode>m/d/yy</formatCode>
                  <v>45792</v>
                </pt>
                <pt idx="311">
                  <formatCode>m/d/yy</formatCode>
                  <v>45791</v>
                </pt>
                <pt idx="312">
                  <formatCode>m/d/yy</formatCode>
                  <v>45790</v>
                </pt>
                <pt idx="313">
                  <formatCode>m/d/yy</formatCode>
                  <v>45789</v>
                </pt>
                <pt idx="314">
                  <formatCode>m/d/yy</formatCode>
                  <v>45786</v>
                </pt>
                <pt idx="315">
                  <formatCode>m/d/yy</formatCode>
                  <v>45785</v>
                </pt>
                <pt idx="316">
                  <formatCode>m/d/yy</formatCode>
                  <v>45784</v>
                </pt>
                <pt idx="317">
                  <formatCode>m/d/yy</formatCode>
                  <v>45783</v>
                </pt>
                <pt idx="318">
                  <formatCode>m/d/yy</formatCode>
                  <v>45782</v>
                </pt>
                <pt idx="319">
                  <formatCode>m/d/yy</formatCode>
                  <v>45776</v>
                </pt>
                <pt idx="320">
                  <formatCode>m/d/yy</formatCode>
                  <v>45775</v>
                </pt>
                <pt idx="321">
                  <formatCode>m/d/yy</formatCode>
                  <v>45772</v>
                </pt>
                <pt idx="322">
                  <formatCode>m/d/yy</formatCode>
                  <v>45771</v>
                </pt>
                <pt idx="323">
                  <formatCode>m/d/yy</formatCode>
                  <v>45770</v>
                </pt>
                <pt idx="324">
                  <formatCode>m/d/yy</formatCode>
                  <v>45769</v>
                </pt>
                <pt idx="325">
                  <formatCode>m/d/yy</formatCode>
                  <v>45768</v>
                </pt>
                <pt idx="326">
                  <formatCode>m/d/yy</formatCode>
                  <v>45765</v>
                </pt>
                <pt idx="327">
                  <formatCode>m/d/yy</formatCode>
                  <v>45764</v>
                </pt>
                <pt idx="328">
                  <formatCode>m/d/yy</formatCode>
                  <v>45763</v>
                </pt>
                <pt idx="329">
                  <formatCode>m/d/yy</formatCode>
                  <v>45762</v>
                </pt>
                <pt idx="330">
                  <formatCode>m/d/yy</formatCode>
                  <v>45761</v>
                </pt>
                <pt idx="331">
                  <formatCode>m/d/yy</formatCode>
                  <v>45758</v>
                </pt>
                <pt idx="332">
                  <formatCode>m/d/yy</formatCode>
                  <v>45757</v>
                </pt>
                <pt idx="333">
                  <formatCode>m/d/yy</formatCode>
                  <v>45756</v>
                </pt>
                <pt idx="334">
                  <formatCode>m/d/yy</formatCode>
                  <v>45755</v>
                </pt>
                <pt idx="335">
                  <formatCode>m/d/yy</formatCode>
                  <v>45751</v>
                </pt>
                <pt idx="336">
                  <formatCode>m/d/yy</formatCode>
                  <v>45750</v>
                </pt>
                <pt idx="337">
                  <formatCode>m/d/yy</formatCode>
                  <v>45749</v>
                </pt>
                <pt idx="338">
                  <formatCode>m/d/yy</formatCode>
                  <v>45748</v>
                </pt>
                <pt idx="339">
                  <formatCode>m/d/yy</formatCode>
                  <v>45747</v>
                </pt>
                <pt idx="340">
                  <formatCode>m/d/yy</formatCode>
                  <v>45744</v>
                </pt>
                <pt idx="341">
                  <formatCode>m/d/yy</formatCode>
                  <v>45743</v>
                </pt>
                <pt idx="342">
                  <formatCode>m/d/yy</formatCode>
                  <v>45742</v>
                </pt>
                <pt idx="343">
                  <formatCode>m/d/yy</formatCode>
                  <v>45741</v>
                </pt>
                <pt idx="344">
                  <formatCode>m/d/yy</formatCode>
                  <v>45740</v>
                </pt>
                <pt idx="345">
                  <formatCode>m/d/yy</formatCode>
                  <v>45737</v>
                </pt>
                <pt idx="346">
                  <formatCode>m/d/yy</formatCode>
                  <v>45736</v>
                </pt>
                <pt idx="347">
                  <formatCode>m/d/yy</formatCode>
                  <v>45735</v>
                </pt>
                <pt idx="348">
                  <formatCode>m/d/yy</formatCode>
                  <v>45734</v>
                </pt>
                <pt idx="349">
                  <formatCode>m/d/yy</formatCode>
                  <v>45733</v>
                </pt>
                <pt idx="350">
                  <formatCode>m/d/yy</formatCode>
                  <v>45730</v>
                </pt>
                <pt idx="351">
                  <formatCode>m/d/yy</formatCode>
                  <v>45729</v>
                </pt>
                <pt idx="352">
                  <formatCode>m/d/yy</formatCode>
                  <v>45728</v>
                </pt>
                <pt idx="353">
                  <formatCode>m/d/yy</formatCode>
                  <v>45727</v>
                </pt>
                <pt idx="354">
                  <formatCode>m/d/yy</formatCode>
                  <v>45726</v>
                </pt>
                <pt idx="355">
                  <formatCode>m/d/yy</formatCode>
                  <v>45723</v>
                </pt>
                <pt idx="356">
                  <formatCode>m/d/yy</formatCode>
                  <v>45722</v>
                </pt>
                <pt idx="357">
                  <formatCode>m/d/yy</formatCode>
                  <v>45721</v>
                </pt>
                <pt idx="358">
                  <formatCode>m/d/yy</formatCode>
                  <v>45720</v>
                </pt>
                <pt idx="359">
                  <formatCode>m/d/yy</formatCode>
                  <v>45719</v>
                </pt>
                <pt idx="360">
                  <formatCode>m/d/yy</formatCode>
                  <v>45716</v>
                </pt>
                <pt idx="361">
                  <formatCode>m/d/yy</formatCode>
                  <v>45715</v>
                </pt>
                <pt idx="362">
                  <formatCode>m/d/yy</formatCode>
                  <v>45714</v>
                </pt>
                <pt idx="363">
                  <formatCode>m/d/yy</formatCode>
                  <v>45713</v>
                </pt>
                <pt idx="364">
                  <formatCode>m/d/yy</formatCode>
                  <v>45712</v>
                </pt>
                <pt idx="365">
                  <formatCode>m/d/yy</formatCode>
                  <v>45709</v>
                </pt>
                <pt idx="366">
                  <formatCode>m/d/yy</formatCode>
                  <v>45708</v>
                </pt>
                <pt idx="367">
                  <formatCode>m/d/yy</formatCode>
                  <v>45707</v>
                </pt>
                <pt idx="368">
                  <formatCode>m/d/yy</formatCode>
                  <v>45706</v>
                </pt>
                <pt idx="369">
                  <formatCode>m/d/yy</formatCode>
                  <v>45705</v>
                </pt>
                <pt idx="370">
                  <formatCode>m/d/yy</formatCode>
                  <v>45702</v>
                </pt>
                <pt idx="371">
                  <formatCode>m/d/yy</formatCode>
                  <v>45701</v>
                </pt>
                <pt idx="372">
                  <formatCode>m/d/yy</formatCode>
                  <v>45700</v>
                </pt>
                <pt idx="373">
                  <formatCode>m/d/yy</formatCode>
                  <v>45699</v>
                </pt>
                <pt idx="374">
                  <formatCode>m/d/yy</formatCode>
                  <v>45698</v>
                </pt>
                <pt idx="375">
                  <formatCode>m/d/yy</formatCode>
                  <v>45695</v>
                </pt>
                <pt idx="376">
                  <formatCode>m/d/yy</formatCode>
                  <v>45694</v>
                </pt>
                <pt idx="377">
                  <formatCode>m/d/yy</formatCode>
                  <v>45693</v>
                </pt>
                <pt idx="378">
                  <formatCode>m/d/yy</formatCode>
                  <v>45692</v>
                </pt>
                <pt idx="379">
                  <formatCode>m/d/yy</formatCode>
                  <v>45691</v>
                </pt>
                <pt idx="380">
                  <formatCode>m/d/yy</formatCode>
                  <v>45681</v>
                </pt>
                <pt idx="381">
                  <formatCode>m/d/yy</formatCode>
                  <v>45680</v>
                </pt>
              </numCache>
            </numRef>
          </cat>
          <val>
            <numRef>
              <f>Sheet1!$AL$2:$AL$383</f>
              <numCache>
                <formatCode>#,##0.00</formatCode>
                <ptCount val="382"/>
                <pt idx="1">
                  <v>1331.315558623031</v>
                </pt>
                <pt idx="2">
                  <v>1314.036566804839</v>
                </pt>
                <pt idx="3">
                  <v>1324.206707357212</v>
                </pt>
                <pt idx="4">
                  <v>1328.277104760223</v>
                </pt>
                <pt idx="5">
                  <v>1326.933244617228</v>
                </pt>
                <pt idx="6">
                  <v>1298.710073308633</v>
                </pt>
                <pt idx="7">
                  <v>1298.405884839158</v>
                </pt>
                <pt idx="8">
                  <v>1267.953092420069</v>
                </pt>
                <pt idx="9">
                  <v>1261.633829720914</v>
                </pt>
                <pt idx="10">
                  <v>1251.455958457113</v>
                </pt>
                <pt idx="11">
                  <v>1269.621580809609</v>
                </pt>
                <pt idx="12">
                  <v>1279.495312730459</v>
                </pt>
                <pt idx="13">
                  <v>1273.13386105034</v>
                </pt>
                <pt idx="14">
                  <v>1299.96363070556</v>
                </pt>
                <pt idx="15">
                  <v>1307.971255481914</v>
                </pt>
                <pt idx="16">
                  <v>1347.343729434171</v>
                </pt>
                <pt idx="17">
                  <v>1356.206638938164</v>
                </pt>
                <pt idx="18">
                  <v>1349.941395523904</v>
                </pt>
                <pt idx="19">
                  <v>1366.645503035549</v>
                </pt>
                <pt idx="20">
                  <v>1353.994134054892</v>
                </pt>
                <pt idx="21">
                  <v>1375.872145642091</v>
                </pt>
                <pt idx="22">
                  <v>1389.408475026495</v>
                </pt>
                <pt idx="23">
                  <v>1401.393291711623</v>
                </pt>
                <pt idx="24">
                  <v>1396.9702976181</v>
                </pt>
                <pt idx="25">
                  <v>1388.352766369101</v>
                </pt>
                <pt idx="26">
                  <v>1407.825570024496</v>
                </pt>
                <pt idx="27">
                  <v>1412.68241213041</v>
                </pt>
                <pt idx="28">
                  <v>1419.703430227657</v>
                </pt>
                <pt idx="29">
                  <v>1404.385944621047</v>
                </pt>
                <pt idx="30">
                  <v>1405.365944600918</v>
                </pt>
                <pt idx="31">
                  <v>1394.056265184281</v>
                </pt>
                <pt idx="32">
                  <v>1395.411795121637</v>
                </pt>
                <pt idx="33">
                  <v>1397.384771043251</v>
                </pt>
                <pt idx="34">
                  <v>1394.215925066475</v>
                </pt>
                <pt idx="35">
                  <v>1397.634796519683</v>
                </pt>
                <pt idx="36">
                  <v>1397.315741247268</v>
                </pt>
                <pt idx="37">
                  <v>1403.839981982149</v>
                </pt>
                <pt idx="38">
                  <v>1411.149174273877</v>
                </pt>
                <pt idx="39">
                  <v>1408.086584621701</v>
                </pt>
                <pt idx="40">
                  <v>1402.399158178834</v>
                </pt>
                <pt idx="41">
                  <v>1388.337254006076</v>
                </pt>
                <pt idx="42">
                  <v>1388.079875101328</v>
                </pt>
                <pt idx="43">
                  <v>1390.903725955555</v>
                </pt>
                <pt idx="44">
                  <v>1385.766256220312</v>
                </pt>
                <pt idx="45">
                  <v>1379.843684770723</v>
                </pt>
                <pt idx="46">
                  <v>1402.334744996012</v>
                </pt>
                <pt idx="47">
                  <v>1408.156299293697</v>
                </pt>
                <pt idx="48">
                  <v>1401.256030808065</v>
                </pt>
                <pt idx="49">
                  <v>1394.274936090638</v>
                </pt>
                <pt idx="50">
                  <v>1411.130313973283</v>
                </pt>
                <pt idx="51">
                  <v>1415.17416645133</v>
                </pt>
                <pt idx="52">
                  <v>1415.337037356837</v>
                </pt>
                <pt idx="53">
                  <v>1435.564892842229</v>
                </pt>
                <pt idx="54">
                  <v>1433.953431806208</v>
                </pt>
                <pt idx="55">
                  <v>1422.042826257006</v>
                </pt>
                <pt idx="56">
                  <v>1422.550997324862</v>
                </pt>
                <pt idx="57">
                  <v>1432.943256863557</v>
                </pt>
                <pt idx="58">
                  <v>1436.537312608826</v>
                </pt>
                <pt idx="59">
                  <v>1441.403920117856</v>
                </pt>
                <pt idx="60">
                  <v>1459.793321894595</v>
                </pt>
                <pt idx="61">
                  <v>1445.413361619677</v>
                </pt>
                <pt idx="62">
                  <v>1446.60483751821</v>
                </pt>
                <pt idx="63">
                  <v>1438.246048129796</v>
                </pt>
                <pt idx="64">
                  <v>1431.667930031515</v>
                </pt>
                <pt idx="65">
                  <v>1424.821703222362</v>
                </pt>
                <pt idx="66">
                  <v>1435.141127152907</v>
                </pt>
                <pt idx="67">
                  <v>1433.924842047799</v>
                </pt>
                <pt idx="68">
                  <v>1433.09345784377</v>
                </pt>
                <pt idx="69">
                  <v>1418.001243240917</v>
                </pt>
                <pt idx="70">
                  <v>1419.210761201716</v>
                </pt>
                <pt idx="71">
                  <v>1412.999058872654</v>
                </pt>
                <pt idx="72">
                  <v>1412.894798054669</v>
                </pt>
                <pt idx="73">
                  <v>1422.72955556237</v>
                </pt>
                <pt idx="74">
                  <v>1428.229707489977</v>
                </pt>
                <pt idx="75">
                  <v>1425.357367756173</v>
                </pt>
                <pt idx="76">
                  <v>1427.845337101914</v>
                </pt>
                <pt idx="77">
                  <v>1435.806346485045</v>
                </pt>
                <pt idx="78">
                  <v>1430.445567091621</v>
                </pt>
                <pt idx="79">
                  <v>1422.659135759896</v>
                </pt>
                <pt idx="80">
                  <v>1429.773439431049</v>
                </pt>
                <pt idx="81">
                  <v>1432.750671492195</v>
                </pt>
                <pt idx="82">
                  <v>1430.332874263615</v>
                </pt>
                <pt idx="83">
                  <v>1436.187564672698</v>
                </pt>
                <pt idx="84">
                  <v>1426.492184044585</v>
                </pt>
                <pt idx="85">
                  <v>1436.749978366421</v>
                </pt>
                <pt idx="86">
                  <v>1383.033953124014</v>
                </pt>
                <pt idx="87">
                  <v>1381.438992257937</v>
                </pt>
                <pt idx="88">
                  <v>1388.967320047185</v>
                </pt>
                <pt idx="89">
                  <v>1402.069672384277</v>
                </pt>
                <pt idx="90">
                  <v>1414.911912003526</v>
                </pt>
                <pt idx="91">
                  <v>1403.575379830226</v>
                </pt>
                <pt idx="92">
                  <v>1400.68330178787</v>
                </pt>
                <pt idx="93">
                  <v>1405.9527423794</v>
                </pt>
                <pt idx="94">
                  <v>1384.227107053766</v>
                </pt>
                <pt idx="95">
                  <v>1396.560346331546</v>
                </pt>
                <pt idx="96">
                  <v>1367.065216372059</v>
                </pt>
                <pt idx="97">
                  <v>1342.078647401577</v>
                </pt>
                <pt idx="98">
                  <v>1380.97454238787</v>
                </pt>
                <pt idx="99">
                  <v>1413.247632846637</v>
                </pt>
                <pt idx="100">
                  <v>1427.767718862685</v>
                </pt>
                <pt idx="101">
                  <v>1424.074578446995</v>
                </pt>
                <pt idx="102">
                  <v>1411.565004649389</v>
                </pt>
                <pt idx="103">
                  <v>1415.786416082666</v>
                </pt>
                <pt idx="104">
                  <v>1429.638214145776</v>
                </pt>
                <pt idx="105">
                  <v>1447.715529009491</v>
                </pt>
                <pt idx="106">
                  <v>1410.961717822805</v>
                </pt>
                <pt idx="107">
                  <v>1382.448769728609</v>
                </pt>
                <pt idx="108">
                  <v>1471.064496009799</v>
                </pt>
                <pt idx="109">
                  <v>1498.253286903764</v>
                </pt>
                <pt idx="110">
                  <v>1524.343921577484</v>
                </pt>
                <pt idx="111">
                  <v>1519.564268918324</v>
                </pt>
                <pt idx="112">
                  <v>1524.987378468178</v>
                </pt>
                <pt idx="113">
                  <v>1542.931063783612</v>
                </pt>
                <pt idx="114">
                  <v>1548.007603594474</v>
                </pt>
                <pt idx="115">
                  <v>1548.473710775163</v>
                </pt>
                <pt idx="116">
                  <v>1542.272284735006</v>
                </pt>
                <pt idx="117">
                  <v>1535.337287658092</v>
                </pt>
                <pt idx="118">
                  <v>1504.284622080398</v>
                </pt>
                <pt idx="119">
                  <v>1495.92401104737</v>
                </pt>
                <pt idx="120">
                  <v>1497.362347232088</v>
                </pt>
                <pt idx="121">
                  <v>1472.021595528064</v>
                </pt>
                <pt idx="122">
                  <v>1494.282403450146</v>
                </pt>
                <pt idx="123">
                  <v>1494.971537550412</v>
                </pt>
                <pt idx="124">
                  <v>1521.922186835983</v>
                </pt>
                <pt idx="125">
                  <v>1550.743863971238</v>
                </pt>
                <pt idx="126">
                  <v>1551.962144697843</v>
                </pt>
                <pt idx="127">
                  <v>1544.030080338528</v>
                </pt>
                <pt idx="128">
                  <v>1540.772807394617</v>
                </pt>
                <pt idx="129">
                  <v>1526.124614965096</v>
                </pt>
                <pt idx="130">
                  <v>1517.240367927416</v>
                </pt>
                <pt idx="131">
                  <v>1520.821024555021</v>
                </pt>
                <pt idx="132">
                  <v>1511.465413893589</v>
                </pt>
                <pt idx="133">
                  <v>1525.539602199865</v>
                </pt>
                <pt idx="134">
                  <v>1547.260896552051</v>
                </pt>
                <pt idx="135">
                  <v>1549.259549691374</v>
                </pt>
                <pt idx="136">
                  <v>1556.738013288151</v>
                </pt>
                <pt idx="137">
                  <v>1555.04837471683</v>
                </pt>
                <pt idx="138">
                  <v>1542.023007405739</v>
                </pt>
                <pt idx="139">
                  <v>1543.168770277598</v>
                </pt>
                <pt idx="140">
                  <v>1555.178838117506</v>
                </pt>
                <pt idx="141">
                  <v>1542.46478663517</v>
                </pt>
                <pt idx="142">
                  <v>1528.26502279008</v>
                </pt>
                <pt idx="143">
                  <v>1488.817967372009</v>
                </pt>
                <pt idx="144">
                  <v>1475.459512294419</v>
                </pt>
                <pt idx="145">
                  <v>1464.657067800529</v>
                </pt>
                <pt idx="146">
                  <v>1435.14707060004</v>
                </pt>
                <pt idx="147">
                  <v>1417.657522483986</v>
                </pt>
                <pt idx="148">
                  <v>1430.246730327192</v>
                </pt>
                <pt idx="149">
                  <v>1430.888607376372</v>
                </pt>
                <pt idx="150">
                  <v>1422.747497388091</v>
                </pt>
                <pt idx="151">
                  <v>1413.532159290849</v>
                </pt>
                <pt idx="152">
                  <v>1415.090299154429</v>
                </pt>
                <pt idx="153">
                  <v>1424.945606720871</v>
                </pt>
                <pt idx="154">
                  <v>1421.060896275803</v>
                </pt>
                <pt idx="155">
                  <v>1428.176964686032</v>
                </pt>
                <pt idx="156">
                  <v>1406.594803572184</v>
                </pt>
                <pt idx="157">
                  <v>1397.736064054041</v>
                </pt>
                <pt idx="158">
                  <v>1394.757706743092</v>
                </pt>
                <pt idx="159">
                  <v>1401.660416482092</v>
                </pt>
                <pt idx="160">
                  <v>1373.326830658948</v>
                </pt>
                <pt idx="161">
                  <v>1369.234941493594</v>
                </pt>
                <pt idx="162">
                  <v>1407.860692646243</v>
                </pt>
                <pt idx="163">
                  <v>1418.666716425974</v>
                </pt>
                <pt idx="164">
                  <v>1419.777530660301</v>
                </pt>
                <pt idx="165">
                  <v>1434.888809329771</v>
                </pt>
                <pt idx="166">
                  <v>1442.944737033726</v>
                </pt>
                <pt idx="167">
                  <v>1457.194528317472</v>
                </pt>
                <pt idx="168">
                  <v>1448.914774905899</v>
                </pt>
                <pt idx="169">
                  <v>1427.597363299102</v>
                </pt>
                <pt idx="170">
                  <v>1418.547345496152</v>
                </pt>
                <pt idx="171">
                  <v>1421.717613849952</v>
                </pt>
                <pt idx="172">
                  <v>1428.724133933626</v>
                </pt>
                <pt idx="173">
                  <v>1428.569061994503</v>
                </pt>
                <pt idx="174">
                  <v>1412.380073401478</v>
                </pt>
                <pt idx="175">
                  <v>1423.867037734987</v>
                </pt>
                <pt idx="176">
                  <v>1425.011873359963</v>
                </pt>
                <pt idx="177">
                  <v>1430.052547572319</v>
                </pt>
                <pt idx="178">
                  <v>1430.620088053221</v>
                </pt>
                <pt idx="179">
                  <v>1441.497573017112</v>
                </pt>
                <pt idx="180">
                  <v>1440.575431624</v>
                </pt>
                <pt idx="181">
                  <v>1427.860299637409</v>
                </pt>
                <pt idx="182">
                  <v>1423.935204487147</v>
                </pt>
                <pt idx="183">
                  <v>1423.02630216127</v>
                </pt>
                <pt idx="184">
                  <v>1398.871925243937</v>
                </pt>
                <pt idx="185">
                  <v>1391.668460693976</v>
                </pt>
                <pt idx="186">
                  <v>1403.686235966218</v>
                </pt>
                <pt idx="187">
                  <v>1432.505553176668</v>
                </pt>
                <pt idx="188">
                  <v>1444.65680030402</v>
                </pt>
                <pt idx="189">
                  <v>1445.505377745887</v>
                </pt>
                <pt idx="190">
                  <v>1417.677936068906</v>
                </pt>
                <pt idx="191">
                  <v>1441.859727719247</v>
                </pt>
                <pt idx="192">
                  <v>1455.086908404823</v>
                </pt>
                <pt idx="193">
                  <v>1463.271033176926</v>
                </pt>
                <pt idx="194">
                  <v>1447.15064811377</v>
                </pt>
                <pt idx="195">
                  <v>1424.923857386269</v>
                </pt>
                <pt idx="196">
                  <v>1441.903454973112</v>
                </pt>
                <pt idx="197">
                  <v>1449.144602713654</v>
                </pt>
                <pt idx="198">
                  <v>1453.752321826752</v>
                </pt>
                <pt idx="199">
                  <v>1442.431881955984</v>
                </pt>
                <pt idx="200">
                  <v>1426.275712694452</v>
                </pt>
                <pt idx="201">
                  <v>1501.683105500752</v>
                </pt>
                <pt idx="202">
                  <v>1521.09020831256</v>
                </pt>
                <pt idx="203">
                  <v>1513.614006595902</v>
                </pt>
                <pt idx="204">
                  <v>1510.169004932357</v>
                </pt>
                <pt idx="205">
                  <v>1521.387943973172</v>
                </pt>
                <pt idx="206">
                  <v>1518.329675388685</v>
                </pt>
                <pt idx="207">
                  <v>1507.905999329033</v>
                </pt>
                <pt idx="208">
                  <v>1498.753474563495</v>
                </pt>
                <pt idx="209">
                  <v>1489.384357110186</v>
                </pt>
                <pt idx="210">
                  <v>1502.545858538506</v>
                </pt>
                <pt idx="211">
                  <v>1459.85963054388</v>
                </pt>
                <pt idx="212">
                  <v>1473.363497895565</v>
                </pt>
                <pt idx="213">
                  <v>1483.436734218917</v>
                </pt>
                <pt idx="214">
                  <v>1474.577403884573</v>
                </pt>
                <pt idx="215">
                  <v>1483.448215027843</v>
                </pt>
                <pt idx="216">
                  <v>1488.472765178118</v>
                </pt>
                <pt idx="217">
                  <v>1498.764821612702</v>
                </pt>
                <pt idx="218">
                  <v>1499.76809168127</v>
                </pt>
                <pt idx="219">
                  <v>1477.052474387268</v>
                </pt>
                <pt idx="220">
                  <v>1475.577673844564</v>
                </pt>
                <pt idx="221">
                  <v>1493.492185360453</v>
                </pt>
                <pt idx="222">
                  <v>1505.248804555367</v>
                </pt>
                <pt idx="223">
                  <v>1513.174819620793</v>
                </pt>
                <pt idx="224">
                  <v>1530.339467872454</v>
                </pt>
                <pt idx="225">
                  <v>1530.067922456229</v>
                </pt>
                <pt idx="226">
                  <v>1511.425713289509</v>
                </pt>
                <pt idx="227">
                  <v>1502.955500795357</v>
                </pt>
                <pt idx="228">
                  <v>1497.165181564419</v>
                </pt>
                <pt idx="229">
                  <v>1493.277182167829</v>
                </pt>
                <pt idx="230">
                  <v>1485.558471430621</v>
                </pt>
                <pt idx="231">
                  <v>1527.957006785721</v>
                </pt>
                <pt idx="232">
                  <v>1555.217053781666</v>
                </pt>
                <pt idx="233">
                  <v>1539.884513143305</v>
                </pt>
                <pt idx="234">
                  <v>1536.013710316241</v>
                </pt>
                <pt idx="235">
                  <v>1532.80751240724</v>
                </pt>
                <pt idx="236">
                  <v>1523.087346182598</v>
                </pt>
                <pt idx="237">
                  <v>1513.881717898663</v>
                </pt>
                <pt idx="238">
                  <v>1471.182723070173</v>
                </pt>
                <pt idx="239">
                  <v>1509.054834870098</v>
                </pt>
                <pt idx="240">
                  <v>1548.916877524041</v>
                </pt>
                <pt idx="241">
                  <v>1526.705376957487</v>
                </pt>
                <pt idx="242">
                  <v>1526.723230570854</v>
                </pt>
                <pt idx="243">
                  <v>1508.851752094469</v>
                </pt>
                <pt idx="244">
                  <v>1501.663574628975</v>
                </pt>
                <pt idx="245">
                  <v>1512.568913455684</v>
                </pt>
                <pt idx="246">
                  <v>1486.440600503536</v>
                </pt>
                <pt idx="247">
                  <v>1483.212483739914</v>
                </pt>
                <pt idx="248">
                  <v>1471.429938150623</v>
                </pt>
                <pt idx="249">
                  <v>1456.61605659693</v>
                </pt>
                <pt idx="250">
                  <v>1454.418953844394</v>
                </pt>
                <pt idx="251">
                  <v>1441.057591455477</v>
                </pt>
                <pt idx="252">
                  <v>1416.73408490895</v>
                </pt>
                <pt idx="253">
                  <v>1407.515664234887</v>
                </pt>
                <pt idx="254">
                  <v>1384.733117330233</v>
                </pt>
                <pt idx="255">
                  <v>1390.470939506148</v>
                </pt>
                <pt idx="256">
                  <v>1389.529449712189</v>
                </pt>
                <pt idx="257">
                  <v>1371.222317331044</v>
                </pt>
                <pt idx="258">
                  <v>1428.275078478329</v>
                </pt>
                <pt idx="259">
                  <v>1405.170268954404</v>
                </pt>
                <pt idx="260">
                  <v>1394.670401045665</v>
                </pt>
                <pt idx="261">
                  <v>1386.863159449606</v>
                </pt>
                <pt idx="262">
                  <v>1378.247950558277</v>
                </pt>
                <pt idx="263">
                  <v>1362.297522783163</v>
                </pt>
                <pt idx="264">
                  <v>1363.746752245993</v>
                </pt>
                <pt idx="265">
                  <v>1355.382336262039</v>
                </pt>
                <pt idx="266">
                  <v>1350.841882960967</v>
                </pt>
                <pt idx="267">
                  <v>1341.802548073865</v>
                </pt>
                <pt idx="268">
                  <v>1348.56009197256</v>
                </pt>
                <pt idx="269">
                  <v>1341.272603909131</v>
                </pt>
                <pt idx="270">
                  <v>1336.15208149854</v>
                </pt>
                <pt idx="271">
                  <v>1332.415159108547</v>
                </pt>
                <pt idx="272">
                  <v>1321.077834921596</v>
                </pt>
                <pt idx="273">
                  <v>1310.29999935698</v>
                </pt>
                <pt idx="274">
                  <v>1297.232694306</v>
                </pt>
                <pt idx="275">
                  <v>1289.677110606465</v>
                </pt>
                <pt idx="276">
                  <v>1291.505623991939</v>
                </pt>
                <pt idx="277">
                  <v>1284.502605364186</v>
                </pt>
                <pt idx="278">
                  <v>1282.429802510495</v>
                </pt>
                <pt idx="279">
                  <v>1277.522908567204</v>
                </pt>
                <pt idx="280">
                  <v>1273.311188191922</v>
                </pt>
                <pt idx="281">
                  <v>1271.785729703278</v>
                </pt>
                <pt idx="282">
                  <v>1272.246716011397</v>
                </pt>
                <pt idx="283">
                  <v>1269.60080927419</v>
                </pt>
                <pt idx="284">
                  <v>1270.23748347793</v>
                </pt>
                <pt idx="285">
                  <v>1268.835651150453</v>
                </pt>
                <pt idx="286">
                  <v>1265.142996893215</v>
                </pt>
                <pt idx="287">
                  <v>1267.58443571296</v>
                </pt>
                <pt idx="288">
                  <v>1262.764996108716</v>
                </pt>
                <pt idx="289">
                  <v>1241.494324961462</v>
                </pt>
                <pt idx="290">
                  <v>1245.964217991708</v>
                </pt>
                <pt idx="291">
                  <v>1232.665150107978</v>
                </pt>
                <pt idx="292">
                  <v>1232.649689904397</v>
                </pt>
                <pt idx="293">
                  <v>1229.575681577056</v>
                </pt>
                <pt idx="294">
                  <v>1237.36301357193</v>
                </pt>
                <pt idx="295">
                  <v>1247.64369392421</v>
                </pt>
                <pt idx="296">
                  <v>1251.027804599333</v>
                </pt>
                <pt idx="297">
                  <v>1252.506494871226</v>
                </pt>
                <pt idx="298">
                  <v>1242.113365704801</v>
                </pt>
                <pt idx="299">
                  <v>1236.434418273941</v>
                </pt>
                <pt idx="300">
                  <v>1247.739101584766</v>
                </pt>
                <pt idx="301">
                  <v>1249.607605332262</v>
                </pt>
                <pt idx="302">
                  <v>1252.185683306558</v>
                </pt>
                <pt idx="303">
                  <v>1244.375965727301</v>
                </pt>
                <pt idx="304">
                  <v>1231.950123616668</v>
                </pt>
                <pt idx="305">
                  <v>1231.893507598527</v>
                </pt>
                <pt idx="306">
                  <v>1238.262060676262</v>
                </pt>
                <pt idx="307">
                  <v>1235.696931839582</v>
                </pt>
                <pt idx="308">
                  <v>1227.107301644768</v>
                </pt>
                <pt idx="309">
                  <v>1236.920321687476</v>
                </pt>
                <pt idx="310">
                  <v>1250.471153764533</v>
                </pt>
                <pt idx="311">
                  <v>1247.045442682241</v>
                </pt>
                <pt idx="312">
                  <v>1231.507752153182</v>
                </pt>
                <pt idx="313">
                  <v>1221.171355936384</v>
                </pt>
                <pt idx="314">
                  <v>1208.237746972015</v>
                </pt>
                <pt idx="315">
                  <v>1208.90532520542</v>
                </pt>
                <pt idx="316">
                  <v>1194.399291418116</v>
                </pt>
                <pt idx="317">
                  <v>1189.72202802631</v>
                </pt>
                <pt idx="318">
                  <v>1188.28051431829</v>
                </pt>
                <pt idx="319">
                  <v>1179.499325425257</v>
                </pt>
                <pt idx="320">
                  <v>1180.20017513012</v>
                </pt>
                <pt idx="321">
                  <v>1179.972424039582</v>
                </pt>
                <pt idx="322">
                  <v>1179.109635322102</v>
                </pt>
                <pt idx="323">
                  <v>1173.629112039316</v>
                </pt>
                <pt idx="324">
                  <v>1161.11051000358</v>
                </pt>
                <pt idx="325">
                  <v>1171.329187939019</v>
                </pt>
                <pt idx="326">
                  <v>1179.166873168131</v>
                </pt>
                <pt idx="327">
                  <v>1171.039096404892</v>
                </pt>
                <pt idx="328">
                  <v>1167.222975315168</v>
                </pt>
                <pt idx="329">
                  <v>1181.402762172997</v>
                </pt>
                <pt idx="330">
                  <v>1196.172041159457</v>
                </pt>
                <pt idx="331">
                  <v>1185.442245860603</v>
                </pt>
                <pt idx="332">
                  <v>1136.922244994604</v>
                </pt>
                <pt idx="333">
                  <v>1070.380076866461</v>
                </pt>
                <pt idx="334">
                  <v>1112.357698850223</v>
                </pt>
                <pt idx="335">
                  <v>1183.353565227604</v>
                </pt>
                <pt idx="336">
                  <v>1205.45767617355</v>
                </pt>
                <pt idx="337">
                  <v>1285.1996035391</v>
                </pt>
                <pt idx="338">
                  <v>1285.422283033866</v>
                </pt>
                <pt idx="339">
                  <v>1278.644055537986</v>
                </pt>
                <pt idx="340">
                  <v>1289.151915122382</v>
                </pt>
                <pt idx="341">
                  <v>1296.244801399706</v>
                </pt>
                <pt idx="342">
                  <v>1298.157835120246</v>
                </pt>
                <pt idx="343">
                  <v>1304.161119623566</v>
                </pt>
                <pt idx="344">
                  <v>1303.2951542321</v>
                </pt>
                <pt idx="345">
                  <v>1304.643717490089</v>
                </pt>
                <pt idx="346">
                  <v>1305.981097401801</v>
                </pt>
                <pt idx="347">
                  <v>1306.287379421563</v>
                </pt>
                <pt idx="348">
                  <v>1313.226424795759</v>
                </pt>
                <pt idx="349">
                  <v>1317.15498740003</v>
                </pt>
                <pt idx="350">
                  <v>1306.827685081118</v>
                </pt>
                <pt idx="351">
                  <v>1307.751993444483</v>
                </pt>
                <pt idx="352">
                  <v>1320.024992304776</v>
                </pt>
                <pt idx="353">
                  <v>1320.369844298338</v>
                </pt>
                <pt idx="354">
                  <v>1318.279485827826</v>
                </pt>
                <pt idx="355">
                  <v>1316.253938501212</v>
                </pt>
                <pt idx="356">
                  <v>1312.646641572743</v>
                </pt>
                <pt idx="357">
                  <v>1300.168764425776</v>
                </pt>
                <pt idx="358">
                  <v>1308.310833656197</v>
                </pt>
                <pt idx="359">
                  <v>1305.186392158955</v>
                </pt>
                <pt idx="360">
                  <v>1303.449990660695</v>
                </pt>
                <pt idx="361">
                  <v>1306.284437677304</v>
                </pt>
                <pt idx="362">
                  <v>1301.862497120329</v>
                </pt>
                <pt idx="363">
                  <v>1302.233929040025</v>
                </pt>
                <pt idx="364">
                  <v>1304.163906091251</v>
                </pt>
                <pt idx="365">
                  <v>1296.313280098706</v>
                </pt>
                <pt idx="366">
                  <v>1291.967141045773</v>
                </pt>
                <pt idx="367">
                  <v>1289.562543455219</v>
                </pt>
                <pt idx="368">
                  <v>1279.713962986142</v>
                </pt>
                <pt idx="369">
                  <v>1274.702347817419</v>
                </pt>
                <pt idx="370">
                  <v>1277.842948162073</v>
                </pt>
                <pt idx="371">
                  <v>1272.134963753358</v>
                </pt>
                <pt idx="372">
                  <v>1269.89151442788</v>
                </pt>
                <pt idx="373">
                  <v>1271.632148145822</v>
                </pt>
                <pt idx="374">
                  <v>1266.23782990296</v>
                </pt>
                <pt idx="375">
                  <v>1276.507904860111</v>
                </pt>
                <pt idx="376">
                  <v>1273.004034780962</v>
                </pt>
                <pt idx="377">
                  <v>1271.37010008361</v>
                </pt>
                <pt idx="378">
                  <v>1266.792869267862</v>
                </pt>
                <pt idx="379">
                  <v>1254.942319305869</v>
                </pt>
                <pt idx="380">
                  <v>1266.011956437932</v>
                </pt>
                <pt idx="381">
                  <v>1260.646487563615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90324447"/>
        <axId val="390324927"/>
      </lineChart>
      <dateAx>
        <axId val="390324447"/>
        <scaling>
          <orientation val="minMax"/>
        </scaling>
        <delete val="0"/>
        <axPos val="b"/>
        <numFmt formatCode="m/d/yy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001"/>
          </a:p>
        </txPr>
        <crossAx val="390324927"/>
        <crosses val="autoZero"/>
        <lblOffset val="100"/>
        <baseTimeUnit val="days"/>
      </dateAx>
      <valAx>
        <axId val="390324927"/>
        <scaling>
          <orientation val="minMax"/>
          <min val="1100"/>
        </scaling>
        <delete val="0"/>
        <axPos val="l"/>
        <numFmt formatCode="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001"/>
          </a:p>
        </txPr>
        <crossAx val="390324447"/>
        <crosses val="autoZero"/>
        <crossBetween val="between"/>
      </valAx>
    </plotArea>
    <legend>
      <legendPos val="t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Sheet1!$AM$1</f>
              <strCache>
                <ptCount val="1"/>
                <pt idx="0">
                  <v>Rolling std (20)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Sheet1!$A$2:$A$383</f>
              <numCache>
                <formatCode>mm/dd/yyyy</formatCode>
                <ptCount val="382"/>
                <pt idx="1">
                  <v>46241</v>
                </pt>
                <pt idx="2">
                  <v>46240</v>
                </pt>
                <pt idx="3">
                  <v>46239</v>
                </pt>
                <pt idx="4">
                  <v>46238</v>
                </pt>
                <pt idx="5">
                  <v>46237</v>
                </pt>
                <pt idx="6">
                  <v>46234</v>
                </pt>
                <pt idx="7">
                  <v>46233</v>
                </pt>
                <pt idx="8">
                  <v>46232</v>
                </pt>
                <pt idx="9">
                  <v>46231</v>
                </pt>
                <pt idx="10">
                  <v>46230</v>
                </pt>
                <pt idx="11">
                  <v>46227</v>
                </pt>
                <pt idx="12">
                  <v>46226</v>
                </pt>
                <pt idx="13">
                  <v>46225</v>
                </pt>
                <pt idx="14">
                  <v>46224</v>
                </pt>
                <pt idx="15">
                  <v>46223</v>
                </pt>
                <pt idx="16">
                  <v>46220</v>
                </pt>
                <pt idx="17">
                  <v>46219</v>
                </pt>
                <pt idx="18">
                  <v>46218</v>
                </pt>
                <pt idx="19">
                  <v>46217</v>
                </pt>
                <pt idx="20">
                  <v>46216</v>
                </pt>
                <pt idx="21">
                  <v>46213</v>
                </pt>
                <pt idx="22">
                  <v>46212</v>
                </pt>
                <pt idx="23">
                  <v>46211</v>
                </pt>
                <pt idx="24">
                  <v>46210</v>
                </pt>
                <pt idx="25">
                  <v>46209</v>
                </pt>
                <pt idx="26">
                  <v>46206</v>
                </pt>
                <pt idx="27">
                  <v>46205</v>
                </pt>
                <pt idx="28">
                  <v>46204</v>
                </pt>
                <pt idx="29">
                  <v>46203</v>
                </pt>
                <pt idx="30">
                  <v>46202</v>
                </pt>
                <pt idx="31">
                  <v>46199</v>
                </pt>
                <pt idx="32">
                  <v>46198</v>
                </pt>
                <pt idx="33">
                  <v>46197</v>
                </pt>
                <pt idx="34">
                  <v>46196</v>
                </pt>
                <pt idx="35">
                  <v>46195</v>
                </pt>
                <pt idx="36">
                  <v>46192</v>
                </pt>
                <pt idx="37">
                  <v>46191</v>
                </pt>
                <pt idx="38">
                  <v>46190</v>
                </pt>
                <pt idx="39">
                  <v>46189</v>
                </pt>
                <pt idx="40">
                  <v>46188</v>
                </pt>
                <pt idx="41">
                  <v>46185</v>
                </pt>
                <pt idx="42">
                  <v>46184</v>
                </pt>
                <pt idx="43">
                  <v>46183</v>
                </pt>
                <pt idx="44">
                  <v>46182</v>
                </pt>
                <pt idx="45">
                  <v>46181</v>
                </pt>
                <pt idx="46">
                  <v>46178</v>
                </pt>
                <pt idx="47">
                  <v>46177</v>
                </pt>
                <pt idx="48">
                  <v>46176</v>
                </pt>
                <pt idx="49">
                  <v>46175</v>
                </pt>
                <pt idx="50">
                  <v>46174</v>
                </pt>
                <pt idx="51">
                  <v>46171</v>
                </pt>
                <pt idx="52">
                  <v>46170</v>
                </pt>
                <pt idx="53">
                  <v>46169</v>
                </pt>
                <pt idx="54">
                  <v>46168</v>
                </pt>
                <pt idx="55">
                  <v>46167</v>
                </pt>
                <pt idx="56">
                  <v>46164</v>
                </pt>
                <pt idx="57">
                  <v>46163</v>
                </pt>
                <pt idx="58">
                  <v>46162</v>
                </pt>
                <pt idx="59">
                  <v>46161</v>
                </pt>
                <pt idx="60">
                  <v>46160</v>
                </pt>
                <pt idx="61">
                  <v>46157</v>
                </pt>
                <pt idx="62">
                  <v>46156</v>
                </pt>
                <pt idx="63">
                  <v>46155</v>
                </pt>
                <pt idx="64">
                  <v>46154</v>
                </pt>
                <pt idx="65">
                  <v>46153</v>
                </pt>
                <pt idx="66">
                  <v>46150</v>
                </pt>
                <pt idx="67">
                  <v>46149</v>
                </pt>
                <pt idx="68">
                  <v>46148</v>
                </pt>
                <pt idx="69">
                  <v>46147</v>
                </pt>
                <pt idx="70">
                  <v>46146</v>
                </pt>
                <pt idx="71">
                  <v>46141</v>
                </pt>
                <pt idx="72">
                  <v>46140</v>
                </pt>
                <pt idx="73">
                  <v>46136</v>
                </pt>
                <pt idx="74">
                  <v>46135</v>
                </pt>
                <pt idx="75">
                  <v>46134</v>
                </pt>
                <pt idx="76">
                  <v>46133</v>
                </pt>
                <pt idx="77">
                  <v>46132</v>
                </pt>
                <pt idx="78">
                  <v>46129</v>
                </pt>
                <pt idx="79">
                  <v>46128</v>
                </pt>
                <pt idx="80">
                  <v>46127</v>
                </pt>
                <pt idx="81">
                  <v>46126</v>
                </pt>
                <pt idx="82">
                  <v>46125</v>
                </pt>
                <pt idx="83">
                  <v>46122</v>
                </pt>
                <pt idx="84">
                  <v>46121</v>
                </pt>
                <pt idx="85">
                  <v>46120</v>
                </pt>
                <pt idx="86">
                  <v>46119</v>
                </pt>
                <pt idx="87">
                  <v>46118</v>
                </pt>
                <pt idx="88">
                  <v>46115</v>
                </pt>
                <pt idx="89">
                  <v>46114</v>
                </pt>
                <pt idx="90">
                  <v>46113</v>
                </pt>
                <pt idx="91">
                  <v>46112</v>
                </pt>
                <pt idx="92">
                  <v>46111</v>
                </pt>
                <pt idx="93">
                  <v>46108</v>
                </pt>
                <pt idx="94">
                  <v>46107</v>
                </pt>
                <pt idx="95">
                  <v>46106</v>
                </pt>
                <pt idx="96">
                  <v>46105</v>
                </pt>
                <pt idx="97">
                  <v>46104</v>
                </pt>
                <pt idx="98">
                  <v>46101</v>
                </pt>
                <pt idx="99">
                  <v>46100</v>
                </pt>
                <pt idx="100">
                  <v>46099</v>
                </pt>
                <pt idx="101">
                  <v>46098</v>
                </pt>
                <pt idx="102">
                  <v>46097</v>
                </pt>
                <pt idx="103">
                  <v>46094</v>
                </pt>
                <pt idx="104">
                  <v>46093</v>
                </pt>
                <pt idx="105">
                  <v>46092</v>
                </pt>
                <pt idx="106">
                  <v>46091</v>
                </pt>
                <pt idx="107">
                  <v>46090</v>
                </pt>
                <pt idx="108">
                  <v>46087</v>
                </pt>
                <pt idx="109">
                  <v>46086</v>
                </pt>
                <pt idx="110">
                  <v>46085</v>
                </pt>
                <pt idx="111">
                  <v>46084</v>
                </pt>
                <pt idx="112">
                  <v>46083</v>
                </pt>
                <pt idx="113">
                  <v>46080</v>
                </pt>
                <pt idx="114">
                  <v>46079</v>
                </pt>
                <pt idx="115">
                  <v>46078</v>
                </pt>
                <pt idx="116">
                  <v>46077</v>
                </pt>
                <pt idx="117">
                  <v>46076</v>
                </pt>
                <pt idx="118">
                  <v>46066</v>
                </pt>
                <pt idx="119">
                  <v>46065</v>
                </pt>
                <pt idx="120">
                  <v>46064</v>
                </pt>
                <pt idx="121">
                  <v>46063</v>
                </pt>
                <pt idx="122">
                  <v>46062</v>
                </pt>
                <pt idx="123">
                  <v>46059</v>
                </pt>
                <pt idx="124">
                  <v>46058</v>
                </pt>
                <pt idx="125">
                  <v>46057</v>
                </pt>
                <pt idx="126">
                  <v>46056</v>
                </pt>
                <pt idx="127">
                  <v>46055</v>
                </pt>
                <pt idx="128">
                  <v>46052</v>
                </pt>
                <pt idx="129">
                  <v>46051</v>
                </pt>
                <pt idx="130">
                  <v>46050</v>
                </pt>
                <pt idx="131">
                  <v>46049</v>
                </pt>
                <pt idx="132">
                  <v>46048</v>
                </pt>
                <pt idx="133">
                  <v>46045</v>
                </pt>
                <pt idx="134">
                  <v>46044</v>
                </pt>
                <pt idx="135">
                  <v>46043</v>
                </pt>
                <pt idx="136">
                  <v>46042</v>
                </pt>
                <pt idx="137">
                  <v>46041</v>
                </pt>
                <pt idx="138">
                  <v>46038</v>
                </pt>
                <pt idx="139">
                  <v>46037</v>
                </pt>
                <pt idx="140">
                  <v>46036</v>
                </pt>
                <pt idx="141">
                  <v>46035</v>
                </pt>
                <pt idx="142">
                  <v>46034</v>
                </pt>
                <pt idx="143">
                  <v>46031</v>
                </pt>
                <pt idx="144">
                  <v>46030</v>
                </pt>
                <pt idx="145">
                  <v>46029</v>
                </pt>
                <pt idx="146">
                  <v>46028</v>
                </pt>
                <pt idx="147">
                  <v>46027</v>
                </pt>
                <pt idx="148">
                  <formatCode>m/d/yy</formatCode>
                  <v>46022</v>
                </pt>
                <pt idx="149">
                  <formatCode>m/d/yy</formatCode>
                  <v>46021</v>
                </pt>
                <pt idx="150">
                  <formatCode>m/d/yy</formatCode>
                  <v>46020</v>
                </pt>
                <pt idx="151">
                  <formatCode>m/d/yy</formatCode>
                  <v>46017</v>
                </pt>
                <pt idx="152">
                  <formatCode>m/d/yy</formatCode>
                  <v>46016</v>
                </pt>
                <pt idx="153">
                  <formatCode>m/d/yy</formatCode>
                  <v>46015</v>
                </pt>
                <pt idx="154">
                  <formatCode>m/d/yy</formatCode>
                  <v>46014</v>
                </pt>
                <pt idx="155">
                  <formatCode>m/d/yy</formatCode>
                  <v>46013</v>
                </pt>
                <pt idx="156">
                  <formatCode>m/d/yy</formatCode>
                  <v>46010</v>
                </pt>
                <pt idx="157">
                  <formatCode>m/d/yy</formatCode>
                  <v>46009</v>
                </pt>
                <pt idx="158">
                  <formatCode>m/d/yy</formatCode>
                  <v>46008</v>
                </pt>
                <pt idx="159">
                  <formatCode>m/d/yy</formatCode>
                  <v>46007</v>
                </pt>
                <pt idx="160">
                  <formatCode>m/d/yy</formatCode>
                  <v>46006</v>
                </pt>
                <pt idx="161">
                  <formatCode>m/d/yy</formatCode>
                  <v>46003</v>
                </pt>
                <pt idx="162">
                  <formatCode>m/d/yy</formatCode>
                  <v>46002</v>
                </pt>
                <pt idx="163">
                  <formatCode>m/d/yy</formatCode>
                  <v>46001</v>
                </pt>
                <pt idx="164">
                  <formatCode>m/d/yy</formatCode>
                  <v>46000</v>
                </pt>
                <pt idx="165">
                  <formatCode>m/d/yy</formatCode>
                  <v>45999</v>
                </pt>
                <pt idx="166">
                  <formatCode>m/d/yy</formatCode>
                  <v>45996</v>
                </pt>
                <pt idx="167">
                  <formatCode>m/d/yy</formatCode>
                  <v>45995</v>
                </pt>
                <pt idx="168">
                  <formatCode>m/d/yy</formatCode>
                  <v>45994</v>
                </pt>
                <pt idx="169">
                  <formatCode>m/d/yy</formatCode>
                  <v>45993</v>
                </pt>
                <pt idx="170">
                  <formatCode>m/d/yy</formatCode>
                  <v>45992</v>
                </pt>
                <pt idx="171">
                  <formatCode>m/d/yy</formatCode>
                  <v>45989</v>
                </pt>
                <pt idx="172">
                  <formatCode>m/d/yy</formatCode>
                  <v>45988</v>
                </pt>
                <pt idx="173">
                  <formatCode>m/d/yy</formatCode>
                  <v>45987</v>
                </pt>
                <pt idx="174">
                  <formatCode>m/d/yy</formatCode>
                  <v>45986</v>
                </pt>
                <pt idx="175">
                  <formatCode>m/d/yy</formatCode>
                  <v>45985</v>
                </pt>
                <pt idx="176">
                  <formatCode>m/d/yy</formatCode>
                  <v>45982</v>
                </pt>
                <pt idx="177">
                  <formatCode>m/d/yy</formatCode>
                  <v>45981</v>
                </pt>
                <pt idx="178">
                  <formatCode>m/d/yy</formatCode>
                  <v>45980</v>
                </pt>
                <pt idx="179">
                  <formatCode>m/d/yy</formatCode>
                  <v>45979</v>
                </pt>
                <pt idx="180">
                  <formatCode>m/d/yy</formatCode>
                  <v>45978</v>
                </pt>
                <pt idx="181">
                  <formatCode>m/d/yy</formatCode>
                  <v>45975</v>
                </pt>
                <pt idx="182">
                  <formatCode>m/d/yy</formatCode>
                  <v>45974</v>
                </pt>
                <pt idx="183">
                  <formatCode>m/d/yy</formatCode>
                  <v>45973</v>
                </pt>
                <pt idx="184">
                  <formatCode>m/d/yy</formatCode>
                  <v>45972</v>
                </pt>
                <pt idx="185">
                  <formatCode>m/d/yy</formatCode>
                  <v>45971</v>
                </pt>
                <pt idx="186">
                  <formatCode>m/d/yy</formatCode>
                  <v>45968</v>
                </pt>
                <pt idx="187">
                  <formatCode>m/d/yy</formatCode>
                  <v>45967</v>
                </pt>
                <pt idx="188">
                  <formatCode>m/d/yy</formatCode>
                  <v>45966</v>
                </pt>
                <pt idx="189">
                  <formatCode>m/d/yy</formatCode>
                  <v>45965</v>
                </pt>
                <pt idx="190">
                  <formatCode>m/d/yy</formatCode>
                  <v>45964</v>
                </pt>
                <pt idx="191">
                  <formatCode>m/d/yy</formatCode>
                  <v>45961</v>
                </pt>
                <pt idx="192">
                  <formatCode>m/d/yy</formatCode>
                  <v>45960</v>
                </pt>
                <pt idx="193">
                  <formatCode>m/d/yy</formatCode>
                  <v>45959</v>
                </pt>
                <pt idx="194">
                  <formatCode>m/d/yy</formatCode>
                  <v>45958</v>
                </pt>
                <pt idx="195">
                  <formatCode>m/d/yy</formatCode>
                  <v>45957</v>
                </pt>
                <pt idx="196">
                  <formatCode>m/d/yy</formatCode>
                  <v>45954</v>
                </pt>
                <pt idx="197">
                  <formatCode>m/d/yy</formatCode>
                  <v>45953</v>
                </pt>
                <pt idx="198">
                  <formatCode>m/d/yy</formatCode>
                  <v>45952</v>
                </pt>
                <pt idx="199">
                  <formatCode>m/d/yy</formatCode>
                  <v>45951</v>
                </pt>
                <pt idx="200">
                  <formatCode>m/d/yy</formatCode>
                  <v>45950</v>
                </pt>
                <pt idx="201">
                  <formatCode>m/d/yy</formatCode>
                  <v>45947</v>
                </pt>
                <pt idx="202">
                  <formatCode>m/d/yy</formatCode>
                  <v>45946</v>
                </pt>
                <pt idx="203">
                  <formatCode>m/d/yy</formatCode>
                  <v>45945</v>
                </pt>
                <pt idx="204">
                  <formatCode>m/d/yy</formatCode>
                  <v>45944</v>
                </pt>
                <pt idx="205">
                  <formatCode>m/d/yy</formatCode>
                  <v>45943</v>
                </pt>
                <pt idx="206">
                  <formatCode>m/d/yy</formatCode>
                  <v>45940</v>
                </pt>
                <pt idx="207">
                  <formatCode>m/d/yy</formatCode>
                  <v>45939</v>
                </pt>
                <pt idx="208">
                  <formatCode>m/d/yy</formatCode>
                  <v>45938</v>
                </pt>
                <pt idx="209">
                  <formatCode>m/d/yy</formatCode>
                  <v>45937</v>
                </pt>
                <pt idx="210">
                  <formatCode>m/d/yy</formatCode>
                  <v>45936</v>
                </pt>
                <pt idx="211">
                  <formatCode>m/d/yy</formatCode>
                  <v>45933</v>
                </pt>
                <pt idx="212">
                  <formatCode>m/d/yy</formatCode>
                  <v>45932</v>
                </pt>
                <pt idx="213">
                  <formatCode>m/d/yy</formatCode>
                  <v>45931</v>
                </pt>
                <pt idx="214">
                  <formatCode>m/d/yy</formatCode>
                  <v>45930</v>
                </pt>
                <pt idx="215">
                  <formatCode>m/d/yy</formatCode>
                  <v>45929</v>
                </pt>
                <pt idx="216">
                  <formatCode>m/d/yy</formatCode>
                  <v>45926</v>
                </pt>
                <pt idx="217">
                  <formatCode>m/d/yy</formatCode>
                  <v>45925</v>
                </pt>
                <pt idx="218">
                  <formatCode>m/d/yy</formatCode>
                  <v>45924</v>
                </pt>
                <pt idx="219">
                  <formatCode>m/d/yy</formatCode>
                  <v>45923</v>
                </pt>
                <pt idx="220">
                  <formatCode>m/d/yy</formatCode>
                  <v>45922</v>
                </pt>
                <pt idx="221">
                  <formatCode>m/d/yy</formatCode>
                  <v>45919</v>
                </pt>
                <pt idx="222">
                  <formatCode>m/d/yy</formatCode>
                  <v>45918</v>
                </pt>
                <pt idx="223">
                  <formatCode>m/d/yy</formatCode>
                  <v>45917</v>
                </pt>
                <pt idx="224">
                  <formatCode>m/d/yy</formatCode>
                  <v>45916</v>
                </pt>
                <pt idx="225">
                  <formatCode>m/d/yy</formatCode>
                  <v>45915</v>
                </pt>
                <pt idx="226">
                  <formatCode>m/d/yy</formatCode>
                  <v>45912</v>
                </pt>
                <pt idx="227">
                  <formatCode>m/d/yy</formatCode>
                  <v>45911</v>
                </pt>
                <pt idx="228">
                  <formatCode>m/d/yy</formatCode>
                  <v>45910</v>
                </pt>
                <pt idx="229">
                  <formatCode>m/d/yy</formatCode>
                  <v>45909</v>
                </pt>
                <pt idx="230">
                  <formatCode>m/d/yy</formatCode>
                  <v>45908</v>
                </pt>
                <pt idx="231">
                  <formatCode>m/d/yy</formatCode>
                  <v>45905</v>
                </pt>
                <pt idx="232">
                  <formatCode>m/d/yy</formatCode>
                  <v>45904</v>
                </pt>
                <pt idx="233">
                  <formatCode>m/d/yy</formatCode>
                  <v>45903</v>
                </pt>
                <pt idx="234">
                  <formatCode>m/d/yy</formatCode>
                  <v>45898</v>
                </pt>
                <pt idx="235">
                  <formatCode>m/d/yy</formatCode>
                  <v>45897</v>
                </pt>
                <pt idx="236">
                  <formatCode>m/d/yy</formatCode>
                  <v>45896</v>
                </pt>
                <pt idx="237">
                  <formatCode>m/d/yy</formatCode>
                  <v>45895</v>
                </pt>
                <pt idx="238">
                  <formatCode>m/d/yy</formatCode>
                  <v>45894</v>
                </pt>
                <pt idx="239">
                  <formatCode>m/d/yy</formatCode>
                  <v>45891</v>
                </pt>
                <pt idx="240">
                  <formatCode>m/d/yy</formatCode>
                  <v>45890</v>
                </pt>
                <pt idx="241">
                  <formatCode>m/d/yy</formatCode>
                  <v>45889</v>
                </pt>
                <pt idx="242">
                  <formatCode>m/d/yy</formatCode>
                  <v>45888</v>
                </pt>
                <pt idx="243">
                  <formatCode>m/d/yy</formatCode>
                  <v>45887</v>
                </pt>
                <pt idx="244">
                  <formatCode>m/d/yy</formatCode>
                  <v>45884</v>
                </pt>
                <pt idx="245">
                  <formatCode>m/d/yy</formatCode>
                  <v>45883</v>
                </pt>
                <pt idx="246">
                  <formatCode>m/d/yy</formatCode>
                  <v>45882</v>
                </pt>
                <pt idx="247">
                  <formatCode>m/d/yy</formatCode>
                  <v>45881</v>
                </pt>
                <pt idx="248">
                  <formatCode>m/d/yy</formatCode>
                  <v>45880</v>
                </pt>
                <pt idx="249">
                  <formatCode>m/d/yy</formatCode>
                  <v>45877</v>
                </pt>
                <pt idx="250">
                  <formatCode>m/d/yy</formatCode>
                  <v>45876</v>
                </pt>
                <pt idx="251">
                  <formatCode>m/d/yy</formatCode>
                  <v>45875</v>
                </pt>
                <pt idx="252">
                  <formatCode>m/d/yy</formatCode>
                  <v>45874</v>
                </pt>
                <pt idx="253">
                  <formatCode>m/d/yy</formatCode>
                  <v>45873</v>
                </pt>
                <pt idx="254">
                  <formatCode>m/d/yy</formatCode>
                  <v>45870</v>
                </pt>
                <pt idx="255">
                  <formatCode>m/d/yy</formatCode>
                  <v>45869</v>
                </pt>
                <pt idx="256">
                  <formatCode>m/d/yy</formatCode>
                  <v>45868</v>
                </pt>
                <pt idx="257">
                  <formatCode>m/d/yy</formatCode>
                  <v>45867</v>
                </pt>
                <pt idx="258">
                  <formatCode>m/d/yy</formatCode>
                  <v>45866</v>
                </pt>
                <pt idx="259">
                  <formatCode>m/d/yy</formatCode>
                  <v>45863</v>
                </pt>
                <pt idx="260">
                  <formatCode>m/d/yy</formatCode>
                  <v>45862</v>
                </pt>
                <pt idx="261">
                  <formatCode>m/d/yy</formatCode>
                  <v>45861</v>
                </pt>
                <pt idx="262">
                  <formatCode>m/d/yy</formatCode>
                  <v>45860</v>
                </pt>
                <pt idx="263">
                  <formatCode>m/d/yy</formatCode>
                  <v>45859</v>
                </pt>
                <pt idx="264">
                  <formatCode>m/d/yy</formatCode>
                  <v>45856</v>
                </pt>
                <pt idx="265">
                  <formatCode>m/d/yy</formatCode>
                  <v>45855</v>
                </pt>
                <pt idx="266">
                  <formatCode>m/d/yy</formatCode>
                  <v>45854</v>
                </pt>
                <pt idx="267">
                  <formatCode>m/d/yy</formatCode>
                  <v>45853</v>
                </pt>
                <pt idx="268">
                  <formatCode>m/d/yy</formatCode>
                  <v>45852</v>
                </pt>
                <pt idx="269">
                  <formatCode>m/d/yy</formatCode>
                  <v>45849</v>
                </pt>
                <pt idx="270">
                  <formatCode>m/d/yy</formatCode>
                  <v>45848</v>
                </pt>
                <pt idx="271">
                  <formatCode>m/d/yy</formatCode>
                  <v>45847</v>
                </pt>
                <pt idx="272">
                  <formatCode>m/d/yy</formatCode>
                  <v>45846</v>
                </pt>
                <pt idx="273">
                  <formatCode>m/d/yy</formatCode>
                  <v>45845</v>
                </pt>
                <pt idx="274">
                  <formatCode>m/d/yy</formatCode>
                  <v>45842</v>
                </pt>
                <pt idx="275">
                  <formatCode>m/d/yy</formatCode>
                  <v>45841</v>
                </pt>
                <pt idx="276">
                  <formatCode>m/d/yy</formatCode>
                  <v>45840</v>
                </pt>
                <pt idx="277">
                  <formatCode>m/d/yy</formatCode>
                  <v>45839</v>
                </pt>
                <pt idx="278">
                  <formatCode>m/d/yy</formatCode>
                  <v>45838</v>
                </pt>
                <pt idx="279">
                  <formatCode>m/d/yy</formatCode>
                  <v>45835</v>
                </pt>
                <pt idx="280">
                  <formatCode>m/d/yy</formatCode>
                  <v>45834</v>
                </pt>
                <pt idx="281">
                  <formatCode>m/d/yy</formatCode>
                  <v>45833</v>
                </pt>
                <pt idx="282">
                  <formatCode>m/d/yy</formatCode>
                  <v>45832</v>
                </pt>
                <pt idx="283">
                  <formatCode>m/d/yy</formatCode>
                  <v>45831</v>
                </pt>
                <pt idx="284">
                  <formatCode>m/d/yy</formatCode>
                  <v>45828</v>
                </pt>
                <pt idx="285">
                  <formatCode>m/d/yy</formatCode>
                  <v>45827</v>
                </pt>
                <pt idx="286">
                  <formatCode>m/d/yy</formatCode>
                  <v>45826</v>
                </pt>
                <pt idx="287">
                  <formatCode>m/d/yy</formatCode>
                  <v>45825</v>
                </pt>
                <pt idx="288">
                  <formatCode>m/d/yy</formatCode>
                  <v>45824</v>
                </pt>
                <pt idx="289">
                  <formatCode>m/d/yy</formatCode>
                  <v>45821</v>
                </pt>
                <pt idx="290">
                  <formatCode>m/d/yy</formatCode>
                  <v>45820</v>
                </pt>
                <pt idx="291">
                  <formatCode>m/d/yy</formatCode>
                  <v>45819</v>
                </pt>
                <pt idx="292">
                  <formatCode>m/d/yy</formatCode>
                  <v>45818</v>
                </pt>
                <pt idx="293">
                  <formatCode>m/d/yy</formatCode>
                  <v>45817</v>
                </pt>
                <pt idx="294">
                  <formatCode>m/d/yy</formatCode>
                  <v>45814</v>
                </pt>
                <pt idx="295">
                  <formatCode>m/d/yy</formatCode>
                  <v>45813</v>
                </pt>
                <pt idx="296">
                  <formatCode>m/d/yy</formatCode>
                  <v>45812</v>
                </pt>
                <pt idx="297">
                  <formatCode>m/d/yy</formatCode>
                  <v>45811</v>
                </pt>
                <pt idx="298">
                  <formatCode>m/d/yy</formatCode>
                  <v>45810</v>
                </pt>
                <pt idx="299">
                  <formatCode>m/d/yy</formatCode>
                  <v>45807</v>
                </pt>
                <pt idx="300">
                  <formatCode>m/d/yy</formatCode>
                  <v>45806</v>
                </pt>
                <pt idx="301">
                  <formatCode>m/d/yy</formatCode>
                  <v>45805</v>
                </pt>
                <pt idx="302">
                  <formatCode>m/d/yy</formatCode>
                  <v>45804</v>
                </pt>
                <pt idx="303">
                  <formatCode>m/d/yy</formatCode>
                  <v>45803</v>
                </pt>
                <pt idx="304">
                  <formatCode>m/d/yy</formatCode>
                  <v>45800</v>
                </pt>
                <pt idx="305">
                  <formatCode>m/d/yy</formatCode>
                  <v>45799</v>
                </pt>
                <pt idx="306">
                  <formatCode>m/d/yy</formatCode>
                  <v>45798</v>
                </pt>
                <pt idx="307">
                  <formatCode>m/d/yy</formatCode>
                  <v>45797</v>
                </pt>
                <pt idx="308">
                  <formatCode>m/d/yy</formatCode>
                  <v>45796</v>
                </pt>
                <pt idx="309">
                  <formatCode>m/d/yy</formatCode>
                  <v>45793</v>
                </pt>
                <pt idx="310">
                  <formatCode>m/d/yy</formatCode>
                  <v>45792</v>
                </pt>
                <pt idx="311">
                  <formatCode>m/d/yy</formatCode>
                  <v>45791</v>
                </pt>
                <pt idx="312">
                  <formatCode>m/d/yy</formatCode>
                  <v>45790</v>
                </pt>
                <pt idx="313">
                  <formatCode>m/d/yy</formatCode>
                  <v>45789</v>
                </pt>
                <pt idx="314">
                  <formatCode>m/d/yy</formatCode>
                  <v>45786</v>
                </pt>
                <pt idx="315">
                  <formatCode>m/d/yy</formatCode>
                  <v>45785</v>
                </pt>
                <pt idx="316">
                  <formatCode>m/d/yy</formatCode>
                  <v>45784</v>
                </pt>
                <pt idx="317">
                  <formatCode>m/d/yy</formatCode>
                  <v>45783</v>
                </pt>
                <pt idx="318">
                  <formatCode>m/d/yy</formatCode>
                  <v>45782</v>
                </pt>
                <pt idx="319">
                  <formatCode>m/d/yy</formatCode>
                  <v>45776</v>
                </pt>
                <pt idx="320">
                  <formatCode>m/d/yy</formatCode>
                  <v>45775</v>
                </pt>
                <pt idx="321">
                  <formatCode>m/d/yy</formatCode>
                  <v>45772</v>
                </pt>
                <pt idx="322">
                  <formatCode>m/d/yy</formatCode>
                  <v>45771</v>
                </pt>
                <pt idx="323">
                  <formatCode>m/d/yy</formatCode>
                  <v>45770</v>
                </pt>
                <pt idx="324">
                  <formatCode>m/d/yy</formatCode>
                  <v>45769</v>
                </pt>
                <pt idx="325">
                  <formatCode>m/d/yy</formatCode>
                  <v>45768</v>
                </pt>
                <pt idx="326">
                  <formatCode>m/d/yy</formatCode>
                  <v>45765</v>
                </pt>
                <pt idx="327">
                  <formatCode>m/d/yy</formatCode>
                  <v>45764</v>
                </pt>
                <pt idx="328">
                  <formatCode>m/d/yy</formatCode>
                  <v>45763</v>
                </pt>
                <pt idx="329">
                  <formatCode>m/d/yy</formatCode>
                  <v>45762</v>
                </pt>
                <pt idx="330">
                  <formatCode>m/d/yy</formatCode>
                  <v>45761</v>
                </pt>
                <pt idx="331">
                  <formatCode>m/d/yy</formatCode>
                  <v>45758</v>
                </pt>
                <pt idx="332">
                  <formatCode>m/d/yy</formatCode>
                  <v>45757</v>
                </pt>
                <pt idx="333">
                  <formatCode>m/d/yy</formatCode>
                  <v>45756</v>
                </pt>
                <pt idx="334">
                  <formatCode>m/d/yy</formatCode>
                  <v>45755</v>
                </pt>
                <pt idx="335">
                  <formatCode>m/d/yy</formatCode>
                  <v>45751</v>
                </pt>
                <pt idx="336">
                  <formatCode>m/d/yy</formatCode>
                  <v>45750</v>
                </pt>
                <pt idx="337">
                  <formatCode>m/d/yy</formatCode>
                  <v>45749</v>
                </pt>
                <pt idx="338">
                  <formatCode>m/d/yy</formatCode>
                  <v>45748</v>
                </pt>
                <pt idx="339">
                  <formatCode>m/d/yy</formatCode>
                  <v>45747</v>
                </pt>
                <pt idx="340">
                  <formatCode>m/d/yy</formatCode>
                  <v>45744</v>
                </pt>
                <pt idx="341">
                  <formatCode>m/d/yy</formatCode>
                  <v>45743</v>
                </pt>
                <pt idx="342">
                  <formatCode>m/d/yy</formatCode>
                  <v>45742</v>
                </pt>
                <pt idx="343">
                  <formatCode>m/d/yy</formatCode>
                  <v>45741</v>
                </pt>
                <pt idx="344">
                  <formatCode>m/d/yy</formatCode>
                  <v>45740</v>
                </pt>
                <pt idx="345">
                  <formatCode>m/d/yy</formatCode>
                  <v>45737</v>
                </pt>
                <pt idx="346">
                  <formatCode>m/d/yy</formatCode>
                  <v>45736</v>
                </pt>
                <pt idx="347">
                  <formatCode>m/d/yy</formatCode>
                  <v>45735</v>
                </pt>
                <pt idx="348">
                  <formatCode>m/d/yy</formatCode>
                  <v>45734</v>
                </pt>
                <pt idx="349">
                  <formatCode>m/d/yy</formatCode>
                  <v>45733</v>
                </pt>
                <pt idx="350">
                  <formatCode>m/d/yy</formatCode>
                  <v>45730</v>
                </pt>
                <pt idx="351">
                  <formatCode>m/d/yy</formatCode>
                  <v>45729</v>
                </pt>
                <pt idx="352">
                  <formatCode>m/d/yy</formatCode>
                  <v>45728</v>
                </pt>
                <pt idx="353">
                  <formatCode>m/d/yy</formatCode>
                  <v>45727</v>
                </pt>
                <pt idx="354">
                  <formatCode>m/d/yy</formatCode>
                  <v>45726</v>
                </pt>
                <pt idx="355">
                  <formatCode>m/d/yy</formatCode>
                  <v>45723</v>
                </pt>
                <pt idx="356">
                  <formatCode>m/d/yy</formatCode>
                  <v>45722</v>
                </pt>
                <pt idx="357">
                  <formatCode>m/d/yy</formatCode>
                  <v>45721</v>
                </pt>
                <pt idx="358">
                  <formatCode>m/d/yy</formatCode>
                  <v>45720</v>
                </pt>
                <pt idx="359">
                  <formatCode>m/d/yy</formatCode>
                  <v>45719</v>
                </pt>
                <pt idx="360">
                  <formatCode>m/d/yy</formatCode>
                  <v>45716</v>
                </pt>
                <pt idx="361">
                  <formatCode>m/d/yy</formatCode>
                  <v>45715</v>
                </pt>
                <pt idx="362">
                  <formatCode>m/d/yy</formatCode>
                  <v>45714</v>
                </pt>
                <pt idx="363">
                  <formatCode>m/d/yy</formatCode>
                  <v>45713</v>
                </pt>
                <pt idx="364">
                  <formatCode>m/d/yy</formatCode>
                  <v>45712</v>
                </pt>
                <pt idx="365">
                  <formatCode>m/d/yy</formatCode>
                  <v>45709</v>
                </pt>
                <pt idx="366">
                  <formatCode>m/d/yy</formatCode>
                  <v>45708</v>
                </pt>
                <pt idx="367">
                  <formatCode>m/d/yy</formatCode>
                  <v>45707</v>
                </pt>
                <pt idx="368">
                  <formatCode>m/d/yy</formatCode>
                  <v>45706</v>
                </pt>
                <pt idx="369">
                  <formatCode>m/d/yy</formatCode>
                  <v>45705</v>
                </pt>
                <pt idx="370">
                  <formatCode>m/d/yy</formatCode>
                  <v>45702</v>
                </pt>
                <pt idx="371">
                  <formatCode>m/d/yy</formatCode>
                  <v>45701</v>
                </pt>
                <pt idx="372">
                  <formatCode>m/d/yy</formatCode>
                  <v>45700</v>
                </pt>
                <pt idx="373">
                  <formatCode>m/d/yy</formatCode>
                  <v>45699</v>
                </pt>
                <pt idx="374">
                  <formatCode>m/d/yy</formatCode>
                  <v>45698</v>
                </pt>
                <pt idx="375">
                  <formatCode>m/d/yy</formatCode>
                  <v>45695</v>
                </pt>
                <pt idx="376">
                  <formatCode>m/d/yy</formatCode>
                  <v>45694</v>
                </pt>
                <pt idx="377">
                  <formatCode>m/d/yy</formatCode>
                  <v>45693</v>
                </pt>
                <pt idx="378">
                  <formatCode>m/d/yy</formatCode>
                  <v>45692</v>
                </pt>
                <pt idx="379">
                  <formatCode>m/d/yy</formatCode>
                  <v>45691</v>
                </pt>
                <pt idx="380">
                  <formatCode>m/d/yy</formatCode>
                  <v>45681</v>
                </pt>
                <pt idx="381">
                  <formatCode>m/d/yy</formatCode>
                  <v>45680</v>
                </pt>
              </numCache>
            </numRef>
          </cat>
          <val>
            <numRef>
              <f>Sheet1!$AM$2:$AM$383</f>
              <numCache>
                <formatCode>0.0</formatCode>
                <ptCount val="382"/>
                <pt idx="1">
                  <v>35.07975032407963</v>
                </pt>
                <pt idx="2">
                  <v>37.79057896131233</v>
                </pt>
                <pt idx="3">
                  <v>41.51686797002893</v>
                </pt>
                <pt idx="4">
                  <v>45.66512070725609</v>
                </pt>
                <pt idx="5">
                  <v>48.7802748317406</v>
                </pt>
                <pt idx="6">
                  <v>50.88558469057716</v>
                </pt>
                <pt idx="7">
                  <v>53.50600792132434</v>
                </pt>
                <pt idx="8">
                  <v>55.76364083785629</v>
                </pt>
                <pt idx="9">
                  <v>56.06948820943439</v>
                </pt>
                <pt idx="10">
                  <v>53.87733002852069</v>
                </pt>
                <pt idx="11">
                  <v>49.479728478855</v>
                </pt>
                <pt idx="12">
                  <v>45.10565751400687</v>
                </pt>
                <pt idx="13">
                  <v>40.55008462593086</v>
                </pt>
                <pt idx="14">
                  <v>33.4486858294715</v>
                </pt>
                <pt idx="15">
                  <v>27.98875979844831</v>
                </pt>
                <pt idx="16">
                  <v>21.78956474568634</v>
                </pt>
                <pt idx="17">
                  <v>19.6762177822585</v>
                </pt>
                <pt idx="18">
                  <v>18.16491193066659</v>
                </pt>
                <pt idx="19">
                  <v>15.5662595690086</v>
                </pt>
                <pt idx="20">
                  <v>14.19577179587294</v>
                </pt>
                <pt idx="21">
                  <v>9.78324561667722</v>
                </pt>
                <pt idx="22">
                  <v>8.461421142318557</v>
                </pt>
                <pt idx="23">
                  <v>8.560168160782339</v>
                </pt>
                <pt idx="24">
                  <v>8.834316445529492</v>
                </pt>
                <pt idx="25">
                  <v>9.388113631277127</v>
                </pt>
                <pt idx="26">
                  <v>10.09312418042756</v>
                </pt>
                <pt idx="27">
                  <v>9.919899915706097</v>
                </pt>
                <pt idx="28">
                  <v>9.637618135545983</v>
                </pt>
                <pt idx="29">
                  <v>8.315644475683998</v>
                </pt>
                <pt idx="30">
                  <v>8.20048718592896</v>
                </pt>
                <pt idx="31">
                  <v>8.591232867811504</v>
                </pt>
                <pt idx="32">
                  <v>9.395586777759986</v>
                </pt>
                <pt idx="33">
                  <v>10.06816697406307</v>
                </pt>
                <pt idx="34">
                  <v>12.85404506246622</v>
                </pt>
                <pt idx="35">
                  <v>14.61314427567748</v>
                </pt>
                <pt idx="36">
                  <v>15.10606459190893</v>
                </pt>
                <pt idx="37">
                  <v>15.50139710817466</v>
                </pt>
                <pt idx="38">
                  <v>16.61319777056897</v>
                </pt>
                <pt idx="39">
                  <v>17.83462891617704</v>
                </pt>
                <pt idx="40">
                  <v>19.26932674551827</v>
                </pt>
                <pt idx="41">
                  <v>22.08341970008327</v>
                </pt>
                <pt idx="42">
                  <v>22.37789152659284</v>
                </pt>
                <pt idx="43">
                  <v>22.34430960317736</v>
                </pt>
                <pt idx="44">
                  <v>21.70420204634939</v>
                </pt>
                <pt idx="45">
                  <v>20.1039270310553</v>
                </pt>
                <pt idx="46">
                  <v>17.25183271807862</v>
                </pt>
                <pt idx="47">
                  <v>16.42717937331988</v>
                </pt>
                <pt idx="48">
                  <v>15.82120832738431</v>
                </pt>
                <pt idx="49">
                  <v>14.43553749630313</v>
                </pt>
                <pt idx="50">
                  <v>12.08746448826052</v>
                </pt>
                <pt idx="51">
                  <v>11.48491462946231</v>
                </pt>
                <pt idx="52">
                  <v>11.66227120860281</v>
                </pt>
                <pt idx="53">
                  <v>11.85667962294133</v>
                </pt>
                <pt idx="54">
                  <v>11.99108435437862</v>
                </pt>
                <pt idx="55">
                  <v>11.99018057602345</v>
                </pt>
                <pt idx="56">
                  <v>11.88356500008454</v>
                </pt>
                <pt idx="57">
                  <v>11.74173756149039</v>
                </pt>
                <pt idx="58">
                  <v>11.7796673510014</v>
                </pt>
                <pt idx="59">
                  <v>11.72079395991788</v>
                </pt>
                <pt idx="60">
                  <v>11.60927086489151</v>
                </pt>
                <pt idx="61">
                  <v>9.298398563647954</v>
                </pt>
                <pt idx="62">
                  <v>8.500447396450431</v>
                </pt>
                <pt idx="63">
                  <v>7.336077416039699</v>
                </pt>
                <pt idx="64">
                  <v>7.187303734330799</v>
                </pt>
                <pt idx="65">
                  <v>7.110490971219058</v>
                </pt>
                <pt idx="66">
                  <v>7.417546871203319</v>
                </pt>
                <pt idx="67">
                  <v>12.20811085714264</v>
                </pt>
                <pt idx="68">
                  <v>15.39670605510081</v>
                </pt>
                <pt idx="69">
                  <v>16.86083407131932</v>
                </pt>
                <pt idx="70">
                  <v>17.33465343854234</v>
                </pt>
                <pt idx="71">
                  <v>17.36243112985509</v>
                </pt>
                <pt idx="72">
                  <v>17.6615438379134</v>
                </pt>
                <pt idx="73">
                  <v>18.07583823607826</v>
                </pt>
                <pt idx="74">
                  <v>18.2334926399618</v>
                </pt>
                <pt idx="75">
                  <v>19.44255991037491</v>
                </pt>
                <pt idx="76">
                  <v>19.69691851455803</v>
                </pt>
                <pt idx="77">
                  <v>21.93280623811635</v>
                </pt>
                <pt idx="78">
                  <v>25.893276389744</v>
                </pt>
                <pt idx="79">
                  <v>25.77747496258386</v>
                </pt>
                <pt idx="80">
                  <v>25.49023856136566</v>
                </pt>
                <pt idx="81">
                  <v>25.38247187466334</v>
                </pt>
                <pt idx="82">
                  <v>24.91260524811494</v>
                </pt>
                <pt idx="83">
                  <v>24.14347661858612</v>
                </pt>
                <pt idx="84">
                  <v>22.99938016232259</v>
                </pt>
                <pt idx="85">
                  <v>23.19741257102671</v>
                </pt>
                <pt idx="86">
                  <v>24.20646701159209</v>
                </pt>
                <pt idx="87">
                  <v>23.91524578607402</v>
                </pt>
                <pt idx="88">
                  <v>23.86954673713713</v>
                </pt>
                <pt idx="89">
                  <v>28.10139366009689</v>
                </pt>
                <pt idx="90">
                  <v>34.73036460208429</v>
                </pt>
                <pt idx="91">
                  <v>42.95465612048434</v>
                </pt>
                <pt idx="92">
                  <v>48.52935174313281</v>
                </pt>
                <pt idx="93">
                  <v>53.28799073271841</v>
                </pt>
                <pt idx="94">
                  <v>58.708531338052</v>
                </pt>
                <pt idx="95">
                  <v>62.44530636990485</v>
                </pt>
                <pt idx="96">
                  <v>65.53982338350663</v>
                </pt>
                <pt idx="97">
                  <v>65.36245500295496</v>
                </pt>
                <pt idx="98">
                  <v>61.11102543112295</v>
                </pt>
                <pt idx="99">
                  <v>57.78974319745022</v>
                </pt>
                <pt idx="100">
                  <v>55.9831919877732</v>
                </pt>
                <pt idx="101">
                  <v>54.69615256281892</v>
                </pt>
                <pt idx="102">
                  <v>52.96631671991744</v>
                </pt>
                <pt idx="103">
                  <v>49.98144739434457</v>
                </pt>
                <pt idx="104">
                  <v>46.8050134697749</v>
                </pt>
                <pt idx="105">
                  <v>44.59770327815055</v>
                </pt>
                <pt idx="106">
                  <v>44.32909530334369</v>
                </pt>
                <pt idx="107">
                  <v>39.725546349468</v>
                </pt>
                <pt idx="108">
                  <v>26.38348689686589</v>
                </pt>
                <pt idx="109">
                  <v>24.21380495818942</v>
                </pt>
                <pt idx="110">
                  <v>23.5298565294101</v>
                </pt>
                <pt idx="111">
                  <v>23.57820945700557</v>
                </pt>
                <pt idx="112">
                  <v>23.56838987641476</v>
                </pt>
                <pt idx="113">
                  <v>23.72366806945517</v>
                </pt>
                <pt idx="114">
                  <v>23.27090923408041</v>
                </pt>
                <pt idx="115">
                  <v>23.22784680586927</v>
                </pt>
                <pt idx="116">
                  <v>23.27535204832346</v>
                </pt>
                <pt idx="117">
                  <v>24.14124415963077</v>
                </pt>
                <pt idx="118">
                  <v>25.06042420458123</v>
                </pt>
                <pt idx="119">
                  <v>24.92704176368096</v>
                </pt>
                <pt idx="120">
                  <v>24.17652596599101</v>
                </pt>
                <pt idx="121">
                  <v>23.75590853906266</v>
                </pt>
                <pt idx="122">
                  <v>19.36266953451161</v>
                </pt>
                <pt idx="123">
                  <v>16.98848682726048</v>
                </pt>
                <pt idx="124">
                  <v>17.81123019600414</v>
                </pt>
                <pt idx="125">
                  <v>22.22046203320905</v>
                </pt>
                <pt idx="126">
                  <v>26.62923812365811</v>
                </pt>
                <pt idx="127">
                  <v>33.36055254904767</v>
                </pt>
                <pt idx="128">
                  <v>40.47202504279777</v>
                </pt>
                <pt idx="129">
                  <v>44.42987989063456</v>
                </pt>
                <pt idx="130">
                  <v>47.77232361369602</v>
                </pt>
                <pt idx="131">
                  <v>51.23928333178067</v>
                </pt>
                <pt idx="132">
                  <v>54.68148717050392</v>
                </pt>
                <pt idx="133">
                  <v>57.49327179453603</v>
                </pt>
                <pt idx="134">
                  <v>58.78656479077944</v>
                </pt>
                <pt idx="135">
                  <v>58.74293214858552</v>
                </pt>
                <pt idx="136">
                  <v>57.52331853493903</v>
                </pt>
                <pt idx="137">
                  <v>56.01237014893199</v>
                </pt>
                <pt idx="138">
                  <v>54.01577458815586</v>
                </pt>
                <pt idx="139">
                  <v>52.13499974696622</v>
                </pt>
                <pt idx="140">
                  <v>48.56683122688039</v>
                </pt>
                <pt idx="141">
                  <v>43.57135320244785</v>
                </pt>
                <pt idx="142">
                  <v>38.0968098205183</v>
                </pt>
                <pt idx="143">
                  <v>29.87946307629528</v>
                </pt>
                <pt idx="144">
                  <v>25.25674585897916</v>
                </pt>
                <pt idx="145">
                  <v>21.28496614288224</v>
                </pt>
                <pt idx="146">
                  <v>18.46022983129152</v>
                </pt>
                <pt idx="147">
                  <v>19.021952110769</v>
                </pt>
                <pt idx="148">
                  <v>21.3757457869995</v>
                </pt>
                <pt idx="149">
                  <v>22.43199828515586</v>
                </pt>
                <pt idx="150">
                  <v>22.33274021154649</v>
                </pt>
                <pt idx="151">
                  <v>22.28897606960661</v>
                </pt>
                <pt idx="152">
                  <v>22.31398845382842</v>
                </pt>
                <pt idx="153">
                  <v>22.47521276977577</v>
                </pt>
                <pt idx="154">
                  <v>22.55525874686225</v>
                </pt>
                <pt idx="155">
                  <v>22.56457655350595</v>
                </pt>
                <pt idx="156">
                  <v>22.47224127812495</v>
                </pt>
                <pt idx="157">
                  <v>22.41154958175478</v>
                </pt>
                <pt idx="158">
                  <v>22.06102987963702</v>
                </pt>
                <pt idx="159">
                  <v>21.41040231066259</v>
                </pt>
                <pt idx="160">
                  <v>21.36189322617039</v>
                </pt>
                <pt idx="161">
                  <v>18.17496282138528</v>
                </pt>
                <pt idx="162">
                  <v>12.21502365511785</v>
                </pt>
                <pt idx="163">
                  <v>11.21349813498974</v>
                </pt>
                <pt idx="164">
                  <v>11.0188589906674</v>
                </pt>
                <pt idx="165">
                  <v>12.9077658067137</v>
                </pt>
                <pt idx="166">
                  <v>15.32205058622066</v>
                </pt>
                <pt idx="167">
                  <v>15.70587423394283</v>
                </pt>
                <pt idx="168">
                  <v>13.92998283533158</v>
                </pt>
                <pt idx="169">
                  <v>13.55638686775985</v>
                </pt>
                <pt idx="170">
                  <v>14.38846765488942</v>
                </pt>
                <pt idx="171">
                  <v>14.40921811814189</v>
                </pt>
                <pt idx="172">
                  <v>14.89147707878764</v>
                </pt>
                <pt idx="173">
                  <v>16.28185812550074</v>
                </pt>
                <pt idx="174">
                  <v>18.20000131665078</v>
                </pt>
                <pt idx="175">
                  <v>18.22163479078253</v>
                </pt>
                <pt idx="176">
                  <v>18.20315663481693</v>
                </pt>
                <pt idx="177">
                  <v>18.32791346803184</v>
                </pt>
                <pt idx="178">
                  <v>18.75092127982612</v>
                </pt>
                <pt idx="179">
                  <v>19.34764153659315</v>
                </pt>
                <pt idx="180">
                  <v>19.36926715833289</v>
                </pt>
                <pt idx="181">
                  <v>19.35728147093782</v>
                </pt>
                <pt idx="182">
                  <v>24.68040149057846</v>
                </pt>
                <pt idx="183">
                  <v>30.87201637210091</v>
                </pt>
                <pt idx="184">
                  <v>34.48269498204442</v>
                </pt>
                <pt idx="185">
                  <v>35.47080750681784</v>
                </pt>
                <pt idx="186">
                  <v>35.83129072997338</v>
                </pt>
                <pt idx="187">
                  <v>35.8738787726227</v>
                </pt>
                <pt idx="188">
                  <v>36.3900644035275</v>
                </pt>
                <pt idx="189">
                  <v>36.62105829679436</v>
                </pt>
                <pt idx="190">
                  <v>36.38393497760334</v>
                </pt>
                <pt idx="191">
                  <v>34.58389504222961</v>
                </pt>
                <pt idx="192">
                  <v>33.86072786009027</v>
                </pt>
                <pt idx="193">
                  <v>33.4702802560095</v>
                </pt>
                <pt idx="194">
                  <v>33.2955037553501</v>
                </pt>
                <pt idx="195">
                  <v>32.45344701663421</v>
                </pt>
                <pt idx="196">
                  <v>29.67676748541631</v>
                </pt>
                <pt idx="197">
                  <v>28.00872437842276</v>
                </pt>
                <pt idx="198">
                  <v>26.74307588770555</v>
                </pt>
                <pt idx="199">
                  <v>25.55264224570587</v>
                </pt>
                <pt idx="200">
                  <v>23.16753284974587</v>
                </pt>
                <pt idx="201">
                  <v>17.73742495708568</v>
                </pt>
                <pt idx="202">
                  <v>17.66843167346647</v>
                </pt>
                <pt idx="203">
                  <v>16.74706709090524</v>
                </pt>
                <pt idx="204">
                  <v>16.7199263165837</v>
                </pt>
                <pt idx="205">
                  <v>18.29725873012037</v>
                </pt>
                <pt idx="206">
                  <v>19.04995251981126</v>
                </pt>
                <pt idx="207">
                  <v>18.66705609565554</v>
                </pt>
                <pt idx="208">
                  <v>18.51680172188124</v>
                </pt>
                <pt idx="209">
                  <v>18.50138471645457</v>
                </pt>
                <pt idx="210">
                  <v>18.4651080908785</v>
                </pt>
                <pt idx="211">
                  <v>18.47594351944978</v>
                </pt>
                <pt idx="212">
                  <v>18.15394477135717</v>
                </pt>
                <pt idx="213">
                  <v>21.41734193348718</v>
                </pt>
                <pt idx="214">
                  <v>22.6183219467846</v>
                </pt>
                <pt idx="215">
                  <v>22.55940133184357</v>
                </pt>
                <pt idx="216">
                  <v>22.51915313212718</v>
                </pt>
                <pt idx="217">
                  <v>22.12772188033597</v>
                </pt>
                <pt idx="218">
                  <v>21.92920145643162</v>
                </pt>
                <pt idx="219">
                  <v>23.64627481576146</v>
                </pt>
                <pt idx="220">
                  <v>22.28847744978072</v>
                </pt>
                <pt idx="221">
                  <v>21.94735353210882</v>
                </pt>
                <pt idx="222">
                  <v>21.40159177671072</v>
                </pt>
                <pt idx="223">
                  <v>21.28259904516575</v>
                </pt>
                <pt idx="224">
                  <v>21.36421123691865</v>
                </pt>
                <pt idx="225">
                  <v>21.49346900452718</v>
                </pt>
                <pt idx="226">
                  <v>21.29388721007008</v>
                </pt>
                <pt idx="227">
                  <v>22.3006046822864</v>
                </pt>
                <pt idx="228">
                  <v>23.2772055899719</v>
                </pt>
                <pt idx="229">
                  <v>24.91127337214361</v>
                </pt>
                <pt idx="230">
                  <v>27.61903836695427</v>
                </pt>
                <pt idx="231">
                  <v>29.90523774506357</v>
                </pt>
                <pt idx="232">
                  <v>33.18926554951487</v>
                </pt>
                <pt idx="233">
                  <v>36.44432606464248</v>
                </pt>
                <pt idx="234">
                  <v>40.26830145816736</v>
                </pt>
                <pt idx="235">
                  <v>45.34411874129466</v>
                </pt>
                <pt idx="236">
                  <v>48.33223428680475</v>
                </pt>
                <pt idx="237">
                  <v>50.76054797121637</v>
                </pt>
                <pt idx="238">
                  <v>54.18983984414962</v>
                </pt>
                <pt idx="239">
                  <v>54.69386729687088</v>
                </pt>
                <pt idx="240">
                  <v>54.80345939980292</v>
                </pt>
                <pt idx="241">
                  <v>51.75025785760965</v>
                </pt>
                <pt idx="242">
                  <v>49.95853423212074</v>
                </pt>
                <pt idx="243">
                  <v>47.50686529553013</v>
                </pt>
                <pt idx="244">
                  <v>46.56327462544461</v>
                </pt>
                <pt idx="245">
                  <v>44.97797670840625</v>
                </pt>
                <pt idx="246">
                  <v>41.40690567269089</v>
                </pt>
                <pt idx="247">
                  <v>39.53241055207386</v>
                </pt>
                <pt idx="248">
                  <v>37.32033580705168</v>
                </pt>
                <pt idx="249">
                  <v>34.52731743421626</v>
                </pt>
                <pt idx="250">
                  <v>32.64384750929347</v>
                </pt>
                <pt idx="251">
                  <v>30.14535150642939</v>
                </pt>
                <pt idx="252">
                  <v>28.24048562895788</v>
                </pt>
                <pt idx="253">
                  <v>28.76995233289565</v>
                </pt>
                <pt idx="254">
                  <v>30.18870549271077</v>
                </pt>
                <pt idx="255">
                  <v>33.30482953571305</v>
                </pt>
                <pt idx="256">
                  <v>36.01142534747257</v>
                </pt>
                <pt idx="257">
                  <v>37.72817458710782</v>
                </pt>
                <pt idx="258">
                  <v>40.10946409564297</v>
                </pt>
                <pt idx="259">
                  <v>37.53942526664936</v>
                </pt>
                <pt idx="260">
                  <v>36.48107125368716</v>
                </pt>
                <pt idx="261">
                  <v>35.64872009302895</v>
                </pt>
                <pt idx="262">
                  <v>34.62406144617204</v>
                </pt>
                <pt idx="263">
                  <v>33.41139929826126</v>
                </pt>
                <pt idx="264">
                  <v>32.96103899290235</v>
                </pt>
                <pt idx="265">
                  <v>31.6257756523927</v>
                </pt>
                <pt idx="266">
                  <v>30.39487157718497</v>
                </pt>
                <pt idx="267">
                  <v>29.0954350784589</v>
                </pt>
                <pt idx="268">
                  <v>27.82329744027535</v>
                </pt>
                <pt idx="269">
                  <v>25.4077529767476</v>
                </pt>
                <pt idx="270">
                  <v>24.43892848759848</v>
                </pt>
                <pt idx="271">
                  <v>22.61885864755239</v>
                </pt>
                <pt idx="272">
                  <v>21.36501139955156</v>
                </pt>
                <pt idx="273">
                  <v>20.41130148950503</v>
                </pt>
                <pt idx="274">
                  <v>20.07904266024277</v>
                </pt>
                <pt idx="275">
                  <v>19.6895098832358</v>
                </pt>
                <pt idx="276">
                  <v>18.96048825658249</v>
                </pt>
                <pt idx="277">
                  <v>17.67687841942123</v>
                </pt>
                <pt idx="278">
                  <v>16.68828543404093</v>
                </pt>
                <pt idx="279">
                  <v>15.95214365906632</v>
                </pt>
                <pt idx="280">
                  <v>15.62283858958486</v>
                </pt>
                <pt idx="281">
                  <v>14.95224098602198</v>
                </pt>
                <pt idx="282">
                  <v>14.23375926497839</v>
                </pt>
                <pt idx="283">
                  <v>13.34890814306178</v>
                </pt>
                <pt idx="284">
                  <v>12.5848887977584</v>
                </pt>
                <pt idx="285">
                  <v>12.06906728158847</v>
                </pt>
                <pt idx="286">
                  <v>11.35404443849015</v>
                </pt>
                <pt idx="287">
                  <v>10.41282771536351</v>
                </pt>
                <pt idx="288">
                  <v>8.910664318140004</v>
                </pt>
                <pt idx="289">
                  <v>8.109735849398977</v>
                </pt>
                <pt idx="290">
                  <v>8.142061652781743</v>
                </pt>
                <pt idx="291">
                  <v>8.369645086682798</v>
                </pt>
                <pt idx="292">
                  <v>8.286611574429179</v>
                </pt>
                <pt idx="293">
                  <v>8.351785156980183</v>
                </pt>
                <pt idx="294">
                  <v>9.135304806037215</v>
                </pt>
                <pt idx="295">
                  <v>11.65970381477246</v>
                </pt>
                <pt idx="296">
                  <v>13.28645467467542</v>
                </pt>
                <pt idx="297">
                  <v>15.9621041285812</v>
                </pt>
                <pt idx="298">
                  <v>18.23169838867109</v>
                </pt>
                <pt idx="299">
                  <v>20.39476896182981</v>
                </pt>
                <pt idx="300">
                  <v>23.04447824590197</v>
                </pt>
                <pt idx="301">
                  <v>24.55172548001307</v>
                </pt>
                <pt idx="302">
                  <v>25.40870911442197</v>
                </pt>
                <pt idx="303">
                  <v>25.62210117847312</v>
                </pt>
                <pt idx="304">
                  <v>26.26299004245897</v>
                </pt>
                <pt idx="305">
                  <v>28.10069663667753</v>
                </pt>
                <pt idx="306">
                  <v>28.66577786243744</v>
                </pt>
                <pt idx="307">
                  <v>28.11107259283932</v>
                </pt>
                <pt idx="308">
                  <v>27.76877714354619</v>
                </pt>
                <pt idx="309">
                  <v>27.80042407690589</v>
                </pt>
                <pt idx="310">
                  <v>26.2207442609991</v>
                </pt>
                <pt idx="311">
                  <v>22.52637600221809</v>
                </pt>
                <pt idx="312">
                  <v>18.17221959725971</v>
                </pt>
                <pt idx="313">
                  <v>18.38909037269553</v>
                </pt>
                <pt idx="314">
                  <v>29.38651001310976</v>
                </pt>
                <pt idx="315">
                  <v>31.44584827483006</v>
                </pt>
                <pt idx="316">
                  <v>30.29333721274749</v>
                </pt>
                <pt idx="317">
                  <v>30.87596232994275</v>
                </pt>
                <pt idx="318">
                  <v>40.14312832160684</v>
                </pt>
                <pt idx="319">
                  <v>47.17643497197172</v>
                </pt>
                <pt idx="320">
                  <v>52.15381563196826</v>
                </pt>
                <pt idx="321">
                  <v>57.16589226331763</v>
                </pt>
                <pt idx="322">
                  <v>61.85281980961538</v>
                </pt>
                <pt idx="323">
                  <v>65.80105578751424</v>
                </pt>
                <pt idx="324">
                  <v>69.28393911340406</v>
                </pt>
                <pt idx="325">
                  <v>71.48807838643226</v>
                </pt>
                <pt idx="326">
                  <v>73.38923073638747</v>
                </pt>
                <pt idx="327">
                  <v>74.98273709133639</v>
                </pt>
                <pt idx="328">
                  <v>75.66781732158226</v>
                </pt>
                <pt idx="329">
                  <v>75.84832818117096</v>
                </pt>
                <pt idx="330">
                  <v>76.20449610700841</v>
                </pt>
                <pt idx="331">
                  <v>76.19308305177007</v>
                </pt>
                <pt idx="332">
                  <v>75.2685721282805</v>
                </pt>
                <pt idx="333">
                  <v>70.42198258153839</v>
                </pt>
                <pt idx="334">
                  <v>53.28523658565015</v>
                </pt>
                <pt idx="335">
                  <v>35.75357038927869</v>
                </pt>
                <pt idx="336">
                  <v>25.19509214599584</v>
                </pt>
                <pt idx="337">
                  <v>12.34475906077469</v>
                </pt>
                <pt idx="338">
                  <v>11.54152839768078</v>
                </pt>
                <pt idx="339">
                  <v>10.56724546217206</v>
                </pt>
                <pt idx="340">
                  <v>8.330761531033392</v>
                </pt>
                <pt idx="341">
                  <v>7.190127785892462</v>
                </pt>
                <pt idx="342">
                  <v>6.623415776133585</v>
                </pt>
                <pt idx="343">
                  <v>6.35277721479363</v>
                </pt>
                <pt idx="344">
                  <v>6.445703314320957</v>
                </pt>
                <pt idx="345">
                  <v>6.407966544322539</v>
                </pt>
                <pt idx="346">
                  <v>6.957042319184522</v>
                </pt>
                <pt idx="347">
                  <v>7.882936616170253</v>
                </pt>
                <pt idx="348">
                  <v>8.890052255585829</v>
                </pt>
                <pt idx="349">
                  <v>10.65751110037231</v>
                </pt>
                <pt idx="350">
                  <v>12.29968208113775</v>
                </pt>
                <pt idx="351">
                  <v>13.51059785067567</v>
                </pt>
                <pt idx="352">
                  <v>14.96175850761927</v>
                </pt>
                <pt idx="353">
                  <v>15.62802190405619</v>
                </pt>
                <pt idx="354">
                  <v>15.68496074798989</v>
                </pt>
                <pt idx="355">
                  <v>15.95683759445111</v>
                </pt>
                <pt idx="356">
                  <v>15.30828573001446</v>
                </pt>
                <pt idx="357">
                  <v>14.85511377026549</v>
                </pt>
                <pt idx="358">
                  <v>15.06475905420471</v>
                </pt>
                <pt idx="359">
                  <v>14.84983212173161</v>
                </pt>
                <pt idx="360">
                  <v>15.49851900208759</v>
                </pt>
                <pt idx="361">
                  <v>15.09450424371702</v>
                </pt>
                <pt idx="362">
                  <v>14.4526449362818</v>
                </pt>
                <pt idx="363">
                  <v>15.31255506505198</v>
                </pt>
                <pt idx="364">
                  <v>15.2571507002882</v>
                </pt>
                <pt idx="365">
                  <v>14.14094552989065</v>
                </pt>
                <pt idx="366">
                  <v>13.41075827264297</v>
                </pt>
                <pt idx="367">
                  <v>13.22018424118444</v>
                </pt>
                <pt idx="368">
                  <v>13.3574387573028</v>
                </pt>
                <pt idx="369">
                  <v>14.56507093004971</v>
                </pt>
                <pt idx="370">
                  <v>15.06667585519161</v>
                </pt>
                <pt idx="371">
                  <v>15.49971212776613</v>
                </pt>
                <pt idx="372">
                  <v>15.16611769726825</v>
                </pt>
                <pt idx="373">
                  <v>14.73192453104463</v>
                </pt>
                <pt idx="374">
                  <v>14.15038948794929</v>
                </pt>
                <pt idx="375">
                  <v>13.80955311578156</v>
                </pt>
                <pt idx="376">
                  <v>12.50910512081255</v>
                </pt>
                <pt idx="377">
                  <v>12.20363753474285</v>
                </pt>
                <pt idx="378">
                  <v>11.81753792962145</v>
                </pt>
                <pt idx="379">
                  <v>11.42176465468028</v>
                </pt>
                <pt idx="380">
                  <v>11.65505095265677</v>
                </pt>
                <pt idx="381">
                  <v>11.14040471575483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17985184"/>
        <axId val="1817991904"/>
      </lineChart>
      <dateAx>
        <axId val="1817985184"/>
        <scaling>
          <orientation val="minMax"/>
        </scaling>
        <delete val="0"/>
        <axPos val="b"/>
        <numFmt formatCode="m/d/yy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17991904"/>
        <crosses val="autoZero"/>
        <lblOffset val="100"/>
        <baseTimeUnit val="days"/>
      </dateAx>
      <valAx>
        <axId val="181799190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1798518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Author</author>
  </authors>
  <commentList>
    <comment ref="S14" authorId="0" shapeId="0">
      <text>
        <t>Author: 
Cổ tức = cổ phiếu tỉ lệ 1:1</t>
      </text>
    </comment>
    <comment ref="R33" authorId="0" shapeId="0">
      <text>
        <t>Author:
Chuyển đổi 56.155.405 cổ phiếu ưu đãi sang cổ phiếu thường</t>
      </text>
    </comment>
    <comment ref="R252" authorId="0" shapeId="0">
      <text>
        <t>Author:
Chuyển đổi 29.353.951 cổ phiếu ưu đãi thành cổ phiếu thường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40</col>
      <colOff>143602</colOff>
      <row>10</row>
      <rowOff>15422</rowOff>
    </from>
    <to>
      <col>55</col>
      <colOff>470683</colOff>
      <row>31</row>
      <rowOff>13461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39</col>
      <colOff>496602</colOff>
      <row>95</row>
      <rowOff>48846</rowOff>
    </from>
    <to>
      <col>47</col>
      <colOff>444499</colOff>
      <row>108</row>
      <rowOff>146213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09"/>
  <sheetViews>
    <sheetView tabSelected="1" zoomScale="117" zoomScaleNormal="85" workbookViewId="0">
      <pane xSplit="3" ySplit="2" topLeftCell="AG3" activePane="bottomRight" state="frozen"/>
      <selection pane="topRight" activeCell="D1" sqref="D1"/>
      <selection pane="bottomLeft" activeCell="A3" sqref="A3"/>
      <selection pane="bottomRight" activeCell="AL4" sqref="AL4"/>
    </sheetView>
  </sheetViews>
  <sheetFormatPr baseColWidth="10" defaultColWidth="8.6640625" defaultRowHeight="15"/>
  <cols>
    <col width="15.1640625" bestFit="1" customWidth="1" style="1" min="1" max="1"/>
    <col width="13.6640625" customWidth="1" style="7" min="2" max="2"/>
    <col width="16.33203125" customWidth="1" min="3" max="3"/>
    <col width="13.1640625" customWidth="1" style="1" min="5" max="5"/>
    <col width="13.1640625" bestFit="1" customWidth="1" min="6" max="6"/>
    <col width="15" bestFit="1" customWidth="1" min="7" max="7"/>
    <col width="13.6640625" customWidth="1" min="8" max="8"/>
    <col width="15.6640625" customWidth="1" min="9" max="9"/>
    <col width="14.6640625" customWidth="1" min="10" max="10"/>
    <col width="16.1640625" customWidth="1" min="11" max="11"/>
    <col width="14.6640625" customWidth="1" min="12" max="15"/>
    <col width="14.6640625" customWidth="1" min="17" max="17"/>
    <col width="24.6640625" bestFit="1" customWidth="1" style="3" min="18" max="18"/>
    <col width="23.1640625" bestFit="1" customWidth="1" style="3" min="19" max="19"/>
    <col width="22.33203125" bestFit="1" customWidth="1" style="3" min="20" max="20"/>
    <col width="22.6640625" bestFit="1" customWidth="1" style="3" min="21" max="21"/>
    <col width="22.33203125" bestFit="1" customWidth="1" style="3" min="22" max="22"/>
    <col width="20.6640625" customWidth="1" style="3" min="23" max="23"/>
    <col width="8.6640625" customWidth="1" style="8" min="30" max="34"/>
    <col width="17.5" customWidth="1" min="35" max="35"/>
    <col width="11.6640625" customWidth="1" min="36" max="37"/>
    <col width="19" bestFit="1" customWidth="1" min="38" max="38"/>
    <col width="8" customWidth="1" style="41" min="39" max="39"/>
  </cols>
  <sheetData>
    <row r="1" ht="64" customHeight="1">
      <c r="A1" s="1" t="inlineStr">
        <is>
          <t>Ngày giao dịch</t>
        </is>
      </c>
      <c r="B1" s="7" t="inlineStr">
        <is>
          <t>Giá trị Index</t>
        </is>
      </c>
      <c r="C1" t="inlineStr">
        <is>
          <t>Số liệu Market cap (Tỷ VNĐ)</t>
        </is>
      </c>
      <c r="F1" s="44" t="inlineStr">
        <is>
          <t>VIC</t>
        </is>
      </c>
      <c r="G1" s="45" t="n"/>
      <c r="H1" s="44" t="inlineStr">
        <is>
          <t>VHM</t>
        </is>
      </c>
      <c r="I1" s="45" t="n"/>
      <c r="J1" s="44" t="inlineStr">
        <is>
          <t>VRE</t>
        </is>
      </c>
      <c r="K1" s="45" t="n"/>
      <c r="L1" s="44" t="inlineStr">
        <is>
          <t>VPL</t>
        </is>
      </c>
      <c r="M1" s="45" t="n"/>
      <c r="N1" s="44" t="inlineStr">
        <is>
          <t>VJC</t>
        </is>
      </c>
      <c r="O1" s="45" t="n"/>
      <c r="Q1" s="13" t="n"/>
      <c r="R1" s="3" t="inlineStr">
        <is>
          <t>VIC</t>
        </is>
      </c>
      <c r="S1" s="3" t="inlineStr">
        <is>
          <t>VHM</t>
        </is>
      </c>
      <c r="T1" s="3" t="inlineStr">
        <is>
          <t>VRE</t>
        </is>
      </c>
      <c r="U1" s="3" t="inlineStr">
        <is>
          <t>VPL</t>
        </is>
      </c>
      <c r="V1" s="3" t="inlineStr">
        <is>
          <t>VJC</t>
        </is>
      </c>
      <c r="X1" s="3" t="inlineStr">
        <is>
          <t>VIC</t>
        </is>
      </c>
      <c r="Y1" s="3" t="inlineStr">
        <is>
          <t>VHM</t>
        </is>
      </c>
      <c r="Z1" s="3" t="inlineStr">
        <is>
          <t>VRE</t>
        </is>
      </c>
      <c r="AA1" s="3" t="inlineStr">
        <is>
          <t>VPL</t>
        </is>
      </c>
      <c r="AB1" s="3" t="inlineStr">
        <is>
          <t>VJC</t>
        </is>
      </c>
      <c r="AC1" s="3" t="n"/>
      <c r="AD1" s="8" t="inlineStr">
        <is>
          <t>VIC</t>
        </is>
      </c>
      <c r="AE1" s="8" t="inlineStr">
        <is>
          <t>VHM</t>
        </is>
      </c>
      <c r="AF1" s="8" t="inlineStr">
        <is>
          <t>VRE</t>
        </is>
      </c>
      <c r="AG1" s="8" t="inlineStr">
        <is>
          <t>VPL</t>
        </is>
      </c>
      <c r="AH1" s="8" t="inlineStr">
        <is>
          <t>VJC</t>
        </is>
      </c>
      <c r="AI1" s="8" t="inlineStr">
        <is>
          <t>Tổng VINGroup</t>
        </is>
      </c>
      <c r="AJ1" s="8" t="inlineStr">
        <is>
          <t>Lũy kế</t>
        </is>
      </c>
      <c r="AK1" s="8" t="n"/>
      <c r="AL1" s="39" t="inlineStr">
        <is>
          <t>VNINDEX loại trừ Vingroup</t>
        </is>
      </c>
      <c r="AM1" s="40" t="inlineStr">
        <is>
          <t>Rolling std (20)</t>
        </is>
      </c>
    </row>
    <row r="2" ht="51" customHeight="1">
      <c r="B2" s="7" t="inlineStr">
        <is>
          <t>VNINDEX</t>
        </is>
      </c>
      <c r="F2" s="6" t="inlineStr">
        <is>
          <t>Giá đóng cửa (D)
Đơn vị: VND</t>
        </is>
      </c>
      <c r="G2" s="6" t="inlineStr">
        <is>
          <t>Số CP lưu hành hiện thời
Đơn vị: Cổ phiếu</t>
        </is>
      </c>
      <c r="H2" s="6" t="inlineStr">
        <is>
          <t>Giá đóng cửa (D)
Đơn vị: VND</t>
        </is>
      </c>
      <c r="I2" s="6" t="inlineStr">
        <is>
          <t>Số CP lưu hành hiện thời
Đơn vị: Cổ phiếu</t>
        </is>
      </c>
      <c r="J2" s="6" t="inlineStr">
        <is>
          <t>Giá đóng cửa (D)
Đơn vị: VND</t>
        </is>
      </c>
      <c r="K2" s="6" t="inlineStr">
        <is>
          <t>Số CP lưu hành hiện thời
Đơn vị: Cổ phiếu</t>
        </is>
      </c>
      <c r="L2" s="6" t="inlineStr">
        <is>
          <t>Giá đóng cửa (D)
Đơn vị: VND</t>
        </is>
      </c>
      <c r="M2" s="6" t="inlineStr">
        <is>
          <t>Số CP lưu hành hiện thời
Đơn vị: Cổ phiếu</t>
        </is>
      </c>
      <c r="N2" s="24" t="inlineStr">
        <is>
          <t>Giá đóng cửa (D)
Đơn vị: VND</t>
        </is>
      </c>
      <c r="O2" s="6" t="inlineStr">
        <is>
          <t>Số CP lưu hành hiện thời
Đơn vị: Cổ phiếu</t>
        </is>
      </c>
      <c r="Q2" s="12" t="n"/>
      <c r="R2" s="3" t="inlineStr">
        <is>
          <t>Vốn hóa thay đổi</t>
        </is>
      </c>
      <c r="X2" s="3" t="inlineStr">
        <is>
          <t>Vốn hóa thay đổi (tỷ)</t>
        </is>
      </c>
      <c r="AD2" s="8" t="inlineStr">
        <is>
          <t>Điểm số</t>
        </is>
      </c>
    </row>
    <row r="3" ht="16" customHeight="1">
      <c r="A3" s="28" t="n">
        <v>46255</v>
      </c>
      <c r="B3" s="29" t="n">
        <v>1768.12</v>
      </c>
      <c r="C3" s="30" t="n">
        <v>8564340</v>
      </c>
      <c r="D3" s="31" t="n"/>
      <c r="E3" s="31" t="n"/>
      <c r="F3" s="30" t="n">
        <v>70.20999999999999</v>
      </c>
      <c r="G3" s="30" t="n">
        <v>9.380000000000001</v>
      </c>
      <c r="H3" s="30" t="n">
        <v>7.38</v>
      </c>
      <c r="I3" s="30" t="n">
        <v>2.27</v>
      </c>
      <c r="J3" s="30" t="n">
        <v>7.93</v>
      </c>
      <c r="K3" s="30" t="n">
        <v>1.17</v>
      </c>
      <c r="L3" s="30" t="n">
        <v>46.28</v>
      </c>
      <c r="M3" s="30" t="n">
        <v>3.1</v>
      </c>
      <c r="N3" s="30" t="n">
        <v>43.99</v>
      </c>
      <c r="O3" s="30" t="n">
        <v>3.64</v>
      </c>
      <c r="P3" s="31" t="n"/>
      <c r="Q3" s="12" t="n"/>
      <c r="R3" s="32">
        <f>G3*F3-G4*F4</f>
        <v/>
      </c>
      <c r="S3" s="32">
        <f>I3*H3-I4*H4</f>
        <v/>
      </c>
      <c r="T3" s="32">
        <f>K3*J3-K4*J4</f>
        <v/>
      </c>
      <c r="U3" s="32">
        <f>M3*L3-M4*L4</f>
        <v/>
      </c>
      <c r="V3" s="32">
        <f>O3*N3-O4*N4</f>
        <v/>
      </c>
      <c r="W3" s="31" t="n"/>
      <c r="X3" s="33">
        <f>R3/10^9</f>
        <v/>
      </c>
      <c r="Y3" s="33">
        <f>S3/10^9</f>
        <v/>
      </c>
      <c r="Z3" s="33">
        <f>T3/10^9</f>
        <v/>
      </c>
      <c r="AA3" s="33">
        <f>U3/10^9</f>
        <v/>
      </c>
      <c r="AB3" s="33">
        <f>V3/10^9</f>
        <v/>
      </c>
      <c r="AC3" s="31" t="n"/>
      <c r="AD3" s="34">
        <f>X3/$C4*$B4</f>
        <v/>
      </c>
      <c r="AE3" s="34">
        <f>Y3/$C4*$B4</f>
        <v/>
      </c>
      <c r="AF3" s="34">
        <f>Z3/$C4*$B4</f>
        <v/>
      </c>
      <c r="AG3" s="34">
        <f>AA3/$C4*$B4</f>
        <v/>
      </c>
      <c r="AH3" s="35">
        <f>AB3/$C4*$B4</f>
        <v/>
      </c>
      <c r="AI3" s="34">
        <f>SUM(AD3:AG3)</f>
        <v/>
      </c>
      <c r="AJ3" s="43">
        <f>AI3+AJ4</f>
        <v/>
      </c>
      <c r="AK3" s="36" t="n"/>
      <c r="AL3" s="37">
        <f>B3-AJ3</f>
        <v/>
      </c>
      <c r="AM3" s="42">
        <f>_xlfn.STDEV.S(AL3:AL22)</f>
        <v/>
      </c>
      <c r="AU3" s="31" t="n"/>
      <c r="AV3" s="31" t="n"/>
      <c r="AW3" s="31" t="n"/>
      <c r="AX3" s="31" t="n"/>
      <c r="AY3" s="31" t="n"/>
      <c r="AZ3" s="31" t="n"/>
      <c r="BA3" s="31" t="n"/>
      <c r="BB3" s="31" t="n"/>
      <c r="BC3" s="31" t="n"/>
    </row>
    <row r="4" ht="16" customHeight="1">
      <c r="A4" s="28" t="n">
        <v>46254</v>
      </c>
      <c r="B4" s="29" t="n">
        <v>1734.24</v>
      </c>
      <c r="C4" s="30" t="n">
        <v>8400156</v>
      </c>
      <c r="D4" s="31" t="n"/>
      <c r="E4" s="31" t="n"/>
      <c r="F4" s="30" t="n">
        <v>69.18000000000001</v>
      </c>
      <c r="G4" s="30" t="n">
        <v>9.24</v>
      </c>
      <c r="H4" s="30" t="n">
        <v>7.15</v>
      </c>
      <c r="I4" s="30" t="n">
        <v>2.2</v>
      </c>
      <c r="J4" s="30" t="n">
        <v>7.57</v>
      </c>
      <c r="K4" s="30" t="n">
        <v>1.11</v>
      </c>
      <c r="L4" s="30" t="n">
        <v>45.14</v>
      </c>
      <c r="M4" s="30" t="n">
        <v>3.02</v>
      </c>
      <c r="N4" s="30" t="n">
        <v>43.6</v>
      </c>
      <c r="O4" s="30" t="n">
        <v>3.6</v>
      </c>
      <c r="P4" s="31" t="n"/>
      <c r="Q4" s="12" t="n"/>
      <c r="R4" s="32">
        <f>G4*F4-G5*F5</f>
        <v/>
      </c>
      <c r="S4" s="32">
        <f>I4*H4-I5*H5</f>
        <v/>
      </c>
      <c r="T4" s="32">
        <f>K4*J4-K5*J5</f>
        <v/>
      </c>
      <c r="U4" s="32">
        <f>M4*L4-M5*L5</f>
        <v/>
      </c>
      <c r="V4" s="32">
        <f>O4*N4-O5*N5</f>
        <v/>
      </c>
      <c r="W4" s="31" t="n"/>
      <c r="X4" s="33">
        <f>R4/10^9</f>
        <v/>
      </c>
      <c r="Y4" s="33">
        <f>S4/10^9</f>
        <v/>
      </c>
      <c r="Z4" s="33">
        <f>T4/10^9</f>
        <v/>
      </c>
      <c r="AA4" s="33">
        <f>U4/10^9</f>
        <v/>
      </c>
      <c r="AB4" s="33">
        <f>V4/10^9</f>
        <v/>
      </c>
      <c r="AC4" s="31" t="n"/>
      <c r="AD4" s="34">
        <f>X4/$C5*$B5</f>
        <v/>
      </c>
      <c r="AE4" s="34">
        <f>Y4/$C5*$B5</f>
        <v/>
      </c>
      <c r="AF4" s="34">
        <f>Z4/$C5*$B5</f>
        <v/>
      </c>
      <c r="AG4" s="34">
        <f>AA4/$C5*$B5</f>
        <v/>
      </c>
      <c r="AH4" s="35">
        <f>AB4/$C5*$B5</f>
        <v/>
      </c>
      <c r="AI4" s="34">
        <f>SUM(AD4:AG4)</f>
        <v/>
      </c>
      <c r="AJ4" s="43">
        <f>AI4+AJ5</f>
        <v/>
      </c>
      <c r="AK4" s="36" t="n"/>
      <c r="AL4" s="37">
        <f>B4-AJ4</f>
        <v/>
      </c>
      <c r="AM4" s="42">
        <f>_xlfn.STDEV.S(AL4:AL23)</f>
        <v/>
      </c>
      <c r="AU4" s="31" t="n"/>
      <c r="AV4" s="31" t="n"/>
      <c r="AW4" s="31" t="n"/>
      <c r="AX4" s="31" t="n"/>
      <c r="AY4" s="31" t="n"/>
      <c r="AZ4" s="31" t="n"/>
      <c r="BA4" s="31" t="n"/>
      <c r="BB4" s="31" t="n"/>
      <c r="BC4" s="31" t="n"/>
    </row>
    <row r="5" ht="16" customHeight="1">
      <c r="A5" s="28" t="n">
        <v>46253</v>
      </c>
      <c r="B5" s="29" t="n">
        <v>1726.69</v>
      </c>
      <c r="C5" s="30" t="n">
        <v>8363459</v>
      </c>
      <c r="D5" s="31" t="n"/>
      <c r="E5" s="31" t="n"/>
      <c r="F5" s="30" t="n">
        <v>68.48999999999999</v>
      </c>
      <c r="G5" s="30" t="n">
        <v>9.15</v>
      </c>
      <c r="H5" s="30" t="n">
        <v>7.11</v>
      </c>
      <c r="I5" s="30" t="n">
        <v>2.19</v>
      </c>
      <c r="J5" s="30" t="n">
        <v>7.55</v>
      </c>
      <c r="K5" s="30" t="n">
        <v>1.11</v>
      </c>
      <c r="L5" s="30" t="n">
        <v>45.08</v>
      </c>
      <c r="M5" s="30" t="n">
        <v>3.02</v>
      </c>
      <c r="N5" s="30" t="n">
        <v>43.49</v>
      </c>
      <c r="O5" s="30" t="n">
        <v>3.6</v>
      </c>
      <c r="P5" s="31" t="n"/>
      <c r="Q5" s="12" t="n"/>
      <c r="R5" s="32">
        <f>G5*F5-G6*F6</f>
        <v/>
      </c>
      <c r="S5" s="32">
        <f>I5*H5-I6*H6</f>
        <v/>
      </c>
      <c r="T5" s="32">
        <f>K5*J5-K6*J6</f>
        <v/>
      </c>
      <c r="U5" s="32">
        <f>M5*L5-M6*L6</f>
        <v/>
      </c>
      <c r="V5" s="32">
        <f>O5*N5-O6*N6</f>
        <v/>
      </c>
      <c r="W5" s="31" t="n"/>
      <c r="X5" s="33">
        <f>R5/10^9</f>
        <v/>
      </c>
      <c r="Y5" s="33">
        <f>S5/10^9</f>
        <v/>
      </c>
      <c r="Z5" s="33">
        <f>T5/10^9</f>
        <v/>
      </c>
      <c r="AA5" s="33">
        <f>U5/10^9</f>
        <v/>
      </c>
      <c r="AB5" s="33">
        <f>V5/10^9</f>
        <v/>
      </c>
      <c r="AC5" s="31" t="n"/>
      <c r="AD5" s="34">
        <f>X5/$C6*$B6</f>
        <v/>
      </c>
      <c r="AE5" s="34">
        <f>Y5/$C6*$B6</f>
        <v/>
      </c>
      <c r="AF5" s="34">
        <f>Z5/$C6*$B6</f>
        <v/>
      </c>
      <c r="AG5" s="34">
        <f>AA5/$C6*$B6</f>
        <v/>
      </c>
      <c r="AH5" s="35">
        <f>AB5/$C6*$B6</f>
        <v/>
      </c>
      <c r="AI5" s="34">
        <f>SUM(AD5:AG5)</f>
        <v/>
      </c>
      <c r="AJ5" s="43">
        <f>AI5+AJ6</f>
        <v/>
      </c>
      <c r="AK5" s="36" t="n"/>
      <c r="AL5" s="37">
        <f>B5-AJ5</f>
        <v/>
      </c>
      <c r="AM5" s="42">
        <f>_xlfn.STDEV.S(AL5:AL24)</f>
        <v/>
      </c>
      <c r="AU5" s="31" t="n"/>
      <c r="AV5" s="31" t="n"/>
      <c r="AW5" s="31" t="n"/>
      <c r="AX5" s="31" t="n"/>
      <c r="AY5" s="31" t="n"/>
      <c r="AZ5" s="31" t="n"/>
      <c r="BA5" s="31" t="n"/>
      <c r="BB5" s="31" t="n"/>
      <c r="BC5" s="31" t="n"/>
    </row>
    <row r="6" ht="16" customHeight="1">
      <c r="A6" s="28" t="n">
        <v>46252</v>
      </c>
      <c r="B6" s="29" t="n">
        <v>1732.02</v>
      </c>
      <c r="C6" s="30" t="n">
        <v>8389182</v>
      </c>
      <c r="D6" s="31" t="n"/>
      <c r="E6" s="31" t="n"/>
      <c r="F6" s="30" t="n">
        <v>68.48999999999999</v>
      </c>
      <c r="G6" s="30" t="n">
        <v>9.15</v>
      </c>
      <c r="H6" s="30" t="n">
        <v>7.12</v>
      </c>
      <c r="I6" s="30" t="n">
        <v>2.19</v>
      </c>
      <c r="J6" s="30" t="n">
        <v>7.65</v>
      </c>
      <c r="K6" s="30" t="n">
        <v>1.12</v>
      </c>
      <c r="L6" s="30" t="n">
        <v>45.14</v>
      </c>
      <c r="M6" s="30" t="n">
        <v>3.02</v>
      </c>
      <c r="N6" s="30" t="n">
        <v>43.63</v>
      </c>
      <c r="O6" s="30" t="n">
        <v>3.61</v>
      </c>
      <c r="P6" s="31" t="n"/>
      <c r="Q6" s="12" t="n"/>
      <c r="R6" s="32">
        <f>G6*F6-G7*F7</f>
        <v/>
      </c>
      <c r="S6" s="32">
        <f>I6*H6-I7*H7</f>
        <v/>
      </c>
      <c r="T6" s="32">
        <f>K6*J6-K7*J7</f>
        <v/>
      </c>
      <c r="U6" s="32">
        <f>M6*L6-M7*L7</f>
        <v/>
      </c>
      <c r="V6" s="32">
        <f>O6*N6-O7*N7</f>
        <v/>
      </c>
      <c r="W6" s="31" t="n"/>
      <c r="X6" s="33">
        <f>R6/10^9</f>
        <v/>
      </c>
      <c r="Y6" s="33">
        <f>S6/10^9</f>
        <v/>
      </c>
      <c r="Z6" s="33">
        <f>T6/10^9</f>
        <v/>
      </c>
      <c r="AA6" s="33">
        <f>U6/10^9</f>
        <v/>
      </c>
      <c r="AB6" s="33">
        <f>V6/10^9</f>
        <v/>
      </c>
      <c r="AC6" s="31" t="n"/>
      <c r="AD6" s="34">
        <f>X6/$C7*$B7</f>
        <v/>
      </c>
      <c r="AE6" s="34">
        <f>Y6/$C7*$B7</f>
        <v/>
      </c>
      <c r="AF6" s="34">
        <f>Z6/$C7*$B7</f>
        <v/>
      </c>
      <c r="AG6" s="34">
        <f>AA6/$C7*$B7</f>
        <v/>
      </c>
      <c r="AH6" s="35">
        <f>AB6/$C7*$B7</f>
        <v/>
      </c>
      <c r="AI6" s="34">
        <f>SUM(AD6:AG6)</f>
        <v/>
      </c>
      <c r="AJ6" s="43">
        <f>AI6+AJ7</f>
        <v/>
      </c>
      <c r="AK6" s="36" t="n"/>
      <c r="AL6" s="37">
        <f>B6-AJ6</f>
        <v/>
      </c>
      <c r="AM6" s="42">
        <f>_xlfn.STDEV.S(AL6:AL25)</f>
        <v/>
      </c>
      <c r="AU6" s="31" t="n"/>
      <c r="AV6" s="31" t="n"/>
      <c r="AW6" s="31" t="n"/>
      <c r="AX6" s="31" t="n"/>
      <c r="AY6" s="31" t="n"/>
      <c r="AZ6" s="31" t="n"/>
      <c r="BA6" s="31" t="n"/>
      <c r="BB6" s="31" t="n"/>
      <c r="BC6" s="31" t="n"/>
    </row>
    <row r="7" ht="16" customHeight="1">
      <c r="A7" s="28" t="n">
        <v>46251</v>
      </c>
      <c r="B7" s="29" t="n">
        <v>1727.46</v>
      </c>
      <c r="C7" s="30" t="n">
        <v>8322714</v>
      </c>
      <c r="D7" s="31" t="n"/>
      <c r="E7" s="31" t="n"/>
      <c r="F7" s="30" t="n">
        <v>67.81</v>
      </c>
      <c r="G7" s="30" t="n">
        <v>9.06</v>
      </c>
      <c r="H7" s="30" t="n">
        <v>7.02</v>
      </c>
      <c r="I7" s="30" t="n">
        <v>2.16</v>
      </c>
      <c r="J7" s="30" t="n">
        <v>7.65</v>
      </c>
      <c r="K7" s="30" t="n">
        <v>1.12</v>
      </c>
      <c r="L7" s="30" t="n">
        <v>45.14</v>
      </c>
      <c r="M7" s="30" t="n">
        <v>3.02</v>
      </c>
      <c r="N7" s="30" t="n">
        <v>43.63</v>
      </c>
      <c r="O7" s="30" t="n">
        <v>3.61</v>
      </c>
      <c r="P7" s="31" t="n"/>
      <c r="Q7" s="12" t="n"/>
      <c r="R7" s="32">
        <f>G7*F7-G8*F8</f>
        <v/>
      </c>
      <c r="S7" s="32">
        <f>I7*H7-I8*H8</f>
        <v/>
      </c>
      <c r="T7" s="32">
        <f>K7*J7-K8*J8</f>
        <v/>
      </c>
      <c r="U7" s="32">
        <f>M7*L7-M8*L8</f>
        <v/>
      </c>
      <c r="V7" s="32">
        <f>O7*N7-O8*N8</f>
        <v/>
      </c>
      <c r="W7" s="31" t="n"/>
      <c r="X7" s="33">
        <f>R7/10^9</f>
        <v/>
      </c>
      <c r="Y7" s="33">
        <f>S7/10^9</f>
        <v/>
      </c>
      <c r="Z7" s="33">
        <f>T7/10^9</f>
        <v/>
      </c>
      <c r="AA7" s="33">
        <f>U7/10^9</f>
        <v/>
      </c>
      <c r="AB7" s="33">
        <f>V7/10^9</f>
        <v/>
      </c>
      <c r="AC7" s="31" t="n"/>
      <c r="AD7" s="34">
        <f>X7/$C8*$B8</f>
        <v/>
      </c>
      <c r="AE7" s="34">
        <f>Y7/$C8*$B8</f>
        <v/>
      </c>
      <c r="AF7" s="34">
        <f>Z7/$C8*$B8</f>
        <v/>
      </c>
      <c r="AG7" s="34">
        <f>AA7/$C8*$B8</f>
        <v/>
      </c>
      <c r="AH7" s="35">
        <f>AB7/$C8*$B8</f>
        <v/>
      </c>
      <c r="AI7" s="34">
        <f>SUM(AD7:AG7)</f>
        <v/>
      </c>
      <c r="AJ7" s="43">
        <f>AI7+AJ8</f>
        <v/>
      </c>
      <c r="AK7" s="36" t="n"/>
      <c r="AL7" s="37">
        <f>B7-AJ7</f>
        <v/>
      </c>
      <c r="AM7" s="42">
        <f>_xlfn.STDEV.S(AL7:AL26)</f>
        <v/>
      </c>
      <c r="AU7" s="31" t="n"/>
      <c r="AV7" s="31" t="n"/>
      <c r="AW7" s="31" t="n"/>
      <c r="AX7" s="31" t="n"/>
      <c r="AY7" s="31" t="n"/>
      <c r="AZ7" s="31" t="n"/>
      <c r="BA7" s="31" t="n"/>
      <c r="BB7" s="31" t="n"/>
      <c r="BC7" s="31" t="n"/>
    </row>
    <row r="8" ht="16" customHeight="1">
      <c r="A8" s="28" t="n">
        <v>46248</v>
      </c>
      <c r="B8" s="29" t="n">
        <v>1729.08</v>
      </c>
      <c r="C8" s="30" t="n">
        <v>8330524</v>
      </c>
      <c r="D8" s="31" t="n"/>
      <c r="E8" s="31" t="n"/>
      <c r="F8" s="30" t="n">
        <v>200400</v>
      </c>
      <c r="G8" s="30" t="n">
        <v>7762186429</v>
      </c>
      <c r="H8" s="30" t="n">
        <v>68200</v>
      </c>
      <c r="I8" s="30" t="n">
        <v>8214824008</v>
      </c>
      <c r="J8" s="30" t="n">
        <v>23950</v>
      </c>
      <c r="K8" s="30" t="n">
        <v>2272318410</v>
      </c>
      <c r="L8" s="30" t="n">
        <v>74500</v>
      </c>
      <c r="M8" s="30" t="n">
        <v>1793300377</v>
      </c>
      <c r="N8" s="30" t="n">
        <v>123200</v>
      </c>
      <c r="O8" s="30" t="n">
        <v>769092961</v>
      </c>
      <c r="P8" s="31" t="n"/>
      <c r="Q8" s="12" t="n"/>
      <c r="R8" s="32">
        <f>G8*F8-G9*F9</f>
        <v/>
      </c>
      <c r="S8" s="32">
        <f>I8*H8-I9*H9</f>
        <v/>
      </c>
      <c r="T8" s="32">
        <f>K8*J8-K9*J9</f>
        <v/>
      </c>
      <c r="U8" s="32">
        <f>M8*L8-M9*L9</f>
        <v/>
      </c>
      <c r="V8" s="32">
        <f>O8*N8-O9*N9</f>
        <v/>
      </c>
      <c r="W8" s="31" t="n"/>
      <c r="X8" s="33">
        <f>R8/10^9</f>
        <v/>
      </c>
      <c r="Y8" s="33">
        <f>S8/10^9</f>
        <v/>
      </c>
      <c r="Z8" s="33">
        <f>T8/10^9</f>
        <v/>
      </c>
      <c r="AA8" s="33">
        <f>U8/10^9</f>
        <v/>
      </c>
      <c r="AB8" s="33">
        <f>V8/10^9</f>
        <v/>
      </c>
      <c r="AC8" s="31" t="n"/>
      <c r="AD8" s="34">
        <f>X8/$C9*$B9</f>
        <v/>
      </c>
      <c r="AE8" s="34">
        <f>Y8/$C9*$B9</f>
        <v/>
      </c>
      <c r="AF8" s="34">
        <f>Z8/$C9*$B9</f>
        <v/>
      </c>
      <c r="AG8" s="34">
        <f>AA8/$C9*$B9</f>
        <v/>
      </c>
      <c r="AH8" s="35">
        <f>AB8/$C9*$B9</f>
        <v/>
      </c>
      <c r="AI8" s="34">
        <f>SUM(AD8:AG8)</f>
        <v/>
      </c>
      <c r="AJ8" s="43">
        <f>AI8+AJ9</f>
        <v/>
      </c>
      <c r="AK8" s="36" t="n"/>
      <c r="AL8" s="37">
        <f>B8-AJ8</f>
        <v/>
      </c>
      <c r="AM8" s="42">
        <f>_xlfn.STDEV.S(AL8:AL27)</f>
        <v/>
      </c>
      <c r="AU8" s="31" t="n"/>
      <c r="AV8" s="31" t="n"/>
      <c r="AW8" s="31" t="n"/>
      <c r="AX8" s="31" t="n"/>
      <c r="AY8" s="31" t="n"/>
      <c r="AZ8" s="31" t="n"/>
      <c r="BA8" s="31" t="n"/>
      <c r="BB8" s="31" t="n"/>
      <c r="BC8" s="31" t="n"/>
    </row>
    <row r="9" ht="16" customHeight="1">
      <c r="A9" s="28" t="n">
        <v>46247</v>
      </c>
      <c r="B9" s="29" t="n">
        <v>1765.63</v>
      </c>
      <c r="C9" s="30" t="n">
        <v>8506521</v>
      </c>
      <c r="D9" s="31" t="n"/>
      <c r="E9" s="31" t="n"/>
      <c r="F9" s="30" t="n">
        <v>207900</v>
      </c>
      <c r="G9" s="30" t="n">
        <v>7762186429</v>
      </c>
      <c r="H9" s="30" t="n">
        <v>71800</v>
      </c>
      <c r="I9" s="30" t="n">
        <v>8214824008</v>
      </c>
      <c r="J9" s="30" t="n">
        <v>24600</v>
      </c>
      <c r="K9" s="30" t="n">
        <v>2272318410</v>
      </c>
      <c r="L9" s="30" t="n">
        <v>77000</v>
      </c>
      <c r="M9" s="30" t="n">
        <v>1793300377</v>
      </c>
      <c r="N9" s="30" t="n">
        <v>124900</v>
      </c>
      <c r="O9" s="30" t="n">
        <v>769092961</v>
      </c>
      <c r="P9" s="31" t="n"/>
      <c r="Q9" s="12" t="n"/>
      <c r="R9" s="32">
        <f>G9*F9-G10*F10</f>
        <v/>
      </c>
      <c r="S9" s="32">
        <f>I9*H9-I10*H10</f>
        <v/>
      </c>
      <c r="T9" s="32">
        <f>K9*J9-K10*J10</f>
        <v/>
      </c>
      <c r="U9" s="32">
        <f>M9*L9-M10*L10</f>
        <v/>
      </c>
      <c r="V9" s="32">
        <f>O9*N9-O10*N10</f>
        <v/>
      </c>
      <c r="W9" s="31" t="n"/>
      <c r="X9" s="33">
        <f>R9/10^9</f>
        <v/>
      </c>
      <c r="Y9" s="33">
        <f>S9/10^9</f>
        <v/>
      </c>
      <c r="Z9" s="33">
        <f>T9/10^9</f>
        <v/>
      </c>
      <c r="AA9" s="33">
        <f>U9/10^9</f>
        <v/>
      </c>
      <c r="AB9" s="33">
        <f>V9/10^9</f>
        <v/>
      </c>
      <c r="AC9" s="31" t="n"/>
      <c r="AD9" s="34">
        <f>X9/$C10*$B10</f>
        <v/>
      </c>
      <c r="AE9" s="34">
        <f>Y9/$C10*$B10</f>
        <v/>
      </c>
      <c r="AF9" s="34">
        <f>Z9/$C10*$B10</f>
        <v/>
      </c>
      <c r="AG9" s="34">
        <f>AA9/$C10*$B10</f>
        <v/>
      </c>
      <c r="AH9" s="35">
        <f>AB9/$C10*$B10</f>
        <v/>
      </c>
      <c r="AI9" s="34">
        <f>SUM(AD9:AG9)</f>
        <v/>
      </c>
      <c r="AJ9" s="43">
        <f>AI9+AJ10</f>
        <v/>
      </c>
      <c r="AK9" s="36" t="n"/>
      <c r="AL9" s="37">
        <f>B9-AJ9</f>
        <v/>
      </c>
      <c r="AM9" s="42">
        <f>_xlfn.STDEV.S(AL9:AL28)</f>
        <v/>
      </c>
      <c r="AU9" s="31" t="n"/>
      <c r="AV9" s="31" t="n"/>
      <c r="AW9" s="31" t="n"/>
      <c r="AX9" s="31" t="n"/>
      <c r="AY9" s="31" t="n"/>
      <c r="AZ9" s="31" t="n"/>
      <c r="BA9" s="31" t="n"/>
      <c r="BB9" s="31" t="n"/>
      <c r="BC9" s="31" t="n"/>
    </row>
    <row r="10" ht="16" customHeight="1">
      <c r="A10" s="28" t="n">
        <v>46246</v>
      </c>
      <c r="B10" s="29" t="n">
        <v>1793.18</v>
      </c>
      <c r="C10" s="30" t="n">
        <v>8638902</v>
      </c>
      <c r="D10" s="31" t="n"/>
      <c r="E10" s="31" t="n"/>
      <c r="F10" s="30" t="n">
        <v>215500</v>
      </c>
      <c r="G10" s="30" t="n">
        <v>7762186429</v>
      </c>
      <c r="H10" s="30" t="n">
        <v>73800</v>
      </c>
      <c r="I10" s="30" t="n">
        <v>8214824008</v>
      </c>
      <c r="J10" s="30" t="n">
        <v>25450</v>
      </c>
      <c r="K10" s="30" t="n">
        <v>2272318410</v>
      </c>
      <c r="L10" s="30" t="n">
        <v>78400</v>
      </c>
      <c r="M10" s="30" t="n">
        <v>1793300377</v>
      </c>
      <c r="N10" s="30" t="n">
        <v>127700</v>
      </c>
      <c r="O10" s="30" t="n">
        <v>769092961</v>
      </c>
      <c r="P10" s="31" t="n"/>
      <c r="Q10" s="12" t="n"/>
      <c r="R10" s="32">
        <f>G10*F10-G11*F11</f>
        <v/>
      </c>
      <c r="S10" s="32">
        <f>I10*H10-I11*H11</f>
        <v/>
      </c>
      <c r="T10" s="32">
        <f>K10*J10-K11*J11</f>
        <v/>
      </c>
      <c r="U10" s="32">
        <f>M10*L10-M11*L11</f>
        <v/>
      </c>
      <c r="V10" s="32">
        <f>O10*N10-O11*N11</f>
        <v/>
      </c>
      <c r="W10" s="31" t="n"/>
      <c r="X10" s="33">
        <f>R10/10^9</f>
        <v/>
      </c>
      <c r="Y10" s="33">
        <f>S10/10^9</f>
        <v/>
      </c>
      <c r="Z10" s="33">
        <f>T10/10^9</f>
        <v/>
      </c>
      <c r="AA10" s="33">
        <f>U10/10^9</f>
        <v/>
      </c>
      <c r="AB10" s="33">
        <f>V10/10^9</f>
        <v/>
      </c>
      <c r="AC10" s="31" t="n"/>
      <c r="AD10" s="34">
        <f>X10/$C11*$B11</f>
        <v/>
      </c>
      <c r="AE10" s="34">
        <f>Y10/$C11*$B11</f>
        <v/>
      </c>
      <c r="AF10" s="34">
        <f>Z10/$C11*$B11</f>
        <v/>
      </c>
      <c r="AG10" s="34">
        <f>AA10/$C11*$B11</f>
        <v/>
      </c>
      <c r="AH10" s="35">
        <f>AB10/$C11*$B11</f>
        <v/>
      </c>
      <c r="AI10" s="34">
        <f>SUM(AD10:AG10)</f>
        <v/>
      </c>
      <c r="AJ10" s="43">
        <f>AI10+AJ11</f>
        <v/>
      </c>
      <c r="AK10" s="36" t="n"/>
      <c r="AL10" s="37">
        <f>B10-AJ10</f>
        <v/>
      </c>
      <c r="AM10" s="42">
        <f>_xlfn.STDEV.S(AL10:AL29)</f>
        <v/>
      </c>
      <c r="AU10" s="31" t="n"/>
      <c r="AV10" s="31" t="n"/>
      <c r="AW10" s="31" t="n"/>
      <c r="AX10" s="31" t="n"/>
      <c r="AY10" s="31" t="n"/>
      <c r="AZ10" s="31" t="n"/>
      <c r="BA10" s="31" t="n"/>
      <c r="BB10" s="31" t="n"/>
      <c r="BC10" s="31" t="n"/>
    </row>
    <row r="11" ht="16" customHeight="1">
      <c r="A11" s="28" t="n">
        <v>46245</v>
      </c>
      <c r="B11" s="29" t="n">
        <v>1773.41</v>
      </c>
      <c r="C11" s="30" t="n">
        <v>8544009</v>
      </c>
      <c r="D11" s="31" t="n"/>
      <c r="E11" s="31" t="n"/>
      <c r="F11" s="30" t="n">
        <v>208500</v>
      </c>
      <c r="G11" s="30" t="n">
        <v>7762186429</v>
      </c>
      <c r="H11" s="30" t="n">
        <v>72100</v>
      </c>
      <c r="I11" s="30" t="n">
        <v>8214824008</v>
      </c>
      <c r="J11" s="30" t="n">
        <v>25450</v>
      </c>
      <c r="K11" s="30" t="n">
        <v>2272318410</v>
      </c>
      <c r="L11" s="30" t="n">
        <v>78400</v>
      </c>
      <c r="M11" s="30" t="n">
        <v>1793300377</v>
      </c>
      <c r="N11" s="30" t="n">
        <v>127200</v>
      </c>
      <c r="O11" s="30" t="n">
        <v>769092961</v>
      </c>
      <c r="P11" s="31" t="n"/>
      <c r="Q11" s="12" t="n"/>
      <c r="R11" s="32">
        <f>G11*F11-G12*F12</f>
        <v/>
      </c>
      <c r="S11" s="32">
        <f>I11*H11-I12*H12</f>
        <v/>
      </c>
      <c r="T11" s="32">
        <f>K11*J11-K12*J12</f>
        <v/>
      </c>
      <c r="U11" s="32">
        <f>M11*L11-M12*L12</f>
        <v/>
      </c>
      <c r="V11" s="32">
        <f>O11*N11-O12*N12</f>
        <v/>
      </c>
      <c r="W11" s="31" t="n"/>
      <c r="X11" s="33">
        <f>R11/10^9</f>
        <v/>
      </c>
      <c r="Y11" s="33">
        <f>S11/10^9</f>
        <v/>
      </c>
      <c r="Z11" s="33">
        <f>T11/10^9</f>
        <v/>
      </c>
      <c r="AA11" s="33">
        <f>U11/10^9</f>
        <v/>
      </c>
      <c r="AB11" s="33">
        <f>V11/10^9</f>
        <v/>
      </c>
      <c r="AC11" s="31" t="n"/>
      <c r="AD11" s="34">
        <f>X11/$C12*$B12</f>
        <v/>
      </c>
      <c r="AE11" s="34">
        <f>Y11/$C12*$B12</f>
        <v/>
      </c>
      <c r="AF11" s="34">
        <f>Z11/$C12*$B12</f>
        <v/>
      </c>
      <c r="AG11" s="34">
        <f>AA11/$C12*$B12</f>
        <v/>
      </c>
      <c r="AH11" s="35">
        <f>AB11/$C12*$B12</f>
        <v/>
      </c>
      <c r="AI11" s="34">
        <f>SUM(AD11:AG11)</f>
        <v/>
      </c>
      <c r="AJ11" s="43">
        <f>AI11+AJ12</f>
        <v/>
      </c>
      <c r="AK11" s="36" t="n"/>
      <c r="AL11" s="37">
        <f>B11-AJ11</f>
        <v/>
      </c>
      <c r="AM11" s="42">
        <f>_xlfn.STDEV.S(AL11:AL30)</f>
        <v/>
      </c>
      <c r="AU11" s="31" t="n"/>
      <c r="AV11" s="31" t="n"/>
      <c r="AW11" s="31" t="n"/>
      <c r="AX11" s="31" t="n"/>
      <c r="AY11" s="31" t="n"/>
      <c r="AZ11" s="31" t="n"/>
      <c r="BA11" s="31" t="n"/>
      <c r="BB11" s="31" t="n"/>
      <c r="BC11" s="31" t="n"/>
    </row>
    <row r="12" ht="16" customHeight="1">
      <c r="A12" s="28" t="n">
        <v>46244</v>
      </c>
      <c r="B12" s="29" t="n">
        <v>1776.77</v>
      </c>
      <c r="C12" s="30" t="n">
        <v>8551941</v>
      </c>
      <c r="D12" s="31" t="n"/>
      <c r="E12" s="31" t="n"/>
      <c r="F12" s="30" t="n">
        <v>208500</v>
      </c>
      <c r="G12" s="30" t="n">
        <v>7762186429</v>
      </c>
      <c r="H12" s="30" t="n">
        <v>71600</v>
      </c>
      <c r="I12" s="30" t="n">
        <v>8214824008</v>
      </c>
      <c r="J12" s="30" t="n">
        <v>25550</v>
      </c>
      <c r="K12" s="30" t="n">
        <v>2272318410</v>
      </c>
      <c r="L12" s="30" t="n">
        <v>78500</v>
      </c>
      <c r="M12" s="30" t="n">
        <v>1793300377</v>
      </c>
      <c r="N12" s="30" t="n">
        <v>125500</v>
      </c>
      <c r="O12" s="30" t="n">
        <v>769092961</v>
      </c>
      <c r="P12" s="31" t="n"/>
      <c r="Q12" s="12" t="n"/>
      <c r="R12" s="32">
        <f>G12*F12-G13*F13</f>
        <v/>
      </c>
      <c r="S12" s="32">
        <f>I12*H12-I13*H13</f>
        <v/>
      </c>
      <c r="T12" s="32">
        <f>K12*J12-K13*J13</f>
        <v/>
      </c>
      <c r="U12" s="32">
        <f>M12*L12-M13*L13</f>
        <v/>
      </c>
      <c r="V12" s="32">
        <f>O12*N12-O13*N13</f>
        <v/>
      </c>
      <c r="W12" s="31" t="n"/>
      <c r="X12" s="33">
        <f>R12/10^9</f>
        <v/>
      </c>
      <c r="Y12" s="33">
        <f>S12/10^9</f>
        <v/>
      </c>
      <c r="Z12" s="33">
        <f>T12/10^9</f>
        <v/>
      </c>
      <c r="AA12" s="33">
        <f>U12/10^9</f>
        <v/>
      </c>
      <c r="AB12" s="33">
        <f>V12/10^9</f>
        <v/>
      </c>
      <c r="AC12" s="31" t="n"/>
      <c r="AD12" s="34">
        <f>X12/$C13*$B13</f>
        <v/>
      </c>
      <c r="AE12" s="34">
        <f>Y12/$C13*$B13</f>
        <v/>
      </c>
      <c r="AF12" s="34">
        <f>Z12/$C13*$B13</f>
        <v/>
      </c>
      <c r="AG12" s="34">
        <f>AA12/$C13*$B13</f>
        <v/>
      </c>
      <c r="AH12" s="35">
        <f>AB12/$C13*$B13</f>
        <v/>
      </c>
      <c r="AI12" s="34">
        <f>SUM(AD12:AG12)</f>
        <v/>
      </c>
      <c r="AJ12" s="43">
        <f>AI12+AJ13</f>
        <v/>
      </c>
      <c r="AK12" s="36" t="n"/>
      <c r="AL12" s="37">
        <f>B12-AJ12</f>
        <v/>
      </c>
      <c r="AM12" s="42">
        <f>_xlfn.STDEV.S(AL12:AL31)</f>
        <v/>
      </c>
      <c r="AU12" s="31" t="n"/>
      <c r="AV12" s="31" t="n"/>
      <c r="AW12" s="31" t="n"/>
      <c r="AX12" s="31" t="n"/>
      <c r="AY12" s="31" t="n"/>
      <c r="AZ12" s="31" t="n"/>
      <c r="BA12" s="31" t="n"/>
      <c r="BB12" s="31" t="n"/>
      <c r="BC12" s="31" t="n"/>
    </row>
    <row r="13" ht="16" customHeight="1">
      <c r="A13" s="28" t="n">
        <v>46241</v>
      </c>
      <c r="B13" s="29" t="n">
        <v>1768.06</v>
      </c>
      <c r="C13" s="30" t="n">
        <v>8509967</v>
      </c>
      <c r="D13" s="31" t="n"/>
      <c r="E13" s="31" t="n"/>
      <c r="F13" s="4" t="n">
        <v>215000</v>
      </c>
      <c r="G13" s="4" t="n">
        <v>7762186429</v>
      </c>
      <c r="H13" s="4" t="n">
        <v>73000</v>
      </c>
      <c r="I13" s="4" t="n">
        <v>8214824008</v>
      </c>
      <c r="J13" s="4" t="n">
        <v>24950</v>
      </c>
      <c r="K13" s="4" t="n">
        <v>2272318410</v>
      </c>
      <c r="L13" s="4" t="n">
        <v>79000</v>
      </c>
      <c r="M13" s="4" t="n">
        <v>1793300377</v>
      </c>
      <c r="N13" s="4" t="n">
        <v>125500</v>
      </c>
      <c r="O13" s="4" t="n">
        <v>769092961</v>
      </c>
      <c r="P13" s="31" t="n"/>
      <c r="Q13" s="12" t="n"/>
      <c r="R13" s="32">
        <f>G13*F13-G14*F14</f>
        <v/>
      </c>
      <c r="S13" s="32">
        <f>I13*H13-I14*H14</f>
        <v/>
      </c>
      <c r="T13" s="32">
        <f>K13*J13-K14*J14</f>
        <v/>
      </c>
      <c r="U13" s="32">
        <f>M13*L13-M14*L14</f>
        <v/>
      </c>
      <c r="V13" s="32">
        <f>O13*N13-O14*N14</f>
        <v/>
      </c>
      <c r="W13" s="31" t="n"/>
      <c r="X13" s="33">
        <f>R13/10^9</f>
        <v/>
      </c>
      <c r="Y13" s="33">
        <f>S13/10^9</f>
        <v/>
      </c>
      <c r="Z13" s="33">
        <f>T13/10^9</f>
        <v/>
      </c>
      <c r="AA13" s="33">
        <f>U13/10^9</f>
        <v/>
      </c>
      <c r="AB13" s="33">
        <f>V13/10^9</f>
        <v/>
      </c>
      <c r="AC13" s="31" t="n"/>
      <c r="AD13" s="34">
        <f>X13/$C14*$B14</f>
        <v/>
      </c>
      <c r="AE13" s="34">
        <f>Y13/$C14*$B14</f>
        <v/>
      </c>
      <c r="AF13" s="34">
        <f>Z13/$C14*$B14</f>
        <v/>
      </c>
      <c r="AG13" s="34">
        <f>AA13/$C14*$B14</f>
        <v/>
      </c>
      <c r="AH13" s="35">
        <f>AB13/$C14*$B14</f>
        <v/>
      </c>
      <c r="AI13" s="34">
        <f>SUM(AD13:AG13)</f>
        <v/>
      </c>
      <c r="AJ13" s="43">
        <f>AI13+AJ14</f>
        <v/>
      </c>
      <c r="AK13" s="36" t="n"/>
      <c r="AL13" s="37">
        <f>B13-AJ13</f>
        <v/>
      </c>
      <c r="AM13" s="42">
        <f>_xlfn.STDEV.S(AL13:AL32)</f>
        <v/>
      </c>
      <c r="AU13" s="31" t="n"/>
      <c r="AV13" s="31" t="n"/>
      <c r="AW13" s="31" t="n"/>
      <c r="AX13" s="31" t="n"/>
      <c r="AY13" s="31" t="n"/>
      <c r="AZ13" s="31" t="n"/>
      <c r="BA13" s="31" t="n"/>
      <c r="BB13" s="31" t="n"/>
      <c r="BC13" s="31" t="n"/>
    </row>
    <row r="14" ht="16" customHeight="1">
      <c r="A14" s="28" t="n">
        <v>46240</v>
      </c>
      <c r="B14" s="29" t="n">
        <v>1764.78</v>
      </c>
      <c r="C14" s="30" t="n">
        <v>8494204</v>
      </c>
      <c r="D14" s="31" t="n"/>
      <c r="E14" s="31" t="n"/>
      <c r="F14" s="4" t="n">
        <v>218800</v>
      </c>
      <c r="G14" s="4" t="n">
        <v>7762186429</v>
      </c>
      <c r="H14" s="4" t="n">
        <v>77100</v>
      </c>
      <c r="I14" s="4" t="n">
        <v>8214824008</v>
      </c>
      <c r="J14" s="4" t="n">
        <v>25300</v>
      </c>
      <c r="K14" s="4" t="n">
        <v>2272318410</v>
      </c>
      <c r="L14" s="4" t="n">
        <v>80900</v>
      </c>
      <c r="M14" s="4" t="n">
        <v>1793300377</v>
      </c>
      <c r="N14" s="4" t="n">
        <v>126000</v>
      </c>
      <c r="O14" s="4" t="n">
        <v>769092961</v>
      </c>
      <c r="P14" s="31" t="n"/>
      <c r="Q14" s="12" t="n"/>
      <c r="R14" s="32">
        <f>G14*F14-G15*F15</f>
        <v/>
      </c>
      <c r="S14" s="32">
        <f>I14*H14-I15*H15</f>
        <v/>
      </c>
      <c r="T14" s="32">
        <f>K14*J14-K15*J15</f>
        <v/>
      </c>
      <c r="U14" s="32">
        <f>M14*L14-M15*L15</f>
        <v/>
      </c>
      <c r="V14" s="32">
        <f>O14*N14-O15*N15</f>
        <v/>
      </c>
      <c r="W14" s="31" t="n"/>
      <c r="X14" s="33">
        <f>R14/10^9</f>
        <v/>
      </c>
      <c r="Y14" s="33">
        <f>S14/10^9</f>
        <v/>
      </c>
      <c r="Z14" s="33">
        <f>T14/10^9</f>
        <v/>
      </c>
      <c r="AA14" s="33">
        <f>U14/10^9</f>
        <v/>
      </c>
      <c r="AB14" s="33">
        <f>V14/10^9</f>
        <v/>
      </c>
      <c r="AC14" s="31" t="n"/>
      <c r="AD14" s="34">
        <f>X14/$C15*$B15</f>
        <v/>
      </c>
      <c r="AE14" s="34">
        <f>Y14/$C15*$B15</f>
        <v/>
      </c>
      <c r="AF14" s="34">
        <f>Z14/$C15*$B15</f>
        <v/>
      </c>
      <c r="AG14" s="34">
        <f>AA14/$C15*$B15</f>
        <v/>
      </c>
      <c r="AH14" s="35">
        <f>AB14/$C15*$B15</f>
        <v/>
      </c>
      <c r="AI14" s="34">
        <f>SUM(AD14:AG14)</f>
        <v/>
      </c>
      <c r="AJ14" s="43">
        <f>AI14+AJ15</f>
        <v/>
      </c>
      <c r="AK14" s="36" t="n"/>
      <c r="AL14" s="37">
        <f>B14-AJ14</f>
        <v/>
      </c>
      <c r="AM14" s="42">
        <f>_xlfn.STDEV.S(AL14:AL33)</f>
        <v/>
      </c>
      <c r="AU14" s="31" t="n"/>
      <c r="AV14" s="31" t="n"/>
      <c r="AW14" s="31" t="n"/>
      <c r="AX14" s="31" t="n"/>
      <c r="AY14" s="31" t="n"/>
      <c r="AZ14" s="31" t="n"/>
      <c r="BA14" s="31" t="n"/>
      <c r="BB14" s="31" t="n"/>
      <c r="BC14" s="31" t="n"/>
    </row>
    <row r="15" ht="16" customHeight="1">
      <c r="A15" s="28" t="n">
        <v>46239</v>
      </c>
      <c r="B15" s="29" t="n">
        <v>1776.46</v>
      </c>
      <c r="C15" s="30" t="n">
        <v>8445707</v>
      </c>
      <c r="D15" s="31" t="n"/>
      <c r="E15" s="31" t="n"/>
      <c r="F15" s="4" t="n">
        <v>220000</v>
      </c>
      <c r="G15" s="4" t="n">
        <v>7762186429</v>
      </c>
      <c r="H15" s="4" t="n">
        <v>153000</v>
      </c>
      <c r="I15" s="4" t="n">
        <v>4107412004</v>
      </c>
      <c r="J15" s="4" t="n">
        <v>26450</v>
      </c>
      <c r="K15" s="4" t="n">
        <v>2272318410</v>
      </c>
      <c r="L15" s="4" t="n">
        <v>81000</v>
      </c>
      <c r="M15" s="4" t="n">
        <v>1793300377</v>
      </c>
      <c r="N15" s="4" t="n">
        <v>126100</v>
      </c>
      <c r="O15" s="4" t="n">
        <v>769092961</v>
      </c>
      <c r="P15" s="31" t="n"/>
      <c r="Q15" s="12" t="n"/>
      <c r="R15" s="32">
        <f>G15*F15-G16*F16</f>
        <v/>
      </c>
      <c r="S15" s="32">
        <f>I15*H15-I16*H16</f>
        <v/>
      </c>
      <c r="T15" s="32">
        <f>K15*J15-K16*J16</f>
        <v/>
      </c>
      <c r="U15" s="32">
        <f>M15*L15-M16*L16</f>
        <v/>
      </c>
      <c r="V15" s="32">
        <f>O15*N15-O16*N16</f>
        <v/>
      </c>
      <c r="W15" s="31" t="n"/>
      <c r="X15" s="33">
        <f>R15/10^9</f>
        <v/>
      </c>
      <c r="Y15" s="33">
        <f>S15/10^9</f>
        <v/>
      </c>
      <c r="Z15" s="33">
        <f>T15/10^9</f>
        <v/>
      </c>
      <c r="AA15" s="33">
        <f>U15/10^9</f>
        <v/>
      </c>
      <c r="AB15" s="33">
        <f>V15/10^9</f>
        <v/>
      </c>
      <c r="AC15" s="31" t="n"/>
      <c r="AD15" s="34">
        <f>X15/$C16*$B16</f>
        <v/>
      </c>
      <c r="AE15" s="34">
        <f>Y15/$C16*$B16</f>
        <v/>
      </c>
      <c r="AF15" s="34">
        <f>Z15/$C16*$B16</f>
        <v/>
      </c>
      <c r="AG15" s="34">
        <f>AA15/$C16*$B16</f>
        <v/>
      </c>
      <c r="AH15" s="35">
        <f>AB15/$C16*$B16</f>
        <v/>
      </c>
      <c r="AI15" s="34">
        <f>SUM(AD15:AG15)</f>
        <v/>
      </c>
      <c r="AJ15" s="43">
        <f>AI15+AJ16</f>
        <v/>
      </c>
      <c r="AK15" s="36" t="n"/>
      <c r="AL15" s="37">
        <f>B15-AJ15</f>
        <v/>
      </c>
      <c r="AM15" s="42">
        <f>_xlfn.STDEV.S(AL15:AL34)</f>
        <v/>
      </c>
      <c r="AU15" s="31" t="n"/>
      <c r="AV15" s="31" t="n"/>
      <c r="AW15" s="31" t="n"/>
      <c r="AX15" s="31" t="n"/>
      <c r="AY15" s="31" t="n"/>
      <c r="AZ15" s="31" t="n"/>
      <c r="BA15" s="31" t="n"/>
      <c r="BB15" s="31" t="n"/>
      <c r="BC15" s="31" t="n"/>
    </row>
    <row r="16" ht="16" customHeight="1">
      <c r="A16" s="28" t="n">
        <v>46238</v>
      </c>
      <c r="B16" s="29" t="n">
        <v>1777.23</v>
      </c>
      <c r="C16" s="30" t="n">
        <v>8448941</v>
      </c>
      <c r="D16" s="31" t="n"/>
      <c r="E16" s="31" t="n"/>
      <c r="F16" s="4" t="n">
        <v>218000</v>
      </c>
      <c r="G16" s="4" t="n">
        <v>7762186429</v>
      </c>
      <c r="H16" s="4" t="n">
        <v>152900</v>
      </c>
      <c r="I16" s="4" t="n">
        <v>4107412004</v>
      </c>
      <c r="J16" s="4" t="n">
        <v>26400</v>
      </c>
      <c r="K16" s="4" t="n">
        <v>2272318410</v>
      </c>
      <c r="L16" s="4" t="n">
        <v>81200</v>
      </c>
      <c r="M16" s="4" t="n">
        <v>1793300377</v>
      </c>
      <c r="N16" s="4" t="n">
        <v>126500</v>
      </c>
      <c r="O16" s="4" t="n">
        <v>769092961</v>
      </c>
      <c r="P16" s="31" t="n"/>
      <c r="Q16" s="12" t="n"/>
      <c r="R16" s="32">
        <f>G16*F16-G17*F17</f>
        <v/>
      </c>
      <c r="S16" s="32">
        <f>I16*H16-I17*H17</f>
        <v/>
      </c>
      <c r="T16" s="32">
        <f>K16*J16-K17*J17</f>
        <v/>
      </c>
      <c r="U16" s="32">
        <f>M16*L16-M17*L17</f>
        <v/>
      </c>
      <c r="V16" s="32">
        <f>O16*N16-O17*N17</f>
        <v/>
      </c>
      <c r="W16" s="31" t="n"/>
      <c r="X16" s="33">
        <f>R16/10^9</f>
        <v/>
      </c>
      <c r="Y16" s="33">
        <f>S16/10^9</f>
        <v/>
      </c>
      <c r="Z16" s="33">
        <f>T16/10^9</f>
        <v/>
      </c>
      <c r="AA16" s="33">
        <f>U16/10^9</f>
        <v/>
      </c>
      <c r="AB16" s="33">
        <f>V16/10^9</f>
        <v/>
      </c>
      <c r="AC16" s="31" t="n"/>
      <c r="AD16" s="34">
        <f>X16/$C17*$B17</f>
        <v/>
      </c>
      <c r="AE16" s="34">
        <f>Y16/$C17*$B17</f>
        <v/>
      </c>
      <c r="AF16" s="34">
        <f>Z16/$C17*$B17</f>
        <v/>
      </c>
      <c r="AG16" s="34">
        <f>AA16/$C17*$B17</f>
        <v/>
      </c>
      <c r="AH16" s="35">
        <f>AB16/$C17*$B17</f>
        <v/>
      </c>
      <c r="AI16" s="34">
        <f>SUM(AD16:AG16)</f>
        <v/>
      </c>
      <c r="AJ16" s="43">
        <f>AI16+AJ17</f>
        <v/>
      </c>
      <c r="AK16" s="36" t="n"/>
      <c r="AL16" s="37">
        <f>B16-AJ16</f>
        <v/>
      </c>
      <c r="AM16" s="42">
        <f>_xlfn.STDEV.S(AL16:AL35)</f>
        <v/>
      </c>
      <c r="AU16" s="31" t="n"/>
      <c r="AV16" s="31" t="n"/>
      <c r="AW16" s="31" t="n"/>
      <c r="AX16" s="31" t="n"/>
      <c r="AY16" s="31" t="n"/>
      <c r="AZ16" s="31" t="n"/>
      <c r="BA16" s="31" t="n"/>
      <c r="BB16" s="31" t="n"/>
      <c r="BC16" s="31" t="n"/>
    </row>
    <row r="17" ht="16" customHeight="1">
      <c r="A17" s="28" t="n">
        <v>46237</v>
      </c>
      <c r="B17" s="29" t="n">
        <v>1762.84</v>
      </c>
      <c r="C17" s="30" t="n">
        <v>8380723</v>
      </c>
      <c r="D17" s="31" t="n"/>
      <c r="E17" s="31" t="n"/>
      <c r="F17" s="4" t="n">
        <v>213000</v>
      </c>
      <c r="G17" s="4" t="n">
        <v>7762186429</v>
      </c>
      <c r="H17" s="4" t="n">
        <v>148000</v>
      </c>
      <c r="I17" s="4" t="n">
        <v>4107412004</v>
      </c>
      <c r="J17" s="4" t="n">
        <v>25200</v>
      </c>
      <c r="K17" s="4" t="n">
        <v>2272318410</v>
      </c>
      <c r="L17" s="4" t="n">
        <v>81000</v>
      </c>
      <c r="M17" s="4" t="n">
        <v>1793300377</v>
      </c>
      <c r="N17" s="4" t="n">
        <v>126600</v>
      </c>
      <c r="O17" s="4" t="n">
        <v>769092961</v>
      </c>
      <c r="P17" s="31" t="n"/>
      <c r="Q17" s="12" t="n"/>
      <c r="R17" s="32">
        <f>G17*F17-G18*F18</f>
        <v/>
      </c>
      <c r="S17" s="32">
        <f>I17*H17-I18*H18</f>
        <v/>
      </c>
      <c r="T17" s="32">
        <f>K17*J17-K18*J18</f>
        <v/>
      </c>
      <c r="U17" s="32">
        <f>M17*L17-M18*L18</f>
        <v/>
      </c>
      <c r="V17" s="32">
        <f>O17*N17-O18*N18</f>
        <v/>
      </c>
      <c r="W17" s="31" t="n"/>
      <c r="X17" s="33">
        <f>R17/10^9</f>
        <v/>
      </c>
      <c r="Y17" s="33">
        <f>S17/10^9</f>
        <v/>
      </c>
      <c r="Z17" s="33">
        <f>T17/10^9</f>
        <v/>
      </c>
      <c r="AA17" s="33">
        <f>U17/10^9</f>
        <v/>
      </c>
      <c r="AB17" s="33">
        <f>V17/10^9</f>
        <v/>
      </c>
      <c r="AC17" s="31" t="n"/>
      <c r="AD17" s="34">
        <f>X17/$C18*$B18</f>
        <v/>
      </c>
      <c r="AE17" s="34">
        <f>Y17/$C18*$B18</f>
        <v/>
      </c>
      <c r="AF17" s="34">
        <f>Z17/$C18*$B18</f>
        <v/>
      </c>
      <c r="AG17" s="34">
        <f>AA17/$C18*$B18</f>
        <v/>
      </c>
      <c r="AH17" s="35">
        <f>AB17/$C18*$B18</f>
        <v/>
      </c>
      <c r="AI17" s="34">
        <f>SUM(AD17:AG17)</f>
        <v/>
      </c>
      <c r="AJ17" s="43">
        <f>AI17+AJ18</f>
        <v/>
      </c>
      <c r="AK17" s="36" t="n"/>
      <c r="AL17" s="37">
        <f>B17-AJ17</f>
        <v/>
      </c>
      <c r="AM17" s="42">
        <f>_xlfn.STDEV.S(AL17:AL36)</f>
        <v/>
      </c>
      <c r="AU17" s="31" t="n"/>
      <c r="AV17" s="31" t="n"/>
      <c r="AW17" s="31" t="n"/>
      <c r="AX17" s="31" t="n"/>
      <c r="AY17" s="31" t="n"/>
      <c r="AZ17" s="31" t="n"/>
      <c r="BA17" s="31" t="n"/>
      <c r="BB17" s="31" t="n"/>
      <c r="BC17" s="31" t="n"/>
    </row>
    <row r="18" ht="16" customHeight="1">
      <c r="A18" s="28" t="n">
        <v>46234</v>
      </c>
      <c r="B18" s="29" t="n">
        <v>1735.78</v>
      </c>
      <c r="C18" s="30" t="n">
        <v>8251722</v>
      </c>
      <c r="D18" s="31" t="n"/>
      <c r="E18" s="31" t="n"/>
      <c r="F18" s="30" t="n">
        <v>214100</v>
      </c>
      <c r="G18" s="30" t="n">
        <v>7762186429</v>
      </c>
      <c r="H18" s="30" t="n">
        <v>148100</v>
      </c>
      <c r="I18" s="30" t="n">
        <v>4107412004</v>
      </c>
      <c r="J18" s="30" t="n">
        <v>24800</v>
      </c>
      <c r="K18" s="30" t="n">
        <v>2272318410</v>
      </c>
      <c r="L18" s="30" t="n">
        <v>79600</v>
      </c>
      <c r="M18" s="30" t="n">
        <v>1793300377</v>
      </c>
      <c r="N18" s="30" t="n">
        <v>125000</v>
      </c>
      <c r="O18" s="30" t="n">
        <v>769092961</v>
      </c>
      <c r="P18" s="31" t="n"/>
      <c r="Q18" s="12" t="n"/>
      <c r="R18" s="32">
        <f>G18*F18-G19*F19</f>
        <v/>
      </c>
      <c r="S18" s="32">
        <f>I18*H18-I19*H19</f>
        <v/>
      </c>
      <c r="T18" s="32">
        <f>K18*J18-K19*J19</f>
        <v/>
      </c>
      <c r="U18" s="32">
        <f>M18*L18-M19*L19</f>
        <v/>
      </c>
      <c r="V18" s="32">
        <f>O18*N18-O19*N19</f>
        <v/>
      </c>
      <c r="W18" s="31" t="n"/>
      <c r="X18" s="33">
        <f>R18/10^9</f>
        <v/>
      </c>
      <c r="Y18" s="33">
        <f>S18/10^9</f>
        <v/>
      </c>
      <c r="Z18" s="33">
        <f>T18/10^9</f>
        <v/>
      </c>
      <c r="AA18" s="33">
        <f>U18/10^9</f>
        <v/>
      </c>
      <c r="AB18" s="33">
        <f>V18/10^9</f>
        <v/>
      </c>
      <c r="AC18" s="31" t="n"/>
      <c r="AD18" s="34">
        <f>X18/$C19*$B19</f>
        <v/>
      </c>
      <c r="AE18" s="34">
        <f>Y18/$C19*$B19</f>
        <v/>
      </c>
      <c r="AF18" s="34">
        <f>Z18/$C19*$B19</f>
        <v/>
      </c>
      <c r="AG18" s="34">
        <f>AA18/$C19*$B19</f>
        <v/>
      </c>
      <c r="AH18" s="35">
        <f>AB18/$C19*$B19</f>
        <v/>
      </c>
      <c r="AI18" s="34">
        <f>SUM(AD18:AG18)</f>
        <v/>
      </c>
      <c r="AJ18" s="43">
        <f>AI18+AJ19</f>
        <v/>
      </c>
      <c r="AK18" s="36" t="n"/>
      <c r="AL18" s="37">
        <f>B18-AJ18</f>
        <v/>
      </c>
      <c r="AM18" s="42">
        <f>_xlfn.STDEV.S(AL18:AL37)</f>
        <v/>
      </c>
      <c r="AU18" s="31" t="n"/>
      <c r="AV18" s="31" t="n"/>
      <c r="AW18" s="31" t="n"/>
      <c r="AX18" s="31" t="n"/>
      <c r="AY18" s="31" t="n"/>
      <c r="AZ18" s="31" t="n"/>
      <c r="BA18" s="31" t="n"/>
      <c r="BB18" s="31" t="n"/>
      <c r="BC18" s="31" t="n"/>
    </row>
    <row r="19" ht="16" customHeight="1">
      <c r="A19" s="28" t="n">
        <v>46233</v>
      </c>
      <c r="B19" s="29" t="n">
        <v>1744.66</v>
      </c>
      <c r="C19" s="30" t="n">
        <v>8293790</v>
      </c>
      <c r="D19" s="31" t="n"/>
      <c r="E19" s="31" t="n"/>
      <c r="F19" s="30" t="n">
        <v>220000</v>
      </c>
      <c r="G19" s="30" t="n">
        <v>7762186429</v>
      </c>
      <c r="H19" s="30" t="n">
        <v>147900</v>
      </c>
      <c r="I19" s="30" t="n">
        <v>4107412004</v>
      </c>
      <c r="J19" s="30" t="n">
        <v>24300</v>
      </c>
      <c r="K19" s="30" t="n">
        <v>2272318410</v>
      </c>
      <c r="L19" s="30" t="n">
        <v>79500</v>
      </c>
      <c r="M19" s="30" t="n">
        <v>1793300377</v>
      </c>
      <c r="N19" s="30" t="n">
        <v>124200</v>
      </c>
      <c r="O19" s="30" t="n">
        <v>769092961</v>
      </c>
      <c r="P19" s="31" t="n"/>
      <c r="Q19" s="12" t="n"/>
      <c r="R19" s="32">
        <f>G19*F19-G20*F20</f>
        <v/>
      </c>
      <c r="S19" s="32">
        <f>I19*H19-I20*H20</f>
        <v/>
      </c>
      <c r="T19" s="32">
        <f>K19*J19-K20*J20</f>
        <v/>
      </c>
      <c r="U19" s="32">
        <f>M19*L19-M20*L20</f>
        <v/>
      </c>
      <c r="V19" s="32">
        <f>O19*N19-O20*N20</f>
        <v/>
      </c>
      <c r="W19" s="31" t="n"/>
      <c r="X19" s="33">
        <f>R19/10^9</f>
        <v/>
      </c>
      <c r="Y19" s="33">
        <f>S19/10^9</f>
        <v/>
      </c>
      <c r="Z19" s="33">
        <f>T19/10^9</f>
        <v/>
      </c>
      <c r="AA19" s="33">
        <f>U19/10^9</f>
        <v/>
      </c>
      <c r="AB19" s="33">
        <f>V19/10^9</f>
        <v/>
      </c>
      <c r="AC19" s="31" t="n"/>
      <c r="AD19" s="34">
        <f>X19/$C20*$B20</f>
        <v/>
      </c>
      <c r="AE19" s="34">
        <f>Y19/$C20*$B20</f>
        <v/>
      </c>
      <c r="AF19" s="34">
        <f>Z19/$C20*$B20</f>
        <v/>
      </c>
      <c r="AG19" s="34">
        <f>AA19/$C20*$B20</f>
        <v/>
      </c>
      <c r="AH19" s="35">
        <f>AB19/$C20*$B20</f>
        <v/>
      </c>
      <c r="AI19" s="34">
        <f>SUM(AD19:AG19)</f>
        <v/>
      </c>
      <c r="AJ19" s="43">
        <f>AI19+AJ20</f>
        <v/>
      </c>
      <c r="AK19" s="36" t="n"/>
      <c r="AL19" s="37">
        <f>B19-AJ19</f>
        <v/>
      </c>
      <c r="AM19" s="42">
        <f>_xlfn.STDEV.S(AL19:AL38)</f>
        <v/>
      </c>
      <c r="AU19" s="31" t="n"/>
      <c r="AV19" s="31" t="n"/>
      <c r="AW19" s="31" t="n"/>
      <c r="AX19" s="31" t="n"/>
      <c r="AY19" s="31" t="n"/>
      <c r="AZ19" s="31" t="n"/>
      <c r="BA19" s="31" t="n"/>
      <c r="BB19" s="31" t="n"/>
      <c r="BC19" s="31" t="n"/>
    </row>
    <row r="20" ht="16" customHeight="1">
      <c r="A20" s="28" t="n">
        <v>46232</v>
      </c>
      <c r="B20" s="29" t="n">
        <v>1704.68</v>
      </c>
      <c r="C20" s="30" t="n">
        <v>8103726</v>
      </c>
      <c r="D20" s="31" t="n"/>
      <c r="E20" s="31" t="n"/>
      <c r="F20" s="30" t="n">
        <v>219400</v>
      </c>
      <c r="G20" s="30" t="n">
        <v>7762186429</v>
      </c>
      <c r="H20" s="30" t="n">
        <v>140000</v>
      </c>
      <c r="I20" s="30" t="n">
        <v>4107412004</v>
      </c>
      <c r="J20" s="30" t="n">
        <v>22750</v>
      </c>
      <c r="K20" s="30" t="n">
        <v>2272318410</v>
      </c>
      <c r="L20" s="30" t="n">
        <v>76900</v>
      </c>
      <c r="M20" s="30" t="n">
        <v>1793300377</v>
      </c>
      <c r="N20" s="30" t="n">
        <v>125500</v>
      </c>
      <c r="O20" s="30" t="n">
        <v>769092961</v>
      </c>
      <c r="P20" s="31" t="n"/>
      <c r="Q20" s="12" t="n"/>
      <c r="R20" s="32">
        <f>G20*F20-G21*F21</f>
        <v/>
      </c>
      <c r="S20" s="32">
        <f>I20*H20-I21*H21</f>
        <v/>
      </c>
      <c r="T20" s="32">
        <f>K20*J20-K21*J21</f>
        <v/>
      </c>
      <c r="U20" s="32">
        <f>M20*L20-M21*L21</f>
        <v/>
      </c>
      <c r="V20" s="32">
        <f>O20*N20-O21*N21</f>
        <v/>
      </c>
      <c r="W20" s="31" t="n"/>
      <c r="X20" s="33">
        <f>R20/10^9</f>
        <v/>
      </c>
      <c r="Y20" s="33">
        <f>S20/10^9</f>
        <v/>
      </c>
      <c r="Z20" s="33">
        <f>T20/10^9</f>
        <v/>
      </c>
      <c r="AA20" s="33">
        <f>U20/10^9</f>
        <v/>
      </c>
      <c r="AB20" s="33">
        <f>V20/10^9</f>
        <v/>
      </c>
      <c r="AC20" s="31" t="n"/>
      <c r="AD20" s="34">
        <f>X20/$C21*$B21</f>
        <v/>
      </c>
      <c r="AE20" s="34">
        <f>Y20/$C21*$B21</f>
        <v/>
      </c>
      <c r="AF20" s="34">
        <f>Z20/$C21*$B21</f>
        <v/>
      </c>
      <c r="AG20" s="34">
        <f>AA20/$C21*$B21</f>
        <v/>
      </c>
      <c r="AH20" s="35">
        <f>AB20/$C21*$B21</f>
        <v/>
      </c>
      <c r="AI20" s="34">
        <f>SUM(AD20:AG20)</f>
        <v/>
      </c>
      <c r="AJ20" s="43">
        <f>AI20+AJ21</f>
        <v/>
      </c>
      <c r="AK20" s="36" t="n"/>
      <c r="AL20" s="37">
        <f>B20-AJ20</f>
        <v/>
      </c>
      <c r="AM20" s="42">
        <f>_xlfn.STDEV.S(AL20:AL39)</f>
        <v/>
      </c>
      <c r="AU20" s="31" t="n"/>
      <c r="AV20" s="31" t="n"/>
      <c r="AW20" s="31" t="n"/>
      <c r="AX20" s="31" t="n"/>
      <c r="AY20" s="31" t="n"/>
      <c r="AZ20" s="31" t="n"/>
      <c r="BA20" s="31" t="n"/>
      <c r="BB20" s="31" t="n"/>
      <c r="BC20" s="31" t="n"/>
    </row>
    <row r="21" ht="16" customHeight="1">
      <c r="A21" s="28" t="n">
        <v>46231</v>
      </c>
      <c r="B21" s="29" t="n">
        <v>1680.62</v>
      </c>
      <c r="C21" s="30" t="n">
        <v>7989440</v>
      </c>
      <c r="D21" s="31" t="n"/>
      <c r="E21" s="31" t="n"/>
      <c r="F21" s="30" t="n">
        <v>213800</v>
      </c>
      <c r="G21" s="30" t="n">
        <v>7762186429</v>
      </c>
      <c r="H21" s="30" t="n">
        <v>131900</v>
      </c>
      <c r="I21" s="30" t="n">
        <v>4107412004</v>
      </c>
      <c r="J21" s="30" t="n">
        <v>21300</v>
      </c>
      <c r="K21" s="30" t="n">
        <v>2272318410</v>
      </c>
      <c r="L21" s="30" t="n">
        <v>74500</v>
      </c>
      <c r="M21" s="30" t="n">
        <v>1793300377</v>
      </c>
      <c r="N21" s="30" t="n">
        <v>123400</v>
      </c>
      <c r="O21" s="30" t="n">
        <v>769092961</v>
      </c>
      <c r="P21" s="31" t="n"/>
      <c r="Q21" s="12" t="n"/>
      <c r="R21" s="32">
        <f>G21*F21-G22*F22</f>
        <v/>
      </c>
      <c r="S21" s="32">
        <f>I21*H21-I22*H22</f>
        <v/>
      </c>
      <c r="T21" s="32">
        <f>K21*J21-K22*J22</f>
        <v/>
      </c>
      <c r="U21" s="32">
        <f>M21*L21-M22*L22</f>
        <v/>
      </c>
      <c r="V21" s="32">
        <f>O21*N21-O22*N22</f>
        <v/>
      </c>
      <c r="W21" s="31" t="n"/>
      <c r="X21" s="33">
        <f>R21/10^9</f>
        <v/>
      </c>
      <c r="Y21" s="33">
        <f>S21/10^9</f>
        <v/>
      </c>
      <c r="Z21" s="33">
        <f>T21/10^9</f>
        <v/>
      </c>
      <c r="AA21" s="33">
        <f>U21/10^9</f>
        <v/>
      </c>
      <c r="AB21" s="33">
        <f>V21/10^9</f>
        <v/>
      </c>
      <c r="AC21" s="31" t="n"/>
      <c r="AD21" s="34">
        <f>X21/$C22*$B22</f>
        <v/>
      </c>
      <c r="AE21" s="34">
        <f>Y21/$C22*$B22</f>
        <v/>
      </c>
      <c r="AF21" s="34">
        <f>Z21/$C22*$B22</f>
        <v/>
      </c>
      <c r="AG21" s="34">
        <f>AA21/$C22*$B22</f>
        <v/>
      </c>
      <c r="AH21" s="35">
        <f>AB21/$C22*$B22</f>
        <v/>
      </c>
      <c r="AI21" s="34">
        <f>SUM(AD21:AG21)</f>
        <v/>
      </c>
      <c r="AJ21" s="43">
        <f>AI21+AJ22</f>
        <v/>
      </c>
      <c r="AK21" s="36" t="n"/>
      <c r="AL21" s="37">
        <f>B21-AJ21</f>
        <v/>
      </c>
      <c r="AM21" s="42">
        <f>_xlfn.STDEV.S(AL21:AL40)</f>
        <v/>
      </c>
      <c r="AU21" s="31" t="n"/>
      <c r="AV21" s="31" t="n"/>
      <c r="AW21" s="31" t="n"/>
      <c r="AX21" s="31" t="n"/>
      <c r="AY21" s="31" t="n"/>
      <c r="AZ21" s="31" t="n"/>
      <c r="BA21" s="31" t="n"/>
      <c r="BB21" s="31" t="n"/>
      <c r="BC21" s="31" t="n"/>
    </row>
    <row r="22" ht="16" customHeight="1">
      <c r="A22" s="28" t="n">
        <v>46230</v>
      </c>
      <c r="B22" s="29" t="n">
        <v>1669.01</v>
      </c>
      <c r="C22" s="30" t="n">
        <v>7934498</v>
      </c>
      <c r="D22" s="31" t="n"/>
      <c r="E22" s="31" t="n"/>
      <c r="F22" s="30" t="n">
        <v>213500</v>
      </c>
      <c r="G22" s="30" t="n">
        <v>7762186429</v>
      </c>
      <c r="H22" s="30" t="n">
        <v>131000</v>
      </c>
      <c r="I22" s="30" t="n">
        <v>4107412004</v>
      </c>
      <c r="J22" s="30" t="n">
        <v>21350</v>
      </c>
      <c r="K22" s="30" t="n">
        <v>2272318410</v>
      </c>
      <c r="L22" s="30" t="n">
        <v>74000</v>
      </c>
      <c r="M22" s="30" t="n">
        <v>1793300377</v>
      </c>
      <c r="N22" s="30" t="n">
        <v>126000</v>
      </c>
      <c r="O22" s="30" t="n">
        <v>769092961</v>
      </c>
      <c r="P22" s="31" t="n"/>
      <c r="Q22" s="12" t="n"/>
      <c r="R22" s="32">
        <f>G22*F22-G23*F23</f>
        <v/>
      </c>
      <c r="S22" s="32">
        <f>I22*H22-I23*H23</f>
        <v/>
      </c>
      <c r="T22" s="32">
        <f>K22*J22-K23*J23</f>
        <v/>
      </c>
      <c r="U22" s="32">
        <f>M22*L22-M23*L23</f>
        <v/>
      </c>
      <c r="V22" s="32">
        <f>O22*N22-O23*N23</f>
        <v/>
      </c>
      <c r="W22" s="31" t="n"/>
      <c r="X22" s="33">
        <f>R22/10^9</f>
        <v/>
      </c>
      <c r="Y22" s="33">
        <f>S22/10^9</f>
        <v/>
      </c>
      <c r="Z22" s="33">
        <f>T22/10^9</f>
        <v/>
      </c>
      <c r="AA22" s="33">
        <f>U22/10^9</f>
        <v/>
      </c>
      <c r="AB22" s="33">
        <f>V22/10^9</f>
        <v/>
      </c>
      <c r="AC22" s="31" t="n"/>
      <c r="AD22" s="34">
        <f>X22/$C23*$B23</f>
        <v/>
      </c>
      <c r="AE22" s="34">
        <f>Y22/$C23*$B23</f>
        <v/>
      </c>
      <c r="AF22" s="34">
        <f>Z22/$C23*$B23</f>
        <v/>
      </c>
      <c r="AG22" s="34">
        <f>AA22/$C23*$B23</f>
        <v/>
      </c>
      <c r="AH22" s="35">
        <f>AB22/$C23*$B23</f>
        <v/>
      </c>
      <c r="AI22" s="34">
        <f>SUM(AD22:AG22)</f>
        <v/>
      </c>
      <c r="AJ22" s="43">
        <f>AI22+AJ23</f>
        <v/>
      </c>
      <c r="AK22" s="36" t="n"/>
      <c r="AL22" s="37">
        <f>B22-AJ22</f>
        <v/>
      </c>
      <c r="AM22" s="42">
        <f>_xlfn.STDEV.S(AL22:AL41)</f>
        <v/>
      </c>
      <c r="AU22" s="31" t="n"/>
      <c r="AV22" s="31" t="n"/>
      <c r="AW22" s="31" t="n"/>
      <c r="AX22" s="31" t="n"/>
      <c r="AY22" s="31" t="n"/>
      <c r="AZ22" s="31" t="n"/>
      <c r="BA22" s="31" t="n"/>
      <c r="BB22" s="31" t="n"/>
      <c r="BC22" s="31" t="n"/>
    </row>
    <row r="23" ht="16" customHeight="1">
      <c r="A23" s="28" t="n">
        <v>46227</v>
      </c>
      <c r="B23" s="29" t="n">
        <v>1686.11</v>
      </c>
      <c r="C23" s="30" t="n">
        <v>8015597</v>
      </c>
      <c r="D23" s="31" t="n"/>
      <c r="E23" s="31" t="n"/>
      <c r="F23" s="30" t="n">
        <v>213100</v>
      </c>
      <c r="G23" s="30" t="n">
        <v>7762186429</v>
      </c>
      <c r="H23" s="30" t="n">
        <v>130000</v>
      </c>
      <c r="I23" s="30" t="n">
        <v>4107412004</v>
      </c>
      <c r="J23" s="30" t="n">
        <v>21900</v>
      </c>
      <c r="K23" s="30" t="n">
        <v>2272318410</v>
      </c>
      <c r="L23" s="30" t="n">
        <v>74500</v>
      </c>
      <c r="M23" s="30" t="n">
        <v>1793300377</v>
      </c>
      <c r="N23" s="30" t="n">
        <v>127400</v>
      </c>
      <c r="O23" s="30" t="n">
        <v>769092961</v>
      </c>
      <c r="P23" s="31" t="n"/>
      <c r="Q23" s="12" t="n"/>
      <c r="R23" s="32">
        <f>G23*F23-G24*F24</f>
        <v/>
      </c>
      <c r="S23" s="32">
        <f>I23*H23-I24*H24</f>
        <v/>
      </c>
      <c r="T23" s="32">
        <f>K23*J23-K24*J24</f>
        <v/>
      </c>
      <c r="U23" s="32">
        <f>M23*L23-M24*L24</f>
        <v/>
      </c>
      <c r="V23" s="32">
        <f>O23*N23-O24*N24</f>
        <v/>
      </c>
      <c r="W23" s="31" t="n"/>
      <c r="X23" s="33">
        <f>R23/10^9</f>
        <v/>
      </c>
      <c r="Y23" s="33">
        <f>S23/10^9</f>
        <v/>
      </c>
      <c r="Z23" s="33">
        <f>T23/10^9</f>
        <v/>
      </c>
      <c r="AA23" s="33">
        <f>U23/10^9</f>
        <v/>
      </c>
      <c r="AB23" s="33">
        <f>V23/10^9</f>
        <v/>
      </c>
      <c r="AC23" s="31" t="n"/>
      <c r="AD23" s="34">
        <f>X23/$C24*$B24</f>
        <v/>
      </c>
      <c r="AE23" s="34">
        <f>Y23/$C24*$B24</f>
        <v/>
      </c>
      <c r="AF23" s="34">
        <f>Z23/$C24*$B24</f>
        <v/>
      </c>
      <c r="AG23" s="34">
        <f>AA23/$C24*$B24</f>
        <v/>
      </c>
      <c r="AH23" s="35">
        <f>AB23/$C24*$B24</f>
        <v/>
      </c>
      <c r="AI23" s="34">
        <f>SUM(AD23:AG23)</f>
        <v/>
      </c>
      <c r="AJ23" s="43">
        <f>AI23+AJ24</f>
        <v/>
      </c>
      <c r="AK23" s="36" t="n"/>
      <c r="AL23" s="37">
        <f>B23-AJ23</f>
        <v/>
      </c>
      <c r="AM23" s="42">
        <f>_xlfn.STDEV.S(AL23:AL42)</f>
        <v/>
      </c>
      <c r="AU23" s="31" t="n"/>
      <c r="AV23" s="31" t="n"/>
      <c r="AW23" s="31" t="n"/>
      <c r="AX23" s="31" t="n"/>
      <c r="AY23" s="31" t="n"/>
      <c r="AZ23" s="31" t="n"/>
      <c r="BA23" s="31" t="n"/>
      <c r="BB23" s="31" t="n"/>
      <c r="BC23" s="31" t="n"/>
    </row>
    <row r="24" ht="16" customHeight="1">
      <c r="A24" s="28" t="n">
        <v>46226</v>
      </c>
      <c r="B24" s="29" t="n">
        <v>1699.38</v>
      </c>
      <c r="C24" s="30" t="n">
        <v>8078595</v>
      </c>
      <c r="D24" s="31" t="n"/>
      <c r="E24" s="31" t="n"/>
      <c r="F24" s="30" t="n">
        <v>214000</v>
      </c>
      <c r="G24" s="30" t="n">
        <v>7762186429</v>
      </c>
      <c r="H24" s="30" t="n">
        <v>132000</v>
      </c>
      <c r="I24" s="30" t="n">
        <v>4107412004</v>
      </c>
      <c r="J24" s="30" t="n">
        <v>22000</v>
      </c>
      <c r="K24" s="30" t="n">
        <v>2272318410</v>
      </c>
      <c r="L24" s="30" t="n">
        <v>74900</v>
      </c>
      <c r="M24" s="30" t="n">
        <v>1793300377</v>
      </c>
      <c r="N24" s="30" t="n">
        <v>127600</v>
      </c>
      <c r="O24" s="30" t="n">
        <v>769092961</v>
      </c>
      <c r="P24" s="31" t="n"/>
      <c r="Q24" s="12" t="n"/>
      <c r="R24" s="32">
        <f>G24*F24-G25*F25</f>
        <v/>
      </c>
      <c r="S24" s="32">
        <f>I24*H24-I25*H25</f>
        <v/>
      </c>
      <c r="T24" s="32">
        <f>K24*J24-K25*J25</f>
        <v/>
      </c>
      <c r="U24" s="32">
        <f>M24*L24-M25*L25</f>
        <v/>
      </c>
      <c r="V24" s="32">
        <f>O24*N24-O25*N25</f>
        <v/>
      </c>
      <c r="W24" s="31" t="n"/>
      <c r="X24" s="33">
        <f>R24/10^9</f>
        <v/>
      </c>
      <c r="Y24" s="33">
        <f>S24/10^9</f>
        <v/>
      </c>
      <c r="Z24" s="33">
        <f>T24/10^9</f>
        <v/>
      </c>
      <c r="AA24" s="33">
        <f>U24/10^9</f>
        <v/>
      </c>
      <c r="AB24" s="33">
        <f>V24/10^9</f>
        <v/>
      </c>
      <c r="AC24" s="31" t="n"/>
      <c r="AD24" s="34">
        <f>X24/$C25*$B25</f>
        <v/>
      </c>
      <c r="AE24" s="34">
        <f>Y24/$C25*$B25</f>
        <v/>
      </c>
      <c r="AF24" s="34">
        <f>Z24/$C25*$B25</f>
        <v/>
      </c>
      <c r="AG24" s="34">
        <f>AA24/$C25*$B25</f>
        <v/>
      </c>
      <c r="AH24" s="35">
        <f>AB24/$C25*$B25</f>
        <v/>
      </c>
      <c r="AI24" s="34">
        <f>SUM(AD24:AG24)</f>
        <v/>
      </c>
      <c r="AJ24" s="43">
        <f>AI24+AJ25</f>
        <v/>
      </c>
      <c r="AK24" s="36" t="n"/>
      <c r="AL24" s="37">
        <f>B24-AJ24</f>
        <v/>
      </c>
      <c r="AM24" s="42">
        <f>_xlfn.STDEV.S(AL24:AL43)</f>
        <v/>
      </c>
      <c r="AU24" s="31" t="n"/>
      <c r="AV24" s="31" t="n"/>
      <c r="AW24" s="31" t="n"/>
      <c r="AX24" s="31" t="n"/>
      <c r="AY24" s="31" t="n"/>
      <c r="AZ24" s="31" t="n"/>
      <c r="BA24" s="31" t="n"/>
      <c r="BB24" s="31" t="n"/>
      <c r="BC24" s="31" t="n"/>
    </row>
    <row r="25" ht="16" customHeight="1">
      <c r="A25" s="28" t="n">
        <v>46225</v>
      </c>
      <c r="B25" s="29" t="n">
        <v>1668.53</v>
      </c>
      <c r="C25" s="30" t="n">
        <v>7930690</v>
      </c>
      <c r="D25" s="31" t="n"/>
      <c r="E25" s="31" t="n"/>
      <c r="F25" s="30" t="n">
        <v>202100</v>
      </c>
      <c r="G25" s="30" t="n">
        <v>7762186429</v>
      </c>
      <c r="H25" s="30" t="n">
        <v>126900</v>
      </c>
      <c r="I25" s="30" t="n">
        <v>4107412004</v>
      </c>
      <c r="J25" s="30" t="n">
        <v>21750</v>
      </c>
      <c r="K25" s="30" t="n">
        <v>2272318410</v>
      </c>
      <c r="L25" s="30" t="n">
        <v>73500</v>
      </c>
      <c r="M25" s="30" t="n">
        <v>1793300377</v>
      </c>
      <c r="N25" s="30" t="n">
        <v>126000</v>
      </c>
      <c r="O25" s="30" t="n">
        <v>769092961</v>
      </c>
      <c r="P25" s="31" t="n"/>
      <c r="Q25" s="12" t="n"/>
      <c r="R25" s="32">
        <f>G25*F25-G26*F26</f>
        <v/>
      </c>
      <c r="S25" s="32">
        <f>I25*H25-I26*H26</f>
        <v/>
      </c>
      <c r="T25" s="32">
        <f>K25*J25-K26*J26</f>
        <v/>
      </c>
      <c r="U25" s="32">
        <f>M25*L25-M26*L26</f>
        <v/>
      </c>
      <c r="V25" s="32">
        <f>O25*N25-O26*N26</f>
        <v/>
      </c>
      <c r="W25" s="31" t="n"/>
      <c r="X25" s="33">
        <f>R25/10^9</f>
        <v/>
      </c>
      <c r="Y25" s="33">
        <f>S25/10^9</f>
        <v/>
      </c>
      <c r="Z25" s="33">
        <f>T25/10^9</f>
        <v/>
      </c>
      <c r="AA25" s="33">
        <f>U25/10^9</f>
        <v/>
      </c>
      <c r="AB25" s="33">
        <f>V25/10^9</f>
        <v/>
      </c>
      <c r="AC25" s="31" t="n"/>
      <c r="AD25" s="34">
        <f>X25/$C26*$B26</f>
        <v/>
      </c>
      <c r="AE25" s="34">
        <f>Y25/$C26*$B26</f>
        <v/>
      </c>
      <c r="AF25" s="34">
        <f>Z25/$C26*$B26</f>
        <v/>
      </c>
      <c r="AG25" s="34">
        <f>AA25/$C26*$B26</f>
        <v/>
      </c>
      <c r="AH25" s="35">
        <f>AB25/$C26*$B26</f>
        <v/>
      </c>
      <c r="AI25" s="34">
        <f>SUM(AD25:AG25)</f>
        <v/>
      </c>
      <c r="AJ25" s="43">
        <f>AI25+AJ26</f>
        <v/>
      </c>
      <c r="AK25" s="36" t="n"/>
      <c r="AL25" s="37">
        <f>B25-AJ25</f>
        <v/>
      </c>
      <c r="AM25" s="42">
        <f>_xlfn.STDEV.S(AL25:AL44)</f>
        <v/>
      </c>
      <c r="AU25" s="31" t="n"/>
      <c r="AV25" s="31" t="n"/>
      <c r="AW25" s="31" t="n"/>
      <c r="AX25" s="31" t="n"/>
      <c r="AY25" s="31" t="n"/>
      <c r="AZ25" s="31" t="n"/>
      <c r="BA25" s="31" t="n"/>
      <c r="BB25" s="31" t="n"/>
      <c r="BC25" s="31" t="n"/>
    </row>
    <row r="26" ht="16" customHeight="1">
      <c r="A26" s="28" t="n">
        <v>46224</v>
      </c>
      <c r="B26" s="29" t="n">
        <v>1730.56</v>
      </c>
      <c r="C26" s="30" t="n">
        <v>8225622</v>
      </c>
      <c r="D26" s="31" t="n"/>
      <c r="E26" s="31" t="n"/>
      <c r="F26" s="30" t="n">
        <v>217300</v>
      </c>
      <c r="G26" s="30" t="n">
        <v>7762186429</v>
      </c>
      <c r="H26" s="30" t="n">
        <v>136400</v>
      </c>
      <c r="I26" s="30" t="n">
        <v>4107412004</v>
      </c>
      <c r="J26" s="30" t="n">
        <v>23050</v>
      </c>
      <c r="K26" s="30" t="n">
        <v>2272318410</v>
      </c>
      <c r="L26" s="30" t="n">
        <v>77600</v>
      </c>
      <c r="M26" s="30" t="n">
        <v>1793300377</v>
      </c>
      <c r="N26" s="30" t="n">
        <v>130800</v>
      </c>
      <c r="O26" s="30" t="n">
        <v>769092961</v>
      </c>
      <c r="P26" s="31" t="n"/>
      <c r="Q26" s="12" t="n"/>
      <c r="R26" s="32">
        <f>G26*F26-G27*F27</f>
        <v/>
      </c>
      <c r="S26" s="32">
        <f>I26*H26-I27*H27</f>
        <v/>
      </c>
      <c r="T26" s="32">
        <f>K26*J26-K27*J27</f>
        <v/>
      </c>
      <c r="U26" s="32">
        <f>M26*L26-M27*L27</f>
        <v/>
      </c>
      <c r="V26" s="32">
        <f>O26*N26-O27*N27</f>
        <v/>
      </c>
      <c r="W26" s="31" t="n"/>
      <c r="X26" s="33">
        <f>R26/10^9</f>
        <v/>
      </c>
      <c r="Y26" s="33">
        <f>S26/10^9</f>
        <v/>
      </c>
      <c r="Z26" s="33">
        <f>T26/10^9</f>
        <v/>
      </c>
      <c r="AA26" s="33">
        <f>U26/10^9</f>
        <v/>
      </c>
      <c r="AB26" s="33">
        <f>V26/10^9</f>
        <v/>
      </c>
      <c r="AC26" s="31" t="n"/>
      <c r="AD26" s="34">
        <f>X26/$C27*$B27</f>
        <v/>
      </c>
      <c r="AE26" s="34">
        <f>Y26/$C27*$B27</f>
        <v/>
      </c>
      <c r="AF26" s="34">
        <f>Z26/$C27*$B27</f>
        <v/>
      </c>
      <c r="AG26" s="34">
        <f>AA26/$C27*$B27</f>
        <v/>
      </c>
      <c r="AH26" s="35">
        <f>AB26/$C27*$B27</f>
        <v/>
      </c>
      <c r="AI26" s="34">
        <f>SUM(AD26:AG26)</f>
        <v/>
      </c>
      <c r="AJ26" s="43">
        <f>AI26+AJ27</f>
        <v/>
      </c>
      <c r="AK26" s="36" t="n"/>
      <c r="AL26" s="37">
        <f>B26-AJ26</f>
        <v/>
      </c>
      <c r="AM26" s="42">
        <f>_xlfn.STDEV.S(AL26:AL45)</f>
        <v/>
      </c>
      <c r="AU26" s="31" t="n"/>
      <c r="AV26" s="31" t="n"/>
      <c r="AW26" s="31" t="n"/>
      <c r="AX26" s="31" t="n"/>
      <c r="AY26" s="31" t="n"/>
      <c r="AZ26" s="31" t="n"/>
      <c r="BA26" s="31" t="n"/>
      <c r="BB26" s="31" t="n"/>
      <c r="BC26" s="31" t="n"/>
    </row>
    <row r="27" ht="16" customHeight="1">
      <c r="A27" s="28" t="n">
        <v>46223</v>
      </c>
      <c r="B27" s="29" t="n">
        <v>1743.51</v>
      </c>
      <c r="C27" s="30" t="n">
        <v>8278071</v>
      </c>
      <c r="D27" s="31" t="n"/>
      <c r="E27" s="31" t="n"/>
      <c r="F27" s="30" t="n">
        <v>220000</v>
      </c>
      <c r="G27" s="30" t="n">
        <v>7762186429</v>
      </c>
      <c r="H27" s="30" t="n">
        <v>136900</v>
      </c>
      <c r="I27" s="30" t="n">
        <v>4107412004</v>
      </c>
      <c r="J27" s="30" t="n">
        <v>23250</v>
      </c>
      <c r="K27" s="30" t="n">
        <v>2272318410</v>
      </c>
      <c r="L27" s="30" t="n">
        <v>77600</v>
      </c>
      <c r="M27" s="30" t="n">
        <v>1793300377</v>
      </c>
      <c r="N27" s="30" t="n">
        <v>132000</v>
      </c>
      <c r="O27" s="30" t="n">
        <v>769092961</v>
      </c>
      <c r="P27" s="31" t="n"/>
      <c r="Q27" s="12" t="n"/>
      <c r="R27" s="32">
        <f>G27*F27-G28*F28</f>
        <v/>
      </c>
      <c r="S27" s="32">
        <f>I27*H27-I28*H28</f>
        <v/>
      </c>
      <c r="T27" s="32">
        <f>K27*J27-K28*J28</f>
        <v/>
      </c>
      <c r="U27" s="32">
        <f>M27*L27-M28*L28</f>
        <v/>
      </c>
      <c r="V27" s="32">
        <f>O27*N27-O28*N28</f>
        <v/>
      </c>
      <c r="W27" s="31" t="n"/>
      <c r="X27" s="33">
        <f>R27/10^9</f>
        <v/>
      </c>
      <c r="Y27" s="33">
        <f>S27/10^9</f>
        <v/>
      </c>
      <c r="Z27" s="33">
        <f>T27/10^9</f>
        <v/>
      </c>
      <c r="AA27" s="33">
        <f>U27/10^9</f>
        <v/>
      </c>
      <c r="AB27" s="33">
        <f>V27/10^9</f>
        <v/>
      </c>
      <c r="AC27" s="31" t="n"/>
      <c r="AD27" s="34">
        <f>X27/$C28*$B28</f>
        <v/>
      </c>
      <c r="AE27" s="34">
        <f>Y27/$C28*$B28</f>
        <v/>
      </c>
      <c r="AF27" s="34">
        <f>Z27/$C28*$B28</f>
        <v/>
      </c>
      <c r="AG27" s="34">
        <f>AA27/$C28*$B28</f>
        <v/>
      </c>
      <c r="AH27" s="35">
        <f>AB27/$C28*$B28</f>
        <v/>
      </c>
      <c r="AI27" s="34">
        <f>SUM(AD27:AG27)</f>
        <v/>
      </c>
      <c r="AJ27" s="43">
        <f>AI27+AJ28</f>
        <v/>
      </c>
      <c r="AK27" s="36" t="n"/>
      <c r="AL27" s="37">
        <f>B27-AJ27</f>
        <v/>
      </c>
      <c r="AM27" s="42">
        <f>_xlfn.STDEV.S(AL27:AL46)</f>
        <v/>
      </c>
      <c r="AU27" s="31" t="n"/>
      <c r="AV27" s="31" t="n"/>
      <c r="AW27" s="31" t="n"/>
      <c r="AX27" s="31" t="n"/>
      <c r="AY27" s="31" t="n"/>
      <c r="AZ27" s="31" t="n"/>
      <c r="BA27" s="31" t="n"/>
      <c r="BB27" s="31" t="n"/>
      <c r="BC27" s="31" t="n"/>
    </row>
    <row r="28" ht="16" customHeight="1">
      <c r="A28" s="28" t="n">
        <v>46220</v>
      </c>
      <c r="B28" s="29" t="n">
        <v>1787.45</v>
      </c>
      <c r="C28" s="30" t="n">
        <v>8486556</v>
      </c>
      <c r="D28" s="31" t="n"/>
      <c r="E28" s="31" t="n"/>
      <c r="F28" s="30" t="n">
        <v>220000</v>
      </c>
      <c r="G28" s="30" t="n">
        <v>7762186429</v>
      </c>
      <c r="H28" s="30" t="n">
        <v>140500</v>
      </c>
      <c r="I28" s="30" t="n">
        <v>4107412004</v>
      </c>
      <c r="J28" s="30" t="n">
        <v>24550</v>
      </c>
      <c r="K28" s="30" t="n">
        <v>2272318410</v>
      </c>
      <c r="L28" s="30" t="n">
        <v>79800</v>
      </c>
      <c r="M28" s="30" t="n">
        <v>1793300377</v>
      </c>
      <c r="N28" s="30" t="n">
        <v>131300</v>
      </c>
      <c r="O28" s="30" t="n">
        <v>769092961</v>
      </c>
      <c r="P28" s="31" t="n"/>
      <c r="Q28" s="12" t="n"/>
      <c r="R28" s="32">
        <f>G28*F28-G29*F29</f>
        <v/>
      </c>
      <c r="S28" s="32">
        <f>I28*H28-I29*H29</f>
        <v/>
      </c>
      <c r="T28" s="32">
        <f>K28*J28-K29*J29</f>
        <v/>
      </c>
      <c r="U28" s="32">
        <f>M28*L28-M29*L29</f>
        <v/>
      </c>
      <c r="V28" s="32">
        <f>O28*N28-O29*N29</f>
        <v/>
      </c>
      <c r="W28" s="31" t="n"/>
      <c r="X28" s="33">
        <f>R28/10^9</f>
        <v/>
      </c>
      <c r="Y28" s="33">
        <f>S28/10^9</f>
        <v/>
      </c>
      <c r="Z28" s="33">
        <f>T28/10^9</f>
        <v/>
      </c>
      <c r="AA28" s="33">
        <f>U28/10^9</f>
        <v/>
      </c>
      <c r="AB28" s="33">
        <f>V28/10^9</f>
        <v/>
      </c>
      <c r="AC28" s="31" t="n"/>
      <c r="AD28" s="34">
        <f>X28/$C29*$B29</f>
        <v/>
      </c>
      <c r="AE28" s="34">
        <f>Y28/$C29*$B29</f>
        <v/>
      </c>
      <c r="AF28" s="34">
        <f>Z28/$C29*$B29</f>
        <v/>
      </c>
      <c r="AG28" s="34">
        <f>AA28/$C29*$B29</f>
        <v/>
      </c>
      <c r="AH28" s="35">
        <f>AB28/$C29*$B29</f>
        <v/>
      </c>
      <c r="AI28" s="34">
        <f>SUM(AD28:AG28)</f>
        <v/>
      </c>
      <c r="AJ28" s="43">
        <f>AI28+AJ29</f>
        <v/>
      </c>
      <c r="AK28" s="36" t="n"/>
      <c r="AL28" s="37">
        <f>B28-AJ28</f>
        <v/>
      </c>
      <c r="AM28" s="42">
        <f>_xlfn.STDEV.S(AL28:AL47)</f>
        <v/>
      </c>
      <c r="AO28" s="27">
        <f>B3-B16</f>
        <v/>
      </c>
      <c r="AP28" s="7">
        <f>B3-B384</f>
        <v/>
      </c>
      <c r="AQ28" s="7">
        <f>AL3-AL8</f>
        <v/>
      </c>
      <c r="AU28" s="31" t="n"/>
      <c r="AV28" s="31" t="n"/>
      <c r="AW28" s="31" t="n"/>
      <c r="AX28" s="31" t="n"/>
      <c r="AY28" s="31" t="n"/>
      <c r="AZ28" s="31" t="n"/>
      <c r="BA28" s="31" t="n"/>
      <c r="BB28" s="31" t="n"/>
      <c r="BC28" s="31" t="n"/>
    </row>
    <row r="29" ht="16" customHeight="1">
      <c r="A29" s="28" t="n">
        <v>46219</v>
      </c>
      <c r="B29" s="29" t="n">
        <v>1804.24</v>
      </c>
      <c r="C29" s="30" t="n">
        <v>8566047</v>
      </c>
      <c r="D29" s="31" t="n"/>
      <c r="E29" s="31" t="n"/>
      <c r="F29" s="4" t="n">
        <v>223000</v>
      </c>
      <c r="G29" s="4" t="n">
        <v>7762186429</v>
      </c>
      <c r="H29" s="4" t="n">
        <v>142800</v>
      </c>
      <c r="I29" s="4" t="n">
        <v>4107412004</v>
      </c>
      <c r="J29" s="4" t="n">
        <v>25050</v>
      </c>
      <c r="K29" s="4" t="n">
        <v>2272318410</v>
      </c>
      <c r="L29" s="4" t="n">
        <v>81900</v>
      </c>
      <c r="M29" s="4" t="n">
        <v>1793300377</v>
      </c>
      <c r="N29" s="4" t="n">
        <v>132500</v>
      </c>
      <c r="O29" s="4" t="n">
        <v>769092961</v>
      </c>
      <c r="P29" s="31" t="n"/>
      <c r="Q29" s="12" t="n"/>
      <c r="R29" s="32">
        <f>G29*F29-G30*F30</f>
        <v/>
      </c>
      <c r="S29" s="32">
        <f>I29*H29-I30*H30</f>
        <v/>
      </c>
      <c r="T29" s="32">
        <f>K29*J29-K30*J30</f>
        <v/>
      </c>
      <c r="U29" s="32">
        <f>M29*L29-M30*L30</f>
        <v/>
      </c>
      <c r="V29" s="32">
        <f>O29*N29-O30*N30</f>
        <v/>
      </c>
      <c r="W29" s="31" t="n"/>
      <c r="X29" s="33">
        <f>R29/10^9</f>
        <v/>
      </c>
      <c r="Y29" s="33">
        <f>S29/10^9</f>
        <v/>
      </c>
      <c r="Z29" s="33">
        <f>T29/10^9</f>
        <v/>
      </c>
      <c r="AA29" s="33">
        <f>U29/10^9</f>
        <v/>
      </c>
      <c r="AB29" s="33">
        <f>V29/10^9</f>
        <v/>
      </c>
      <c r="AC29" s="31" t="n"/>
      <c r="AD29" s="34">
        <f>X29/$C30*$B30</f>
        <v/>
      </c>
      <c r="AE29" s="34">
        <f>Y29/$C30*$B30</f>
        <v/>
      </c>
      <c r="AF29" s="34">
        <f>Z29/$C30*$B30</f>
        <v/>
      </c>
      <c r="AG29" s="34">
        <f>AA29/$C30*$B30</f>
        <v/>
      </c>
      <c r="AH29" s="35">
        <f>AB29/$C30*$B30</f>
        <v/>
      </c>
      <c r="AI29" s="34">
        <f>SUM(AD29:AG29)</f>
        <v/>
      </c>
      <c r="AJ29" s="43">
        <f>AI29+AJ30</f>
        <v/>
      </c>
      <c r="AK29" s="36" t="n"/>
      <c r="AL29" s="37">
        <f>B29-AJ29</f>
        <v/>
      </c>
      <c r="AM29" s="42">
        <f>_xlfn.STDEV.S(AL29:AL48)</f>
        <v/>
      </c>
    </row>
    <row r="30" ht="16" customHeight="1">
      <c r="A30" s="28" t="n">
        <v>46218</v>
      </c>
      <c r="B30" s="29" t="n">
        <v>1782.12</v>
      </c>
      <c r="C30" s="30" t="n">
        <v>8458419.80378142</v>
      </c>
      <c r="D30" s="31" t="n"/>
      <c r="E30" s="31" t="n"/>
      <c r="F30" s="4" t="n">
        <v>217000</v>
      </c>
      <c r="G30" s="4" t="n">
        <v>7762186429</v>
      </c>
      <c r="H30" s="4" t="n">
        <v>136000</v>
      </c>
      <c r="I30" s="4" t="n">
        <v>4107412004</v>
      </c>
      <c r="J30" s="4" t="n">
        <v>24800</v>
      </c>
      <c r="K30" s="4" t="n">
        <v>2272318410</v>
      </c>
      <c r="L30" s="4" t="n">
        <v>81800</v>
      </c>
      <c r="M30" s="4" t="n">
        <v>1793300377</v>
      </c>
      <c r="N30" s="4" t="n">
        <v>129700</v>
      </c>
      <c r="O30" s="4" t="n">
        <v>769092961</v>
      </c>
      <c r="P30" s="31" t="n"/>
      <c r="Q30" s="12" t="n"/>
      <c r="R30" s="32">
        <f>G30*F30-G31*F31</f>
        <v/>
      </c>
      <c r="S30" s="32">
        <f>I30*H30-I31*H31</f>
        <v/>
      </c>
      <c r="T30" s="32">
        <f>K30*J30-K31*J31</f>
        <v/>
      </c>
      <c r="U30" s="32">
        <f>M30*L30-M31*L31</f>
        <v/>
      </c>
      <c r="V30" s="32">
        <f>O30*N30-O31*N31</f>
        <v/>
      </c>
      <c r="W30" s="31" t="n"/>
      <c r="X30" s="33">
        <f>R30/10^9</f>
        <v/>
      </c>
      <c r="Y30" s="33">
        <f>S30/10^9</f>
        <v/>
      </c>
      <c r="Z30" s="33">
        <f>T30/10^9</f>
        <v/>
      </c>
      <c r="AA30" s="33">
        <f>U30/10^9</f>
        <v/>
      </c>
      <c r="AB30" s="33">
        <f>V30/10^9</f>
        <v/>
      </c>
      <c r="AC30" s="31" t="n"/>
      <c r="AD30" s="34">
        <f>X30/$C31*$B31</f>
        <v/>
      </c>
      <c r="AE30" s="34">
        <f>Y30/$C31*$B31</f>
        <v/>
      </c>
      <c r="AF30" s="34">
        <f>Z30/$C31*$B31</f>
        <v/>
      </c>
      <c r="AG30" s="34">
        <f>AA30/$C31*$B31</f>
        <v/>
      </c>
      <c r="AH30" s="35">
        <f>AB30/$C31*$B31</f>
        <v/>
      </c>
      <c r="AI30" s="34">
        <f>SUM(AD30:AG30)</f>
        <v/>
      </c>
      <c r="AJ30" s="43">
        <f>AI30+AJ31</f>
        <v/>
      </c>
      <c r="AK30" s="36" t="n"/>
      <c r="AL30" s="37">
        <f>B30-AJ30</f>
        <v/>
      </c>
      <c r="AM30" s="42">
        <f>_xlfn.STDEV.S(AL30:AL49)</f>
        <v/>
      </c>
    </row>
    <row r="31" ht="16" customHeight="1">
      <c r="A31" s="28" t="n">
        <v>46217</v>
      </c>
      <c r="B31" s="29" t="n">
        <v>1806.63</v>
      </c>
      <c r="C31" s="30" t="n">
        <v>8576821</v>
      </c>
      <c r="D31" s="31" t="n"/>
      <c r="E31" s="31" t="n"/>
      <c r="F31" s="4" t="n">
        <v>219000</v>
      </c>
      <c r="G31" s="4" t="n">
        <v>7762186429</v>
      </c>
      <c r="H31" s="4" t="n">
        <v>140800</v>
      </c>
      <c r="I31" s="4" t="n">
        <v>4107412004</v>
      </c>
      <c r="J31" s="4" t="n">
        <v>25600</v>
      </c>
      <c r="K31" s="4" t="n">
        <v>2272318410</v>
      </c>
      <c r="L31" s="4" t="n">
        <v>81800</v>
      </c>
      <c r="M31" s="4" t="n">
        <v>1793300377</v>
      </c>
      <c r="N31" s="4" t="n">
        <v>133300</v>
      </c>
      <c r="O31" s="4" t="n">
        <v>769092961</v>
      </c>
      <c r="P31" s="31" t="n"/>
      <c r="Q31" s="12" t="n"/>
      <c r="R31" s="32">
        <f>G31*F31-G32*F32</f>
        <v/>
      </c>
      <c r="S31" s="32">
        <f>I31*H31-I32*H32</f>
        <v/>
      </c>
      <c r="T31" s="32">
        <f>K31*J31-K32*J32</f>
        <v/>
      </c>
      <c r="U31" s="32">
        <f>M31*L31-M32*L32</f>
        <v/>
      </c>
      <c r="V31" s="32">
        <f>O31*N31-O32*N32</f>
        <v/>
      </c>
      <c r="W31" s="31" t="n"/>
      <c r="X31" s="33">
        <f>R31/10^9</f>
        <v/>
      </c>
      <c r="Y31" s="33">
        <f>S31/10^9</f>
        <v/>
      </c>
      <c r="Z31" s="33">
        <f>T31/10^9</f>
        <v/>
      </c>
      <c r="AA31" s="33">
        <f>U31/10^9</f>
        <v/>
      </c>
      <c r="AB31" s="33">
        <f>V31/10^9</f>
        <v/>
      </c>
      <c r="AC31" s="31" t="n"/>
      <c r="AD31" s="34">
        <f>X31/$C32*$B32</f>
        <v/>
      </c>
      <c r="AE31" s="34">
        <f>Y31/$C32*$B32</f>
        <v/>
      </c>
      <c r="AF31" s="34">
        <f>Z31/$C32*$B32</f>
        <v/>
      </c>
      <c r="AG31" s="34">
        <f>AA31/$C32*$B32</f>
        <v/>
      </c>
      <c r="AH31" s="35">
        <f>AB31/$C32*$B32</f>
        <v/>
      </c>
      <c r="AI31" s="34">
        <f>SUM(AD31:AG31)</f>
        <v/>
      </c>
      <c r="AJ31" s="43">
        <f>AI31+AJ32</f>
        <v/>
      </c>
      <c r="AK31" s="36" t="n"/>
      <c r="AL31" s="37">
        <f>B31-AJ31</f>
        <v/>
      </c>
      <c r="AM31" s="42">
        <f>_xlfn.STDEV.S(AL31:AL50)</f>
        <v/>
      </c>
    </row>
    <row r="32" ht="16" customHeight="1">
      <c r="A32" s="28" t="n">
        <v>46216</v>
      </c>
      <c r="B32" s="29" t="n">
        <v>1800.54</v>
      </c>
      <c r="C32" s="30" t="n">
        <v>8533245</v>
      </c>
      <c r="D32" s="31" t="n"/>
      <c r="E32" s="31" t="n"/>
      <c r="F32" s="30" t="n">
        <v>221500</v>
      </c>
      <c r="G32" s="4" t="n">
        <v>7762186429</v>
      </c>
      <c r="H32" s="30" t="n">
        <v>143000</v>
      </c>
      <c r="I32" s="30" t="n">
        <v>4107412004</v>
      </c>
      <c r="J32" s="30" t="n">
        <v>25900</v>
      </c>
      <c r="K32" s="30" t="n">
        <v>2272318410</v>
      </c>
      <c r="L32" s="30" t="n">
        <v>82900</v>
      </c>
      <c r="M32" s="30" t="n">
        <v>1793300377</v>
      </c>
      <c r="N32" s="30" t="n">
        <v>134400</v>
      </c>
      <c r="O32" s="30" t="n">
        <v>769092961</v>
      </c>
      <c r="P32" s="31" t="n"/>
      <c r="Q32" s="12" t="n"/>
      <c r="R32" s="32">
        <f>G32*F32-G33*F33</f>
        <v/>
      </c>
      <c r="S32" s="32">
        <f>I32*H32-I33*H33</f>
        <v/>
      </c>
      <c r="T32" s="32">
        <f>K32*J32-K33*J33</f>
        <v/>
      </c>
      <c r="U32" s="32">
        <f>M32*L32-M33*L33</f>
        <v/>
      </c>
      <c r="V32" s="32">
        <f>O32*N32-O33*N33</f>
        <v/>
      </c>
      <c r="W32" s="31" t="n"/>
      <c r="X32" s="33">
        <f>R32/10^9</f>
        <v/>
      </c>
      <c r="Y32" s="33">
        <f>S32/10^9</f>
        <v/>
      </c>
      <c r="Z32" s="33">
        <f>T32/10^9</f>
        <v/>
      </c>
      <c r="AA32" s="33">
        <f>U32/10^9</f>
        <v/>
      </c>
      <c r="AB32" s="33">
        <f>V32/10^9</f>
        <v/>
      </c>
      <c r="AC32" s="31" t="n"/>
      <c r="AD32" s="34">
        <f>X32/$C33*$B33</f>
        <v/>
      </c>
      <c r="AE32" s="34">
        <f>Y32/$C33*$B33</f>
        <v/>
      </c>
      <c r="AF32" s="34">
        <f>Z32/$C33*$B33</f>
        <v/>
      </c>
      <c r="AG32" s="34">
        <f>AA32/$C33*$B33</f>
        <v/>
      </c>
      <c r="AH32" s="35">
        <f>AB32/$C33*$B33</f>
        <v/>
      </c>
      <c r="AI32" s="34">
        <f>SUM(AD32:AG32)</f>
        <v/>
      </c>
      <c r="AJ32" s="43">
        <f>AI32+AJ33</f>
        <v/>
      </c>
      <c r="AK32" s="36" t="n"/>
      <c r="AL32" s="37">
        <f>B32-AJ32</f>
        <v/>
      </c>
      <c r="AM32" s="42">
        <f>_xlfn.STDEV.S(AL32:AL51)</f>
        <v/>
      </c>
    </row>
    <row r="33" ht="16" customHeight="1">
      <c r="A33" s="28" t="n">
        <v>46213</v>
      </c>
      <c r="B33" s="29" t="n">
        <v>1828.34</v>
      </c>
      <c r="C33" s="30" t="n">
        <v>8650668</v>
      </c>
      <c r="D33" s="31" t="n"/>
      <c r="E33" s="31" t="n"/>
      <c r="F33" s="30" t="n">
        <v>223000</v>
      </c>
      <c r="G33" s="4" t="n">
        <v>7762186429</v>
      </c>
      <c r="H33" s="30" t="n">
        <v>147000</v>
      </c>
      <c r="I33" s="30" t="n">
        <v>4107412004</v>
      </c>
      <c r="J33" s="30" t="n">
        <v>26350</v>
      </c>
      <c r="K33" s="30" t="n">
        <v>2272318410</v>
      </c>
      <c r="L33" s="30" t="n">
        <v>82300</v>
      </c>
      <c r="M33" s="30" t="n">
        <v>1793300377</v>
      </c>
      <c r="N33" s="30" t="n">
        <v>138000</v>
      </c>
      <c r="O33" s="30" t="n">
        <v>769092961</v>
      </c>
      <c r="P33" s="31" t="n"/>
      <c r="Q33" s="12" t="n"/>
      <c r="R33" s="32">
        <f>G34*F33-G34*F34</f>
        <v/>
      </c>
      <c r="S33" s="32">
        <f>I33*H33-I34*H34</f>
        <v/>
      </c>
      <c r="T33" s="32">
        <f>K33*J33-K34*J34</f>
        <v/>
      </c>
      <c r="U33" s="32">
        <f>M33*L33-M34*L34</f>
        <v/>
      </c>
      <c r="V33" s="32">
        <f>O33*N33-O34*N34</f>
        <v/>
      </c>
      <c r="W33" s="31" t="n"/>
      <c r="X33" s="33">
        <f>R33/10^9</f>
        <v/>
      </c>
      <c r="Y33" s="33">
        <f>S33/10^9</f>
        <v/>
      </c>
      <c r="Z33" s="33">
        <f>T33/10^9</f>
        <v/>
      </c>
      <c r="AA33" s="33">
        <f>U33/10^9</f>
        <v/>
      </c>
      <c r="AB33" s="33">
        <f>V33/10^9</f>
        <v/>
      </c>
      <c r="AC33" s="31" t="n"/>
      <c r="AD33" s="34">
        <f>X33/$C34*$B34</f>
        <v/>
      </c>
      <c r="AE33" s="34">
        <f>Y33/$C34*$B34</f>
        <v/>
      </c>
      <c r="AF33" s="34">
        <f>Z33/$C34*$B34</f>
        <v/>
      </c>
      <c r="AG33" s="34">
        <f>AA33/$C34*$B34</f>
        <v/>
      </c>
      <c r="AH33" s="35">
        <f>AB33/$C34*$B34</f>
        <v/>
      </c>
      <c r="AI33" s="34">
        <f>SUM(AD33:AG33)</f>
        <v/>
      </c>
      <c r="AJ33" s="43">
        <f>AI33+AJ34</f>
        <v/>
      </c>
      <c r="AK33" s="36" t="n"/>
      <c r="AL33" s="37">
        <f>B33-AJ33</f>
        <v/>
      </c>
      <c r="AM33" s="42">
        <f>_xlfn.STDEV.S(AL33:AL52)</f>
        <v/>
      </c>
    </row>
    <row r="34" ht="16" customHeight="1">
      <c r="A34" s="28" t="n">
        <v>46212</v>
      </c>
      <c r="B34" s="29" t="n">
        <v>1840.7</v>
      </c>
      <c r="C34" s="30" t="n">
        <v>8709137</v>
      </c>
      <c r="D34" s="31" t="n"/>
      <c r="E34" s="31" t="n"/>
      <c r="F34" s="30" t="n">
        <v>221000</v>
      </c>
      <c r="G34" s="30" t="n">
        <v>7706031024</v>
      </c>
      <c r="H34" s="30" t="n">
        <v>148700</v>
      </c>
      <c r="I34" s="30" t="n">
        <v>4107412004</v>
      </c>
      <c r="J34" s="30" t="n">
        <v>26900</v>
      </c>
      <c r="K34" s="30" t="n">
        <v>2272318410</v>
      </c>
      <c r="L34" s="30" t="n">
        <v>83200</v>
      </c>
      <c r="M34" s="30" t="n">
        <v>1793300377</v>
      </c>
      <c r="N34" s="30" t="n">
        <v>139000</v>
      </c>
      <c r="O34" s="30" t="n">
        <v>769092961</v>
      </c>
      <c r="P34" s="31" t="n"/>
      <c r="Q34" s="12" t="n"/>
      <c r="R34" s="32">
        <f>G34*F34-G35*F35</f>
        <v/>
      </c>
      <c r="S34" s="32">
        <f>I34*H34-I35*H35</f>
        <v/>
      </c>
      <c r="T34" s="32">
        <f>K34*J34-K35*J35</f>
        <v/>
      </c>
      <c r="U34" s="32">
        <f>M34*L34-M35*L35</f>
        <v/>
      </c>
      <c r="V34" s="32">
        <f>O34*N34-O35*N35</f>
        <v/>
      </c>
      <c r="W34" s="31" t="n"/>
      <c r="X34" s="33">
        <f>R34/10^9</f>
        <v/>
      </c>
      <c r="Y34" s="33">
        <f>S34/10^9</f>
        <v/>
      </c>
      <c r="Z34" s="33">
        <f>T34/10^9</f>
        <v/>
      </c>
      <c r="AA34" s="33">
        <f>U34/10^9</f>
        <v/>
      </c>
      <c r="AB34" s="33">
        <f>V34/10^9</f>
        <v/>
      </c>
      <c r="AC34" s="31" t="n"/>
      <c r="AD34" s="34">
        <f>X34/$C35*$B35</f>
        <v/>
      </c>
      <c r="AE34" s="34">
        <f>Y34/$C35*$B35</f>
        <v/>
      </c>
      <c r="AF34" s="34">
        <f>Z34/$C35*$B35</f>
        <v/>
      </c>
      <c r="AG34" s="34">
        <f>AA34/$C35*$B35</f>
        <v/>
      </c>
      <c r="AH34" s="35">
        <f>AB34/$C35*$B35</f>
        <v/>
      </c>
      <c r="AI34" s="34">
        <f>SUM(AD34:AG34)</f>
        <v/>
      </c>
      <c r="AJ34" s="43">
        <f>AI34+AJ35</f>
        <v/>
      </c>
      <c r="AK34" s="36" t="n"/>
      <c r="AL34" s="37">
        <f>B34-AJ34</f>
        <v/>
      </c>
      <c r="AM34" s="42">
        <f>_xlfn.STDEV.S(AL34:AL53)</f>
        <v/>
      </c>
    </row>
    <row r="35" ht="16" customHeight="1">
      <c r="A35" s="28" t="n">
        <v>46211</v>
      </c>
      <c r="B35" s="29" t="n">
        <v>1853.7</v>
      </c>
      <c r="C35" s="30" t="n">
        <v>8770735</v>
      </c>
      <c r="D35" s="31" t="n"/>
      <c r="E35" s="31" t="n"/>
      <c r="F35" s="30" t="n">
        <v>220700</v>
      </c>
      <c r="G35" s="30" t="n">
        <v>7706031024</v>
      </c>
      <c r="H35" s="30" t="n">
        <v>150000</v>
      </c>
      <c r="I35" s="30" t="n">
        <v>4107412004</v>
      </c>
      <c r="J35" s="30" t="n">
        <v>27050</v>
      </c>
      <c r="K35" s="30" t="n">
        <v>2272318410</v>
      </c>
      <c r="L35" s="30" t="n">
        <v>84000</v>
      </c>
      <c r="M35" s="30" t="n">
        <v>1793300377</v>
      </c>
      <c r="N35" s="30" t="n">
        <v>138900</v>
      </c>
      <c r="O35" s="30" t="n">
        <v>769092961</v>
      </c>
      <c r="P35" s="31" t="n"/>
      <c r="Q35" s="12" t="n"/>
      <c r="R35" s="32">
        <f>G35*F35-G36*F36</f>
        <v/>
      </c>
      <c r="S35" s="32">
        <f>I35*H35-I36*H36</f>
        <v/>
      </c>
      <c r="T35" s="32">
        <f>K35*J35-K36*J36</f>
        <v/>
      </c>
      <c r="U35" s="32">
        <f>M35*L35-M36*L36</f>
        <v/>
      </c>
      <c r="V35" s="32">
        <f>O35*N35-O36*N36</f>
        <v/>
      </c>
      <c r="W35" s="31" t="n"/>
      <c r="X35" s="33">
        <f>R35/10^9</f>
        <v/>
      </c>
      <c r="Y35" s="33">
        <f>S35/10^9</f>
        <v/>
      </c>
      <c r="Z35" s="33">
        <f>T35/10^9</f>
        <v/>
      </c>
      <c r="AA35" s="33">
        <f>U35/10^9</f>
        <v/>
      </c>
      <c r="AB35" s="33">
        <f>V35/10^9</f>
        <v/>
      </c>
      <c r="AC35" s="31" t="n"/>
      <c r="AD35" s="34">
        <f>X35/$C36*$B36</f>
        <v/>
      </c>
      <c r="AE35" s="34">
        <f>Y35/$C36*$B36</f>
        <v/>
      </c>
      <c r="AF35" s="34">
        <f>Z35/$C36*$B36</f>
        <v/>
      </c>
      <c r="AG35" s="34">
        <f>AA35/$C36*$B36</f>
        <v/>
      </c>
      <c r="AH35" s="35">
        <f>AB35/$C36*$B36</f>
        <v/>
      </c>
      <c r="AI35" s="34">
        <f>SUM(AD35:AG35)</f>
        <v/>
      </c>
      <c r="AJ35" s="43">
        <f>AI35+AJ36</f>
        <v/>
      </c>
      <c r="AK35" s="36" t="n"/>
      <c r="AL35" s="37">
        <f>B35-AJ35</f>
        <v/>
      </c>
      <c r="AM35" s="42">
        <f>_xlfn.STDEV.S(AL35:AL54)</f>
        <v/>
      </c>
    </row>
    <row r="36" ht="16" customHeight="1">
      <c r="A36" s="28" t="n">
        <v>46210</v>
      </c>
      <c r="B36" s="29" t="n">
        <v>1848.25</v>
      </c>
      <c r="C36" s="30" t="n">
        <v>8744955</v>
      </c>
      <c r="D36" s="31" t="n"/>
      <c r="E36" s="31" t="n"/>
      <c r="F36" s="30" t="n">
        <v>220300</v>
      </c>
      <c r="G36" s="30" t="n">
        <v>7706031024</v>
      </c>
      <c r="H36" s="30" t="n">
        <v>150100</v>
      </c>
      <c r="I36" s="30" t="n">
        <v>4107412004</v>
      </c>
      <c r="J36" s="30" t="n">
        <v>27350</v>
      </c>
      <c r="K36" s="30" t="n">
        <v>2272318410</v>
      </c>
      <c r="L36" s="30" t="n">
        <v>82400</v>
      </c>
      <c r="M36" s="30" t="n">
        <v>1793300377</v>
      </c>
      <c r="N36" s="30" t="n">
        <v>139700</v>
      </c>
      <c r="O36" s="30" t="n">
        <v>769092961</v>
      </c>
      <c r="P36" s="31" t="n"/>
      <c r="Q36" s="12" t="n"/>
      <c r="R36" s="32">
        <f>G36*F36-G37*F37</f>
        <v/>
      </c>
      <c r="S36" s="32">
        <f>I36*H36-I37*H37</f>
        <v/>
      </c>
      <c r="T36" s="32">
        <f>K36*J36-K37*J37</f>
        <v/>
      </c>
      <c r="U36" s="32">
        <f>M36*L36-M37*L37</f>
        <v/>
      </c>
      <c r="V36" s="32">
        <f>O36*N36-O37*N37</f>
        <v/>
      </c>
      <c r="W36" s="31" t="n"/>
      <c r="X36" s="33">
        <f>R36/10^9</f>
        <v/>
      </c>
      <c r="Y36" s="33">
        <f>S36/10^9</f>
        <v/>
      </c>
      <c r="Z36" s="33">
        <f>T36/10^9</f>
        <v/>
      </c>
      <c r="AA36" s="33">
        <f>U36/10^9</f>
        <v/>
      </c>
      <c r="AB36" s="33">
        <f>V36/10^9</f>
        <v/>
      </c>
      <c r="AC36" s="31" t="n"/>
      <c r="AD36" s="34">
        <f>X36/$C37*$B37</f>
        <v/>
      </c>
      <c r="AE36" s="34">
        <f>Y36/$C37*$B37</f>
        <v/>
      </c>
      <c r="AF36" s="34">
        <f>Z36/$C37*$B37</f>
        <v/>
      </c>
      <c r="AG36" s="34">
        <f>AA36/$C37*$B37</f>
        <v/>
      </c>
      <c r="AH36" s="35">
        <f>AB36/$C37*$B37</f>
        <v/>
      </c>
      <c r="AI36" s="34">
        <f>SUM(AD36:AG36)</f>
        <v/>
      </c>
      <c r="AJ36" s="43">
        <f>AI36+AJ37</f>
        <v/>
      </c>
      <c r="AK36" s="36" t="n"/>
      <c r="AL36" s="37">
        <f>B36-AJ36</f>
        <v/>
      </c>
      <c r="AM36" s="42">
        <f>_xlfn.STDEV.S(AL36:AL55)</f>
        <v/>
      </c>
    </row>
    <row r="37" ht="16" customHeight="1">
      <c r="A37" s="28" t="n">
        <v>46209</v>
      </c>
      <c r="B37" s="29" t="n">
        <v>1843.5</v>
      </c>
      <c r="C37" s="30" t="n">
        <v>8723338</v>
      </c>
      <c r="D37" s="31" t="n"/>
      <c r="E37" s="31" t="n"/>
      <c r="F37" s="30" t="n">
        <v>220300</v>
      </c>
      <c r="G37" s="30" t="n">
        <v>7706031024</v>
      </c>
      <c r="H37" s="30" t="n">
        <v>154100</v>
      </c>
      <c r="I37" s="30" t="n">
        <v>4107412004</v>
      </c>
      <c r="J37" s="30" t="n">
        <v>27700</v>
      </c>
      <c r="K37" s="30" t="n">
        <v>2272318410</v>
      </c>
      <c r="L37" s="30" t="n">
        <v>83000</v>
      </c>
      <c r="M37" s="30" t="n">
        <v>1793300377</v>
      </c>
      <c r="N37" s="30" t="n">
        <v>140600</v>
      </c>
      <c r="O37" s="30" t="n">
        <v>769092961</v>
      </c>
      <c r="P37" s="31" t="n"/>
      <c r="Q37" s="12" t="n"/>
      <c r="R37" s="32">
        <f>G37*F37-G38*F38</f>
        <v/>
      </c>
      <c r="S37" s="32">
        <f>I37*H37-I38*H38</f>
        <v/>
      </c>
      <c r="T37" s="32">
        <f>K37*J37-K38*J38</f>
        <v/>
      </c>
      <c r="U37" s="32">
        <f>M37*L37-M38*L38</f>
        <v/>
      </c>
      <c r="V37" s="32">
        <f>O37*N37-O38*N38</f>
        <v/>
      </c>
      <c r="W37" s="31" t="n"/>
      <c r="X37" s="33">
        <f>R37/10^9</f>
        <v/>
      </c>
      <c r="Y37" s="33">
        <f>S37/10^9</f>
        <v/>
      </c>
      <c r="Z37" s="33">
        <f>T37/10^9</f>
        <v/>
      </c>
      <c r="AA37" s="33">
        <f>U37/10^9</f>
        <v/>
      </c>
      <c r="AB37" s="33">
        <f>V37/10^9</f>
        <v/>
      </c>
      <c r="AC37" s="31" t="n"/>
      <c r="AD37" s="34">
        <f>X37/$C38*$B38</f>
        <v/>
      </c>
      <c r="AE37" s="34">
        <f>Y37/$C38*$B38</f>
        <v/>
      </c>
      <c r="AF37" s="34">
        <f>Z37/$C38*$B38</f>
        <v/>
      </c>
      <c r="AG37" s="34">
        <f>AA37/$C38*$B38</f>
        <v/>
      </c>
      <c r="AH37" s="35">
        <f>AB37/$C38*$B38</f>
        <v/>
      </c>
      <c r="AI37" s="34">
        <f>SUM(AD37:AG37)</f>
        <v/>
      </c>
      <c r="AJ37" s="43">
        <f>AI37+AJ38</f>
        <v/>
      </c>
      <c r="AK37" s="36" t="n"/>
      <c r="AL37" s="37">
        <f>B37-AJ37</f>
        <v/>
      </c>
      <c r="AM37" s="42">
        <f>_xlfn.STDEV.S(AL37:AL56)</f>
        <v/>
      </c>
    </row>
    <row r="38" ht="16" customHeight="1">
      <c r="A38" s="28" t="n">
        <v>46206</v>
      </c>
      <c r="B38" s="29" t="n">
        <v>1862.08</v>
      </c>
      <c r="C38" s="30" t="n">
        <v>8811360</v>
      </c>
      <c r="D38" s="31" t="n"/>
      <c r="E38" s="31" t="n"/>
      <c r="F38" s="30" t="n">
        <v>220300</v>
      </c>
      <c r="G38" s="30" t="n">
        <v>7706031024</v>
      </c>
      <c r="H38" s="30" t="n">
        <v>151600</v>
      </c>
      <c r="I38" s="30" t="n">
        <v>4107412004</v>
      </c>
      <c r="J38" s="30" t="n">
        <v>28150</v>
      </c>
      <c r="K38" s="30" t="n">
        <v>2272318410</v>
      </c>
      <c r="L38" s="30" t="n">
        <v>85800</v>
      </c>
      <c r="M38" s="30" t="n">
        <v>1793300377</v>
      </c>
      <c r="N38" s="30" t="n">
        <v>141800</v>
      </c>
      <c r="O38" s="30" t="n">
        <v>769092961</v>
      </c>
      <c r="P38" s="31" t="n"/>
      <c r="Q38" s="12" t="n"/>
      <c r="R38" s="32">
        <f>G38*F38-G39*F39</f>
        <v/>
      </c>
      <c r="S38" s="32">
        <f>I38*H38-I39*H39</f>
        <v/>
      </c>
      <c r="T38" s="32">
        <f>K38*J38-K39*J39</f>
        <v/>
      </c>
      <c r="U38" s="32">
        <f>M38*L38-M39*L39</f>
        <v/>
      </c>
      <c r="V38" s="32">
        <f>O38*N38-O39*N39</f>
        <v/>
      </c>
      <c r="W38" s="31" t="n"/>
      <c r="X38" s="33">
        <f>R38/10^9</f>
        <v/>
      </c>
      <c r="Y38" s="33">
        <f>S38/10^9</f>
        <v/>
      </c>
      <c r="Z38" s="33">
        <f>T38/10^9</f>
        <v/>
      </c>
      <c r="AA38" s="33">
        <f>U38/10^9</f>
        <v/>
      </c>
      <c r="AB38" s="33">
        <f>V38/10^9</f>
        <v/>
      </c>
      <c r="AC38" s="31" t="n"/>
      <c r="AD38" s="34">
        <f>X38/$C39*$B39</f>
        <v/>
      </c>
      <c r="AE38" s="34">
        <f>Y38/$C39*$B39</f>
        <v/>
      </c>
      <c r="AF38" s="34">
        <f>Z38/$C39*$B39</f>
        <v/>
      </c>
      <c r="AG38" s="34">
        <f>AA38/$C39*$B39</f>
        <v/>
      </c>
      <c r="AH38" s="35">
        <f>AB38/$C39*$B39</f>
        <v/>
      </c>
      <c r="AI38" s="34">
        <f>SUM(AD38:AG38)</f>
        <v/>
      </c>
      <c r="AJ38" s="43">
        <f>AI38+AJ39</f>
        <v/>
      </c>
      <c r="AK38" s="36" t="n"/>
      <c r="AL38" s="37">
        <f>B38-AJ38</f>
        <v/>
      </c>
      <c r="AM38" s="42">
        <f>_xlfn.STDEV.S(AL38:AL57)</f>
        <v/>
      </c>
    </row>
    <row r="39" ht="16" customHeight="1">
      <c r="A39" s="28" t="n">
        <v>46205</v>
      </c>
      <c r="B39" s="29" t="n">
        <v>1866.35</v>
      </c>
      <c r="C39" s="30" t="n">
        <v>8831559</v>
      </c>
      <c r="D39" s="31" t="n"/>
      <c r="E39" s="31" t="n"/>
      <c r="F39" s="30" t="n">
        <v>220300</v>
      </c>
      <c r="G39" s="30" t="n">
        <v>7706031024</v>
      </c>
      <c r="H39" s="30" t="n">
        <v>150400</v>
      </c>
      <c r="I39" s="30" t="n">
        <v>4107412004</v>
      </c>
      <c r="J39" s="30" t="n">
        <v>28150</v>
      </c>
      <c r="K39" s="30" t="n">
        <v>2272318410</v>
      </c>
      <c r="L39" s="30" t="n">
        <v>87000</v>
      </c>
      <c r="M39" s="30" t="n">
        <v>1793300377</v>
      </c>
      <c r="N39" s="30" t="n">
        <v>139000</v>
      </c>
      <c r="O39" s="30" t="n">
        <v>769092961</v>
      </c>
      <c r="P39" s="31" t="n"/>
      <c r="Q39" s="12" t="n"/>
      <c r="R39" s="32">
        <f>G39*F39-G40*F40</f>
        <v/>
      </c>
      <c r="S39" s="32">
        <f>I39*H39-I40*H40</f>
        <v/>
      </c>
      <c r="T39" s="32">
        <f>K39*J39-K40*J40</f>
        <v/>
      </c>
      <c r="U39" s="32">
        <f>M39*L39-M40*L40</f>
        <v/>
      </c>
      <c r="V39" s="32">
        <f>O39*N39-O40*N40</f>
        <v/>
      </c>
      <c r="W39" s="31" t="n"/>
      <c r="X39" s="33">
        <f>R39/10^9</f>
        <v/>
      </c>
      <c r="Y39" s="33">
        <f>S39/10^9</f>
        <v/>
      </c>
      <c r="Z39" s="33">
        <f>T39/10^9</f>
        <v/>
      </c>
      <c r="AA39" s="33">
        <f>U39/10^9</f>
        <v/>
      </c>
      <c r="AB39" s="33">
        <f>V39/10^9</f>
        <v/>
      </c>
      <c r="AC39" s="31" t="n"/>
      <c r="AD39" s="34">
        <f>X39/$C40*$B40</f>
        <v/>
      </c>
      <c r="AE39" s="34">
        <f>Y39/$C40*$B40</f>
        <v/>
      </c>
      <c r="AF39" s="34">
        <f>Z39/$C40*$B40</f>
        <v/>
      </c>
      <c r="AG39" s="34">
        <f>AA39/$C40*$B40</f>
        <v/>
      </c>
      <c r="AH39" s="35">
        <f>AB39/$C40*$B40</f>
        <v/>
      </c>
      <c r="AI39" s="34">
        <f>SUM(AD39:AG39)</f>
        <v/>
      </c>
      <c r="AJ39" s="43">
        <f>AI39+AJ40</f>
        <v/>
      </c>
      <c r="AK39" s="36" t="n"/>
      <c r="AL39" s="37">
        <f>B39-AJ39</f>
        <v/>
      </c>
      <c r="AM39" s="42">
        <f>_xlfn.STDEV.S(AL39:AL58)</f>
        <v/>
      </c>
    </row>
    <row r="40" ht="16" customHeight="1">
      <c r="A40" s="28" t="n">
        <v>46204</v>
      </c>
      <c r="B40" s="29" t="n">
        <v>1867.21</v>
      </c>
      <c r="C40" s="30" t="n">
        <v>8834169</v>
      </c>
      <c r="D40" s="31" t="n"/>
      <c r="E40" s="31" t="n"/>
      <c r="F40" s="30" t="n">
        <v>217100</v>
      </c>
      <c r="G40" s="30" t="n">
        <v>7706031024</v>
      </c>
      <c r="H40" s="30" t="n">
        <v>148700</v>
      </c>
      <c r="I40" s="30" t="n">
        <v>4107412004</v>
      </c>
      <c r="J40" s="30" t="n">
        <v>28300</v>
      </c>
      <c r="K40" s="30" t="n">
        <v>2272318410</v>
      </c>
      <c r="L40" s="30" t="n">
        <v>88200</v>
      </c>
      <c r="M40" s="30" t="n">
        <v>1793300377</v>
      </c>
      <c r="N40" s="30" t="n">
        <v>139300</v>
      </c>
      <c r="O40" s="30" t="n">
        <v>769092961</v>
      </c>
      <c r="P40" s="31" t="n"/>
      <c r="Q40" s="12" t="n"/>
      <c r="R40" s="32">
        <f>G40*F40-G41*F41</f>
        <v/>
      </c>
      <c r="S40" s="32">
        <f>I40*H40-I41*H41</f>
        <v/>
      </c>
      <c r="T40" s="32">
        <f>K40*J40-K41*J41</f>
        <v/>
      </c>
      <c r="U40" s="32">
        <f>M40*L40-M41*L41</f>
        <v/>
      </c>
      <c r="V40" s="32">
        <f>O40*N40-O41*N41</f>
        <v/>
      </c>
      <c r="W40" s="31" t="n"/>
      <c r="X40" s="33">
        <f>R40/10^9</f>
        <v/>
      </c>
      <c r="Y40" s="33">
        <f>S40/10^9</f>
        <v/>
      </c>
      <c r="Z40" s="33">
        <f>T40/10^9</f>
        <v/>
      </c>
      <c r="AA40" s="33">
        <f>U40/10^9</f>
        <v/>
      </c>
      <c r="AB40" s="33">
        <f>V40/10^9</f>
        <v/>
      </c>
      <c r="AC40" s="31" t="n"/>
      <c r="AD40" s="34">
        <f>X40/$C41*$B41</f>
        <v/>
      </c>
      <c r="AE40" s="34">
        <f>Y40/$C41*$B41</f>
        <v/>
      </c>
      <c r="AF40" s="34">
        <f>Z40/$C41*$B41</f>
        <v/>
      </c>
      <c r="AG40" s="34">
        <f>AA40/$C41*$B41</f>
        <v/>
      </c>
      <c r="AH40" s="35">
        <f>AB40/$C41*$B41</f>
        <v/>
      </c>
      <c r="AI40" s="34">
        <f>SUM(AD40:AG40)</f>
        <v/>
      </c>
      <c r="AJ40" s="43">
        <f>AI40+AJ41</f>
        <v/>
      </c>
      <c r="AK40" s="36" t="n"/>
      <c r="AL40" s="37">
        <f>B40-AJ40</f>
        <v/>
      </c>
      <c r="AM40" s="42">
        <f>_xlfn.STDEV.S(AL40:AL59)</f>
        <v/>
      </c>
    </row>
    <row r="41" ht="16" customHeight="1">
      <c r="A41" s="28" t="n">
        <v>46203</v>
      </c>
      <c r="B41" s="29" t="n">
        <v>1860.01</v>
      </c>
      <c r="C41" s="30" t="n">
        <v>8799796</v>
      </c>
      <c r="D41" s="31" t="n"/>
      <c r="E41" s="31" t="n"/>
      <c r="F41" s="30" t="n">
        <v>220000</v>
      </c>
      <c r="G41" s="30" t="n">
        <v>7706031024</v>
      </c>
      <c r="H41" s="30" t="n">
        <v>151800</v>
      </c>
      <c r="I41" s="30" t="n">
        <v>4107412004</v>
      </c>
      <c r="J41" s="30" t="n">
        <v>28500</v>
      </c>
      <c r="K41" s="30" t="n">
        <v>2272318410</v>
      </c>
      <c r="L41" s="30" t="n">
        <v>89800</v>
      </c>
      <c r="M41" s="30" t="n">
        <v>1793300377</v>
      </c>
      <c r="N41" s="30" t="n">
        <v>139500</v>
      </c>
      <c r="O41" s="30" t="n">
        <v>769092961</v>
      </c>
      <c r="P41" s="31" t="n"/>
      <c r="Q41" s="12" t="n"/>
      <c r="R41" s="32">
        <f>G41*F41-G42*F42</f>
        <v/>
      </c>
      <c r="S41" s="32">
        <f>I41*H41-I42*H42</f>
        <v/>
      </c>
      <c r="T41" s="32">
        <f>K41*J41-K42*J42</f>
        <v/>
      </c>
      <c r="U41" s="32">
        <f>M41*L41-M42*L42</f>
        <v/>
      </c>
      <c r="V41" s="32">
        <f>O41*N41-O42*N42</f>
        <v/>
      </c>
      <c r="W41" s="31" t="n"/>
      <c r="X41" s="33">
        <f>R41/10^9</f>
        <v/>
      </c>
      <c r="Y41" s="33">
        <f>S41/10^9</f>
        <v/>
      </c>
      <c r="Z41" s="33">
        <f>T41/10^9</f>
        <v/>
      </c>
      <c r="AA41" s="33">
        <f>U41/10^9</f>
        <v/>
      </c>
      <c r="AB41" s="33">
        <f>V41/10^9</f>
        <v/>
      </c>
      <c r="AC41" s="31" t="n"/>
      <c r="AD41" s="34">
        <f>X41/$C42*$B42</f>
        <v/>
      </c>
      <c r="AE41" s="34">
        <f>Y41/$C42*$B42</f>
        <v/>
      </c>
      <c r="AF41" s="34">
        <f>Z41/$C42*$B42</f>
        <v/>
      </c>
      <c r="AG41" s="34">
        <f>AA41/$C42*$B42</f>
        <v/>
      </c>
      <c r="AH41" s="35">
        <f>AB41/$C42*$B42</f>
        <v/>
      </c>
      <c r="AI41" s="34">
        <f>SUM(AD41:AG41)</f>
        <v/>
      </c>
      <c r="AJ41" s="43">
        <f>AI41+AJ42</f>
        <v/>
      </c>
      <c r="AK41" s="36" t="n"/>
      <c r="AL41" s="37">
        <f>B41-AJ41</f>
        <v/>
      </c>
      <c r="AM41" s="42">
        <f>_xlfn.STDEV.S(AL41:AL60)</f>
        <v/>
      </c>
    </row>
    <row r="42" ht="16" customHeight="1">
      <c r="A42" s="28" t="n">
        <v>46202</v>
      </c>
      <c r="B42" s="29" t="n">
        <v>1854.97</v>
      </c>
      <c r="C42" s="30" t="n">
        <v>8775263</v>
      </c>
      <c r="D42" s="31" t="n"/>
      <c r="E42" s="31" t="n"/>
      <c r="F42" s="30" t="n">
        <v>217200</v>
      </c>
      <c r="G42" s="30" t="n">
        <v>7706031024</v>
      </c>
      <c r="H42" s="30" t="n">
        <v>150300</v>
      </c>
      <c r="I42" s="30" t="n">
        <v>4107412004</v>
      </c>
      <c r="J42" s="30" t="n">
        <v>29200</v>
      </c>
      <c r="K42" s="30" t="n">
        <v>2272318410</v>
      </c>
      <c r="L42" s="30" t="n">
        <v>88500</v>
      </c>
      <c r="M42" s="30" t="n">
        <v>1793300377</v>
      </c>
      <c r="N42" s="30" t="n">
        <v>138800</v>
      </c>
      <c r="O42" s="30" t="n">
        <v>769092961</v>
      </c>
      <c r="P42" s="31" t="n"/>
      <c r="Q42" s="12" t="n"/>
      <c r="R42" s="32">
        <f>G42*F42-G43*F43</f>
        <v/>
      </c>
      <c r="S42" s="32">
        <f>I42*H42-I43*H43</f>
        <v/>
      </c>
      <c r="T42" s="32">
        <f>K42*J42-K43*J43</f>
        <v/>
      </c>
      <c r="U42" s="32">
        <f>M42*L42-M43*L43</f>
        <v/>
      </c>
      <c r="V42" s="32">
        <f>O42*N42-O43*N43</f>
        <v/>
      </c>
      <c r="W42" s="31" t="n"/>
      <c r="X42" s="33">
        <f>R42/10^9</f>
        <v/>
      </c>
      <c r="Y42" s="33">
        <f>S42/10^9</f>
        <v/>
      </c>
      <c r="Z42" s="33">
        <f>T42/10^9</f>
        <v/>
      </c>
      <c r="AA42" s="33">
        <f>U42/10^9</f>
        <v/>
      </c>
      <c r="AB42" s="33">
        <f>V42/10^9</f>
        <v/>
      </c>
      <c r="AC42" s="31" t="n"/>
      <c r="AD42" s="34">
        <f>X42/$C43*$B43</f>
        <v/>
      </c>
      <c r="AE42" s="34">
        <f>Y42/$C43*$B43</f>
        <v/>
      </c>
      <c r="AF42" s="34">
        <f>Z42/$C43*$B43</f>
        <v/>
      </c>
      <c r="AG42" s="34">
        <f>AA42/$C43*$B43</f>
        <v/>
      </c>
      <c r="AH42" s="35">
        <f>AB42/$C43*$B43</f>
        <v/>
      </c>
      <c r="AI42" s="34">
        <f>SUM(AD42:AG42)</f>
        <v/>
      </c>
      <c r="AJ42" s="43">
        <f>AI42+AJ43</f>
        <v/>
      </c>
      <c r="AK42" s="36" t="n"/>
      <c r="AL42" s="37">
        <f>B42-AJ42</f>
        <v/>
      </c>
      <c r="AM42" s="42">
        <f>_xlfn.STDEV.S(AL42:AL61)</f>
        <v/>
      </c>
    </row>
    <row r="43" ht="16" customHeight="1">
      <c r="A43" s="28" t="n">
        <v>46199</v>
      </c>
      <c r="B43" s="29" t="n">
        <v>1871.91</v>
      </c>
      <c r="C43" s="30" t="n">
        <v>8855242</v>
      </c>
      <c r="D43" s="31" t="n"/>
      <c r="E43" s="31" t="n"/>
      <c r="F43" s="30" t="n">
        <v>228000</v>
      </c>
      <c r="G43" s="30" t="n">
        <v>7706031024</v>
      </c>
      <c r="H43" s="30" t="n">
        <v>162000</v>
      </c>
      <c r="I43" s="30" t="n">
        <v>4107412004</v>
      </c>
      <c r="J43" s="30" t="n">
        <v>30000</v>
      </c>
      <c r="K43" s="30" t="n">
        <v>2272318410</v>
      </c>
      <c r="L43" s="30" t="n">
        <v>88800</v>
      </c>
      <c r="M43" s="30" t="n">
        <v>1793300377</v>
      </c>
      <c r="N43" s="30" t="n">
        <v>139500</v>
      </c>
      <c r="O43" s="30" t="n">
        <v>769092961</v>
      </c>
      <c r="P43" s="31" t="n"/>
      <c r="Q43" s="12" t="n"/>
      <c r="R43" s="32">
        <f>G43*F43-G44*F44</f>
        <v/>
      </c>
      <c r="S43" s="32">
        <f>I43*H43-I44*H44</f>
        <v/>
      </c>
      <c r="T43" s="32">
        <f>K43*J43-K44*J44</f>
        <v/>
      </c>
      <c r="U43" s="32">
        <f>M43*L43-M44*L44</f>
        <v/>
      </c>
      <c r="V43" s="32">
        <f>O43*N43-O44*N44</f>
        <v/>
      </c>
      <c r="W43" s="31" t="n"/>
      <c r="X43" s="33">
        <f>R43/10^9</f>
        <v/>
      </c>
      <c r="Y43" s="33">
        <f>S43/10^9</f>
        <v/>
      </c>
      <c r="Z43" s="33">
        <f>T43/10^9</f>
        <v/>
      </c>
      <c r="AA43" s="33">
        <f>U43/10^9</f>
        <v/>
      </c>
      <c r="AB43" s="33">
        <f>V43/10^9</f>
        <v/>
      </c>
      <c r="AC43" s="31" t="n"/>
      <c r="AD43" s="34">
        <f>X43/$C44*$B44</f>
        <v/>
      </c>
      <c r="AE43" s="34">
        <f>Y43/$C44*$B44</f>
        <v/>
      </c>
      <c r="AF43" s="34">
        <f>Z43/$C44*$B44</f>
        <v/>
      </c>
      <c r="AG43" s="34">
        <f>AA43/$C44*$B44</f>
        <v/>
      </c>
      <c r="AH43" s="35">
        <f>AB43/$C44*$B44</f>
        <v/>
      </c>
      <c r="AI43" s="34">
        <f>SUM(AD43:AG43)</f>
        <v/>
      </c>
      <c r="AJ43" s="43">
        <f>AI43+AJ44</f>
        <v/>
      </c>
      <c r="AK43" s="36" t="n"/>
      <c r="AL43" s="37">
        <f>B43-AJ43</f>
        <v/>
      </c>
      <c r="AM43" s="42">
        <f>_xlfn.STDEV.S(AL43:AL62)</f>
        <v/>
      </c>
      <c r="AN43" s="7" t="n"/>
      <c r="AO43" s="26" t="n"/>
      <c r="AP43" s="7" t="n"/>
      <c r="AQ43" s="7" t="n"/>
      <c r="AR43" s="26" t="n"/>
      <c r="AS43" s="7" t="n"/>
      <c r="AT43" s="7" t="n"/>
      <c r="BC43" t="n">
        <v>8855242</v>
      </c>
    </row>
    <row r="44" ht="16" customHeight="1">
      <c r="A44" s="28" t="n">
        <v>46198</v>
      </c>
      <c r="B44" s="29" t="n">
        <v>1863.07</v>
      </c>
      <c r="C44" s="30" t="n">
        <v>8813582</v>
      </c>
      <c r="D44" s="31" t="n"/>
      <c r="E44" s="31" t="n"/>
      <c r="F44" s="30" t="n">
        <v>225000</v>
      </c>
      <c r="G44" s="30" t="n">
        <v>7706031024</v>
      </c>
      <c r="H44" s="30" t="n">
        <v>156500</v>
      </c>
      <c r="I44" s="30" t="n">
        <v>4107412004</v>
      </c>
      <c r="J44" s="30" t="n">
        <v>29600</v>
      </c>
      <c r="K44" s="30" t="n">
        <v>2272318410</v>
      </c>
      <c r="L44" s="30" t="n">
        <v>87900</v>
      </c>
      <c r="M44" s="30" t="n">
        <v>1793300377</v>
      </c>
      <c r="N44" s="30" t="n">
        <v>139400</v>
      </c>
      <c r="O44" s="30" t="n">
        <v>769092961</v>
      </c>
      <c r="P44" s="31" t="n"/>
      <c r="Q44" s="12" t="n"/>
      <c r="R44" s="32">
        <f>G44*F44-G45*F45</f>
        <v/>
      </c>
      <c r="S44" s="32">
        <f>I44*H44-I45*H45</f>
        <v/>
      </c>
      <c r="T44" s="32">
        <f>K44*J44-K45*J45</f>
        <v/>
      </c>
      <c r="U44" s="32">
        <f>M44*L44-M45*L45</f>
        <v/>
      </c>
      <c r="V44" s="32">
        <f>O44*N44-O45*N45</f>
        <v/>
      </c>
      <c r="W44" s="31" t="n"/>
      <c r="X44" s="33">
        <f>R44/10^9</f>
        <v/>
      </c>
      <c r="Y44" s="33">
        <f>S44/10^9</f>
        <v/>
      </c>
      <c r="Z44" s="33">
        <f>T44/10^9</f>
        <v/>
      </c>
      <c r="AA44" s="33">
        <f>U44/10^9</f>
        <v/>
      </c>
      <c r="AB44" s="33">
        <f>V44/10^9</f>
        <v/>
      </c>
      <c r="AC44" s="31" t="n"/>
      <c r="AD44" s="34">
        <f>X44/$C45*$B45</f>
        <v/>
      </c>
      <c r="AE44" s="34">
        <f>Y44/$C45*$B45</f>
        <v/>
      </c>
      <c r="AF44" s="34">
        <f>Z44/$C45*$B45</f>
        <v/>
      </c>
      <c r="AG44" s="34">
        <f>AA44/$C45*$B45</f>
        <v/>
      </c>
      <c r="AH44" s="35">
        <f>AB44/$C45*$B45</f>
        <v/>
      </c>
      <c r="AI44" s="34">
        <f>SUM(AD44:AG44)</f>
        <v/>
      </c>
      <c r="AJ44" s="43">
        <f>AI44+AJ45</f>
        <v/>
      </c>
      <c r="AK44" s="36" t="n"/>
      <c r="AL44" s="37">
        <f>B44-AJ44</f>
        <v/>
      </c>
      <c r="AM44" s="42">
        <f>_xlfn.STDEV.S(AL44:AL63)</f>
        <v/>
      </c>
      <c r="AN44" s="37" t="n"/>
      <c r="AO44" s="38" t="n"/>
      <c r="AP44" s="37" t="n"/>
      <c r="AQ44" s="37" t="n"/>
      <c r="AR44" s="38" t="n"/>
      <c r="AS44" s="37" t="n"/>
      <c r="AT44" s="37" t="n"/>
      <c r="BC44">
        <f>F409*G409</f>
        <v/>
      </c>
    </row>
    <row r="45" ht="16" customHeight="1">
      <c r="A45" s="28" t="n">
        <v>46197</v>
      </c>
      <c r="B45" s="29" t="n">
        <v>1878.02</v>
      </c>
      <c r="C45" s="30" t="n">
        <v>8881302</v>
      </c>
      <c r="D45" s="31" t="n"/>
      <c r="E45" s="31" t="n"/>
      <c r="F45" s="30" t="n">
        <v>230500</v>
      </c>
      <c r="G45" s="30" t="n">
        <v>7706031024</v>
      </c>
      <c r="H45" s="30" t="n">
        <v>159600</v>
      </c>
      <c r="I45" s="30" t="n">
        <v>4107412004</v>
      </c>
      <c r="J45" s="30" t="n">
        <v>30300</v>
      </c>
      <c r="K45" s="30" t="n">
        <v>2272318410</v>
      </c>
      <c r="L45" s="30" t="n">
        <v>90500</v>
      </c>
      <c r="M45" s="30" t="n">
        <v>1793300377</v>
      </c>
      <c r="N45" s="30" t="n">
        <v>136400</v>
      </c>
      <c r="O45" s="30" t="n">
        <v>769092961</v>
      </c>
      <c r="P45" s="31" t="n"/>
      <c r="Q45" s="12" t="n"/>
      <c r="R45" s="32">
        <f>G45*F45-G46*F46</f>
        <v/>
      </c>
      <c r="S45" s="32">
        <f>I45*H45-I46*H46</f>
        <v/>
      </c>
      <c r="T45" s="32">
        <f>K45*J45-K46*J46</f>
        <v/>
      </c>
      <c r="U45" s="32">
        <f>M45*L45-M46*L46</f>
        <v/>
      </c>
      <c r="V45" s="32">
        <f>O45*N45-O46*N46</f>
        <v/>
      </c>
      <c r="W45" s="31" t="n"/>
      <c r="X45" s="33">
        <f>R45/10^9</f>
        <v/>
      </c>
      <c r="Y45" s="33">
        <f>S45/10^9</f>
        <v/>
      </c>
      <c r="Z45" s="33">
        <f>T45/10^9</f>
        <v/>
      </c>
      <c r="AA45" s="33">
        <f>U45/10^9</f>
        <v/>
      </c>
      <c r="AB45" s="33">
        <f>V45/10^9</f>
        <v/>
      </c>
      <c r="AC45" s="31" t="n"/>
      <c r="AD45" s="34">
        <f>X45/$C46*$B46</f>
        <v/>
      </c>
      <c r="AE45" s="34">
        <f>Y45/$C46*$B46</f>
        <v/>
      </c>
      <c r="AF45" s="34">
        <f>Z45/$C46*$B46</f>
        <v/>
      </c>
      <c r="AG45" s="34">
        <f>AA45/$C46*$B46</f>
        <v/>
      </c>
      <c r="AH45" s="35">
        <f>AB45/$C46*$B46</f>
        <v/>
      </c>
      <c r="AI45" s="34">
        <f>SUM(AD45:AG45)</f>
        <v/>
      </c>
      <c r="AJ45" s="43">
        <f>AI45+AJ46</f>
        <v/>
      </c>
      <c r="AK45" s="36" t="n"/>
      <c r="AL45" s="37">
        <f>B45-AJ45</f>
        <v/>
      </c>
      <c r="AM45" s="42">
        <f>_xlfn.STDEV.S(AL45:AL64)</f>
        <v/>
      </c>
      <c r="AN45" s="37" t="n"/>
      <c r="AO45" s="38" t="n"/>
      <c r="AP45" s="37" t="n"/>
      <c r="AQ45" s="37" t="n"/>
      <c r="AR45" s="38" t="n"/>
      <c r="AS45" s="37" t="n"/>
      <c r="AT45" s="37" t="n"/>
      <c r="BC45">
        <f>BC43*1000000000</f>
        <v/>
      </c>
    </row>
    <row r="46" ht="16" customHeight="1">
      <c r="A46" s="28" t="n">
        <v>46196</v>
      </c>
      <c r="B46" s="29" t="n">
        <v>1869.04</v>
      </c>
      <c r="C46" s="30" t="n">
        <v>8838993</v>
      </c>
      <c r="D46" s="31" t="n"/>
      <c r="E46" s="31" t="n"/>
      <c r="F46" s="30" t="n">
        <v>229000</v>
      </c>
      <c r="G46" s="30" t="n">
        <v>7706031024</v>
      </c>
      <c r="H46" s="30" t="n">
        <v>156000</v>
      </c>
      <c r="I46" s="30" t="n">
        <v>4107412004</v>
      </c>
      <c r="J46" s="30" t="n">
        <v>29800</v>
      </c>
      <c r="K46" s="30" t="n">
        <v>2272318410</v>
      </c>
      <c r="L46" s="30" t="n">
        <v>90500</v>
      </c>
      <c r="M46" s="30" t="n">
        <v>1793300377</v>
      </c>
      <c r="N46" s="30" t="n">
        <v>137500</v>
      </c>
      <c r="O46" s="30" t="n">
        <v>769092961</v>
      </c>
      <c r="P46" s="31" t="n"/>
      <c r="Q46" s="12" t="n"/>
      <c r="R46" s="32">
        <f>G46*F46-G47*F47</f>
        <v/>
      </c>
      <c r="S46" s="32">
        <f>I46*H46-I47*H47</f>
        <v/>
      </c>
      <c r="T46" s="32">
        <f>K46*J46-K47*J47</f>
        <v/>
      </c>
      <c r="U46" s="32">
        <f>M46*L46-M47*L47</f>
        <v/>
      </c>
      <c r="V46" s="32">
        <f>O46*N46-O47*N47</f>
        <v/>
      </c>
      <c r="W46" s="31" t="n"/>
      <c r="X46" s="33">
        <f>R46/10^9</f>
        <v/>
      </c>
      <c r="Y46" s="33">
        <f>S46/10^9</f>
        <v/>
      </c>
      <c r="Z46" s="33">
        <f>T46/10^9</f>
        <v/>
      </c>
      <c r="AA46" s="33">
        <f>U46/10^9</f>
        <v/>
      </c>
      <c r="AB46" s="33">
        <f>V46/10^9</f>
        <v/>
      </c>
      <c r="AC46" s="31" t="n"/>
      <c r="AD46" s="34">
        <f>X46/$C47*$B47</f>
        <v/>
      </c>
      <c r="AE46" s="34">
        <f>Y46/$C47*$B47</f>
        <v/>
      </c>
      <c r="AF46" s="34">
        <f>Z46/$C47*$B47</f>
        <v/>
      </c>
      <c r="AG46" s="34">
        <f>AA46/$C47*$B47</f>
        <v/>
      </c>
      <c r="AH46" s="35">
        <f>AB46/$C47*$B47</f>
        <v/>
      </c>
      <c r="AI46" s="34">
        <f>SUM(AD46:AG46)</f>
        <v/>
      </c>
      <c r="AJ46" s="43">
        <f>AI46+AJ47</f>
        <v/>
      </c>
      <c r="AK46" s="36" t="n"/>
      <c r="AL46" s="37">
        <f>B46-AJ46</f>
        <v/>
      </c>
      <c r="AM46" s="42">
        <f>_xlfn.STDEV.S(AL46:AL65)</f>
        <v/>
      </c>
      <c r="AN46" s="37" t="n"/>
      <c r="AO46" s="38" t="n"/>
      <c r="AP46" s="37" t="n"/>
      <c r="AQ46" s="37" t="n"/>
      <c r="AR46" s="38" t="n"/>
      <c r="AS46" s="37" t="n"/>
      <c r="AT46" s="37" t="n"/>
      <c r="BC46">
        <f>F43*G43</f>
        <v/>
      </c>
    </row>
    <row r="47" ht="16" customHeight="1">
      <c r="A47" s="28" t="n">
        <v>46195</v>
      </c>
      <c r="B47" s="29" t="n">
        <v>1857.91</v>
      </c>
      <c r="C47" s="30" t="n">
        <v>8786390</v>
      </c>
      <c r="D47" s="31" t="n"/>
      <c r="E47" s="31" t="n"/>
      <c r="F47" s="30" t="n">
        <v>219800</v>
      </c>
      <c r="G47" s="30" t="n">
        <v>7706031024</v>
      </c>
      <c r="H47" s="30" t="n">
        <v>155400</v>
      </c>
      <c r="I47" s="30" t="n">
        <v>4107412004</v>
      </c>
      <c r="J47" s="30" t="n">
        <v>30700</v>
      </c>
      <c r="K47" s="30" t="n">
        <v>2272318410</v>
      </c>
      <c r="L47" s="30" t="n">
        <v>91900</v>
      </c>
      <c r="M47" s="30" t="n">
        <v>1793300377</v>
      </c>
      <c r="N47" s="30" t="n">
        <v>139500</v>
      </c>
      <c r="O47" s="30" t="n">
        <v>769094734</v>
      </c>
      <c r="P47" s="31" t="n"/>
      <c r="Q47" s="12" t="n"/>
      <c r="R47" s="32">
        <f>G47*F47-G48*F48</f>
        <v/>
      </c>
      <c r="S47" s="32">
        <f>I47*H47-I48*H48</f>
        <v/>
      </c>
      <c r="T47" s="32">
        <f>K47*J47-K48*J48</f>
        <v/>
      </c>
      <c r="U47" s="32">
        <f>M47*L47-M48*L48</f>
        <v/>
      </c>
      <c r="V47" s="32">
        <f>O47*N47-O48*N48</f>
        <v/>
      </c>
      <c r="W47" s="31" t="n"/>
      <c r="X47" s="33">
        <f>R47/10^9</f>
        <v/>
      </c>
      <c r="Y47" s="33">
        <f>S47/10^9</f>
        <v/>
      </c>
      <c r="Z47" s="33">
        <f>T47/10^9</f>
        <v/>
      </c>
      <c r="AA47" s="33">
        <f>U47/10^9</f>
        <v/>
      </c>
      <c r="AB47" s="33">
        <f>V47/10^9</f>
        <v/>
      </c>
      <c r="AC47" s="31" t="n"/>
      <c r="AD47" s="34">
        <f>X47/$C48*$B48</f>
        <v/>
      </c>
      <c r="AE47" s="34">
        <f>Y47/$C48*$B48</f>
        <v/>
      </c>
      <c r="AF47" s="34">
        <f>Z47/$C48*$B48</f>
        <v/>
      </c>
      <c r="AG47" s="34">
        <f>AA47/$C48*$B48</f>
        <v/>
      </c>
      <c r="AH47" s="35">
        <f>AB47/$C48*$B48</f>
        <v/>
      </c>
      <c r="AI47" s="34">
        <f>SUM(AD47:AG47)</f>
        <v/>
      </c>
      <c r="AJ47" s="43">
        <f>AI47+AJ48</f>
        <v/>
      </c>
      <c r="AK47" s="36" t="n"/>
      <c r="AL47" s="37">
        <f>B47-AJ47</f>
        <v/>
      </c>
      <c r="AM47" s="42">
        <f>_xlfn.STDEV.S(AL47:AL66)</f>
        <v/>
      </c>
      <c r="AN47" s="37" t="n"/>
      <c r="AO47" s="38" t="n"/>
      <c r="AP47" s="37" t="n"/>
      <c r="AQ47" s="37" t="n"/>
      <c r="AR47" s="38" t="n"/>
      <c r="AS47" s="37" t="n"/>
      <c r="AT47" s="37" t="n"/>
    </row>
    <row r="48" ht="16" customHeight="1">
      <c r="A48" s="28" t="n">
        <v>46192</v>
      </c>
      <c r="B48" s="29" t="n">
        <v>1824.53</v>
      </c>
      <c r="C48" s="30" t="n">
        <v>8629168</v>
      </c>
      <c r="D48" s="31" t="n"/>
      <c r="E48" s="31" t="n"/>
      <c r="F48" s="30" t="n">
        <v>205500</v>
      </c>
      <c r="G48" s="30" t="n">
        <v>7706031024</v>
      </c>
      <c r="H48" s="30" t="n">
        <v>145300</v>
      </c>
      <c r="I48" s="30" t="n">
        <v>4107412004</v>
      </c>
      <c r="J48" s="30" t="n">
        <v>29350</v>
      </c>
      <c r="K48" s="30" t="n">
        <v>2272318410</v>
      </c>
      <c r="L48" s="30" t="n">
        <v>91000</v>
      </c>
      <c r="M48" s="30" t="n">
        <v>1793300377</v>
      </c>
      <c r="N48" s="30" t="n">
        <v>140500</v>
      </c>
      <c r="O48" s="30" t="n">
        <v>769094734</v>
      </c>
      <c r="P48" s="31" t="n"/>
      <c r="Q48" s="12" t="n"/>
      <c r="R48" s="32">
        <f>G48*F48-G49*F49</f>
        <v/>
      </c>
      <c r="S48" s="32">
        <f>I48*H48-I49*H49</f>
        <v/>
      </c>
      <c r="T48" s="32">
        <f>K48*J48-K49*J49</f>
        <v/>
      </c>
      <c r="U48" s="32">
        <f>M48*L48-M49*L49</f>
        <v/>
      </c>
      <c r="V48" s="32">
        <f>O48*N48-O49*N49</f>
        <v/>
      </c>
      <c r="W48" s="31" t="n"/>
      <c r="X48" s="33">
        <f>R48/10^9</f>
        <v/>
      </c>
      <c r="Y48" s="33">
        <f>S48/10^9</f>
        <v/>
      </c>
      <c r="Z48" s="33">
        <f>T48/10^9</f>
        <v/>
      </c>
      <c r="AA48" s="33">
        <f>U48/10^9</f>
        <v/>
      </c>
      <c r="AB48" s="33">
        <f>V48/10^9</f>
        <v/>
      </c>
      <c r="AC48" s="31" t="n"/>
      <c r="AD48" s="34">
        <f>X48/$C49*$B49</f>
        <v/>
      </c>
      <c r="AE48" s="34">
        <f>Y48/$C49*$B49</f>
        <v/>
      </c>
      <c r="AF48" s="34">
        <f>Z48/$C49*$B49</f>
        <v/>
      </c>
      <c r="AG48" s="34">
        <f>AA48/$C49*$B49</f>
        <v/>
      </c>
      <c r="AH48" s="35">
        <f>AB48/$C49*$B49</f>
        <v/>
      </c>
      <c r="AI48" s="34">
        <f>SUM(AD48:AG48)</f>
        <v/>
      </c>
      <c r="AJ48" s="9">
        <f>AI48+AJ49</f>
        <v/>
      </c>
      <c r="AK48" s="36" t="n"/>
      <c r="AL48" s="37">
        <f>B48-AJ48</f>
        <v/>
      </c>
      <c r="AM48" s="42">
        <f>_xlfn.STDEV.S(AL48:AL67)</f>
        <v/>
      </c>
      <c r="AN48" s="7" t="n"/>
      <c r="AO48" s="26" t="n"/>
      <c r="AP48" s="7" t="n"/>
      <c r="AQ48" s="7" t="n"/>
      <c r="AR48" s="26" t="n"/>
      <c r="AS48" s="7" t="n"/>
      <c r="AT48" s="7" t="n"/>
    </row>
    <row r="49" ht="16" customHeight="1">
      <c r="A49" s="28" t="n">
        <v>46191</v>
      </c>
      <c r="B49" s="29" t="n">
        <v>1830.47</v>
      </c>
      <c r="C49" s="30" t="n">
        <v>8656796</v>
      </c>
      <c r="D49" s="31" t="n"/>
      <c r="E49" s="31" t="n"/>
      <c r="F49" s="30" t="n">
        <v>205400</v>
      </c>
      <c r="G49" s="30" t="n">
        <v>7706031024</v>
      </c>
      <c r="H49" s="30" t="n">
        <v>144400</v>
      </c>
      <c r="I49" s="30" t="n">
        <v>4107412004</v>
      </c>
      <c r="J49" s="30" t="n">
        <v>30100</v>
      </c>
      <c r="K49" s="30" t="n">
        <v>2272318410</v>
      </c>
      <c r="L49" s="30" t="n">
        <v>91000</v>
      </c>
      <c r="M49" s="30" t="n">
        <v>1793300377</v>
      </c>
      <c r="N49" s="30" t="n">
        <v>138400</v>
      </c>
      <c r="O49" s="30" t="n">
        <v>769094734</v>
      </c>
      <c r="P49" s="31" t="n"/>
      <c r="Q49" s="12" t="n"/>
      <c r="R49" s="32">
        <f>G49*F49-G50*F50</f>
        <v/>
      </c>
      <c r="S49" s="32">
        <f>I49*H49-I50*H50</f>
        <v/>
      </c>
      <c r="T49" s="32">
        <f>K49*J49-K50*J50</f>
        <v/>
      </c>
      <c r="U49" s="32">
        <f>M49*L49-M50*L50</f>
        <v/>
      </c>
      <c r="V49" s="32">
        <f>O49*N49-O50*N50</f>
        <v/>
      </c>
      <c r="W49" s="31" t="n"/>
      <c r="X49" s="33">
        <f>R49/10^9</f>
        <v/>
      </c>
      <c r="Y49" s="33">
        <f>S49/10^9</f>
        <v/>
      </c>
      <c r="Z49" s="33">
        <f>T49/10^9</f>
        <v/>
      </c>
      <c r="AA49" s="33">
        <f>U49/10^9</f>
        <v/>
      </c>
      <c r="AB49" s="33">
        <f>V49/10^9</f>
        <v/>
      </c>
      <c r="AC49" s="31" t="n"/>
      <c r="AD49" s="34">
        <f>X49/$C50*$B50</f>
        <v/>
      </c>
      <c r="AE49" s="34">
        <f>Y49/$C50*$B50</f>
        <v/>
      </c>
      <c r="AF49" s="34">
        <f>Z49/$C50*$B50</f>
        <v/>
      </c>
      <c r="AG49" s="34">
        <f>AA49/$C50*$B50</f>
        <v/>
      </c>
      <c r="AH49" s="35">
        <f>AB49/$C50*$B50</f>
        <v/>
      </c>
      <c r="AI49" s="34">
        <f>SUM(AD49:AG49)</f>
        <v/>
      </c>
      <c r="AJ49" s="9">
        <f>AI49+AJ50</f>
        <v/>
      </c>
      <c r="AK49" s="36" t="n"/>
      <c r="AL49" s="37">
        <f>B49-AJ49</f>
        <v/>
      </c>
      <c r="AM49" s="42">
        <f>_xlfn.STDEV.S(AL49:AL68)</f>
        <v/>
      </c>
      <c r="AN49" s="37" t="n"/>
      <c r="AO49" s="38" t="n"/>
      <c r="AP49" s="37" t="n"/>
      <c r="AQ49" s="37" t="n"/>
      <c r="AR49" s="38" t="n"/>
      <c r="AS49" s="37" t="n"/>
      <c r="AT49" s="37" t="n"/>
      <c r="BC49">
        <f>BC46-BC44</f>
        <v/>
      </c>
    </row>
    <row r="50" ht="16" customHeight="1">
      <c r="A50" s="28" t="n">
        <v>46190</v>
      </c>
      <c r="B50" s="29" t="n">
        <v>1806.2</v>
      </c>
      <c r="C50" s="30" t="n">
        <v>8542213</v>
      </c>
      <c r="D50" s="31" t="n"/>
      <c r="E50" s="31" t="n"/>
      <c r="F50" s="30" t="n">
        <v>192000</v>
      </c>
      <c r="G50" s="30" t="n">
        <v>7706031024</v>
      </c>
      <c r="H50" s="30" t="n">
        <v>135000</v>
      </c>
      <c r="I50" s="30" t="n">
        <v>4107412004</v>
      </c>
      <c r="J50" s="30" t="n">
        <v>28150</v>
      </c>
      <c r="K50" s="30" t="n">
        <v>2272318410</v>
      </c>
      <c r="L50" s="30" t="n">
        <v>89300</v>
      </c>
      <c r="M50" s="30" t="n">
        <v>1793300377</v>
      </c>
      <c r="N50" s="30" t="n">
        <v>143900</v>
      </c>
      <c r="O50" s="30" t="n">
        <v>769094734</v>
      </c>
      <c r="P50" s="31" t="n"/>
      <c r="Q50" s="12" t="n"/>
      <c r="R50" s="32">
        <f>G50*F50-G51*F51</f>
        <v/>
      </c>
      <c r="S50" s="32">
        <f>I50*H50-I51*H51</f>
        <v/>
      </c>
      <c r="T50" s="32">
        <f>K50*J50-K51*J51</f>
        <v/>
      </c>
      <c r="U50" s="32">
        <f>M50*L50-M51*L51</f>
        <v/>
      </c>
      <c r="V50" s="32">
        <f>O50*N50-O51*N51</f>
        <v/>
      </c>
      <c r="W50" s="31" t="n"/>
      <c r="X50" s="33">
        <f>R50/10^9</f>
        <v/>
      </c>
      <c r="Y50" s="33">
        <f>S50/10^9</f>
        <v/>
      </c>
      <c r="Z50" s="33">
        <f>T50/10^9</f>
        <v/>
      </c>
      <c r="AA50" s="33">
        <f>U50/10^9</f>
        <v/>
      </c>
      <c r="AB50" s="33">
        <f>V50/10^9</f>
        <v/>
      </c>
      <c r="AC50" s="31" t="n"/>
      <c r="AD50" s="34">
        <f>X50/$C51*$B51</f>
        <v/>
      </c>
      <c r="AE50" s="34">
        <f>Y50/$C51*$B51</f>
        <v/>
      </c>
      <c r="AF50" s="34">
        <f>Z50/$C51*$B51</f>
        <v/>
      </c>
      <c r="AG50" s="34">
        <f>AA50/$C51*$B51</f>
        <v/>
      </c>
      <c r="AH50" s="35">
        <f>AB50/$C51*$B51</f>
        <v/>
      </c>
      <c r="AI50" s="34">
        <f>SUM(AD50:AG50)</f>
        <v/>
      </c>
      <c r="AJ50" s="9">
        <f>AI50+AJ51</f>
        <v/>
      </c>
      <c r="AK50" s="36" t="n"/>
      <c r="AL50" s="37">
        <f>B50-AJ50</f>
        <v/>
      </c>
      <c r="AM50" s="42">
        <f>_xlfn.STDEV.S(AL50:AL69)</f>
        <v/>
      </c>
      <c r="AN50" s="37" t="n"/>
      <c r="AO50" s="38" t="n"/>
      <c r="AP50" s="37" t="n"/>
      <c r="AQ50" s="37" t="n"/>
      <c r="AR50" s="38" t="n"/>
      <c r="AS50" s="37" t="n"/>
      <c r="AT50" s="37" t="n"/>
      <c r="BC50">
        <f>BC45-BC49</f>
        <v/>
      </c>
    </row>
    <row r="51" ht="16" customHeight="1">
      <c r="A51" s="28" t="n">
        <v>46189</v>
      </c>
      <c r="B51" s="29" t="n">
        <v>1807.94</v>
      </c>
      <c r="C51" s="30" t="n">
        <v>8548955</v>
      </c>
      <c r="D51" s="31" t="n"/>
      <c r="E51" s="31" t="n"/>
      <c r="F51" s="30" t="n">
        <v>194000</v>
      </c>
      <c r="G51" s="30" t="n">
        <v>7706031024</v>
      </c>
      <c r="H51" s="30" t="n">
        <v>136500</v>
      </c>
      <c r="I51" s="30" t="n">
        <v>4107412004</v>
      </c>
      <c r="J51" s="30" t="n">
        <v>28650</v>
      </c>
      <c r="K51" s="30" t="n">
        <v>2272318410</v>
      </c>
      <c r="L51" s="30" t="n">
        <v>89300</v>
      </c>
      <c r="M51" s="30" t="n">
        <v>1793300377</v>
      </c>
      <c r="N51" s="30" t="n">
        <v>138000</v>
      </c>
      <c r="O51" s="30" t="n">
        <v>769094734</v>
      </c>
      <c r="P51" s="31" t="n"/>
      <c r="Q51" s="12" t="n"/>
      <c r="R51" s="32">
        <f>G51*F51-G52*F52</f>
        <v/>
      </c>
      <c r="S51" s="32">
        <f>I51*H51-I52*H52</f>
        <v/>
      </c>
      <c r="T51" s="32">
        <f>K51*J51-K52*J52</f>
        <v/>
      </c>
      <c r="U51" s="32">
        <f>M51*L51-M52*L52</f>
        <v/>
      </c>
      <c r="V51" s="32">
        <f>O51*N51-O52*N52</f>
        <v/>
      </c>
      <c r="W51" s="31" t="n"/>
      <c r="X51" s="33">
        <f>R51/10^9</f>
        <v/>
      </c>
      <c r="Y51" s="33">
        <f>S51/10^9</f>
        <v/>
      </c>
      <c r="Z51" s="33">
        <f>T51/10^9</f>
        <v/>
      </c>
      <c r="AA51" s="33">
        <f>U51/10^9</f>
        <v/>
      </c>
      <c r="AB51" s="33">
        <f>V51/10^9</f>
        <v/>
      </c>
      <c r="AC51" s="31" t="n"/>
      <c r="AD51" s="34">
        <f>X51/$C52*$B52</f>
        <v/>
      </c>
      <c r="AE51" s="34">
        <f>Y51/$C52*$B52</f>
        <v/>
      </c>
      <c r="AF51" s="34">
        <f>Z51/$C52*$B52</f>
        <v/>
      </c>
      <c r="AG51" s="34">
        <f>AA51/$C52*$B52</f>
        <v/>
      </c>
      <c r="AH51" s="35">
        <f>AB51/$C52*$B52</f>
        <v/>
      </c>
      <c r="AI51" s="34">
        <f>SUM(AD51:AG51)</f>
        <v/>
      </c>
      <c r="AJ51" s="9">
        <f>AI51+AJ52</f>
        <v/>
      </c>
      <c r="AK51" s="36" t="n"/>
      <c r="AL51" s="37">
        <f>B51-AJ51</f>
        <v/>
      </c>
      <c r="AM51" s="42">
        <f>_xlfn.STDEV.S(AL51:AL70)</f>
        <v/>
      </c>
      <c r="AN51" s="37" t="n"/>
      <c r="AO51" s="38" t="n"/>
      <c r="AP51" s="37" t="n"/>
      <c r="AQ51" s="37" t="n"/>
      <c r="AR51" s="38" t="n"/>
      <c r="AS51" s="37" t="n"/>
      <c r="AT51" s="37" t="n"/>
      <c r="BC51">
        <f>BC50/BC45</f>
        <v/>
      </c>
    </row>
    <row r="52" ht="16" customHeight="1">
      <c r="A52" s="28" t="n">
        <v>46188</v>
      </c>
      <c r="B52" s="29" t="n">
        <v>1799.31</v>
      </c>
      <c r="C52" s="30" t="n">
        <v>8508032</v>
      </c>
      <c r="D52" s="31" t="n"/>
      <c r="E52" s="31" t="n"/>
      <c r="F52" s="30" t="n">
        <v>192600</v>
      </c>
      <c r="G52" s="30" t="n">
        <v>7706031024</v>
      </c>
      <c r="H52" s="30" t="n">
        <v>136100</v>
      </c>
      <c r="I52" s="30" t="n">
        <v>4107412004</v>
      </c>
      <c r="J52" s="30" t="n">
        <v>28550</v>
      </c>
      <c r="K52" s="30" t="n">
        <v>2272318410</v>
      </c>
      <c r="L52" s="30" t="n">
        <v>88600</v>
      </c>
      <c r="M52" s="30" t="n">
        <v>1793300377</v>
      </c>
      <c r="N52" s="30" t="n">
        <v>183700</v>
      </c>
      <c r="O52" s="30" t="n">
        <v>591611334</v>
      </c>
      <c r="P52" s="31" t="n"/>
      <c r="Q52" s="12" t="n"/>
      <c r="R52" s="32">
        <f>G52*F52-G53*F53</f>
        <v/>
      </c>
      <c r="S52" s="32">
        <f>I52*H52-I53*H53</f>
        <v/>
      </c>
      <c r="T52" s="32">
        <f>K52*J52-K53*J53</f>
        <v/>
      </c>
      <c r="U52" s="32">
        <f>M52*L52-M53*L53</f>
        <v/>
      </c>
      <c r="V52" s="32">
        <f>O52*N52-O53*N53</f>
        <v/>
      </c>
      <c r="W52" s="31" t="n"/>
      <c r="X52" s="33">
        <f>R52/10^9</f>
        <v/>
      </c>
      <c r="Y52" s="33">
        <f>S52/10^9</f>
        <v/>
      </c>
      <c r="Z52" s="33">
        <f>T52/10^9</f>
        <v/>
      </c>
      <c r="AA52" s="33">
        <f>U52/10^9</f>
        <v/>
      </c>
      <c r="AB52" s="33">
        <f>V52/10^9</f>
        <v/>
      </c>
      <c r="AC52" s="31" t="n"/>
      <c r="AD52" s="34">
        <f>X52/$C53*$B53</f>
        <v/>
      </c>
      <c r="AE52" s="34">
        <f>Y52/$C53*$B53</f>
        <v/>
      </c>
      <c r="AF52" s="34">
        <f>Z52/$C53*$B53</f>
        <v/>
      </c>
      <c r="AG52" s="34">
        <f>AA52/$C53*$B53</f>
        <v/>
      </c>
      <c r="AH52" s="35">
        <f>AB52/$C53*$B53</f>
        <v/>
      </c>
      <c r="AI52" s="34">
        <f>SUM(AD52:AG52)</f>
        <v/>
      </c>
      <c r="AJ52" s="9">
        <f>AI52+AJ53</f>
        <v/>
      </c>
      <c r="AK52" s="36" t="n"/>
      <c r="AL52" s="37">
        <f>B52-AJ52</f>
        <v/>
      </c>
      <c r="AM52" s="42">
        <f>_xlfn.STDEV.S(AL52:AL71)</f>
        <v/>
      </c>
      <c r="AN52" s="37" t="n"/>
      <c r="AO52" s="38" t="n"/>
      <c r="AP52" s="37" t="n"/>
      <c r="AQ52" s="37" t="n"/>
      <c r="AR52" s="38" t="n"/>
      <c r="AS52" s="37" t="n"/>
      <c r="AT52" s="37" t="n"/>
      <c r="BC52">
        <f>BC51*B43</f>
        <v/>
      </c>
    </row>
    <row r="53" ht="16" customHeight="1">
      <c r="A53" s="10" t="n">
        <v>46185</v>
      </c>
      <c r="B53" s="20" t="n">
        <v>1791.65</v>
      </c>
      <c r="C53" s="4" t="n">
        <v>8471731</v>
      </c>
      <c r="F53" s="4" t="n">
        <v>195500</v>
      </c>
      <c r="G53" s="4" t="n">
        <v>7706031024</v>
      </c>
      <c r="H53" s="4" t="n">
        <v>138700</v>
      </c>
      <c r="I53" s="4" t="n">
        <v>4107412004</v>
      </c>
      <c r="J53" s="4" t="n">
        <v>28600</v>
      </c>
      <c r="K53" s="4" t="n">
        <v>2272318410</v>
      </c>
      <c r="L53" s="4" t="n">
        <v>87000</v>
      </c>
      <c r="M53" s="4" t="n">
        <v>1793300377</v>
      </c>
      <c r="N53" s="4" t="n">
        <v>180800</v>
      </c>
      <c r="O53" s="4" t="n">
        <v>591611334</v>
      </c>
      <c r="Q53" s="12" t="n"/>
      <c r="R53" s="3">
        <f>G53*F53-G54*F54</f>
        <v/>
      </c>
      <c r="S53" s="3">
        <f>I53*H53-I54*H54</f>
        <v/>
      </c>
      <c r="T53" s="3">
        <f>K53*J53-K54*J54</f>
        <v/>
      </c>
      <c r="U53" s="3">
        <f>M53*L53-M54*L54</f>
        <v/>
      </c>
      <c r="V53" s="3">
        <f>O53*N53-O54*N54</f>
        <v/>
      </c>
      <c r="X53" s="2">
        <f>R53/10^9</f>
        <v/>
      </c>
      <c r="Y53" s="2">
        <f>S53/10^9</f>
        <v/>
      </c>
      <c r="Z53" s="2">
        <f>T53/10^9</f>
        <v/>
      </c>
      <c r="AA53" s="2">
        <f>U53/10^9</f>
        <v/>
      </c>
      <c r="AB53" s="2">
        <f>V53/10^9</f>
        <v/>
      </c>
      <c r="AD53" s="8">
        <f>X53/$C54*$B54</f>
        <v/>
      </c>
      <c r="AE53" s="8">
        <f>Y53/$C54*$B54</f>
        <v/>
      </c>
      <c r="AF53" s="8">
        <f>Z53/$C54*$B54</f>
        <v/>
      </c>
      <c r="AG53" s="8">
        <f>AA53/$C54*$B54</f>
        <v/>
      </c>
      <c r="AH53" s="11">
        <f>AB53/$C54*$B54</f>
        <v/>
      </c>
      <c r="AI53" s="8">
        <f>SUM(AD53:AG53)</f>
        <v/>
      </c>
      <c r="AJ53" s="9">
        <f>AI53+AJ54</f>
        <v/>
      </c>
      <c r="AL53" s="7">
        <f>B53-AJ53</f>
        <v/>
      </c>
      <c r="AM53" s="42">
        <f>_xlfn.STDEV.S(AL53:AL72)</f>
        <v/>
      </c>
      <c r="AN53" s="7" t="n"/>
      <c r="AO53" s="26" t="n"/>
      <c r="AP53" s="7" t="n"/>
      <c r="AQ53" s="7" t="n"/>
      <c r="AR53" s="26" t="n"/>
      <c r="AS53" s="7" t="n"/>
      <c r="AT53" s="7" t="n"/>
    </row>
    <row r="54" ht="16" customHeight="1">
      <c r="A54" s="10" t="n">
        <v>46184</v>
      </c>
      <c r="B54" s="20" t="n">
        <v>1798.61</v>
      </c>
      <c r="C54" s="4" t="n">
        <v>8504472</v>
      </c>
      <c r="F54" s="4" t="n">
        <v>196000</v>
      </c>
      <c r="G54" s="4" t="n">
        <v>7706031024</v>
      </c>
      <c r="H54" s="4" t="n">
        <v>144500</v>
      </c>
      <c r="I54" s="4" t="n">
        <v>4107412004</v>
      </c>
      <c r="J54" s="4" t="n">
        <v>29150</v>
      </c>
      <c r="K54" s="4" t="n">
        <v>2272318410</v>
      </c>
      <c r="L54" s="4" t="n">
        <v>89900</v>
      </c>
      <c r="M54" s="4" t="n">
        <v>1793300377</v>
      </c>
      <c r="N54" s="4" t="n">
        <v>177500</v>
      </c>
      <c r="O54" s="4" t="n">
        <v>591611334</v>
      </c>
      <c r="Q54" s="12" t="n"/>
      <c r="R54" s="3">
        <f>G54*F54-G55*F55</f>
        <v/>
      </c>
      <c r="S54" s="3">
        <f>I54*H54-I55*H55</f>
        <v/>
      </c>
      <c r="T54" s="3">
        <f>K54*J54-K55*J55</f>
        <v/>
      </c>
      <c r="U54" s="3">
        <f>M54*L54-M55*L55</f>
        <v/>
      </c>
      <c r="V54" s="3">
        <f>O54*N54-O55*N55</f>
        <v/>
      </c>
      <c r="X54" s="2">
        <f>R54/10^9</f>
        <v/>
      </c>
      <c r="Y54" s="2">
        <f>S54/10^9</f>
        <v/>
      </c>
      <c r="Z54" s="2">
        <f>T54/10^9</f>
        <v/>
      </c>
      <c r="AA54" s="2">
        <f>U54/10^9</f>
        <v/>
      </c>
      <c r="AB54" s="2">
        <f>V54/10^9</f>
        <v/>
      </c>
      <c r="AD54" s="8">
        <f>X54/$C55*$B55</f>
        <v/>
      </c>
      <c r="AE54" s="8">
        <f>Y54/$C55*$B55</f>
        <v/>
      </c>
      <c r="AF54" s="8">
        <f>Z54/$C55*$B55</f>
        <v/>
      </c>
      <c r="AG54" s="8">
        <f>AA54/$C55*$B55</f>
        <v/>
      </c>
      <c r="AH54" s="11">
        <f>AB54/$C55*$B55</f>
        <v/>
      </c>
      <c r="AI54" s="8">
        <f>SUM(AD54:AG54)</f>
        <v/>
      </c>
      <c r="AJ54" s="9">
        <f>AI54+AJ55</f>
        <v/>
      </c>
      <c r="AL54" s="7">
        <f>B54-AJ54</f>
        <v/>
      </c>
      <c r="AM54" s="42">
        <f>_xlfn.STDEV.S(AL54:AL73)</f>
        <v/>
      </c>
      <c r="BC54">
        <f>H43*I43</f>
        <v/>
      </c>
    </row>
    <row r="55" ht="16" customHeight="1">
      <c r="A55" s="10" t="n">
        <v>46183</v>
      </c>
      <c r="B55" s="20" t="n">
        <v>1803.71</v>
      </c>
      <c r="C55" s="4" t="n">
        <v>8528657</v>
      </c>
      <c r="F55" s="4" t="n">
        <v>196000</v>
      </c>
      <c r="G55" s="4" t="n">
        <v>7706031024</v>
      </c>
      <c r="H55" s="4" t="n">
        <v>146800</v>
      </c>
      <c r="I55" s="4" t="n">
        <v>4107412004</v>
      </c>
      <c r="J55" s="4" t="n">
        <v>29650</v>
      </c>
      <c r="K55" s="4" t="n">
        <v>2272318410</v>
      </c>
      <c r="L55" s="4" t="n">
        <v>90000</v>
      </c>
      <c r="M55" s="4" t="n">
        <v>1793300377</v>
      </c>
      <c r="N55" s="4" t="n">
        <v>182000</v>
      </c>
      <c r="O55" s="4" t="n">
        <v>591611334</v>
      </c>
      <c r="Q55" s="12" t="n"/>
      <c r="R55" s="3">
        <f>G55*F55-G56*F56</f>
        <v/>
      </c>
      <c r="S55" s="3">
        <f>I55*H55-I56*H56</f>
        <v/>
      </c>
      <c r="T55" s="3">
        <f>K55*J55-K56*J56</f>
        <v/>
      </c>
      <c r="U55" s="3">
        <f>M55*L55-M56*L56</f>
        <v/>
      </c>
      <c r="V55" s="3">
        <f>O55*N55-O56*N56</f>
        <v/>
      </c>
      <c r="X55" s="2">
        <f>R55/10^9</f>
        <v/>
      </c>
      <c r="Y55" s="2">
        <f>S55/10^9</f>
        <v/>
      </c>
      <c r="Z55" s="2">
        <f>T55/10^9</f>
        <v/>
      </c>
      <c r="AA55" s="2">
        <f>U55/10^9</f>
        <v/>
      </c>
      <c r="AB55" s="2">
        <f>V55/10^9</f>
        <v/>
      </c>
      <c r="AD55" s="8">
        <f>X55/$C56*$B56</f>
        <v/>
      </c>
      <c r="AE55" s="8">
        <f>Y55/$C56*$B56</f>
        <v/>
      </c>
      <c r="AF55" s="8">
        <f>Z55/$C56*$B56</f>
        <v/>
      </c>
      <c r="AG55" s="8">
        <f>AA55/$C56*$B56</f>
        <v/>
      </c>
      <c r="AH55" s="11">
        <f>AB55/$C56*$B56</f>
        <v/>
      </c>
      <c r="AI55" s="8">
        <f>SUM(AD55:AG55)</f>
        <v/>
      </c>
      <c r="AJ55" s="9">
        <f>AI55+AJ56</f>
        <v/>
      </c>
      <c r="AL55" s="7">
        <f>B55-AJ55</f>
        <v/>
      </c>
      <c r="AM55" s="42">
        <f>_xlfn.STDEV.S(AL55:AL74)</f>
        <v/>
      </c>
      <c r="BC55">
        <f>H409*I409</f>
        <v/>
      </c>
    </row>
    <row r="56" ht="16" customHeight="1">
      <c r="A56" s="10" t="n">
        <v>46182</v>
      </c>
      <c r="B56" s="20" t="n">
        <v>1793.05</v>
      </c>
      <c r="C56" s="4" t="n">
        <v>8478212</v>
      </c>
      <c r="F56" s="4" t="n">
        <v>193200</v>
      </c>
      <c r="G56" s="4" t="n">
        <v>7706031024</v>
      </c>
      <c r="H56" s="4" t="n">
        <v>146000</v>
      </c>
      <c r="I56" s="4" t="n">
        <v>4107412004</v>
      </c>
      <c r="J56" s="4" t="n">
        <v>29100</v>
      </c>
      <c r="K56" s="4" t="n">
        <v>2272318410</v>
      </c>
      <c r="L56" s="4" t="n">
        <v>90000</v>
      </c>
      <c r="M56" s="4" t="n">
        <v>1793300377</v>
      </c>
      <c r="N56" s="4" t="n">
        <v>179000</v>
      </c>
      <c r="O56" s="4" t="n">
        <v>591611334</v>
      </c>
      <c r="Q56" s="12" t="n"/>
      <c r="R56" s="3">
        <f>G56*F56-G57*F57</f>
        <v/>
      </c>
      <c r="S56" s="3">
        <f>I56*H56-I57*H57</f>
        <v/>
      </c>
      <c r="T56" s="3">
        <f>K56*J56-K57*J57</f>
        <v/>
      </c>
      <c r="U56" s="3">
        <f>M56*L56-M57*L57</f>
        <v/>
      </c>
      <c r="V56" s="3">
        <f>O56*N56-O57*N57</f>
        <v/>
      </c>
      <c r="X56" s="2">
        <f>R56/10^9</f>
        <v/>
      </c>
      <c r="Y56" s="2">
        <f>S56/10^9</f>
        <v/>
      </c>
      <c r="Z56" s="2">
        <f>T56/10^9</f>
        <v/>
      </c>
      <c r="AA56" s="2">
        <f>U56/10^9</f>
        <v/>
      </c>
      <c r="AB56" s="2">
        <f>V56/10^9</f>
        <v/>
      </c>
      <c r="AD56" s="8">
        <f>X56/$C57*$B57</f>
        <v/>
      </c>
      <c r="AE56" s="8">
        <f>Y56/$C57*$B57</f>
        <v/>
      </c>
      <c r="AF56" s="8">
        <f>Z56/$C57*$B57</f>
        <v/>
      </c>
      <c r="AG56" s="8">
        <f>AA56/$C57*$B57</f>
        <v/>
      </c>
      <c r="AH56" s="11">
        <f>AB56/$C57*$B57</f>
        <v/>
      </c>
      <c r="AI56" s="8">
        <f>SUM(AD56:AG56)</f>
        <v/>
      </c>
      <c r="AJ56" s="9">
        <f>AI56+AJ57</f>
        <v/>
      </c>
      <c r="AL56" s="7">
        <f>B56-AJ56</f>
        <v/>
      </c>
      <c r="AM56" s="42">
        <f>_xlfn.STDEV.S(AL56:AL75)</f>
        <v/>
      </c>
      <c r="BC56">
        <f>BC54-BC55</f>
        <v/>
      </c>
    </row>
    <row r="57" ht="16" customHeight="1">
      <c r="A57" s="10" t="n">
        <v>46181</v>
      </c>
      <c r="B57" s="20" t="n">
        <v>1790.53</v>
      </c>
      <c r="C57" s="4" t="n">
        <v>8466439</v>
      </c>
      <c r="F57" s="4" t="n">
        <v>195000</v>
      </c>
      <c r="G57" s="4" t="n">
        <v>7706031024</v>
      </c>
      <c r="H57" s="4" t="n">
        <v>146700</v>
      </c>
      <c r="I57" s="4" t="n">
        <v>4107412004</v>
      </c>
      <c r="J57" s="4" t="n">
        <v>29600</v>
      </c>
      <c r="K57" s="4" t="n">
        <v>2272318410</v>
      </c>
      <c r="L57" s="4" t="n">
        <v>89000</v>
      </c>
      <c r="M57" s="4" t="n">
        <v>1793300377</v>
      </c>
      <c r="N57" s="4" t="n">
        <v>176800</v>
      </c>
      <c r="O57" s="4" t="n">
        <v>591611334</v>
      </c>
      <c r="Q57" s="12" t="n"/>
      <c r="R57" s="3">
        <f>G57*F57-G58*F58</f>
        <v/>
      </c>
      <c r="S57" s="3">
        <f>I57*H57-I58*H58</f>
        <v/>
      </c>
      <c r="T57" s="3">
        <f>K57*J57-K58*J58</f>
        <v/>
      </c>
      <c r="U57" s="3">
        <f>M57*L57-M58*L58</f>
        <v/>
      </c>
      <c r="V57" s="3">
        <f>O57*N57-O58*N58</f>
        <v/>
      </c>
      <c r="X57" s="2">
        <f>R57/10^9</f>
        <v/>
      </c>
      <c r="Y57" s="2">
        <f>S57/10^9</f>
        <v/>
      </c>
      <c r="Z57" s="2">
        <f>T57/10^9</f>
        <v/>
      </c>
      <c r="AA57" s="2">
        <f>U57/10^9</f>
        <v/>
      </c>
      <c r="AB57" s="2">
        <f>V57/10^9</f>
        <v/>
      </c>
      <c r="AD57" s="8">
        <f>X57/$C58*$B58</f>
        <v/>
      </c>
      <c r="AE57" s="8">
        <f>Y57/$C58*$B58</f>
        <v/>
      </c>
      <c r="AF57" s="8">
        <f>Z57/$C58*$B58</f>
        <v/>
      </c>
      <c r="AG57" s="8">
        <f>AA57/$C58*$B58</f>
        <v/>
      </c>
      <c r="AH57" s="11">
        <f>AB57/$C58*$B58</f>
        <v/>
      </c>
      <c r="AI57" s="8">
        <f>SUM(AD57:AG57)</f>
        <v/>
      </c>
      <c r="AJ57" s="9">
        <f>AI57+AJ58</f>
        <v/>
      </c>
      <c r="AL57" s="7">
        <f>B57-AJ57</f>
        <v/>
      </c>
      <c r="AM57" s="42">
        <f>_xlfn.STDEV.S(AL57:AL76)</f>
        <v/>
      </c>
    </row>
    <row r="58" ht="16" customHeight="1">
      <c r="A58" s="10" t="n">
        <v>46178</v>
      </c>
      <c r="B58" s="20" t="n">
        <v>1838.9</v>
      </c>
      <c r="C58" s="4" t="n">
        <v>8694673.71101916</v>
      </c>
      <c r="F58" s="4" t="n">
        <v>207000</v>
      </c>
      <c r="G58" s="4" t="n">
        <v>7706031024</v>
      </c>
      <c r="H58" s="4" t="n">
        <v>152000</v>
      </c>
      <c r="I58" s="4" t="n">
        <v>4107412004</v>
      </c>
      <c r="J58" s="4" t="n">
        <v>31200</v>
      </c>
      <c r="K58" s="4" t="n">
        <v>2272318410</v>
      </c>
      <c r="L58" s="4" t="n">
        <v>91500</v>
      </c>
      <c r="M58" s="4" t="n">
        <v>1793300377</v>
      </c>
      <c r="N58" s="4" t="n">
        <v>184600</v>
      </c>
      <c r="O58" s="4" t="n">
        <v>591611334</v>
      </c>
      <c r="Q58" s="12" t="n"/>
      <c r="R58" s="3">
        <f>G58*F58-G59*F59</f>
        <v/>
      </c>
      <c r="S58" s="3">
        <f>I58*H58-I59*H59</f>
        <v/>
      </c>
      <c r="T58" s="3">
        <f>K58*J58-K59*J59</f>
        <v/>
      </c>
      <c r="U58" s="3">
        <f>M58*L58-M59*L59</f>
        <v/>
      </c>
      <c r="V58" s="3">
        <f>O58*N58-O59*N59</f>
        <v/>
      </c>
      <c r="X58" s="2">
        <f>R58/10^9</f>
        <v/>
      </c>
      <c r="Y58" s="2">
        <f>S58/10^9</f>
        <v/>
      </c>
      <c r="Z58" s="2">
        <f>T58/10^9</f>
        <v/>
      </c>
      <c r="AA58" s="2">
        <f>U58/10^9</f>
        <v/>
      </c>
      <c r="AB58" s="2">
        <f>V58/10^9</f>
        <v/>
      </c>
      <c r="AD58" s="8">
        <f>X58/$C59*$B59</f>
        <v/>
      </c>
      <c r="AE58" s="8">
        <f>Y58/$C59*$B59</f>
        <v/>
      </c>
      <c r="AF58" s="8">
        <f>Z58/$C59*$B59</f>
        <v/>
      </c>
      <c r="AG58" s="8">
        <f>AA58/$C59*$B59</f>
        <v/>
      </c>
      <c r="AH58" s="11">
        <f>AB58/$C59*$B59</f>
        <v/>
      </c>
      <c r="AI58" s="8">
        <f>SUM(AD58:AG58)</f>
        <v/>
      </c>
      <c r="AJ58" s="9">
        <f>AI58+AJ59</f>
        <v/>
      </c>
      <c r="AK58" s="27" t="n"/>
      <c r="AL58" s="7">
        <f>B58-AJ58</f>
        <v/>
      </c>
      <c r="AM58" s="42">
        <f>_xlfn.STDEV.S(AL58:AL77)</f>
        <v/>
      </c>
      <c r="AN58" s="7" t="n"/>
      <c r="AO58" s="26" t="n"/>
      <c r="AP58" s="7" t="n"/>
      <c r="AQ58" s="7" t="n"/>
      <c r="AR58" s="26" t="n"/>
      <c r="AS58" s="7" t="n"/>
      <c r="AT58" s="7" t="n"/>
      <c r="AV58" s="7" t="n"/>
    </row>
    <row r="59" ht="16" customHeight="1">
      <c r="A59" s="10" t="n">
        <v>46177</v>
      </c>
      <c r="B59" s="20" t="n">
        <v>1831.55</v>
      </c>
      <c r="C59" s="4" t="n">
        <v>8659929.715684811</v>
      </c>
      <c r="F59" s="4" t="n">
        <v>200200</v>
      </c>
      <c r="G59" s="4" t="n">
        <v>7706031024</v>
      </c>
      <c r="H59" s="4" t="n">
        <v>150000</v>
      </c>
      <c r="I59" s="4" t="n">
        <v>4107412004</v>
      </c>
      <c r="J59" s="4" t="n">
        <v>31100</v>
      </c>
      <c r="K59" s="4" t="n">
        <v>2272318410</v>
      </c>
      <c r="L59" s="4" t="n">
        <v>90700</v>
      </c>
      <c r="M59" s="4" t="n">
        <v>1793300377</v>
      </c>
      <c r="N59" s="4" t="n">
        <v>172600</v>
      </c>
      <c r="O59" s="4" t="n">
        <v>591611334</v>
      </c>
      <c r="Q59" s="12" t="n"/>
      <c r="R59" s="3">
        <f>G59*F59-G60*F60</f>
        <v/>
      </c>
      <c r="S59" s="3">
        <f>I59*H59-I60*H60</f>
        <v/>
      </c>
      <c r="T59" s="3">
        <f>K59*J59-K60*J60</f>
        <v/>
      </c>
      <c r="U59" s="3">
        <f>M59*L59-M60*L60</f>
        <v/>
      </c>
      <c r="V59" s="3">
        <f>O59*N59-O60*N60</f>
        <v/>
      </c>
      <c r="X59" s="2">
        <f>R59/10^9</f>
        <v/>
      </c>
      <c r="Y59" s="2">
        <f>S59/10^9</f>
        <v/>
      </c>
      <c r="Z59" s="2">
        <f>T59/10^9</f>
        <v/>
      </c>
      <c r="AA59" s="2">
        <f>U59/10^9</f>
        <v/>
      </c>
      <c r="AB59" s="2">
        <f>V59/10^9</f>
        <v/>
      </c>
      <c r="AD59" s="8">
        <f>X59/$C60*$B60</f>
        <v/>
      </c>
      <c r="AE59" s="8">
        <f>Y59/$C60*$B60</f>
        <v/>
      </c>
      <c r="AF59" s="8">
        <f>Z59/$C60*$B60</f>
        <v/>
      </c>
      <c r="AG59" s="8">
        <f>AA59/$C60*$B60</f>
        <v/>
      </c>
      <c r="AH59" s="11">
        <f>AB59/$C60*$B60</f>
        <v/>
      </c>
      <c r="AI59" s="8">
        <f>SUM(AD59:AG59)</f>
        <v/>
      </c>
      <c r="AJ59" s="9">
        <f>AI59+AJ60</f>
        <v/>
      </c>
      <c r="AK59" s="27" t="n"/>
      <c r="AL59" s="7">
        <f>B59-AJ59</f>
        <v/>
      </c>
      <c r="AM59" s="42">
        <f>_xlfn.STDEV.S(AL59:AL78)</f>
        <v/>
      </c>
      <c r="AS59" s="7" t="n"/>
      <c r="AV59" s="7" t="n"/>
      <c r="BC59">
        <f>BC50-BC56</f>
        <v/>
      </c>
    </row>
    <row r="60" ht="16" customHeight="1">
      <c r="A60" s="10" t="n">
        <v>46176</v>
      </c>
      <c r="B60" s="20" t="n">
        <v>1819.01</v>
      </c>
      <c r="C60" s="4" t="n">
        <v>8599483.62174907</v>
      </c>
      <c r="F60" s="4" t="n">
        <v>197600</v>
      </c>
      <c r="G60" s="4" t="n">
        <v>7706031024</v>
      </c>
      <c r="H60" s="4" t="n">
        <v>148400</v>
      </c>
      <c r="I60" s="4" t="n">
        <v>4107412004</v>
      </c>
      <c r="J60" s="4" t="n">
        <v>30050</v>
      </c>
      <c r="K60" s="4" t="n">
        <v>2272318410</v>
      </c>
      <c r="L60" s="4" t="n">
        <v>92000</v>
      </c>
      <c r="M60" s="4" t="n">
        <v>1793300377</v>
      </c>
      <c r="N60" s="4" t="n">
        <v>170800</v>
      </c>
      <c r="O60" s="4" t="n">
        <v>591611334</v>
      </c>
      <c r="Q60" s="12" t="n"/>
      <c r="R60" s="3">
        <f>G60*F60-G61*F61</f>
        <v/>
      </c>
      <c r="S60" s="3">
        <f>I60*H60-I61*H61</f>
        <v/>
      </c>
      <c r="T60" s="3">
        <f>K60*J60-K61*J61</f>
        <v/>
      </c>
      <c r="U60" s="3">
        <f>M60*L60-M61*L61</f>
        <v/>
      </c>
      <c r="V60" s="3">
        <f>O60*N60-O61*N61</f>
        <v/>
      </c>
      <c r="X60" s="2">
        <f>R60/10^9</f>
        <v/>
      </c>
      <c r="Y60" s="2">
        <f>S60/10^9</f>
        <v/>
      </c>
      <c r="Z60" s="2">
        <f>T60/10^9</f>
        <v/>
      </c>
      <c r="AA60" s="2">
        <f>U60/10^9</f>
        <v/>
      </c>
      <c r="AB60" s="2">
        <f>V60/10^9</f>
        <v/>
      </c>
      <c r="AD60" s="8">
        <f>X60/$C61*$B61</f>
        <v/>
      </c>
      <c r="AE60" s="8">
        <f>Y60/$C61*$B61</f>
        <v/>
      </c>
      <c r="AF60" s="8">
        <f>Z60/$C61*$B61</f>
        <v/>
      </c>
      <c r="AG60" s="8">
        <f>AA60/$C61*$B61</f>
        <v/>
      </c>
      <c r="AH60" s="11">
        <f>AB60/$C61*$B61</f>
        <v/>
      </c>
      <c r="AI60" s="8">
        <f>SUM(AD60:AG60)</f>
        <v/>
      </c>
      <c r="AJ60" s="9">
        <f>AI60+AJ61</f>
        <v/>
      </c>
      <c r="AK60" s="27" t="n"/>
      <c r="AL60" s="7">
        <f>B60-AJ60</f>
        <v/>
      </c>
      <c r="AM60" s="42">
        <f>_xlfn.STDEV.S(AL60:AL79)</f>
        <v/>
      </c>
      <c r="AS60" s="7" t="n"/>
      <c r="BC60">
        <f>BC59/BC45</f>
        <v/>
      </c>
    </row>
    <row r="61" ht="16" customHeight="1">
      <c r="A61" s="10" t="n">
        <v>46175</v>
      </c>
      <c r="B61" s="20" t="n">
        <v>1826.47</v>
      </c>
      <c r="C61" s="4" t="n">
        <v>8634667.59543822</v>
      </c>
      <c r="F61" s="4" t="n">
        <v>204900</v>
      </c>
      <c r="G61" s="4" t="n">
        <v>7706031024</v>
      </c>
      <c r="H61" s="4" t="n">
        <v>150800</v>
      </c>
      <c r="I61" s="4" t="n">
        <v>4107412004</v>
      </c>
      <c r="J61" s="4" t="n">
        <v>31000</v>
      </c>
      <c r="K61" s="4" t="n">
        <v>2272318410</v>
      </c>
      <c r="L61" s="4" t="n">
        <v>92000</v>
      </c>
      <c r="M61" s="4" t="n">
        <v>1793300377</v>
      </c>
      <c r="N61" s="4" t="n">
        <v>170100</v>
      </c>
      <c r="O61" s="4" t="n">
        <v>591611334</v>
      </c>
      <c r="Q61" s="12" t="n"/>
      <c r="R61" s="3">
        <f>G61*F61-G62*F62</f>
        <v/>
      </c>
      <c r="S61" s="3">
        <f>I61*H61-I62*H62</f>
        <v/>
      </c>
      <c r="T61" s="3">
        <f>K61*J61-K62*J62</f>
        <v/>
      </c>
      <c r="U61" s="3">
        <f>M61*L61-M62*L62</f>
        <v/>
      </c>
      <c r="V61" s="3">
        <f>O61*N61-O62*N62</f>
        <v/>
      </c>
      <c r="X61" s="2">
        <f>R61/10^9</f>
        <v/>
      </c>
      <c r="Y61" s="2">
        <f>S61/10^9</f>
        <v/>
      </c>
      <c r="Z61" s="2">
        <f>T61/10^9</f>
        <v/>
      </c>
      <c r="AA61" s="2">
        <f>U61/10^9</f>
        <v/>
      </c>
      <c r="AB61" s="2">
        <f>V61/10^9</f>
        <v/>
      </c>
      <c r="AD61" s="8">
        <f>X61/$C62*$B62</f>
        <v/>
      </c>
      <c r="AE61" s="8">
        <f>Y61/$C62*$B62</f>
        <v/>
      </c>
      <c r="AF61" s="8">
        <f>Z61/$C62*$B62</f>
        <v/>
      </c>
      <c r="AG61" s="8">
        <f>AA61/$C62*$B62</f>
        <v/>
      </c>
      <c r="AH61" s="11">
        <f>AB61/$C62*$B62</f>
        <v/>
      </c>
      <c r="AI61" s="8">
        <f>SUM(AD61:AG61)</f>
        <v/>
      </c>
      <c r="AJ61" s="9">
        <f>AI61+AJ62</f>
        <v/>
      </c>
      <c r="AK61" s="27" t="n"/>
      <c r="AL61" s="7">
        <f>B61-AJ61</f>
        <v/>
      </c>
      <c r="AM61" s="42">
        <f>_xlfn.STDEV.S(AL61:AL80)</f>
        <v/>
      </c>
      <c r="BC61">
        <f>BC60*B43</f>
        <v/>
      </c>
    </row>
    <row r="62" ht="16" customHeight="1">
      <c r="A62" s="10" t="n">
        <v>46174</v>
      </c>
      <c r="B62" s="20" t="n">
        <v>1844.54</v>
      </c>
      <c r="C62" s="4" t="n">
        <v>8719898.995394889</v>
      </c>
      <c r="F62" s="4" t="n">
        <v>204900</v>
      </c>
      <c r="G62" s="4" t="n">
        <v>7706031024</v>
      </c>
      <c r="H62" s="4" t="n">
        <v>152000</v>
      </c>
      <c r="I62" s="4" t="n">
        <v>4107412004</v>
      </c>
      <c r="J62" s="4" t="n">
        <v>31200</v>
      </c>
      <c r="K62" s="4" t="n">
        <v>2272318410</v>
      </c>
      <c r="L62" s="4" t="n">
        <v>92200</v>
      </c>
      <c r="M62" s="4" t="n">
        <v>1793300377</v>
      </c>
      <c r="N62" s="4" t="n">
        <v>171000</v>
      </c>
      <c r="O62" s="4" t="n">
        <v>591611334</v>
      </c>
      <c r="Q62" s="12" t="n"/>
      <c r="R62" s="3">
        <f>G62*F62-G63*F63</f>
        <v/>
      </c>
      <c r="S62" s="3">
        <f>I62*H62-I63*H63</f>
        <v/>
      </c>
      <c r="T62" s="3">
        <f>K62*J62-K63*J63</f>
        <v/>
      </c>
      <c r="U62" s="3">
        <f>M62*L62-M63*L63</f>
        <v/>
      </c>
      <c r="V62" s="3">
        <f>O62*N62-O63*N63</f>
        <v/>
      </c>
      <c r="X62" s="2">
        <f>R62/10^9</f>
        <v/>
      </c>
      <c r="Y62" s="2">
        <f>S62/10^9</f>
        <v/>
      </c>
      <c r="Z62" s="2">
        <f>T62/10^9</f>
        <v/>
      </c>
      <c r="AA62" s="2">
        <f>U62/10^9</f>
        <v/>
      </c>
      <c r="AB62" s="2">
        <f>V62/10^9</f>
        <v/>
      </c>
      <c r="AD62" s="8">
        <f>X62/$C63*$B63</f>
        <v/>
      </c>
      <c r="AE62" s="8">
        <f>Y62/$C63*$B63</f>
        <v/>
      </c>
      <c r="AF62" s="8">
        <f>Z62/$C63*$B63</f>
        <v/>
      </c>
      <c r="AG62" s="8">
        <f>AA62/$C63*$B63</f>
        <v/>
      </c>
      <c r="AH62" s="11">
        <f>AB62/$C63*$B63</f>
        <v/>
      </c>
      <c r="AI62" s="8">
        <f>SUM(AD62:AG62)</f>
        <v/>
      </c>
      <c r="AJ62" s="9">
        <f>AI62+AJ63</f>
        <v/>
      </c>
      <c r="AK62" s="27" t="n"/>
      <c r="AL62" s="7">
        <f>B62-AJ62</f>
        <v/>
      </c>
      <c r="AM62" s="42">
        <f>_xlfn.STDEV.S(AL62:AL81)</f>
        <v/>
      </c>
    </row>
    <row r="63" ht="16" customHeight="1">
      <c r="A63" s="10" t="n">
        <v>46171</v>
      </c>
      <c r="B63" s="20" t="n">
        <v>1863.49</v>
      </c>
      <c r="C63" s="4" t="n">
        <v>8809231.29786082</v>
      </c>
      <c r="F63" s="4" t="n">
        <v>211300</v>
      </c>
      <c r="G63" s="4" t="n">
        <v>7706031024</v>
      </c>
      <c r="H63" s="4" t="n">
        <v>156000</v>
      </c>
      <c r="I63" s="4" t="n">
        <v>4107412004</v>
      </c>
      <c r="J63" s="4" t="n">
        <v>32250</v>
      </c>
      <c r="K63" s="4" t="n">
        <v>2272318410</v>
      </c>
      <c r="L63" s="4" t="n">
        <v>93500</v>
      </c>
      <c r="M63" s="4" t="n">
        <v>1793300377</v>
      </c>
      <c r="N63" s="4" t="n">
        <v>171900</v>
      </c>
      <c r="O63" s="4" t="n">
        <v>591611334</v>
      </c>
      <c r="Q63" s="12" t="n"/>
      <c r="R63" s="3">
        <f>G63*F63-G64*F64</f>
        <v/>
      </c>
      <c r="S63" s="3">
        <f>I63*H63-I64*H64</f>
        <v/>
      </c>
      <c r="T63" s="3">
        <f>K63*J63-K64*J64</f>
        <v/>
      </c>
      <c r="U63" s="3">
        <f>M63*L63-M64*L64</f>
        <v/>
      </c>
      <c r="V63" s="3">
        <f>O63*N63-O64*N64</f>
        <v/>
      </c>
      <c r="X63" s="2">
        <f>R63/10^9</f>
        <v/>
      </c>
      <c r="Y63" s="2">
        <f>S63/10^9</f>
        <v/>
      </c>
      <c r="Z63" s="2">
        <f>T63/10^9</f>
        <v/>
      </c>
      <c r="AA63" s="2">
        <f>U63/10^9</f>
        <v/>
      </c>
      <c r="AB63" s="2">
        <f>V63/10^9</f>
        <v/>
      </c>
      <c r="AD63" s="8">
        <f>X63/$C64*$B64</f>
        <v/>
      </c>
      <c r="AE63" s="8">
        <f>Y63/$C64*$B64</f>
        <v/>
      </c>
      <c r="AF63" s="8">
        <f>Z63/$C64*$B64</f>
        <v/>
      </c>
      <c r="AG63" s="8">
        <f>AA63/$C64*$B64</f>
        <v/>
      </c>
      <c r="AH63" s="11">
        <f>AB63/$C64*$B64</f>
        <v/>
      </c>
      <c r="AI63" s="8">
        <f>SUM(AD63:AG63)</f>
        <v/>
      </c>
      <c r="AJ63" s="9">
        <f>AI63+AJ64</f>
        <v/>
      </c>
      <c r="AK63" s="27" t="n"/>
      <c r="AL63" s="7">
        <f>B63-AJ63</f>
        <v/>
      </c>
      <c r="AM63" s="42">
        <f>_xlfn.STDEV.S(AL63:AL82)</f>
        <v/>
      </c>
      <c r="AN63" s="7" t="n"/>
      <c r="AO63" s="26" t="n"/>
      <c r="AP63" s="7" t="n"/>
      <c r="AQ63" s="7" t="n"/>
      <c r="AR63" s="26" t="n"/>
      <c r="AS63" s="7" t="n"/>
      <c r="AT63" s="7" t="n"/>
      <c r="AV63" s="7" t="n"/>
    </row>
    <row r="64" ht="16" customHeight="1">
      <c r="A64" s="10" t="n">
        <v>46170</v>
      </c>
      <c r="B64" s="20" t="n">
        <v>1863.67</v>
      </c>
      <c r="C64" s="4" t="n">
        <v>8810114.73379679</v>
      </c>
      <c r="F64" s="4" t="n">
        <v>210800</v>
      </c>
      <c r="G64" s="4" t="n">
        <v>7706031024</v>
      </c>
      <c r="H64" s="4" t="n">
        <v>157700</v>
      </c>
      <c r="I64" s="4" t="n">
        <v>4107412004</v>
      </c>
      <c r="J64" s="4" t="n">
        <v>32250</v>
      </c>
      <c r="K64" s="4" t="n">
        <v>2272318410</v>
      </c>
      <c r="L64" s="4" t="n">
        <v>91800</v>
      </c>
      <c r="M64" s="4" t="n">
        <v>1793300377</v>
      </c>
      <c r="N64" s="4" t="n">
        <v>170400</v>
      </c>
      <c r="O64" s="4" t="n">
        <v>591611334</v>
      </c>
      <c r="Q64" s="12" t="n"/>
      <c r="R64" s="3">
        <f>G64*F64-G65*F65</f>
        <v/>
      </c>
      <c r="S64" s="3">
        <f>I64*H64-I65*H65</f>
        <v/>
      </c>
      <c r="T64" s="3">
        <f>K64*J64-K65*J65</f>
        <v/>
      </c>
      <c r="U64" s="3">
        <f>M64*L64-M65*L65</f>
        <v/>
      </c>
      <c r="V64" s="3">
        <f>O64*N64-O65*N65</f>
        <v/>
      </c>
      <c r="X64" s="2">
        <f>R64/10^9</f>
        <v/>
      </c>
      <c r="Y64" s="2">
        <f>S64/10^9</f>
        <v/>
      </c>
      <c r="Z64" s="2">
        <f>T64/10^9</f>
        <v/>
      </c>
      <c r="AA64" s="2">
        <f>U64/10^9</f>
        <v/>
      </c>
      <c r="AB64" s="2">
        <f>V64/10^9</f>
        <v/>
      </c>
      <c r="AD64" s="8">
        <f>X64/$C65*$B65</f>
        <v/>
      </c>
      <c r="AE64" s="8">
        <f>Y64/$C65*$B65</f>
        <v/>
      </c>
      <c r="AF64" s="8">
        <f>Z64/$C65*$B65</f>
        <v/>
      </c>
      <c r="AG64" s="8">
        <f>AA64/$C65*$B65</f>
        <v/>
      </c>
      <c r="AH64" s="11">
        <f>AB64/$C65*$B65</f>
        <v/>
      </c>
      <c r="AI64" s="8">
        <f>SUM(AD64:AG64)</f>
        <v/>
      </c>
      <c r="AJ64" s="9">
        <f>AI64+AJ65</f>
        <v/>
      </c>
      <c r="AL64" s="7">
        <f>B64-AJ64</f>
        <v/>
      </c>
      <c r="AM64" s="42">
        <f>_xlfn.STDEV.S(AL64:AL83)</f>
        <v/>
      </c>
      <c r="AS64" s="7" t="n"/>
      <c r="AV64" s="7" t="n"/>
    </row>
    <row r="65" ht="16" customHeight="1">
      <c r="A65" s="10" t="n">
        <v>46169</v>
      </c>
      <c r="B65" s="20" t="n">
        <v>1874.43</v>
      </c>
      <c r="C65" s="4" t="n">
        <v>8861111.498864811</v>
      </c>
      <c r="F65" s="4" t="n">
        <v>210800</v>
      </c>
      <c r="G65" s="4" t="n">
        <v>7706031024</v>
      </c>
      <c r="H65" s="4" t="n">
        <v>147400</v>
      </c>
      <c r="I65" s="4" t="n">
        <v>4107412004</v>
      </c>
      <c r="J65" s="4" t="n">
        <v>31250</v>
      </c>
      <c r="K65" s="4" t="n">
        <v>2272318410</v>
      </c>
      <c r="L65" s="4" t="n">
        <v>91700</v>
      </c>
      <c r="M65" s="4" t="n">
        <v>1793300377</v>
      </c>
      <c r="N65" s="4" t="n">
        <v>172100</v>
      </c>
      <c r="O65" s="4" t="n">
        <v>591611334</v>
      </c>
      <c r="Q65" s="12" t="n"/>
      <c r="R65" s="3">
        <f>G65*F65-G66*F66</f>
        <v/>
      </c>
      <c r="S65" s="3">
        <f>I65*H65-I66*H66</f>
        <v/>
      </c>
      <c r="T65" s="3">
        <f>K65*J65-K66*J66</f>
        <v/>
      </c>
      <c r="U65" s="3">
        <f>M65*L65-M66*L66</f>
        <v/>
      </c>
      <c r="V65" s="3">
        <f>O65*N65-O66*N66</f>
        <v/>
      </c>
      <c r="X65" s="2">
        <f>R65/10^9</f>
        <v/>
      </c>
      <c r="Y65" s="2">
        <f>S65/10^9</f>
        <v/>
      </c>
      <c r="Z65" s="2">
        <f>T65/10^9</f>
        <v/>
      </c>
      <c r="AA65" s="2">
        <f>U65/10^9</f>
        <v/>
      </c>
      <c r="AB65" s="2">
        <f>V65/10^9</f>
        <v/>
      </c>
      <c r="AD65" s="8">
        <f>X65/$C66*$B66</f>
        <v/>
      </c>
      <c r="AE65" s="8">
        <f>Y65/$C66*$B66</f>
        <v/>
      </c>
      <c r="AF65" s="8">
        <f>Z65/$C66*$B66</f>
        <v/>
      </c>
      <c r="AG65" s="8">
        <f>AA65/$C66*$B66</f>
        <v/>
      </c>
      <c r="AH65" s="11">
        <f>AB65/$C66*$B66</f>
        <v/>
      </c>
      <c r="AI65" s="8">
        <f>SUM(AD65:AG65)</f>
        <v/>
      </c>
      <c r="AJ65" s="9">
        <f>AI65+AJ66</f>
        <v/>
      </c>
      <c r="AL65" s="7">
        <f>B65-AJ65</f>
        <v/>
      </c>
      <c r="AM65" s="42">
        <f>_xlfn.STDEV.S(AL65:AL84)</f>
        <v/>
      </c>
      <c r="AS65" s="7" t="n"/>
    </row>
    <row r="66" ht="16" customHeight="1">
      <c r="A66" s="10" t="n">
        <v>46168</v>
      </c>
      <c r="B66" s="20" t="n">
        <v>1884.18</v>
      </c>
      <c r="C66" s="4" t="n">
        <v>8907039.92194885</v>
      </c>
      <c r="F66" s="4" t="n">
        <v>213000</v>
      </c>
      <c r="G66" s="4" t="n">
        <v>7706031024</v>
      </c>
      <c r="H66" s="4" t="n">
        <v>153800</v>
      </c>
      <c r="I66" s="4" t="n">
        <v>4107412004</v>
      </c>
      <c r="J66" s="4" t="n">
        <v>32700</v>
      </c>
      <c r="K66" s="4" t="n">
        <v>2272318410</v>
      </c>
      <c r="L66" s="4" t="n">
        <v>95700</v>
      </c>
      <c r="M66" s="4" t="n">
        <v>1793300377</v>
      </c>
      <c r="N66" s="4" t="n">
        <v>172600</v>
      </c>
      <c r="O66" s="4" t="n">
        <v>591611334</v>
      </c>
      <c r="Q66" s="12" t="n"/>
      <c r="R66" s="3">
        <f>G66*F66-G67*F67</f>
        <v/>
      </c>
      <c r="S66" s="3">
        <f>I66*H66-I67*H67</f>
        <v/>
      </c>
      <c r="T66" s="3">
        <f>K66*J66-K67*J67</f>
        <v/>
      </c>
      <c r="U66" s="3">
        <f>M66*L66-M67*L67</f>
        <v/>
      </c>
      <c r="V66" s="3">
        <f>O66*N66-O67*N67</f>
        <v/>
      </c>
      <c r="X66" s="2">
        <f>R66/10^9</f>
        <v/>
      </c>
      <c r="Y66" s="2">
        <f>S66/10^9</f>
        <v/>
      </c>
      <c r="Z66" s="2">
        <f>T66/10^9</f>
        <v/>
      </c>
      <c r="AA66" s="2">
        <f>U66/10^9</f>
        <v/>
      </c>
      <c r="AB66" s="2">
        <f>V66/10^9</f>
        <v/>
      </c>
      <c r="AD66" s="8">
        <f>X66/$C67*$B67</f>
        <v/>
      </c>
      <c r="AE66" s="8">
        <f>Y66/$C67*$B67</f>
        <v/>
      </c>
      <c r="AF66" s="8">
        <f>Z66/$C67*$B67</f>
        <v/>
      </c>
      <c r="AG66" s="8">
        <f>AA66/$C67*$B67</f>
        <v/>
      </c>
      <c r="AH66" s="11">
        <f>AB66/$C67*$B67</f>
        <v/>
      </c>
      <c r="AI66" s="8">
        <f>SUM(AD66:AG66)</f>
        <v/>
      </c>
      <c r="AJ66" s="9">
        <f>AI66+AJ67</f>
        <v/>
      </c>
      <c r="AL66" s="7">
        <f>B66-AJ66</f>
        <v/>
      </c>
      <c r="AM66" s="42">
        <f>_xlfn.STDEV.S(AL66:AL85)</f>
        <v/>
      </c>
      <c r="AS66" s="7" t="n"/>
    </row>
    <row r="67" ht="16" customHeight="1">
      <c r="A67" s="10" t="n">
        <v>46167</v>
      </c>
      <c r="B67" s="20" t="n">
        <v>1886.03</v>
      </c>
      <c r="C67" s="4" t="n">
        <v>8915558.238224469</v>
      </c>
      <c r="F67" s="4" t="n">
        <v>218800</v>
      </c>
      <c r="G67" s="4" t="n">
        <v>7706031024</v>
      </c>
      <c r="H67" s="4" t="n">
        <v>158700</v>
      </c>
      <c r="I67" s="4" t="n">
        <v>4107412004</v>
      </c>
      <c r="J67" s="4" t="n">
        <v>32800</v>
      </c>
      <c r="K67" s="4" t="n">
        <v>2272318410</v>
      </c>
      <c r="L67" s="4" t="n">
        <v>95700</v>
      </c>
      <c r="M67" s="4" t="n">
        <v>1793300377</v>
      </c>
      <c r="N67" s="4" t="n">
        <v>173800</v>
      </c>
      <c r="O67" s="4" t="n">
        <v>591611334</v>
      </c>
      <c r="Q67" s="12" t="n"/>
      <c r="R67" s="3">
        <f>G67*F67-G68*F68</f>
        <v/>
      </c>
      <c r="S67" s="3">
        <f>I67*H67-I68*H68</f>
        <v/>
      </c>
      <c r="T67" s="3">
        <f>K67*J67-K68*J68</f>
        <v/>
      </c>
      <c r="U67" s="3">
        <f>M67*L67-M68*L68</f>
        <v/>
      </c>
      <c r="V67" s="3">
        <f>O67*N67-O68*N68</f>
        <v/>
      </c>
      <c r="X67" s="2">
        <f>R67/10^9</f>
        <v/>
      </c>
      <c r="Y67" s="2">
        <f>S67/10^9</f>
        <v/>
      </c>
      <c r="Z67" s="2">
        <f>T67/10^9</f>
        <v/>
      </c>
      <c r="AA67" s="2">
        <f>U67/10^9</f>
        <v/>
      </c>
      <c r="AB67" s="2">
        <f>V67/10^9</f>
        <v/>
      </c>
      <c r="AD67" s="8">
        <f>X67/$C68*$B68</f>
        <v/>
      </c>
      <c r="AE67" s="8">
        <f>Y67/$C68*$B68</f>
        <v/>
      </c>
      <c r="AF67" s="8">
        <f>Z67/$C68*$B68</f>
        <v/>
      </c>
      <c r="AG67" s="8">
        <f>AA67/$C68*$B68</f>
        <v/>
      </c>
      <c r="AH67" s="11">
        <f>AB67/$C68*$B68</f>
        <v/>
      </c>
      <c r="AI67" s="8">
        <f>SUM(AD67:AG67)</f>
        <v/>
      </c>
      <c r="AJ67" s="9">
        <f>AI67+AJ68</f>
        <v/>
      </c>
      <c r="AL67" s="7">
        <f>B67-AJ67</f>
        <v/>
      </c>
      <c r="AM67" s="42">
        <f>_xlfn.STDEV.S(AL67:AL86)</f>
        <v/>
      </c>
      <c r="AS67" s="7" t="n"/>
    </row>
    <row r="68" ht="16" customHeight="1">
      <c r="A68" s="10" t="n">
        <v>46164</v>
      </c>
      <c r="B68" s="20" t="n">
        <v>1877.13</v>
      </c>
      <c r="C68" s="4" t="n">
        <v>8873573.928207939</v>
      </c>
      <c r="F68" s="4" t="n">
        <v>216500</v>
      </c>
      <c r="G68" s="4" t="n">
        <v>7706031024</v>
      </c>
      <c r="H68" s="4" t="n">
        <v>153800</v>
      </c>
      <c r="I68" s="4" t="n">
        <v>4107412004</v>
      </c>
      <c r="J68" s="4" t="n">
        <v>31700</v>
      </c>
      <c r="K68" s="4" t="n">
        <v>2272318410</v>
      </c>
      <c r="L68" s="4" t="n">
        <v>93400</v>
      </c>
      <c r="M68" s="4" t="n">
        <v>1793300377</v>
      </c>
      <c r="N68" s="4" t="n">
        <v>170100</v>
      </c>
      <c r="O68" s="23" t="n">
        <v>591611334</v>
      </c>
      <c r="Q68" s="12" t="n"/>
      <c r="R68" s="3">
        <f>G68*F68-G69*F69</f>
        <v/>
      </c>
      <c r="S68" s="3">
        <f>I68*H68-I69*H69</f>
        <v/>
      </c>
      <c r="T68" s="3">
        <f>K68*J68-K69*J69</f>
        <v/>
      </c>
      <c r="U68" s="3">
        <f>M68*L68-M69*L69</f>
        <v/>
      </c>
      <c r="V68" s="3">
        <f>O68*N68-O69*N69</f>
        <v/>
      </c>
      <c r="X68" s="2">
        <f>R68/10^9</f>
        <v/>
      </c>
      <c r="Y68" s="2">
        <f>S68/10^9</f>
        <v/>
      </c>
      <c r="Z68" s="2">
        <f>T68/10^9</f>
        <v/>
      </c>
      <c r="AA68" s="2">
        <f>U68/10^9</f>
        <v/>
      </c>
      <c r="AB68" s="2">
        <f>V68/10^9</f>
        <v/>
      </c>
      <c r="AD68" s="8">
        <f>X68/$C69*$B69</f>
        <v/>
      </c>
      <c r="AE68" s="8">
        <f>Y68/$C69*$B69</f>
        <v/>
      </c>
      <c r="AF68" s="8">
        <f>Z68/$C69*$B69</f>
        <v/>
      </c>
      <c r="AG68" s="8">
        <f>AA68/$C69*$B69</f>
        <v/>
      </c>
      <c r="AH68" s="11">
        <f>AB68/$C69*$B69</f>
        <v/>
      </c>
      <c r="AI68" s="8">
        <f>SUM(AD68:AG68)</f>
        <v/>
      </c>
      <c r="AJ68" s="9">
        <f>AI68+AJ69</f>
        <v/>
      </c>
      <c r="AL68" s="7">
        <f>B68-AJ68</f>
        <v/>
      </c>
      <c r="AM68" s="42">
        <f>_xlfn.STDEV.S(AL68:AL87)</f>
        <v/>
      </c>
      <c r="AN68" s="7" t="n"/>
      <c r="AO68" s="26" t="n"/>
      <c r="AP68" s="7" t="n"/>
      <c r="AQ68" s="7" t="n"/>
      <c r="AR68" s="26" t="n"/>
      <c r="AS68" s="7" t="n"/>
      <c r="AT68" s="7" t="n"/>
    </row>
    <row r="69" ht="16" customHeight="1">
      <c r="A69" s="10" t="n">
        <v>46163</v>
      </c>
      <c r="B69" s="20" t="n">
        <v>1896.89</v>
      </c>
      <c r="C69" s="4" t="n">
        <v>8965649.628254941</v>
      </c>
      <c r="F69" s="4" t="n">
        <v>218700</v>
      </c>
      <c r="G69" s="4" t="n">
        <v>7706031024</v>
      </c>
      <c r="H69" s="4" t="n">
        <v>159800</v>
      </c>
      <c r="I69" s="4" t="n">
        <v>4107412004</v>
      </c>
      <c r="J69" s="4" t="n">
        <v>32800</v>
      </c>
      <c r="K69" s="4" t="n">
        <v>2272318410</v>
      </c>
      <c r="L69" s="4" t="n">
        <v>93500</v>
      </c>
      <c r="M69" s="4" t="n">
        <v>1793300377</v>
      </c>
      <c r="N69" s="4" t="n">
        <v>173500</v>
      </c>
      <c r="O69" s="23" t="n">
        <v>591611334</v>
      </c>
      <c r="Q69" s="12" t="n"/>
      <c r="R69" s="3">
        <f>G69*F69-G70*F70</f>
        <v/>
      </c>
      <c r="S69" s="3">
        <f>I69*H69-I70*H70</f>
        <v/>
      </c>
      <c r="T69" s="3">
        <f>K69*J69-K70*J70</f>
        <v/>
      </c>
      <c r="U69" s="3">
        <f>M69*L69-M70*L70</f>
        <v/>
      </c>
      <c r="V69" s="3">
        <f>O69*N69-O70*N70</f>
        <v/>
      </c>
      <c r="X69" s="2">
        <f>R69/10^9</f>
        <v/>
      </c>
      <c r="Y69" s="2">
        <f>S69/10^9</f>
        <v/>
      </c>
      <c r="Z69" s="2">
        <f>T69/10^9</f>
        <v/>
      </c>
      <c r="AA69" s="2">
        <f>U69/10^9</f>
        <v/>
      </c>
      <c r="AB69" s="2">
        <f>V69/10^9</f>
        <v/>
      </c>
      <c r="AD69" s="8">
        <f>X69/$C70*$B70</f>
        <v/>
      </c>
      <c r="AE69" s="8">
        <f>Y69/$C70*$B70</f>
        <v/>
      </c>
      <c r="AF69" s="8">
        <f>Z69/$C70*$B70</f>
        <v/>
      </c>
      <c r="AG69" s="8">
        <f>AA69/$C70*$B70</f>
        <v/>
      </c>
      <c r="AH69" s="11">
        <f>AB69/$C70*$B70</f>
        <v/>
      </c>
      <c r="AI69" s="8">
        <f>SUM(AD69:AG69)</f>
        <v/>
      </c>
      <c r="AJ69" s="9">
        <f>AI69+AJ70</f>
        <v/>
      </c>
      <c r="AL69" s="7">
        <f>B69-AJ69</f>
        <v/>
      </c>
      <c r="AM69" s="42">
        <f>_xlfn.STDEV.S(AL69:AL88)</f>
        <v/>
      </c>
    </row>
    <row r="70" ht="16" customHeight="1">
      <c r="A70" s="10" t="n">
        <v>46162</v>
      </c>
      <c r="B70" s="20" t="n">
        <v>1913.23</v>
      </c>
      <c r="C70" s="4" t="n">
        <v>9042676.858248221</v>
      </c>
      <c r="F70" s="4" t="n">
        <v>226700</v>
      </c>
      <c r="G70" s="4" t="n">
        <v>7706031024</v>
      </c>
      <c r="H70" s="4" t="n">
        <v>159900</v>
      </c>
      <c r="I70" s="4" t="n">
        <v>4107412004</v>
      </c>
      <c r="J70" s="4" t="n">
        <v>33500</v>
      </c>
      <c r="K70" s="4" t="n">
        <v>2272318410</v>
      </c>
      <c r="L70" s="4" t="n">
        <v>91600</v>
      </c>
      <c r="M70" s="4" t="n">
        <v>1793300377</v>
      </c>
      <c r="N70" s="4" t="n">
        <v>170600</v>
      </c>
      <c r="O70" s="23" t="n">
        <v>591611334</v>
      </c>
      <c r="Q70" s="12" t="n"/>
      <c r="R70" s="3">
        <f>G70*F70-G71*F71</f>
        <v/>
      </c>
      <c r="S70" s="3">
        <f>I70*H70-I71*H71</f>
        <v/>
      </c>
      <c r="T70" s="3">
        <f>K70*J70-K71*J71</f>
        <v/>
      </c>
      <c r="U70" s="3">
        <f>M70*L70-M71*L71</f>
        <v/>
      </c>
      <c r="V70" s="3">
        <f>O70*N70-O71*N71</f>
        <v/>
      </c>
      <c r="X70" s="2">
        <f>R70/10^9</f>
        <v/>
      </c>
      <c r="Y70" s="2">
        <f>S70/10^9</f>
        <v/>
      </c>
      <c r="Z70" s="2">
        <f>T70/10^9</f>
        <v/>
      </c>
      <c r="AA70" s="2">
        <f>U70/10^9</f>
        <v/>
      </c>
      <c r="AB70" s="2">
        <f>V70/10^9</f>
        <v/>
      </c>
      <c r="AD70" s="8">
        <f>X70/$C71*$B71</f>
        <v/>
      </c>
      <c r="AE70" s="8">
        <f>Y70/$C71*$B71</f>
        <v/>
      </c>
      <c r="AF70" s="8">
        <f>Z70/$C71*$B71</f>
        <v/>
      </c>
      <c r="AG70" s="8">
        <f>AA70/$C71*$B71</f>
        <v/>
      </c>
      <c r="AH70" s="11">
        <f>AB70/$C71*$B71</f>
        <v/>
      </c>
      <c r="AI70" s="8">
        <f>SUM(AD70:AG70)</f>
        <v/>
      </c>
      <c r="AJ70" s="9">
        <f>AI70+AJ71</f>
        <v/>
      </c>
      <c r="AL70" s="7">
        <f>B70-AJ70</f>
        <v/>
      </c>
      <c r="AM70" s="42">
        <f>_xlfn.STDEV.S(AL70:AL89)</f>
        <v/>
      </c>
    </row>
    <row r="71" ht="16" customHeight="1">
      <c r="A71" s="10" t="n">
        <v>46161</v>
      </c>
      <c r="B71" s="20" t="n">
        <v>1912.93</v>
      </c>
      <c r="C71" s="4" t="n">
        <v>9041650.286016971</v>
      </c>
      <c r="F71" s="4" t="n">
        <v>225100</v>
      </c>
      <c r="G71" s="4" t="n">
        <v>7706031024</v>
      </c>
      <c r="H71" s="4" t="n">
        <v>157000</v>
      </c>
      <c r="I71" s="4" t="n">
        <v>4107412004</v>
      </c>
      <c r="J71" s="4" t="n">
        <v>33500</v>
      </c>
      <c r="K71" s="4" t="n">
        <v>2272318410</v>
      </c>
      <c r="L71" s="4" t="n">
        <v>91500</v>
      </c>
      <c r="M71" s="4" t="n">
        <v>1793300377</v>
      </c>
      <c r="N71" s="4" t="n">
        <v>172000</v>
      </c>
      <c r="O71" s="23" t="n">
        <v>591611334</v>
      </c>
      <c r="Q71" s="12" t="n"/>
      <c r="R71" s="3">
        <f>G71*F71-G72*F72</f>
        <v/>
      </c>
      <c r="S71" s="3">
        <f>I71*H71-I72*H72</f>
        <v/>
      </c>
      <c r="T71" s="3">
        <f>K71*J71-K72*J72</f>
        <v/>
      </c>
      <c r="U71" s="3">
        <f>M71*L71-M72*L72</f>
        <v/>
      </c>
      <c r="V71" s="3">
        <f>O71*N71-O72*N72</f>
        <v/>
      </c>
      <c r="X71" s="2">
        <f>R71/10^9</f>
        <v/>
      </c>
      <c r="Y71" s="2">
        <f>S71/10^9</f>
        <v/>
      </c>
      <c r="Z71" s="2">
        <f>T71/10^9</f>
        <v/>
      </c>
      <c r="AA71" s="2">
        <f>U71/10^9</f>
        <v/>
      </c>
      <c r="AB71" s="2">
        <f>V71/10^9</f>
        <v/>
      </c>
      <c r="AD71" s="8">
        <f>X71/$C72*$B72</f>
        <v/>
      </c>
      <c r="AE71" s="8">
        <f>Y71/$C72*$B72</f>
        <v/>
      </c>
      <c r="AF71" s="8">
        <f>Z71/$C72*$B72</f>
        <v/>
      </c>
      <c r="AG71" s="8">
        <f>AA71/$C72*$B72</f>
        <v/>
      </c>
      <c r="AH71" s="11">
        <f>AB71/$C72*$B72</f>
        <v/>
      </c>
      <c r="AI71" s="8">
        <f>SUM(AD71:AG71)</f>
        <v/>
      </c>
      <c r="AJ71" s="9">
        <f>AI71+AJ72</f>
        <v/>
      </c>
      <c r="AL71" s="7">
        <f>B71-AJ71</f>
        <v/>
      </c>
      <c r="AM71" s="42">
        <f>_xlfn.STDEV.S(AL71:AL90)</f>
        <v/>
      </c>
    </row>
    <row r="72" ht="16" customHeight="1">
      <c r="A72" s="10" t="n">
        <v>46160</v>
      </c>
      <c r="B72" s="20" t="n">
        <v>1927.94</v>
      </c>
      <c r="C72" s="4" t="n">
        <v>9113352.238278961</v>
      </c>
      <c r="F72" s="4" t="n">
        <v>225000</v>
      </c>
      <c r="G72" s="4" t="n">
        <v>7706031024</v>
      </c>
      <c r="H72" s="4" t="n">
        <v>154000</v>
      </c>
      <c r="I72" s="4" t="n">
        <v>4107412004</v>
      </c>
      <c r="J72" s="4" t="n">
        <v>33100</v>
      </c>
      <c r="K72" s="4" t="n">
        <v>2272318410</v>
      </c>
      <c r="L72" s="4" t="n">
        <v>90400</v>
      </c>
      <c r="M72" s="4" t="n">
        <v>1793300377</v>
      </c>
      <c r="N72" s="4" t="n">
        <v>171100</v>
      </c>
      <c r="O72" s="23" t="n">
        <v>591611334</v>
      </c>
      <c r="Q72" s="12" t="n"/>
      <c r="R72" s="3">
        <f>G72*F72-G73*F73</f>
        <v/>
      </c>
      <c r="S72" s="3">
        <f>I72*H72-I73*H73</f>
        <v/>
      </c>
      <c r="T72" s="3">
        <f>K72*J72-K73*J73</f>
        <v/>
      </c>
      <c r="U72" s="3">
        <f>M72*L72-M73*L73</f>
        <v/>
      </c>
      <c r="V72" s="3">
        <f>O72*N72-O73*N73</f>
        <v/>
      </c>
      <c r="X72" s="2">
        <f>R72/10^9</f>
        <v/>
      </c>
      <c r="Y72" s="2">
        <f>S72/10^9</f>
        <v/>
      </c>
      <c r="Z72" s="2">
        <f>T72/10^9</f>
        <v/>
      </c>
      <c r="AA72" s="2">
        <f>U72/10^9</f>
        <v/>
      </c>
      <c r="AB72" s="2">
        <f>V72/10^9</f>
        <v/>
      </c>
      <c r="AD72" s="8">
        <f>X72/$C73*$B73</f>
        <v/>
      </c>
      <c r="AE72" s="8">
        <f>Y72/$C73*$B73</f>
        <v/>
      </c>
      <c r="AF72" s="8">
        <f>Z72/$C73*$B73</f>
        <v/>
      </c>
      <c r="AG72" s="8">
        <f>AA72/$C73*$B73</f>
        <v/>
      </c>
      <c r="AH72" s="11">
        <f>AB72/$C73*$B73</f>
        <v/>
      </c>
      <c r="AI72" s="8">
        <f>SUM(AD72:AG72)</f>
        <v/>
      </c>
      <c r="AJ72" s="9">
        <f>AI72+AJ73</f>
        <v/>
      </c>
      <c r="AL72" s="7">
        <f>B72-AJ72</f>
        <v/>
      </c>
      <c r="AM72" s="42">
        <f>_xlfn.STDEV.S(AL72:AL91)</f>
        <v/>
      </c>
    </row>
    <row r="73" ht="16" customHeight="1">
      <c r="A73" s="10" t="n">
        <v>46157</v>
      </c>
      <c r="B73" s="20" t="n">
        <v>1921.6</v>
      </c>
      <c r="C73" s="4" t="n">
        <v>9083722.197564879</v>
      </c>
      <c r="F73" s="4" t="n">
        <v>228000</v>
      </c>
      <c r="G73" s="4" t="n">
        <v>7706031024</v>
      </c>
      <c r="H73" s="4" t="n">
        <v>158000</v>
      </c>
      <c r="I73" s="4" t="n">
        <v>4107412004</v>
      </c>
      <c r="J73" s="4" t="n">
        <v>34000</v>
      </c>
      <c r="K73" s="4" t="n">
        <v>2272318410</v>
      </c>
      <c r="L73" s="4" t="n">
        <v>88400</v>
      </c>
      <c r="M73" s="4" t="n">
        <v>1793300377</v>
      </c>
      <c r="N73" s="4" t="n">
        <v>171300</v>
      </c>
      <c r="O73" s="23" t="n">
        <v>591611334</v>
      </c>
      <c r="Q73" s="12" t="n"/>
      <c r="R73" s="3">
        <f>G73*F73-G74*F74</f>
        <v/>
      </c>
      <c r="S73" s="3">
        <f>I73*H73-I74*H74</f>
        <v/>
      </c>
      <c r="T73" s="3">
        <f>K73*J73-K74*J74</f>
        <v/>
      </c>
      <c r="U73" s="3">
        <f>M73*L73-M74*L74</f>
        <v/>
      </c>
      <c r="V73" s="3">
        <f>O73*N73-O74*N74</f>
        <v/>
      </c>
      <c r="X73" s="2">
        <f>R73/10^9</f>
        <v/>
      </c>
      <c r="Y73" s="2">
        <f>S73/10^9</f>
        <v/>
      </c>
      <c r="Z73" s="2">
        <f>T73/10^9</f>
        <v/>
      </c>
      <c r="AA73" s="2">
        <f>U73/10^9</f>
        <v/>
      </c>
      <c r="AB73" s="2">
        <f>V73/10^9</f>
        <v/>
      </c>
      <c r="AD73" s="8">
        <f>X73/$C74*$B74</f>
        <v/>
      </c>
      <c r="AE73" s="8">
        <f>Y73/$C74*$B74</f>
        <v/>
      </c>
      <c r="AF73" s="8">
        <f>Z73/$C74*$B74</f>
        <v/>
      </c>
      <c r="AG73" s="8">
        <f>AA73/$C74*$B74</f>
        <v/>
      </c>
      <c r="AH73" s="11">
        <f>AB73/$C74*$B74</f>
        <v/>
      </c>
      <c r="AI73" s="8">
        <f>SUM(AD73:AG73)</f>
        <v/>
      </c>
      <c r="AJ73" s="9">
        <f>AI73+AJ74</f>
        <v/>
      </c>
      <c r="AL73" s="7">
        <f>B73-AJ73</f>
        <v/>
      </c>
      <c r="AM73" s="42">
        <f>_xlfn.STDEV.S(AL73:AL92)</f>
        <v/>
      </c>
    </row>
    <row r="74" ht="16" customHeight="1">
      <c r="A74" s="10" t="n">
        <v>46156</v>
      </c>
      <c r="B74" s="20" t="n">
        <v>1925.46</v>
      </c>
      <c r="C74" s="4" t="n">
        <v>9102225.718548929</v>
      </c>
      <c r="F74" s="4" t="n">
        <v>229800</v>
      </c>
      <c r="G74" s="4" t="n">
        <v>7706031024</v>
      </c>
      <c r="H74" s="4" t="n">
        <v>157000</v>
      </c>
      <c r="I74" s="4" t="n">
        <v>4107412004</v>
      </c>
      <c r="J74" s="4" t="n">
        <v>34150</v>
      </c>
      <c r="K74" s="4" t="n">
        <v>2272318410</v>
      </c>
      <c r="L74" s="4" t="n">
        <v>89800</v>
      </c>
      <c r="M74" s="4" t="n">
        <v>1793300377</v>
      </c>
      <c r="N74" s="4" t="n">
        <v>173100</v>
      </c>
      <c r="O74" s="23" t="n">
        <v>591611334</v>
      </c>
      <c r="Q74" s="12" t="n"/>
      <c r="R74" s="3">
        <f>G74*F74-G75*F75</f>
        <v/>
      </c>
      <c r="S74" s="3">
        <f>I74*H74-I75*H75</f>
        <v/>
      </c>
      <c r="T74" s="3">
        <f>K74*J74-K75*J75</f>
        <v/>
      </c>
      <c r="U74" s="3">
        <f>M74*L74-M75*L75</f>
        <v/>
      </c>
      <c r="V74" s="3">
        <f>O74*N74-O75*N75</f>
        <v/>
      </c>
      <c r="X74" s="2">
        <f>R74/10^9</f>
        <v/>
      </c>
      <c r="Y74" s="2">
        <f>S74/10^9</f>
        <v/>
      </c>
      <c r="Z74" s="2">
        <f>T74/10^9</f>
        <v/>
      </c>
      <c r="AA74" s="2">
        <f>U74/10^9</f>
        <v/>
      </c>
      <c r="AB74" s="2">
        <f>V74/10^9</f>
        <v/>
      </c>
      <c r="AD74" s="8">
        <f>X74/$C75*$B75</f>
        <v/>
      </c>
      <c r="AE74" s="8">
        <f>Y74/$C75*$B75</f>
        <v/>
      </c>
      <c r="AF74" s="8">
        <f>Z74/$C75*$B75</f>
        <v/>
      </c>
      <c r="AG74" s="8">
        <f>AA74/$C75*$B75</f>
        <v/>
      </c>
      <c r="AH74" s="11">
        <f>AB74/$C75*$B75</f>
        <v/>
      </c>
      <c r="AI74" s="8">
        <f>SUM(AD74:AG74)</f>
        <v/>
      </c>
      <c r="AJ74" s="9">
        <f>AI74+AJ75</f>
        <v/>
      </c>
      <c r="AL74" s="7">
        <f>B74-AJ74</f>
        <v/>
      </c>
      <c r="AM74" s="42">
        <f>_xlfn.STDEV.S(AL74:AL93)</f>
        <v/>
      </c>
    </row>
    <row r="75" ht="16" customFormat="1" customHeight="1" s="16">
      <c r="A75" s="10" t="n">
        <v>46155</v>
      </c>
      <c r="B75" s="20" t="n">
        <v>1898.37</v>
      </c>
      <c r="C75" s="4" t="n">
        <v>8974456.50486117</v>
      </c>
      <c r="F75" s="4" t="n">
        <v>221000</v>
      </c>
      <c r="G75" s="4" t="n">
        <v>7706031024</v>
      </c>
      <c r="H75" s="4" t="n">
        <v>152500</v>
      </c>
      <c r="I75" s="4" t="n">
        <v>4107412004</v>
      </c>
      <c r="J75" s="4" t="n">
        <v>33000</v>
      </c>
      <c r="K75" s="4" t="n">
        <v>2272318410</v>
      </c>
      <c r="L75" s="4" t="n">
        <v>90000</v>
      </c>
      <c r="M75" s="4" t="n">
        <v>1793300377</v>
      </c>
      <c r="N75" s="4" t="n">
        <v>173100</v>
      </c>
      <c r="O75" s="23" t="n">
        <v>591611334</v>
      </c>
      <c r="Q75" s="12" t="n"/>
      <c r="R75" s="3">
        <f>G75*F75-G76*F76</f>
        <v/>
      </c>
      <c r="S75" s="3">
        <f>I75*H75-I76*H76</f>
        <v/>
      </c>
      <c r="T75" s="3">
        <f>K75*J75-K76*J76</f>
        <v/>
      </c>
      <c r="U75" s="3">
        <f>M75*L75-M76*L76</f>
        <v/>
      </c>
      <c r="V75" s="3">
        <f>O75*N75-O76*N76</f>
        <v/>
      </c>
      <c r="X75" s="2">
        <f>R75/10^9</f>
        <v/>
      </c>
      <c r="Y75" s="2">
        <f>S75/10^9</f>
        <v/>
      </c>
      <c r="Z75" s="2">
        <f>T75/10^9</f>
        <v/>
      </c>
      <c r="AA75" s="2">
        <f>U75/10^9</f>
        <v/>
      </c>
      <c r="AB75" s="2">
        <f>V75/10^9</f>
        <v/>
      </c>
      <c r="AD75" s="8">
        <f>X75/$C76*$B76</f>
        <v/>
      </c>
      <c r="AE75" s="8">
        <f>Y75/$C76*$B76</f>
        <v/>
      </c>
      <c r="AF75" s="8">
        <f>Z75/$C76*$B76</f>
        <v/>
      </c>
      <c r="AG75" s="8">
        <f>AA75/$C76*$B76</f>
        <v/>
      </c>
      <c r="AH75" s="11">
        <f>AB75/$C76*$B76</f>
        <v/>
      </c>
      <c r="AI75" s="8">
        <f>SUM(AD75:AG75)</f>
        <v/>
      </c>
      <c r="AJ75" s="9">
        <f>AI75+AJ76</f>
        <v/>
      </c>
      <c r="AL75" s="7">
        <f>B75-AJ75</f>
        <v/>
      </c>
      <c r="AM75" s="42">
        <f>_xlfn.STDEV.S(AL75:AL94)</f>
        <v/>
      </c>
    </row>
    <row r="76" ht="16" customFormat="1" customHeight="1" s="16">
      <c r="A76" s="10" t="n">
        <v>46154</v>
      </c>
      <c r="B76" s="20" t="n">
        <v>1901.1</v>
      </c>
      <c r="C76" s="4" t="n">
        <v>8987349.16316486</v>
      </c>
      <c r="F76" s="4" t="n">
        <v>222000</v>
      </c>
      <c r="G76" s="4" t="n">
        <v>7706031024</v>
      </c>
      <c r="H76" s="4" t="n">
        <v>160200</v>
      </c>
      <c r="I76" s="4" t="n">
        <v>4107412004</v>
      </c>
      <c r="J76" s="4" t="n">
        <v>35450</v>
      </c>
      <c r="K76" s="4" t="n">
        <v>2272318410</v>
      </c>
      <c r="L76" s="4" t="n">
        <v>89500</v>
      </c>
      <c r="M76" s="4" t="n">
        <v>1793300377</v>
      </c>
      <c r="N76" s="4" t="n">
        <v>175000</v>
      </c>
      <c r="O76" s="23" t="n">
        <v>591611334</v>
      </c>
      <c r="Q76" s="12" t="n"/>
      <c r="R76" s="3">
        <f>G76*F76-G77*F77</f>
        <v/>
      </c>
      <c r="S76" s="3">
        <f>I76*H76-I77*H77</f>
        <v/>
      </c>
      <c r="T76" s="3">
        <f>K76*J76-K77*J77</f>
        <v/>
      </c>
      <c r="U76" s="3">
        <f>M76*L76-M77*L77</f>
        <v/>
      </c>
      <c r="V76" s="3">
        <f>O76*N76-O77*N77</f>
        <v/>
      </c>
      <c r="X76" s="2">
        <f>R76/10^9</f>
        <v/>
      </c>
      <c r="Y76" s="2">
        <f>S76/10^9</f>
        <v/>
      </c>
      <c r="Z76" s="2">
        <f>T76/10^9</f>
        <v/>
      </c>
      <c r="AA76" s="2">
        <f>U76/10^9</f>
        <v/>
      </c>
      <c r="AB76" s="2">
        <f>V76/10^9</f>
        <v/>
      </c>
      <c r="AD76" s="8">
        <f>X76/$C77*$B77</f>
        <v/>
      </c>
      <c r="AE76" s="8">
        <f>Y76/$C77*$B77</f>
        <v/>
      </c>
      <c r="AF76" s="8">
        <f>Z76/$C77*$B77</f>
        <v/>
      </c>
      <c r="AG76" s="8">
        <f>AA76/$C77*$B77</f>
        <v/>
      </c>
      <c r="AH76" s="11">
        <f>AB76/$C77*$B77</f>
        <v/>
      </c>
      <c r="AI76" s="8">
        <f>SUM(AD76:AG76)</f>
        <v/>
      </c>
      <c r="AJ76" s="9">
        <f>AI76+AJ77</f>
        <v/>
      </c>
      <c r="AL76" s="7">
        <f>B76-AJ76</f>
        <v/>
      </c>
      <c r="AM76" s="42">
        <f>_xlfn.STDEV.S(AL76:AL95)</f>
        <v/>
      </c>
    </row>
    <row r="77" ht="16" customFormat="1" customHeight="1" s="16">
      <c r="A77" s="10" t="n">
        <v>46153</v>
      </c>
      <c r="B77" s="20" t="n">
        <v>1895.5</v>
      </c>
      <c r="C77" s="4" t="n">
        <v>8960952.126969529</v>
      </c>
      <c r="F77" s="4" t="n">
        <v>223000</v>
      </c>
      <c r="G77" s="4" t="n">
        <v>7706031024</v>
      </c>
      <c r="H77" s="4" t="n">
        <v>161000</v>
      </c>
      <c r="I77" s="4" t="n">
        <v>4107412004</v>
      </c>
      <c r="J77" s="4" t="n">
        <v>33600</v>
      </c>
      <c r="K77" s="4" t="n">
        <v>2272318410</v>
      </c>
      <c r="L77" s="4" t="n">
        <v>89000</v>
      </c>
      <c r="M77" s="4" t="n">
        <v>1793300377</v>
      </c>
      <c r="N77" s="4" t="n">
        <v>170500</v>
      </c>
      <c r="O77" s="23" t="n">
        <v>591611334</v>
      </c>
      <c r="Q77" s="12" t="n"/>
      <c r="R77" s="3">
        <f>G77*F77-G78*F78</f>
        <v/>
      </c>
      <c r="S77" s="3">
        <f>I77*H77-I78*H78</f>
        <v/>
      </c>
      <c r="T77" s="3">
        <f>K77*J77-K78*J78</f>
        <v/>
      </c>
      <c r="U77" s="3">
        <f>M77*L77-M78*L78</f>
        <v/>
      </c>
      <c r="V77" s="3">
        <f>O77*N77-O78*N78</f>
        <v/>
      </c>
      <c r="X77" s="2">
        <f>R77/10^9</f>
        <v/>
      </c>
      <c r="Y77" s="2">
        <f>S77/10^9</f>
        <v/>
      </c>
      <c r="Z77" s="2">
        <f>T77/10^9</f>
        <v/>
      </c>
      <c r="AA77" s="2">
        <f>U77/10^9</f>
        <v/>
      </c>
      <c r="AB77" s="2">
        <f>V77/10^9</f>
        <v/>
      </c>
      <c r="AD77" s="8">
        <f>X77/$C78*$B78</f>
        <v/>
      </c>
      <c r="AE77" s="8">
        <f>Y77/$C78*$B78</f>
        <v/>
      </c>
      <c r="AF77" s="8">
        <f>Z77/$C78*$B78</f>
        <v/>
      </c>
      <c r="AG77" s="8">
        <f>AA77/$C78*$B78</f>
        <v/>
      </c>
      <c r="AH77" s="11">
        <f>AB77/$C78*$B78</f>
        <v/>
      </c>
      <c r="AI77" s="8">
        <f>SUM(AD77:AG77)</f>
        <v/>
      </c>
      <c r="AJ77" s="9">
        <f>AI77+AJ78</f>
        <v/>
      </c>
      <c r="AL77" s="7">
        <f>B77-AJ77</f>
        <v/>
      </c>
      <c r="AM77" s="42">
        <f>_xlfn.STDEV.S(AL77:AL96)</f>
        <v/>
      </c>
    </row>
    <row r="78" ht="16" customFormat="1" customHeight="1" s="16">
      <c r="A78" s="10" t="n">
        <v>46150</v>
      </c>
      <c r="B78" s="20" t="n">
        <v>1915.37</v>
      </c>
      <c r="C78" s="4" t="n">
        <v>9054824.23534145</v>
      </c>
      <c r="F78" s="4" t="n">
        <v>226000</v>
      </c>
      <c r="G78" s="4" t="n">
        <v>7706031024</v>
      </c>
      <c r="H78" s="4" t="n">
        <v>164000</v>
      </c>
      <c r="I78" s="4" t="n">
        <v>4107412004</v>
      </c>
      <c r="J78" s="4" t="n">
        <v>35900</v>
      </c>
      <c r="K78" s="4" t="n">
        <v>2272318410</v>
      </c>
      <c r="L78" s="4" t="n">
        <v>91500</v>
      </c>
      <c r="M78" s="4" t="n">
        <v>1793300377</v>
      </c>
      <c r="N78" s="21" t="n">
        <v>176200</v>
      </c>
      <c r="O78" s="23" t="n">
        <v>591611334</v>
      </c>
      <c r="Q78" s="12" t="n"/>
      <c r="R78" s="3">
        <f>G78*F78-G79*F79</f>
        <v/>
      </c>
      <c r="S78" s="3">
        <f>I78*H78-I79*H79</f>
        <v/>
      </c>
      <c r="T78" s="3">
        <f>K78*J78-K79*J79</f>
        <v/>
      </c>
      <c r="U78" s="3">
        <f>M78*L78-M79*L79</f>
        <v/>
      </c>
      <c r="V78" s="3">
        <f>O78*N78-O79*N79</f>
        <v/>
      </c>
      <c r="X78" s="2">
        <f>R78/10^9</f>
        <v/>
      </c>
      <c r="Y78" s="2">
        <f>S78/10^9</f>
        <v/>
      </c>
      <c r="Z78" s="2">
        <f>T78/10^9</f>
        <v/>
      </c>
      <c r="AA78" s="2">
        <f>U78/10^9</f>
        <v/>
      </c>
      <c r="AB78" s="2">
        <f>V78/10^9</f>
        <v/>
      </c>
      <c r="AD78" s="8">
        <f>X78/$C79*$B79</f>
        <v/>
      </c>
      <c r="AE78" s="8">
        <f>Y78/$C79*$B79</f>
        <v/>
      </c>
      <c r="AF78" s="8">
        <f>Z78/$C79*$B79</f>
        <v/>
      </c>
      <c r="AG78" s="8">
        <f>AA78/$C79*$B79</f>
        <v/>
      </c>
      <c r="AH78" s="11">
        <f>AB78/$C79*$B79</f>
        <v/>
      </c>
      <c r="AI78" s="8">
        <f>SUM(AD78:AG78)</f>
        <v/>
      </c>
      <c r="AJ78" s="9">
        <f>AI78+AJ79</f>
        <v/>
      </c>
      <c r="AL78" s="7">
        <f>B78-AJ78</f>
        <v/>
      </c>
      <c r="AM78" s="42">
        <f>_xlfn.STDEV.S(AL78:AL97)</f>
        <v/>
      </c>
      <c r="AN78" s="7" t="n"/>
    </row>
    <row r="79" ht="16" customFormat="1" customHeight="1" s="16">
      <c r="A79" s="10" t="n">
        <v>46149</v>
      </c>
      <c r="B79" s="20" t="n">
        <v>1909.01</v>
      </c>
      <c r="C79" s="4" t="n">
        <v>9024951.97586089</v>
      </c>
      <c r="F79" s="4" t="n">
        <v>224000</v>
      </c>
      <c r="G79" s="4" t="n">
        <v>7706031024</v>
      </c>
      <c r="H79" s="4" t="n">
        <v>161500</v>
      </c>
      <c r="I79" s="4" t="n">
        <v>4107412004</v>
      </c>
      <c r="J79" s="4" t="n">
        <v>36500</v>
      </c>
      <c r="K79" s="4" t="n">
        <v>2272318410</v>
      </c>
      <c r="L79" s="4" t="n">
        <v>91500</v>
      </c>
      <c r="M79" s="4" t="n">
        <v>1793300377</v>
      </c>
      <c r="N79" s="21" t="n">
        <v>182000</v>
      </c>
      <c r="O79" s="23" t="n">
        <v>591611334</v>
      </c>
      <c r="Q79" s="12" t="n"/>
      <c r="R79" s="3">
        <f>G79*F79-G80*F80</f>
        <v/>
      </c>
      <c r="S79" s="3">
        <f>I79*H79-I80*H80</f>
        <v/>
      </c>
      <c r="T79" s="3">
        <f>K79*J79-K80*J80</f>
        <v/>
      </c>
      <c r="U79" s="3">
        <f>M79*L79-M80*L80</f>
        <v/>
      </c>
      <c r="V79" s="3">
        <f>O79*N79-O80*N80</f>
        <v/>
      </c>
      <c r="X79" s="2">
        <f>R79/10^9</f>
        <v/>
      </c>
      <c r="Y79" s="2">
        <f>S79/10^9</f>
        <v/>
      </c>
      <c r="Z79" s="2">
        <f>T79/10^9</f>
        <v/>
      </c>
      <c r="AA79" s="2">
        <f>U79/10^9</f>
        <v/>
      </c>
      <c r="AB79" s="2">
        <f>V79/10^9</f>
        <v/>
      </c>
      <c r="AD79" s="8">
        <f>X79/$C80*$B80</f>
        <v/>
      </c>
      <c r="AE79" s="8">
        <f>Y79/$C80*$B80</f>
        <v/>
      </c>
      <c r="AF79" s="8">
        <f>Z79/$C80*$B80</f>
        <v/>
      </c>
      <c r="AG79" s="8">
        <f>AA79/$C80*$B80</f>
        <v/>
      </c>
      <c r="AH79" s="11">
        <f>AB79/$C80*$B80</f>
        <v/>
      </c>
      <c r="AI79" s="8">
        <f>SUM(AD79:AG79)</f>
        <v/>
      </c>
      <c r="AJ79" s="9">
        <f>AI79+AJ80</f>
        <v/>
      </c>
      <c r="AL79" s="7">
        <f>B79-AJ79</f>
        <v/>
      </c>
      <c r="AM79" s="42">
        <f>_xlfn.STDEV.S(AL79:AL98)</f>
        <v/>
      </c>
    </row>
    <row r="80" ht="16" customFormat="1" customHeight="1" s="16">
      <c r="A80" s="10" t="n">
        <v>46148</v>
      </c>
      <c r="B80" s="20" t="n">
        <v>1891.2</v>
      </c>
      <c r="C80" s="4" t="n">
        <v>8940790.374977149</v>
      </c>
      <c r="F80" s="4" t="n">
        <v>219500</v>
      </c>
      <c r="G80" s="4" t="n">
        <v>7706031024</v>
      </c>
      <c r="H80" s="4" t="n">
        <v>151000</v>
      </c>
      <c r="I80" s="4" t="n">
        <v>4107412004</v>
      </c>
      <c r="J80" s="4" t="n">
        <v>36600</v>
      </c>
      <c r="K80" s="4" t="n">
        <v>2272318410</v>
      </c>
      <c r="L80" s="4" t="n">
        <v>90000</v>
      </c>
      <c r="M80" s="4" t="n">
        <v>1793300377</v>
      </c>
      <c r="N80" s="21" t="n">
        <v>181500</v>
      </c>
      <c r="O80" s="23" t="n">
        <v>591611334</v>
      </c>
      <c r="Q80" s="12" t="n"/>
      <c r="R80" s="3">
        <f>G80*F80-G81*F81</f>
        <v/>
      </c>
      <c r="S80" s="3">
        <f>I80*H80-I81*H81</f>
        <v/>
      </c>
      <c r="T80" s="3">
        <f>K80*J80-K81*J81</f>
        <v/>
      </c>
      <c r="U80" s="3">
        <f>M80*L80-M81*L81</f>
        <v/>
      </c>
      <c r="V80" s="3">
        <f>O80*N80-O81*N81</f>
        <v/>
      </c>
      <c r="X80" s="2">
        <f>R80/10^9</f>
        <v/>
      </c>
      <c r="Y80" s="2">
        <f>S80/10^9</f>
        <v/>
      </c>
      <c r="Z80" s="2">
        <f>T80/10^9</f>
        <v/>
      </c>
      <c r="AA80" s="2">
        <f>U80/10^9</f>
        <v/>
      </c>
      <c r="AB80" s="2">
        <f>V80/10^9</f>
        <v/>
      </c>
      <c r="AD80" s="8">
        <f>X80/$C81*$B81</f>
        <v/>
      </c>
      <c r="AE80" s="8">
        <f>Y80/$C81*$B81</f>
        <v/>
      </c>
      <c r="AF80" s="8">
        <f>Z80/$C81*$B81</f>
        <v/>
      </c>
      <c r="AG80" s="8">
        <f>AA80/$C81*$B81</f>
        <v/>
      </c>
      <c r="AH80" s="11">
        <f>AB80/$C81*$B81</f>
        <v/>
      </c>
      <c r="AI80" s="8">
        <f>SUM(AD80:AG80)</f>
        <v/>
      </c>
      <c r="AJ80" s="9">
        <f>AI80+AJ81</f>
        <v/>
      </c>
      <c r="AL80" s="7">
        <f>B80-AJ80</f>
        <v/>
      </c>
      <c r="AM80" s="42">
        <f>_xlfn.STDEV.S(AL80:AL99)</f>
        <v/>
      </c>
    </row>
    <row r="81" ht="16" customFormat="1" customHeight="1" s="16">
      <c r="A81" s="10" t="n">
        <v>46147</v>
      </c>
      <c r="B81" s="20" t="n">
        <v>1874.85</v>
      </c>
      <c r="C81" s="4" t="n">
        <v>8863627.14114256</v>
      </c>
      <c r="F81" s="4" t="n">
        <v>219500</v>
      </c>
      <c r="G81" s="4" t="n">
        <v>7706031024</v>
      </c>
      <c r="H81" s="4" t="n">
        <v>151200</v>
      </c>
      <c r="I81" s="4" t="n">
        <v>4107412004</v>
      </c>
      <c r="J81" s="4" t="n">
        <v>35200</v>
      </c>
      <c r="K81" s="4" t="n">
        <v>2272318410</v>
      </c>
      <c r="L81" s="4" t="n">
        <v>88000</v>
      </c>
      <c r="M81" s="4" t="n">
        <v>1793300377</v>
      </c>
      <c r="N81" s="22" t="n">
        <v>181000</v>
      </c>
      <c r="O81" s="23" t="n">
        <v>591611334</v>
      </c>
      <c r="Q81" s="12" t="n"/>
      <c r="R81" s="3">
        <f>G81*F81-G82*F82</f>
        <v/>
      </c>
      <c r="S81" s="3">
        <f>I81*H81-I82*H82</f>
        <v/>
      </c>
      <c r="T81" s="3">
        <f>K81*J81-K82*J82</f>
        <v/>
      </c>
      <c r="U81" s="3">
        <f>M81*L81-M82*L82</f>
        <v/>
      </c>
      <c r="V81" s="3">
        <f>O81*N81-O82*N82</f>
        <v/>
      </c>
      <c r="X81" s="2">
        <f>R81/10^9</f>
        <v/>
      </c>
      <c r="Y81" s="2">
        <f>S81/10^9</f>
        <v/>
      </c>
      <c r="Z81" s="2">
        <f>T81/10^9</f>
        <v/>
      </c>
      <c r="AA81" s="2">
        <f>U81/10^9</f>
        <v/>
      </c>
      <c r="AB81" s="2">
        <f>V81/10^9</f>
        <v/>
      </c>
      <c r="AD81" s="8">
        <f>X81/$C82*$B82</f>
        <v/>
      </c>
      <c r="AE81" s="8">
        <f>Y81/$C82*$B82</f>
        <v/>
      </c>
      <c r="AF81" s="8">
        <f>Z81/$C82*$B82</f>
        <v/>
      </c>
      <c r="AG81" s="8">
        <f>AA81/$C82*$B82</f>
        <v/>
      </c>
      <c r="AH81" s="11">
        <f>AB81/$C82*$B82</f>
        <v/>
      </c>
      <c r="AI81" s="8">
        <f>SUM(AD81:AG81)</f>
        <v/>
      </c>
      <c r="AJ81" s="9">
        <f>AI81+AJ82</f>
        <v/>
      </c>
      <c r="AL81" s="7">
        <f>B81-AJ81</f>
        <v/>
      </c>
      <c r="AM81" s="42">
        <f>_xlfn.STDEV.S(AL81:AL100)</f>
        <v/>
      </c>
    </row>
    <row r="82" ht="16" customFormat="1" customHeight="1" s="16">
      <c r="A82" s="10" t="n">
        <v>46146</v>
      </c>
      <c r="B82" s="20" t="n">
        <v>1854.06</v>
      </c>
      <c r="C82" s="4" t="n">
        <v>8765946.872380558</v>
      </c>
      <c r="F82" s="4" t="n">
        <v>212000</v>
      </c>
      <c r="G82" s="4" t="n">
        <v>7706031024</v>
      </c>
      <c r="H82" s="4" t="n">
        <v>142000</v>
      </c>
      <c r="I82" s="4" t="n">
        <v>4107412004</v>
      </c>
      <c r="J82" s="4" t="n">
        <v>33700</v>
      </c>
      <c r="K82" s="4" t="n">
        <v>2272318410</v>
      </c>
      <c r="L82" s="4" t="n">
        <v>85200</v>
      </c>
      <c r="M82" s="4" t="n">
        <v>1793300377</v>
      </c>
      <c r="N82" s="25" t="n">
        <v>179900</v>
      </c>
      <c r="O82" s="4" t="n">
        <v>591611334</v>
      </c>
      <c r="Q82" s="12" t="n"/>
      <c r="R82" s="3">
        <f>G82*F82-G83*F83</f>
        <v/>
      </c>
      <c r="S82" s="3">
        <f>I82*H82-I83*H83</f>
        <v/>
      </c>
      <c r="T82" s="3">
        <f>K82*J82-K83*J83</f>
        <v/>
      </c>
      <c r="U82" s="3">
        <f>M82*L82-M83*L83</f>
        <v/>
      </c>
      <c r="V82" s="3">
        <f>O82*N82-O83*N83</f>
        <v/>
      </c>
      <c r="X82" s="2">
        <f>R82/10^9</f>
        <v/>
      </c>
      <c r="Y82" s="2">
        <f>S82/10^9</f>
        <v/>
      </c>
      <c r="Z82" s="2">
        <f>T82/10^9</f>
        <v/>
      </c>
      <c r="AA82" s="2">
        <f>U82/10^9</f>
        <v/>
      </c>
      <c r="AB82" s="2">
        <f>V82/10^9</f>
        <v/>
      </c>
      <c r="AD82" s="8">
        <f>X82/$C83*$B83</f>
        <v/>
      </c>
      <c r="AE82" s="8">
        <f>Y82/$C83*$B83</f>
        <v/>
      </c>
      <c r="AF82" s="8">
        <f>Z82/$C83*$B83</f>
        <v/>
      </c>
      <c r="AG82" s="8">
        <f>AA82/$C83*$B83</f>
        <v/>
      </c>
      <c r="AH82" s="11">
        <f>AB82/$C83*$B83</f>
        <v/>
      </c>
      <c r="AI82" s="8">
        <f>SUM(AD82:AG82)</f>
        <v/>
      </c>
      <c r="AJ82" s="9">
        <f>AI82+AJ83</f>
        <v/>
      </c>
      <c r="AL82" s="7">
        <f>B82-AJ82</f>
        <v/>
      </c>
      <c r="AM82" s="42">
        <f>_xlfn.STDEV.S(AL82:AL101)</f>
        <v/>
      </c>
    </row>
    <row r="83" ht="16" customFormat="1" customHeight="1" s="16">
      <c r="A83" s="10" t="n">
        <v>46141</v>
      </c>
      <c r="B83" s="20" t="n">
        <v>1854.1</v>
      </c>
      <c r="C83" s="4" t="n">
        <v>8765907.759209121</v>
      </c>
      <c r="F83" s="4" t="n">
        <v>214000</v>
      </c>
      <c r="G83" s="4" t="n">
        <v>7706031024</v>
      </c>
      <c r="H83" s="4" t="n">
        <v>146000</v>
      </c>
      <c r="I83" s="4" t="n">
        <v>4107412004</v>
      </c>
      <c r="J83" s="4" t="n">
        <v>32300</v>
      </c>
      <c r="K83" s="4" t="n">
        <v>2272318410</v>
      </c>
      <c r="L83" s="4" t="n">
        <v>85700</v>
      </c>
      <c r="M83" s="4" t="n">
        <v>1793300377</v>
      </c>
      <c r="N83" s="4" t="n">
        <v>180000</v>
      </c>
      <c r="O83" s="4" t="n">
        <v>591611334</v>
      </c>
      <c r="Q83" s="12" t="n"/>
      <c r="R83" s="3">
        <f>G83*F83-G84*F84</f>
        <v/>
      </c>
      <c r="S83" s="3">
        <f>I83*H83-I84*H84</f>
        <v/>
      </c>
      <c r="T83" s="3">
        <f>K83*J83-K84*J84</f>
        <v/>
      </c>
      <c r="U83" s="3">
        <f>M83*L83-M84*L84</f>
        <v/>
      </c>
      <c r="V83" s="3">
        <f>O83*N83-O84*N84</f>
        <v/>
      </c>
      <c r="X83" s="2">
        <f>R83/10^9</f>
        <v/>
      </c>
      <c r="Y83" s="2">
        <f>S83/10^9</f>
        <v/>
      </c>
      <c r="Z83" s="2">
        <f>T83/10^9</f>
        <v/>
      </c>
      <c r="AA83" s="2">
        <f>U83/10^9</f>
        <v/>
      </c>
      <c r="AB83" s="2">
        <f>V83/10^9</f>
        <v/>
      </c>
      <c r="AD83" s="8">
        <f>X83/$C84*$B84</f>
        <v/>
      </c>
      <c r="AE83" s="8">
        <f>Y83/$C84*$B84</f>
        <v/>
      </c>
      <c r="AF83" s="8">
        <f>Z83/$C84*$B84</f>
        <v/>
      </c>
      <c r="AG83" s="8">
        <f>AA83/$C84*$B84</f>
        <v/>
      </c>
      <c r="AH83" s="11">
        <f>AB83/$C84*$B84</f>
        <v/>
      </c>
      <c r="AI83" s="8">
        <f>SUM(AD83:AG83)</f>
        <v/>
      </c>
      <c r="AJ83" s="9">
        <f>AI83+AJ84</f>
        <v/>
      </c>
      <c r="AL83" s="7">
        <f>B83-AJ83</f>
        <v/>
      </c>
      <c r="AM83" s="42">
        <f>_xlfn.STDEV.S(AL83:AL102)</f>
        <v/>
      </c>
      <c r="AN83" s="7">
        <f>B57-B77</f>
        <v/>
      </c>
    </row>
    <row r="84" ht="16" customFormat="1" customHeight="1" s="16">
      <c r="A84" s="10" t="n">
        <v>46140</v>
      </c>
      <c r="B84" s="20" t="n">
        <v>1875.84</v>
      </c>
      <c r="C84" s="4" t="n">
        <v>8865335.08439764</v>
      </c>
      <c r="F84" s="4" t="n">
        <v>225500</v>
      </c>
      <c r="G84" s="4" t="n">
        <v>7706031024</v>
      </c>
      <c r="H84" s="4" t="n">
        <v>151000</v>
      </c>
      <c r="I84" s="4" t="n">
        <v>4107412004</v>
      </c>
      <c r="J84" s="4" t="n">
        <v>30800</v>
      </c>
      <c r="K84" s="4" t="n">
        <v>2272318410</v>
      </c>
      <c r="L84" s="4" t="n">
        <v>84300</v>
      </c>
      <c r="M84" s="4" t="n">
        <v>1793300377</v>
      </c>
      <c r="N84" s="4" t="n">
        <v>178700</v>
      </c>
      <c r="O84" s="4" t="n">
        <v>591611334</v>
      </c>
      <c r="Q84" s="12" t="n"/>
      <c r="R84" s="3">
        <f>G84*F84-G85*F85</f>
        <v/>
      </c>
      <c r="S84" s="3">
        <f>I84*H84-I85*H85</f>
        <v/>
      </c>
      <c r="T84" s="3">
        <f>K84*J84-K85*J85</f>
        <v/>
      </c>
      <c r="U84" s="3">
        <f>M84*L84-M85*L85</f>
        <v/>
      </c>
      <c r="V84" s="3">
        <f>O84*N84-O85*N85</f>
        <v/>
      </c>
      <c r="X84" s="2">
        <f>R84/10^9</f>
        <v/>
      </c>
      <c r="Y84" s="2">
        <f>S84/10^9</f>
        <v/>
      </c>
      <c r="Z84" s="2">
        <f>T84/10^9</f>
        <v/>
      </c>
      <c r="AA84" s="2">
        <f>U84/10^9</f>
        <v/>
      </c>
      <c r="AB84" s="2">
        <f>V84/10^9</f>
        <v/>
      </c>
      <c r="AD84" s="8">
        <f>X84/$C85*$B85</f>
        <v/>
      </c>
      <c r="AE84" s="8">
        <f>Y84/$C85*$B85</f>
        <v/>
      </c>
      <c r="AF84" s="8">
        <f>Z84/$C85*$B85</f>
        <v/>
      </c>
      <c r="AG84" s="8">
        <f>AA84/$C85*$B85</f>
        <v/>
      </c>
      <c r="AH84" s="11">
        <f>AB84/$C85*$B85</f>
        <v/>
      </c>
      <c r="AI84" s="8">
        <f>SUM(AD84:AG84)</f>
        <v/>
      </c>
      <c r="AJ84" s="9">
        <f>AI84+AJ85</f>
        <v/>
      </c>
      <c r="AL84" s="7">
        <f>B84-AJ84</f>
        <v/>
      </c>
      <c r="AM84" s="42">
        <f>_xlfn.STDEV.S(AL84:AL103)</f>
        <v/>
      </c>
    </row>
    <row r="85" ht="16" customFormat="1" customHeight="1" s="16">
      <c r="A85" s="10" t="n">
        <v>46136</v>
      </c>
      <c r="B85" s="20" t="n">
        <v>1853.29</v>
      </c>
      <c r="C85" s="4" t="n">
        <v>8760306.255794588</v>
      </c>
      <c r="F85" s="4" t="n">
        <v>212100</v>
      </c>
      <c r="G85" s="4" t="n">
        <v>7706031024</v>
      </c>
      <c r="H85" s="4" t="n">
        <v>141200</v>
      </c>
      <c r="I85" s="4" t="n">
        <v>4107412004</v>
      </c>
      <c r="J85" s="4" t="n">
        <v>28800</v>
      </c>
      <c r="K85" s="4" t="n">
        <v>2272318410</v>
      </c>
      <c r="L85" s="4" t="n">
        <v>81500</v>
      </c>
      <c r="M85" s="4" t="n">
        <v>1793300377</v>
      </c>
      <c r="N85" s="4" t="n">
        <v>180500</v>
      </c>
      <c r="O85" s="4" t="n">
        <v>591611334</v>
      </c>
      <c r="Q85" s="12" t="n"/>
      <c r="R85" s="3">
        <f>G85*F85-G86*F86</f>
        <v/>
      </c>
      <c r="S85" s="3">
        <f>I85*H85-I86*H86</f>
        <v/>
      </c>
      <c r="T85" s="3">
        <f>K85*J85-K86*J86</f>
        <v/>
      </c>
      <c r="U85" s="3">
        <f>M85*L85-M86*L86</f>
        <v/>
      </c>
      <c r="V85" s="3">
        <f>O85*N85-O86*N86</f>
        <v/>
      </c>
      <c r="X85" s="2">
        <f>R85/10^9</f>
        <v/>
      </c>
      <c r="Y85" s="2">
        <f>S85/10^9</f>
        <v/>
      </c>
      <c r="Z85" s="2">
        <f>T85/10^9</f>
        <v/>
      </c>
      <c r="AA85" s="2">
        <f>U85/10^9</f>
        <v/>
      </c>
      <c r="AB85" s="2">
        <f>V85/10^9</f>
        <v/>
      </c>
      <c r="AD85" s="8">
        <f>X85/$C86*$B86</f>
        <v/>
      </c>
      <c r="AE85" s="8">
        <f>Y85/$C86*$B86</f>
        <v/>
      </c>
      <c r="AF85" s="8">
        <f>Z85/$C86*$B86</f>
        <v/>
      </c>
      <c r="AG85" s="8">
        <f>AA85/$C86*$B86</f>
        <v/>
      </c>
      <c r="AH85" s="11">
        <f>AB85/$C86*$B86</f>
        <v/>
      </c>
      <c r="AI85" s="8">
        <f>SUM(AD85:AG85)</f>
        <v/>
      </c>
      <c r="AJ85" s="9">
        <f>AI85+AJ86</f>
        <v/>
      </c>
      <c r="AL85" s="7">
        <f>B85-AJ85</f>
        <v/>
      </c>
      <c r="AM85" s="42">
        <f>_xlfn.STDEV.S(AL85:AL104)</f>
        <v/>
      </c>
    </row>
    <row r="86" ht="16" customFormat="1" customHeight="1" s="16">
      <c r="A86" s="10" t="n">
        <v>46135</v>
      </c>
      <c r="B86" s="20" t="n">
        <v>1870.36</v>
      </c>
      <c r="C86" s="4" t="n">
        <v>8840593.03642956</v>
      </c>
      <c r="F86" s="4" t="n">
        <v>214500</v>
      </c>
      <c r="G86" s="4" t="n">
        <v>7706031024</v>
      </c>
      <c r="H86" s="4" t="n">
        <v>149000</v>
      </c>
      <c r="I86" s="4" t="n">
        <v>4107412004</v>
      </c>
      <c r="J86" s="4" t="n">
        <v>29050</v>
      </c>
      <c r="K86" s="4" t="n">
        <v>2272318410</v>
      </c>
      <c r="L86" s="4" t="n">
        <v>83500</v>
      </c>
      <c r="M86" s="4" t="n">
        <v>1793300377</v>
      </c>
      <c r="N86" s="4" t="n">
        <v>174900</v>
      </c>
      <c r="O86" s="4" t="n">
        <v>591611334</v>
      </c>
      <c r="Q86" s="12" t="n"/>
      <c r="R86" s="3">
        <f>G86*F86-G87*F87</f>
        <v/>
      </c>
      <c r="S86" s="3">
        <f>I86*H86-I87*H87</f>
        <v/>
      </c>
      <c r="T86" s="3">
        <f>K86*J86-K87*J87</f>
        <v/>
      </c>
      <c r="U86" s="3">
        <f>M86*L86-M87*L87</f>
        <v/>
      </c>
      <c r="V86" s="3">
        <f>O86*N86-O87*N87</f>
        <v/>
      </c>
      <c r="X86" s="2">
        <f>R86/10^9</f>
        <v/>
      </c>
      <c r="Y86" s="2">
        <f>S86/10^9</f>
        <v/>
      </c>
      <c r="Z86" s="2">
        <f>T86/10^9</f>
        <v/>
      </c>
      <c r="AA86" s="2">
        <f>U86/10^9</f>
        <v/>
      </c>
      <c r="AB86" s="2">
        <f>V86/10^9</f>
        <v/>
      </c>
      <c r="AD86" s="8">
        <f>X86/$C87*$B87</f>
        <v/>
      </c>
      <c r="AE86" s="8">
        <f>Y86/$C87*$B87</f>
        <v/>
      </c>
      <c r="AF86" s="8">
        <f>Z86/$C87*$B87</f>
        <v/>
      </c>
      <c r="AG86" s="8">
        <f>AA86/$C87*$B87</f>
        <v/>
      </c>
      <c r="AH86" s="11">
        <f>AB86/$C87*$B87</f>
        <v/>
      </c>
      <c r="AI86" s="8">
        <f>SUM(AD86:AG86)</f>
        <v/>
      </c>
      <c r="AJ86" s="9">
        <f>AI86+AJ87</f>
        <v/>
      </c>
      <c r="AL86" s="7">
        <f>B86-AJ86</f>
        <v/>
      </c>
      <c r="AM86" s="42">
        <f>_xlfn.STDEV.S(AL86:AL105)</f>
        <v/>
      </c>
    </row>
    <row r="87" ht="16" customFormat="1" customHeight="1" s="16">
      <c r="A87" s="10" t="n">
        <v>46134</v>
      </c>
      <c r="B87" s="20" t="n">
        <v>1857.3</v>
      </c>
      <c r="C87" s="4" t="n">
        <v>8778529.89060845</v>
      </c>
      <c r="F87" s="4" t="n">
        <v>207200</v>
      </c>
      <c r="G87" s="4" t="n">
        <v>7706031024</v>
      </c>
      <c r="H87" s="4" t="n">
        <v>150300</v>
      </c>
      <c r="I87" s="4" t="n">
        <v>4107412004</v>
      </c>
      <c r="J87" s="4" t="n">
        <v>29950</v>
      </c>
      <c r="K87" s="4" t="n">
        <v>2272318410</v>
      </c>
      <c r="L87" s="4" t="n">
        <v>83900</v>
      </c>
      <c r="M87" s="4" t="n">
        <v>1793300377</v>
      </c>
      <c r="N87" s="4" t="n">
        <v>175700</v>
      </c>
      <c r="O87" s="4" t="n">
        <v>591611334</v>
      </c>
      <c r="Q87" s="12" t="n"/>
      <c r="R87" s="3">
        <f>G87*F87-G88*F88</f>
        <v/>
      </c>
      <c r="S87" s="3">
        <f>I87*H87-I88*H88</f>
        <v/>
      </c>
      <c r="T87" s="3">
        <f>K87*J87-K88*J88</f>
        <v/>
      </c>
      <c r="U87" s="3">
        <f>M87*L87-M88*L88</f>
        <v/>
      </c>
      <c r="V87" s="3">
        <f>O87*N87-O88*N88</f>
        <v/>
      </c>
      <c r="X87" s="2">
        <f>R87/10^9</f>
        <v/>
      </c>
      <c r="Y87" s="2">
        <f>S87/10^9</f>
        <v/>
      </c>
      <c r="Z87" s="2">
        <f>T87/10^9</f>
        <v/>
      </c>
      <c r="AA87" s="2">
        <f>U87/10^9</f>
        <v/>
      </c>
      <c r="AB87" s="2">
        <f>V87/10^9</f>
        <v/>
      </c>
      <c r="AD87" s="8">
        <f>X87/$C88*$B88</f>
        <v/>
      </c>
      <c r="AE87" s="8">
        <f>Y87/$C88*$B88</f>
        <v/>
      </c>
      <c r="AF87" s="8">
        <f>Z87/$C88*$B88</f>
        <v/>
      </c>
      <c r="AG87" s="8">
        <f>AA87/$C88*$B88</f>
        <v/>
      </c>
      <c r="AH87" s="11">
        <f>AB87/$C88*$B88</f>
        <v/>
      </c>
      <c r="AI87" s="8">
        <f>SUM(AD87:AG87)</f>
        <v/>
      </c>
      <c r="AJ87" s="9">
        <f>AI87+AJ88</f>
        <v/>
      </c>
      <c r="AL87" s="7">
        <f>B87-AJ87</f>
        <v/>
      </c>
      <c r="AM87" s="42">
        <f>_xlfn.STDEV.S(AL87:AL106)</f>
        <v/>
      </c>
    </row>
    <row r="88" ht="16" customFormat="1" customHeight="1" s="16">
      <c r="A88" s="10" t="n">
        <v>46133</v>
      </c>
      <c r="B88" s="20" t="n">
        <v>1833.48</v>
      </c>
      <c r="C88" s="4" t="n">
        <v>8666349.02610763</v>
      </c>
      <c r="F88" s="4" t="n">
        <v>193700</v>
      </c>
      <c r="G88" s="4" t="n">
        <v>7706031024</v>
      </c>
      <c r="H88" s="4" t="n">
        <v>145800</v>
      </c>
      <c r="I88" s="4" t="n">
        <v>4107412004</v>
      </c>
      <c r="J88" s="4" t="n">
        <v>29300</v>
      </c>
      <c r="K88" s="4" t="n">
        <v>2272318410</v>
      </c>
      <c r="L88" s="4" t="n">
        <v>83700</v>
      </c>
      <c r="M88" s="4" t="n">
        <v>1793300377</v>
      </c>
      <c r="N88" s="4" t="n">
        <v>175700</v>
      </c>
      <c r="O88" s="4" t="n">
        <v>591611334</v>
      </c>
      <c r="Q88" s="12" t="n"/>
      <c r="R88" s="3">
        <f>G88*F88-G89*F89</f>
        <v/>
      </c>
      <c r="S88" s="3">
        <f>I88*H88-I89*H89</f>
        <v/>
      </c>
      <c r="T88" s="3">
        <f>K88*J88-K89*J89</f>
        <v/>
      </c>
      <c r="U88" s="3">
        <f>M88*L88-M89*L89</f>
        <v/>
      </c>
      <c r="V88" s="3">
        <f>O88*N88-O89*N89</f>
        <v/>
      </c>
      <c r="X88" s="2">
        <f>R88/10^9</f>
        <v/>
      </c>
      <c r="Y88" s="2">
        <f>S88/10^9</f>
        <v/>
      </c>
      <c r="Z88" s="2">
        <f>T88/10^9</f>
        <v/>
      </c>
      <c r="AA88" s="2">
        <f>U88/10^9</f>
        <v/>
      </c>
      <c r="AB88" s="2">
        <f>V88/10^9</f>
        <v/>
      </c>
      <c r="AD88" s="8">
        <f>X88/$C89*$B89</f>
        <v/>
      </c>
      <c r="AE88" s="8">
        <f>Y88/$C89*$B89</f>
        <v/>
      </c>
      <c r="AF88" s="8">
        <f>Z88/$C89*$B89</f>
        <v/>
      </c>
      <c r="AG88" s="8">
        <f>AA88/$C89*$B89</f>
        <v/>
      </c>
      <c r="AH88" s="11">
        <f>AB88/$C89*$B89</f>
        <v/>
      </c>
      <c r="AI88" s="8">
        <f>SUM(AD88:AG88)</f>
        <v/>
      </c>
      <c r="AJ88" s="9">
        <f>AI88+AJ89</f>
        <v/>
      </c>
      <c r="AL88" s="7">
        <f>B88-AJ88</f>
        <v/>
      </c>
      <c r="AM88" s="42">
        <f>_xlfn.STDEV.S(AL88:AL107)</f>
        <v/>
      </c>
    </row>
    <row r="89" ht="16" customFormat="1" customHeight="1" s="16">
      <c r="A89" s="10" t="n">
        <v>46132</v>
      </c>
      <c r="B89" s="20" t="n">
        <v>1837.11</v>
      </c>
      <c r="C89" s="4" t="n">
        <v>8683451.61297263</v>
      </c>
      <c r="F89" s="4" t="n">
        <v>191000</v>
      </c>
      <c r="G89" s="4" t="n">
        <v>7706031024</v>
      </c>
      <c r="H89" s="4" t="n">
        <v>145100</v>
      </c>
      <c r="I89" s="4" t="n">
        <v>4107412004</v>
      </c>
      <c r="J89" s="4" t="n">
        <v>29450</v>
      </c>
      <c r="K89" s="4" t="n">
        <v>2272318410</v>
      </c>
      <c r="L89" s="4" t="n">
        <v>85300</v>
      </c>
      <c r="M89" s="4" t="n">
        <v>1793300377</v>
      </c>
      <c r="N89" s="4" t="n">
        <v>175300</v>
      </c>
      <c r="O89" s="4" t="n">
        <v>591611334</v>
      </c>
      <c r="Q89" s="12" t="n"/>
      <c r="R89" s="3">
        <f>G89*F89-G90*F90</f>
        <v/>
      </c>
      <c r="S89" s="3">
        <f>I89*H89-I90*H90</f>
        <v/>
      </c>
      <c r="T89" s="3">
        <f>K89*J89-K90*J90</f>
        <v/>
      </c>
      <c r="U89" s="3">
        <f>M89*L89-M90*L90</f>
        <v/>
      </c>
      <c r="V89" s="3">
        <f>O89*N89-O90*N90</f>
        <v/>
      </c>
      <c r="X89" s="2">
        <f>R89/10^9</f>
        <v/>
      </c>
      <c r="Y89" s="2">
        <f>S89/10^9</f>
        <v/>
      </c>
      <c r="Z89" s="2">
        <f>T89/10^9</f>
        <v/>
      </c>
      <c r="AA89" s="2">
        <f>U89/10^9</f>
        <v/>
      </c>
      <c r="AB89" s="2">
        <f>V89/10^9</f>
        <v/>
      </c>
      <c r="AD89" s="8">
        <f>X89/$C90*$B90</f>
        <v/>
      </c>
      <c r="AE89" s="8">
        <f>Y89/$C90*$B90</f>
        <v/>
      </c>
      <c r="AF89" s="8">
        <f>Z89/$C90*$B90</f>
        <v/>
      </c>
      <c r="AG89" s="8">
        <f>AA89/$C90*$B90</f>
        <v/>
      </c>
      <c r="AH89" s="11">
        <f>AB89/$C90*$B90</f>
        <v/>
      </c>
      <c r="AI89" s="8">
        <f>SUM(AD89:AG89)</f>
        <v/>
      </c>
      <c r="AJ89" s="9">
        <f>AI89+AJ90</f>
        <v/>
      </c>
      <c r="AL89" s="7">
        <f>B89-AJ89</f>
        <v/>
      </c>
      <c r="AM89" s="42">
        <f>_xlfn.STDEV.S(AL89:AL108)</f>
        <v/>
      </c>
    </row>
    <row r="90" ht="16" customFormat="1" customHeight="1" s="16">
      <c r="A90" s="10" t="n">
        <v>46129</v>
      </c>
      <c r="B90" s="20" t="n">
        <v>1817.17</v>
      </c>
      <c r="C90" s="4" t="n">
        <v>8589402.97498275</v>
      </c>
      <c r="F90" s="4" t="n">
        <v>187900</v>
      </c>
      <c r="G90" s="4" t="n">
        <v>7706031024</v>
      </c>
      <c r="H90" s="4" t="n">
        <v>135700</v>
      </c>
      <c r="I90" s="4" t="n">
        <v>4107412004</v>
      </c>
      <c r="J90" s="4" t="n">
        <v>28600</v>
      </c>
      <c r="K90" s="4" t="n">
        <v>2272318410</v>
      </c>
      <c r="L90" s="4" t="n">
        <v>82800</v>
      </c>
      <c r="M90" s="4" t="n">
        <v>1793300377</v>
      </c>
      <c r="N90" s="4" t="n">
        <v>177800</v>
      </c>
      <c r="O90" s="4" t="n">
        <v>591611334</v>
      </c>
      <c r="Q90" s="12" t="n"/>
      <c r="R90" s="3">
        <f>G90*F90-G91*F91</f>
        <v/>
      </c>
      <c r="S90" s="3">
        <f>I90*H90-I91*H91</f>
        <v/>
      </c>
      <c r="T90" s="3">
        <f>K90*J90-K91*J91</f>
        <v/>
      </c>
      <c r="U90" s="3">
        <f>M90*L90-M91*L91</f>
        <v/>
      </c>
      <c r="V90" s="3">
        <f>O90*N90-O91*N91</f>
        <v/>
      </c>
      <c r="X90" s="2">
        <f>R90/10^9</f>
        <v/>
      </c>
      <c r="Y90" s="2">
        <f>S90/10^9</f>
        <v/>
      </c>
      <c r="Z90" s="2">
        <f>T90/10^9</f>
        <v/>
      </c>
      <c r="AA90" s="2">
        <f>U90/10^9</f>
        <v/>
      </c>
      <c r="AB90" s="2">
        <f>V90/10^9</f>
        <v/>
      </c>
      <c r="AD90" s="8">
        <f>X90/$C91*$B91</f>
        <v/>
      </c>
      <c r="AE90" s="8">
        <f>Y90/$C91*$B91</f>
        <v/>
      </c>
      <c r="AF90" s="8">
        <f>Z90/$C91*$B91</f>
        <v/>
      </c>
      <c r="AG90" s="8">
        <f>AA90/$C91*$B91</f>
        <v/>
      </c>
      <c r="AH90" s="11">
        <f>AB90/$C91*$B91</f>
        <v/>
      </c>
      <c r="AI90" s="8">
        <f>SUM(AD90:AG90)</f>
        <v/>
      </c>
      <c r="AJ90" s="9">
        <f>AI90+AJ91</f>
        <v/>
      </c>
      <c r="AL90" s="7">
        <f>B90-AJ90</f>
        <v/>
      </c>
      <c r="AM90" s="42">
        <f>_xlfn.STDEV.S(AL90:AL109)</f>
        <v/>
      </c>
    </row>
    <row r="91" ht="16" customFormat="1" customHeight="1" s="16">
      <c r="A91" s="10" t="n">
        <v>46128</v>
      </c>
      <c r="B91" s="20" t="n">
        <v>1819.83</v>
      </c>
      <c r="C91" s="4" t="n">
        <v>8601155.470317399</v>
      </c>
      <c r="F91" s="4" t="n">
        <v>189300</v>
      </c>
      <c r="G91" s="4" t="n">
        <v>7706031024</v>
      </c>
      <c r="H91" s="4" t="n">
        <v>143100</v>
      </c>
      <c r="I91" s="4" t="n">
        <v>4107412004</v>
      </c>
      <c r="J91" s="4" t="n">
        <v>29600</v>
      </c>
      <c r="K91" s="4" t="n">
        <v>2272318410</v>
      </c>
      <c r="L91" s="4" t="n">
        <v>86100</v>
      </c>
      <c r="M91" s="4" t="n">
        <v>1793300377</v>
      </c>
      <c r="N91" s="4" t="n">
        <v>178200</v>
      </c>
      <c r="O91" s="4" t="n">
        <v>591611334</v>
      </c>
      <c r="Q91" s="12" t="n"/>
      <c r="R91" s="3">
        <f>G91*F91-G92*F92</f>
        <v/>
      </c>
      <c r="S91" s="3">
        <f>I91*H91-I92*H92</f>
        <v/>
      </c>
      <c r="T91" s="3">
        <f>K91*J91-K92*J92</f>
        <v/>
      </c>
      <c r="U91" s="3">
        <f>M91*L91-M92*L92</f>
        <v/>
      </c>
      <c r="V91" s="3">
        <f>O91*N91-O92*N92</f>
        <v/>
      </c>
      <c r="X91" s="2">
        <f>R91/10^9</f>
        <v/>
      </c>
      <c r="Y91" s="2">
        <f>S91/10^9</f>
        <v/>
      </c>
      <c r="Z91" s="2">
        <f>T91/10^9</f>
        <v/>
      </c>
      <c r="AA91" s="2">
        <f>U91/10^9</f>
        <v/>
      </c>
      <c r="AB91" s="2">
        <f>V91/10^9</f>
        <v/>
      </c>
      <c r="AD91" s="8">
        <f>X91/$C92*$B92</f>
        <v/>
      </c>
      <c r="AE91" s="8">
        <f>Y91/$C92*$B92</f>
        <v/>
      </c>
      <c r="AF91" s="8">
        <f>Z91/$C92*$B92</f>
        <v/>
      </c>
      <c r="AG91" s="8">
        <f>AA91/$C92*$B92</f>
        <v/>
      </c>
      <c r="AH91" s="11">
        <f>AB91/$C92*$B92</f>
        <v/>
      </c>
      <c r="AI91" s="8">
        <f>SUM(AD91:AG91)</f>
        <v/>
      </c>
      <c r="AJ91" s="9">
        <f>AI91+AJ92</f>
        <v/>
      </c>
      <c r="AL91" s="7">
        <f>B91-AJ91</f>
        <v/>
      </c>
      <c r="AM91" s="42">
        <f>_xlfn.STDEV.S(AL91:AL110)</f>
        <v/>
      </c>
    </row>
    <row r="92" ht="16" customFormat="1" customHeight="1" s="16">
      <c r="A92" s="10" t="n">
        <v>46127</v>
      </c>
      <c r="B92" s="20" t="n">
        <v>1800.65</v>
      </c>
      <c r="C92" s="4" t="n">
        <v>8511251.235415012</v>
      </c>
      <c r="F92" s="4" t="n">
        <v>177000</v>
      </c>
      <c r="G92" s="4" t="n">
        <v>7706031024</v>
      </c>
      <c r="H92" s="4" t="n">
        <v>137000</v>
      </c>
      <c r="I92" s="4" t="n">
        <v>4107412004</v>
      </c>
      <c r="J92" s="4" t="n">
        <v>29300</v>
      </c>
      <c r="K92" s="4" t="n">
        <v>2272318410</v>
      </c>
      <c r="L92" s="4" t="n">
        <v>84000</v>
      </c>
      <c r="M92" s="4" t="n">
        <v>1793300377</v>
      </c>
      <c r="N92" s="4" t="n">
        <v>178200</v>
      </c>
      <c r="O92" s="4" t="n">
        <v>591611334</v>
      </c>
      <c r="Q92" s="12" t="n"/>
      <c r="R92" s="3">
        <f>G92*F92-G93*F93</f>
        <v/>
      </c>
      <c r="S92" s="3">
        <f>I92*H92-I93*H93</f>
        <v/>
      </c>
      <c r="T92" s="3">
        <f>K92*J92-K93*J93</f>
        <v/>
      </c>
      <c r="U92" s="3">
        <f>M92*L92-M93*L93</f>
        <v/>
      </c>
      <c r="V92" s="3">
        <f>O92*N92-O93*N93</f>
        <v/>
      </c>
      <c r="X92" s="2">
        <f>R92/10^9</f>
        <v/>
      </c>
      <c r="Y92" s="2">
        <f>S92/10^9</f>
        <v/>
      </c>
      <c r="Z92" s="2">
        <f>T92/10^9</f>
        <v/>
      </c>
      <c r="AA92" s="2">
        <f>U92/10^9</f>
        <v/>
      </c>
      <c r="AB92" s="2">
        <f>V92/10^9</f>
        <v/>
      </c>
      <c r="AD92" s="8">
        <f>X92/$C93*$B93</f>
        <v/>
      </c>
      <c r="AE92" s="8">
        <f>Y92/$C93*$B93</f>
        <v/>
      </c>
      <c r="AF92" s="8">
        <f>Z92/$C93*$B93</f>
        <v/>
      </c>
      <c r="AG92" s="8">
        <f>AA92/$C93*$B93</f>
        <v/>
      </c>
      <c r="AH92" s="11">
        <f>AB92/$C93*$B93</f>
        <v/>
      </c>
      <c r="AI92" s="8">
        <f>SUM(AD92:AG92)</f>
        <v/>
      </c>
      <c r="AJ92" s="9">
        <f>AI92+AJ93</f>
        <v/>
      </c>
      <c r="AL92" s="7">
        <f>B92-AJ92</f>
        <v/>
      </c>
      <c r="AM92" s="42">
        <f>_xlfn.STDEV.S(AL92:AL111)</f>
        <v/>
      </c>
    </row>
    <row r="93" ht="16" customFormat="1" customHeight="1" s="16">
      <c r="A93" s="10" t="n">
        <v>46126</v>
      </c>
      <c r="B93" s="20" t="n">
        <v>1775.65</v>
      </c>
      <c r="C93" s="4" t="n">
        <v>8393209.745484721</v>
      </c>
      <c r="F93" s="4" t="n">
        <v>165500</v>
      </c>
      <c r="G93" s="4" t="n">
        <v>7706031024</v>
      </c>
      <c r="H93" s="4" t="n">
        <v>128900</v>
      </c>
      <c r="I93" s="4" t="n">
        <v>4107412004</v>
      </c>
      <c r="J93" s="4" t="n">
        <v>27900</v>
      </c>
      <c r="K93" s="4" t="n">
        <v>2272318410</v>
      </c>
      <c r="L93" s="4" t="n">
        <v>80000</v>
      </c>
      <c r="M93" s="4" t="n">
        <v>1793300377</v>
      </c>
      <c r="N93" s="4" t="n">
        <v>166800</v>
      </c>
      <c r="O93" s="4" t="n">
        <v>591611334</v>
      </c>
      <c r="Q93" s="12" t="n"/>
      <c r="R93" s="3">
        <f>G93*F93-G94*F94</f>
        <v/>
      </c>
      <c r="S93" s="3">
        <f>I93*H93-I94*H94</f>
        <v/>
      </c>
      <c r="T93" s="3">
        <f>K93*J93-K94*J94</f>
        <v/>
      </c>
      <c r="U93" s="3">
        <f>M93*L93-M94*L94</f>
        <v/>
      </c>
      <c r="V93" s="3">
        <f>O93*N93-O94*N94</f>
        <v/>
      </c>
      <c r="X93" s="2">
        <f>R93/10^9</f>
        <v/>
      </c>
      <c r="Y93" s="2">
        <f>S93/10^9</f>
        <v/>
      </c>
      <c r="Z93" s="2">
        <f>T93/10^9</f>
        <v/>
      </c>
      <c r="AA93" s="2">
        <f>U93/10^9</f>
        <v/>
      </c>
      <c r="AB93" s="2">
        <f>V93/10^9</f>
        <v/>
      </c>
      <c r="AD93" s="8">
        <f>X93/$C94*$B94</f>
        <v/>
      </c>
      <c r="AE93" s="8">
        <f>Y93/$C94*$B94</f>
        <v/>
      </c>
      <c r="AF93" s="8">
        <f>Z93/$C94*$B94</f>
        <v/>
      </c>
      <c r="AG93" s="8">
        <f>AA93/$C94*$B94</f>
        <v/>
      </c>
      <c r="AH93" s="11">
        <f>AB93/$C94*$B94</f>
        <v/>
      </c>
      <c r="AI93" s="8">
        <f>SUM(AD93:AG93)</f>
        <v/>
      </c>
      <c r="AJ93" s="9">
        <f>AI93+AJ94</f>
        <v/>
      </c>
      <c r="AL93" s="7">
        <f>B93-AJ93</f>
        <v/>
      </c>
      <c r="AM93" s="42">
        <f>_xlfn.STDEV.S(AL93:AL112)</f>
        <v/>
      </c>
    </row>
    <row r="94" ht="16" customFormat="1" customHeight="1" s="16">
      <c r="A94" s="10" t="n">
        <v>46125</v>
      </c>
      <c r="B94" s="20" t="n">
        <v>1758.96</v>
      </c>
      <c r="C94" s="4" t="n">
        <v>8314553.57783024</v>
      </c>
      <c r="F94" s="4" t="n">
        <v>160000</v>
      </c>
      <c r="G94" s="4" t="n">
        <v>7706031024</v>
      </c>
      <c r="H94" s="4" t="n">
        <v>122900</v>
      </c>
      <c r="I94" s="4" t="n">
        <v>4107412004</v>
      </c>
      <c r="J94" s="4" t="n">
        <v>27550</v>
      </c>
      <c r="K94" s="4" t="n">
        <v>2272318410</v>
      </c>
      <c r="L94" s="4" t="n">
        <v>80200</v>
      </c>
      <c r="M94" s="4" t="n">
        <v>1793300377</v>
      </c>
      <c r="N94" s="4" t="n">
        <v>166800</v>
      </c>
      <c r="O94" s="4" t="n">
        <v>591611334</v>
      </c>
      <c r="Q94" s="12" t="n"/>
      <c r="R94" s="3">
        <f>G94*F94-G95*F95</f>
        <v/>
      </c>
      <c r="S94" s="3">
        <f>I94*H94-I95*H95</f>
        <v/>
      </c>
      <c r="T94" s="3">
        <f>K94*J94-K95*J95</f>
        <v/>
      </c>
      <c r="U94" s="3">
        <f>M94*L94-M95*L95</f>
        <v/>
      </c>
      <c r="V94" s="3">
        <f>O94*N94-O95*N95</f>
        <v/>
      </c>
      <c r="X94" s="2">
        <f>R94/10^9</f>
        <v/>
      </c>
      <c r="Y94" s="2">
        <f>S94/10^9</f>
        <v/>
      </c>
      <c r="Z94" s="2">
        <f>T94/10^9</f>
        <v/>
      </c>
      <c r="AA94" s="2">
        <f>U94/10^9</f>
        <v/>
      </c>
      <c r="AB94" s="2">
        <f>V94/10^9</f>
        <v/>
      </c>
      <c r="AD94" s="8">
        <f>X94/$C95*$B95</f>
        <v/>
      </c>
      <c r="AE94" s="8">
        <f>Y94/$C95*$B95</f>
        <v/>
      </c>
      <c r="AF94" s="8">
        <f>Z94/$C95*$B95</f>
        <v/>
      </c>
      <c r="AG94" s="8">
        <f>AA94/$C95*$B95</f>
        <v/>
      </c>
      <c r="AH94" s="11">
        <f>AB94/$C95*$B95</f>
        <v/>
      </c>
      <c r="AI94" s="8">
        <f>SUM(AD94:AG94)</f>
        <v/>
      </c>
      <c r="AJ94" s="9">
        <f>AI94+AJ95</f>
        <v/>
      </c>
      <c r="AL94" s="7">
        <f>B94-AJ94</f>
        <v/>
      </c>
      <c r="AM94" s="42">
        <f>_xlfn.STDEV.S(AL94:AL113)</f>
        <v/>
      </c>
    </row>
    <row r="95" ht="16" customFormat="1" customHeight="1" s="16">
      <c r="A95" s="10" t="n">
        <v>46122</v>
      </c>
      <c r="B95" s="20" t="n">
        <v>1750</v>
      </c>
      <c r="C95" s="4" t="n">
        <v>8272643.733016</v>
      </c>
      <c r="F95" s="4" t="n">
        <v>151700</v>
      </c>
      <c r="G95" s="4" t="n">
        <v>7706031024</v>
      </c>
      <c r="H95" s="4" t="n">
        <v>121100</v>
      </c>
      <c r="I95" s="4" t="n">
        <v>4107412004</v>
      </c>
      <c r="J95" s="4" t="n">
        <v>27500</v>
      </c>
      <c r="K95" s="4" t="n">
        <v>2272318410</v>
      </c>
      <c r="L95" s="4" t="n">
        <v>81000</v>
      </c>
      <c r="M95" s="4" t="n">
        <v>1793300377</v>
      </c>
      <c r="N95" s="4" t="n">
        <v>167000</v>
      </c>
      <c r="O95" s="4" t="n">
        <v>591611334</v>
      </c>
      <c r="Q95" s="12" t="n"/>
      <c r="R95" s="3">
        <f>G95*F95-G96*F96</f>
        <v/>
      </c>
      <c r="S95" s="3">
        <f>I95*H95-I96*H96</f>
        <v/>
      </c>
      <c r="T95" s="3">
        <f>K95*J95-K96*J96</f>
        <v/>
      </c>
      <c r="U95" s="3">
        <f>M95*L95-M96*L96</f>
        <v/>
      </c>
      <c r="V95" s="3">
        <f>O95*N95-O96*N96</f>
        <v/>
      </c>
      <c r="X95" s="2">
        <f>R95/10^9</f>
        <v/>
      </c>
      <c r="Y95" s="2">
        <f>S95/10^9</f>
        <v/>
      </c>
      <c r="Z95" s="2">
        <f>T95/10^9</f>
        <v/>
      </c>
      <c r="AA95" s="2">
        <f>U95/10^9</f>
        <v/>
      </c>
      <c r="AB95" s="2">
        <f>V95/10^9</f>
        <v/>
      </c>
      <c r="AD95" s="8">
        <f>X95/$C96*$B96</f>
        <v/>
      </c>
      <c r="AE95" s="8">
        <f>Y95/$C96*$B96</f>
        <v/>
      </c>
      <c r="AF95" s="8">
        <f>Z95/$C96*$B96</f>
        <v/>
      </c>
      <c r="AG95" s="8">
        <f>AA95/$C96*$B96</f>
        <v/>
      </c>
      <c r="AH95" s="11">
        <f>AB95/$C96*$B96</f>
        <v/>
      </c>
      <c r="AI95" s="8">
        <f>SUM(AD95:AG95)</f>
        <v/>
      </c>
      <c r="AJ95" s="9">
        <f>AI95+AJ96</f>
        <v/>
      </c>
      <c r="AL95" s="7">
        <f>B95-AJ95</f>
        <v/>
      </c>
      <c r="AM95" s="42">
        <f>_xlfn.STDEV.S(AL95:AL114)</f>
        <v/>
      </c>
    </row>
    <row r="96" ht="16" customFormat="1" customHeight="1" s="16">
      <c r="A96" s="10" t="n">
        <v>46121</v>
      </c>
      <c r="B96" s="20" t="n">
        <v>1736.68</v>
      </c>
      <c r="C96" s="4" t="n">
        <v>8209717.3517341</v>
      </c>
      <c r="F96" s="4" t="n">
        <v>149200</v>
      </c>
      <c r="G96" s="4" t="n">
        <v>7706031024</v>
      </c>
      <c r="H96" s="4" t="n">
        <v>122000</v>
      </c>
      <c r="I96" s="4" t="n">
        <v>4107412004</v>
      </c>
      <c r="J96" s="4" t="n">
        <v>27600</v>
      </c>
      <c r="K96" s="4" t="n">
        <v>2272318410</v>
      </c>
      <c r="L96" s="4" t="n">
        <v>80000</v>
      </c>
      <c r="M96" s="4" t="n">
        <v>1793300377</v>
      </c>
      <c r="N96" s="4" t="n">
        <v>166000</v>
      </c>
      <c r="O96" s="4" t="n">
        <v>591611334</v>
      </c>
      <c r="Q96" s="12" t="n"/>
      <c r="R96" s="3">
        <f>G96*F96-G97*F97</f>
        <v/>
      </c>
      <c r="S96" s="3">
        <f>I96*H96-I97*H97</f>
        <v/>
      </c>
      <c r="T96" s="3">
        <f>K96*J96-K97*J97</f>
        <v/>
      </c>
      <c r="U96" s="3">
        <f>M96*L96-M97*L97</f>
        <v/>
      </c>
      <c r="V96" s="3">
        <f>O96*N96-O97*N97</f>
        <v/>
      </c>
      <c r="X96" s="2">
        <f>R96/10^9</f>
        <v/>
      </c>
      <c r="Y96" s="2">
        <f>S96/10^9</f>
        <v/>
      </c>
      <c r="Z96" s="2">
        <f>T96/10^9</f>
        <v/>
      </c>
      <c r="AA96" s="2">
        <f>U96/10^9</f>
        <v/>
      </c>
      <c r="AB96" s="2">
        <f>V96/10^9</f>
        <v/>
      </c>
      <c r="AD96" s="8">
        <f>X96/$C97*$B97</f>
        <v/>
      </c>
      <c r="AE96" s="8">
        <f>Y96/$C97*$B97</f>
        <v/>
      </c>
      <c r="AF96" s="8">
        <f>Z96/$C97*$B97</f>
        <v/>
      </c>
      <c r="AG96" s="8">
        <f>AA96/$C97*$B97</f>
        <v/>
      </c>
      <c r="AH96" s="11">
        <f>AB96/$C97*$B97</f>
        <v/>
      </c>
      <c r="AI96" s="8">
        <f>SUM(AD96:AG96)</f>
        <v/>
      </c>
      <c r="AJ96" s="9">
        <f>AI96+AJ97</f>
        <v/>
      </c>
      <c r="AL96" s="7">
        <f>B96-AJ96</f>
        <v/>
      </c>
      <c r="AM96" s="42">
        <f>_xlfn.STDEV.S(AL96:AL115)</f>
        <v/>
      </c>
    </row>
    <row r="97" ht="16" customFormat="1" customHeight="1" s="16">
      <c r="A97" s="10" t="n">
        <v>46120</v>
      </c>
      <c r="B97" s="20" t="n">
        <v>1756.55</v>
      </c>
      <c r="C97" s="4" t="n">
        <v>8303640.91801735</v>
      </c>
      <c r="F97" s="4" t="n">
        <v>153400</v>
      </c>
      <c r="G97" s="4" t="n">
        <v>7706031024</v>
      </c>
      <c r="H97" s="4" t="n">
        <v>123000</v>
      </c>
      <c r="I97" s="4" t="n">
        <v>4107412004</v>
      </c>
      <c r="J97" s="4" t="n">
        <v>27600</v>
      </c>
      <c r="K97" s="4" t="n">
        <v>2272318410</v>
      </c>
      <c r="L97" s="4" t="n">
        <v>85000</v>
      </c>
      <c r="M97" s="4" t="n">
        <v>1793300377</v>
      </c>
      <c r="N97" s="4" t="n">
        <v>169500</v>
      </c>
      <c r="O97" s="4" t="n">
        <v>591611334</v>
      </c>
      <c r="Q97" s="12" t="n"/>
      <c r="R97" s="3">
        <f>G97*F97-G98*F98</f>
        <v/>
      </c>
      <c r="S97" s="3">
        <f>I97*H97-I98*H98</f>
        <v/>
      </c>
      <c r="T97" s="3">
        <f>K97*J97-K98*J98</f>
        <v/>
      </c>
      <c r="U97" s="3">
        <f>M97*L97-M98*L98</f>
        <v/>
      </c>
      <c r="V97" s="3">
        <f>O97*N97-O98*N98</f>
        <v/>
      </c>
      <c r="X97" s="2">
        <f>R97/10^9</f>
        <v/>
      </c>
      <c r="Y97" s="2">
        <f>S97/10^9</f>
        <v/>
      </c>
      <c r="Z97" s="2">
        <f>T97/10^9</f>
        <v/>
      </c>
      <c r="AA97" s="2">
        <f>U97/10^9</f>
        <v/>
      </c>
      <c r="AB97" s="2">
        <f>V97/10^9</f>
        <v/>
      </c>
      <c r="AD97" s="8">
        <f>X97/$C98*$B98</f>
        <v/>
      </c>
      <c r="AE97" s="8">
        <f>Y97/$C98*$B98</f>
        <v/>
      </c>
      <c r="AF97" s="8">
        <f>Z97/$C98*$B98</f>
        <v/>
      </c>
      <c r="AG97" s="8">
        <f>AA97/$C98*$B98</f>
        <v/>
      </c>
      <c r="AH97" s="11">
        <f>AB97/$C98*$B98</f>
        <v/>
      </c>
      <c r="AI97" s="8">
        <f>SUM(AD97:AG97)</f>
        <v/>
      </c>
      <c r="AJ97" s="9">
        <f>AI97+AJ98</f>
        <v/>
      </c>
      <c r="AL97" s="7">
        <f>B97-AJ97</f>
        <v/>
      </c>
      <c r="AM97" s="42">
        <f>_xlfn.STDEV.S(AL97:AL116)</f>
        <v/>
      </c>
    </row>
    <row r="98" ht="16" customFormat="1" customHeight="1" s="16">
      <c r="A98" s="10" t="n">
        <v>46119</v>
      </c>
      <c r="B98" s="20" t="n">
        <v>1677.54</v>
      </c>
      <c r="C98" s="4" t="n">
        <v>7930022.858348081</v>
      </c>
      <c r="F98" s="4" t="n">
        <v>143400</v>
      </c>
      <c r="G98" s="4" t="n">
        <v>7706031024</v>
      </c>
      <c r="H98" s="4" t="n">
        <v>115000</v>
      </c>
      <c r="I98" s="4" t="n">
        <v>4107412004</v>
      </c>
      <c r="J98" s="4" t="n">
        <v>25800</v>
      </c>
      <c r="K98" s="4" t="n">
        <v>2272318410</v>
      </c>
      <c r="L98" s="4" t="n">
        <v>81900</v>
      </c>
      <c r="M98" s="4" t="n">
        <v>1793300377</v>
      </c>
      <c r="N98" s="4" t="n">
        <v>163500</v>
      </c>
      <c r="O98" s="4" t="n">
        <v>591611334</v>
      </c>
      <c r="Q98" s="12" t="n"/>
      <c r="R98" s="3">
        <f>G98*F98-G99*F99</f>
        <v/>
      </c>
      <c r="S98" s="3">
        <f>I98*H98-I99*H99</f>
        <v/>
      </c>
      <c r="T98" s="3">
        <f>K98*J98-K99*J99</f>
        <v/>
      </c>
      <c r="U98" s="3">
        <f>M98*L98-M99*L99</f>
        <v/>
      </c>
      <c r="V98" s="3">
        <f>O98*N98-O99*N99</f>
        <v/>
      </c>
      <c r="X98" s="2">
        <f>R98/10^9</f>
        <v/>
      </c>
      <c r="Y98" s="2">
        <f>S98/10^9</f>
        <v/>
      </c>
      <c r="Z98" s="2">
        <f>T98/10^9</f>
        <v/>
      </c>
      <c r="AA98" s="2">
        <f>U98/10^9</f>
        <v/>
      </c>
      <c r="AB98" s="2">
        <f>V98/10^9</f>
        <v/>
      </c>
      <c r="AD98" s="8">
        <f>X98/$C99*$B99</f>
        <v/>
      </c>
      <c r="AE98" s="8">
        <f>Y98/$C99*$B99</f>
        <v/>
      </c>
      <c r="AF98" s="8">
        <f>Z98/$C99*$B99</f>
        <v/>
      </c>
      <c r="AG98" s="8">
        <f>AA98/$C99*$B99</f>
        <v/>
      </c>
      <c r="AH98" s="11">
        <f>AB98/$C99*$B99</f>
        <v/>
      </c>
      <c r="AI98" s="8">
        <f>SUM(AD98:AG98)</f>
        <v/>
      </c>
      <c r="AJ98" s="9">
        <f>AI98+AJ99</f>
        <v/>
      </c>
      <c r="AL98" s="7">
        <f>B98-AJ98</f>
        <v/>
      </c>
      <c r="AM98" s="42">
        <f>_xlfn.STDEV.S(AL98:AL117)</f>
        <v/>
      </c>
    </row>
    <row r="99" ht="16" customFormat="1" customHeight="1" s="16">
      <c r="A99" s="10" t="n">
        <v>46118</v>
      </c>
      <c r="B99" s="20" t="n">
        <v>1674.99</v>
      </c>
      <c r="C99" s="4" t="n">
        <v>7917445.35570239</v>
      </c>
      <c r="F99" s="4" t="n">
        <v>141600</v>
      </c>
      <c r="G99" s="4" t="n">
        <v>7706031024</v>
      </c>
      <c r="H99" s="4" t="n">
        <v>117000</v>
      </c>
      <c r="I99" s="4" t="n">
        <v>4107412004</v>
      </c>
      <c r="J99" s="4" t="n">
        <v>25750</v>
      </c>
      <c r="K99" s="4" t="n">
        <v>2272318410</v>
      </c>
      <c r="L99" s="4" t="n">
        <v>82600</v>
      </c>
      <c r="M99" s="4" t="n">
        <v>1793300377</v>
      </c>
      <c r="N99" s="4" t="n">
        <v>163300</v>
      </c>
      <c r="O99" s="4" t="n">
        <v>591611334</v>
      </c>
      <c r="Q99" s="12" t="n"/>
      <c r="R99" s="3">
        <f>G99*F99-G100*F100</f>
        <v/>
      </c>
      <c r="S99" s="3">
        <f>I99*H99-I100*H100</f>
        <v/>
      </c>
      <c r="T99" s="3">
        <f>K99*J99-K100*J100</f>
        <v/>
      </c>
      <c r="U99" s="3">
        <f>M99*L99-M100*L100</f>
        <v/>
      </c>
      <c r="V99" s="3">
        <f>O99*N99-O100*N100</f>
        <v/>
      </c>
      <c r="X99" s="2">
        <f>R99/10^9</f>
        <v/>
      </c>
      <c r="Y99" s="2">
        <f>S99/10^9</f>
        <v/>
      </c>
      <c r="Z99" s="2">
        <f>T99/10^9</f>
        <v/>
      </c>
      <c r="AA99" s="2">
        <f>U99/10^9</f>
        <v/>
      </c>
      <c r="AB99" s="2">
        <f>V99/10^9</f>
        <v/>
      </c>
      <c r="AD99" s="8">
        <f>X99/$C100*$B100</f>
        <v/>
      </c>
      <c r="AE99" s="8">
        <f>Y99/$C100*$B100</f>
        <v/>
      </c>
      <c r="AF99" s="8">
        <f>Z99/$C100*$B100</f>
        <v/>
      </c>
      <c r="AG99" s="8">
        <f>AA99/$C100*$B100</f>
        <v/>
      </c>
      <c r="AH99" s="11">
        <f>AB99/$C100*$B100</f>
        <v/>
      </c>
      <c r="AI99" s="8">
        <f>SUM(AD99:AG99)</f>
        <v/>
      </c>
      <c r="AJ99" s="9">
        <f>AI99+AJ100</f>
        <v/>
      </c>
      <c r="AL99" s="7">
        <f>B99-AJ99</f>
        <v/>
      </c>
      <c r="AM99" s="42">
        <f>_xlfn.STDEV.S(AL99:AL118)</f>
        <v/>
      </c>
    </row>
    <row r="100" ht="16" customFormat="1" customHeight="1" s="16">
      <c r="A100" s="10" t="n">
        <v>46115</v>
      </c>
      <c r="B100" s="20" t="n">
        <v>1684.04</v>
      </c>
      <c r="C100" s="4" t="n">
        <v>7960415.34385849</v>
      </c>
      <c r="F100" s="4" t="n">
        <v>141000</v>
      </c>
      <c r="G100" s="4" t="n">
        <v>7706031024</v>
      </c>
      <c r="H100" s="4" t="n">
        <v>119200</v>
      </c>
      <c r="I100" s="4" t="n">
        <v>4107412004</v>
      </c>
      <c r="J100" s="4" t="n">
        <v>26500</v>
      </c>
      <c r="K100" s="4" t="n">
        <v>2272318410</v>
      </c>
      <c r="L100" s="4" t="n">
        <v>83200</v>
      </c>
      <c r="M100" s="4" t="n">
        <v>1793300377</v>
      </c>
      <c r="N100" s="4" t="n">
        <v>161100</v>
      </c>
      <c r="O100" s="4" t="n">
        <v>591611334</v>
      </c>
      <c r="Q100" s="12" t="n"/>
      <c r="R100" s="3">
        <f>G100*F100-G101*F101</f>
        <v/>
      </c>
      <c r="S100" s="3">
        <f>I100*H100-I101*H101</f>
        <v/>
      </c>
      <c r="T100" s="3">
        <f>K100*J100-K101*J101</f>
        <v/>
      </c>
      <c r="U100" s="3">
        <f>M100*L100-M101*L101</f>
        <v/>
      </c>
      <c r="V100" s="3">
        <f>O100*N100-O101*N101</f>
        <v/>
      </c>
      <c r="X100" s="2">
        <f>R100/10^9</f>
        <v/>
      </c>
      <c r="Y100" s="2">
        <f>S100/10^9</f>
        <v/>
      </c>
      <c r="Z100" s="2">
        <f>T100/10^9</f>
        <v/>
      </c>
      <c r="AA100" s="2">
        <f>U100/10^9</f>
        <v/>
      </c>
      <c r="AB100" s="2">
        <f>V100/10^9</f>
        <v/>
      </c>
      <c r="AD100" s="8">
        <f>X100/$C101*$B101</f>
        <v/>
      </c>
      <c r="AE100" s="8">
        <f>Y100/$C101*$B101</f>
        <v/>
      </c>
      <c r="AF100" s="8">
        <f>Z100/$C101*$B101</f>
        <v/>
      </c>
      <c r="AG100" s="8">
        <f>AA100/$C101*$B101</f>
        <v/>
      </c>
      <c r="AH100" s="11">
        <f>AB100/$C101*$B101</f>
        <v/>
      </c>
      <c r="AI100" s="8">
        <f>SUM(AD100:AG100)</f>
        <v/>
      </c>
      <c r="AJ100" s="9">
        <f>AI100+AJ101</f>
        <v/>
      </c>
      <c r="AL100" s="7">
        <f>B100-AJ100</f>
        <v/>
      </c>
      <c r="AM100" s="42">
        <f>_xlfn.STDEV.S(AL100:AL119)</f>
        <v/>
      </c>
    </row>
    <row r="101" ht="16" customFormat="1" customHeight="1" s="16">
      <c r="A101" s="10" t="n">
        <v>46114</v>
      </c>
      <c r="B101" s="20" t="n">
        <v>1694.82</v>
      </c>
      <c r="C101" s="18" t="n">
        <v>8005997</v>
      </c>
      <c r="E101" s="14" t="n"/>
      <c r="F101" s="4" t="n">
        <v>139900</v>
      </c>
      <c r="G101" s="4" t="n">
        <v>7706031024</v>
      </c>
      <c r="H101" s="4" t="n">
        <v>117900</v>
      </c>
      <c r="I101" s="4" t="n">
        <v>4107412004</v>
      </c>
      <c r="J101" s="4" t="n">
        <v>27200</v>
      </c>
      <c r="K101" s="4" t="n">
        <v>2272318410</v>
      </c>
      <c r="L101" s="4" t="n">
        <v>83900</v>
      </c>
      <c r="M101" s="4" t="n">
        <v>1793300377</v>
      </c>
      <c r="N101" s="4" t="n">
        <v>165500</v>
      </c>
      <c r="O101" s="4" t="n">
        <v>591611334</v>
      </c>
      <c r="Q101" s="17" t="n"/>
      <c r="R101" s="3">
        <f>G101*F101-G102*F102</f>
        <v/>
      </c>
      <c r="S101" s="3">
        <f>I101*H101-I102*H102</f>
        <v/>
      </c>
      <c r="T101" s="3">
        <f>K101*J101-K102*J102</f>
        <v/>
      </c>
      <c r="U101" s="3">
        <f>M101*L101-M102*L102</f>
        <v/>
      </c>
      <c r="V101" s="3">
        <f>O101*N101-O102*N102</f>
        <v/>
      </c>
      <c r="W101" s="3" t="n"/>
      <c r="X101" s="2">
        <f>R101/10^9</f>
        <v/>
      </c>
      <c r="Y101" s="2">
        <f>S101/10^9</f>
        <v/>
      </c>
      <c r="Z101" s="2">
        <f>T101/10^9</f>
        <v/>
      </c>
      <c r="AA101" s="2">
        <f>U101/10^9</f>
        <v/>
      </c>
      <c r="AB101" s="2">
        <f>V101/10^9</f>
        <v/>
      </c>
      <c r="AC101" s="2" t="n"/>
      <c r="AD101" s="8">
        <f>X101/$C102*$B102</f>
        <v/>
      </c>
      <c r="AE101" s="8">
        <f>Y101/$C102*$B102</f>
        <v/>
      </c>
      <c r="AF101" s="8">
        <f>Z101/$C102*$B102</f>
        <v/>
      </c>
      <c r="AG101" s="8">
        <f>AA101/$C102*$B102</f>
        <v/>
      </c>
      <c r="AH101" s="11">
        <f>AB101/$C102*$B102</f>
        <v/>
      </c>
      <c r="AI101" s="8">
        <f>SUM(AD101:AG101)</f>
        <v/>
      </c>
      <c r="AJ101" s="9">
        <f>AI101+AJ102</f>
        <v/>
      </c>
      <c r="AL101" s="7">
        <f>B101-AJ101</f>
        <v/>
      </c>
      <c r="AM101" s="42">
        <f>_xlfn.STDEV.S(AL101:AL120)</f>
        <v/>
      </c>
    </row>
    <row r="102" ht="16" customFormat="1" customHeight="1" s="16">
      <c r="A102" s="10" t="n">
        <v>46113</v>
      </c>
      <c r="B102" s="20" t="n">
        <v>1702.93</v>
      </c>
      <c r="C102" s="18" t="n">
        <v>8044651</v>
      </c>
      <c r="E102" s="14" t="n"/>
      <c r="F102" s="4" t="n">
        <v>141000</v>
      </c>
      <c r="G102" s="4" t="n">
        <v>7706031024</v>
      </c>
      <c r="H102" s="4" t="n">
        <v>110200</v>
      </c>
      <c r="I102" s="4" t="n">
        <v>4107412004</v>
      </c>
      <c r="J102" s="4" t="n">
        <v>27550</v>
      </c>
      <c r="K102" s="4" t="n">
        <v>2272318410</v>
      </c>
      <c r="L102" s="4" t="n">
        <v>83900</v>
      </c>
      <c r="M102" s="4" t="n">
        <v>1793300377</v>
      </c>
      <c r="N102" s="4" t="n">
        <v>166900</v>
      </c>
      <c r="O102" s="4" t="n">
        <v>591611334</v>
      </c>
      <c r="Q102" s="17" t="n"/>
      <c r="R102" s="3">
        <f>G102*F102-G103*F103</f>
        <v/>
      </c>
      <c r="S102" s="3">
        <f>I102*H102-I103*H103</f>
        <v/>
      </c>
      <c r="T102" s="3">
        <f>K102*J102-K103*J103</f>
        <v/>
      </c>
      <c r="U102" s="3">
        <f>M102*L102-M103*L103</f>
        <v/>
      </c>
      <c r="V102" s="3">
        <f>O102*N102-O103*N103</f>
        <v/>
      </c>
      <c r="W102" s="3" t="n"/>
      <c r="X102" s="2">
        <f>R102/10^9</f>
        <v/>
      </c>
      <c r="Y102" s="2">
        <f>S102/10^9</f>
        <v/>
      </c>
      <c r="Z102" s="2">
        <f>T102/10^9</f>
        <v/>
      </c>
      <c r="AA102" s="2">
        <f>U102/10^9</f>
        <v/>
      </c>
      <c r="AB102" s="2">
        <f>V102/10^9</f>
        <v/>
      </c>
      <c r="AC102" s="2" t="n"/>
      <c r="AD102" s="8">
        <f>X102/$C103*$B103</f>
        <v/>
      </c>
      <c r="AE102" s="8">
        <f>Y102/$C103*$B103</f>
        <v/>
      </c>
      <c r="AF102" s="8">
        <f>Z102/$C103*$B103</f>
        <v/>
      </c>
      <c r="AG102" s="8">
        <f>AA102/$C103*$B103</f>
        <v/>
      </c>
      <c r="AH102" s="11">
        <f>AB102/$C103*$B103</f>
        <v/>
      </c>
      <c r="AI102" s="8">
        <f>SUM(AD102:AG102)</f>
        <v/>
      </c>
      <c r="AJ102" s="9">
        <f>AI102+AJ103</f>
        <v/>
      </c>
      <c r="AL102" s="7">
        <f>B102-AJ102</f>
        <v/>
      </c>
      <c r="AM102" s="42">
        <f>_xlfn.STDEV.S(AL102:AL121)</f>
        <v/>
      </c>
    </row>
    <row r="103" ht="16" customFormat="1" customHeight="1" s="16">
      <c r="A103" s="10" t="n">
        <v>46112</v>
      </c>
      <c r="B103" s="20" t="n">
        <v>1674.49</v>
      </c>
      <c r="C103" s="18" t="n">
        <v>7910251</v>
      </c>
      <c r="E103" s="14" t="n"/>
      <c r="F103" s="4" t="n">
        <v>135000</v>
      </c>
      <c r="G103" s="4" t="n">
        <v>7706031024</v>
      </c>
      <c r="H103" s="4" t="n">
        <v>103000</v>
      </c>
      <c r="I103" s="4" t="n">
        <v>4107412004</v>
      </c>
      <c r="J103" s="4" t="n">
        <v>25750</v>
      </c>
      <c r="K103" s="4" t="n">
        <v>2272318410</v>
      </c>
      <c r="L103" s="4" t="n">
        <v>83400</v>
      </c>
      <c r="M103" s="4" t="n">
        <v>1793300377</v>
      </c>
      <c r="N103" s="4" t="n">
        <v>156000</v>
      </c>
      <c r="O103" s="4" t="n">
        <v>591611334</v>
      </c>
      <c r="Q103" s="17" t="n"/>
      <c r="R103" s="3">
        <f>G103*F103-G104*F104</f>
        <v/>
      </c>
      <c r="S103" s="3">
        <f>I103*H103-I104*H104</f>
        <v/>
      </c>
      <c r="T103" s="3">
        <f>K103*J103-K104*J104</f>
        <v/>
      </c>
      <c r="U103" s="3">
        <f>M103*L103-M104*L104</f>
        <v/>
      </c>
      <c r="V103" s="3">
        <f>O103*N103-O104*N104</f>
        <v/>
      </c>
      <c r="W103" s="3" t="n"/>
      <c r="X103" s="2">
        <f>R103/10^9</f>
        <v/>
      </c>
      <c r="Y103" s="2">
        <f>S103/10^9</f>
        <v/>
      </c>
      <c r="Z103" s="2">
        <f>T103/10^9</f>
        <v/>
      </c>
      <c r="AA103" s="2">
        <f>U103/10^9</f>
        <v/>
      </c>
      <c r="AB103" s="2">
        <f>V103/10^9</f>
        <v/>
      </c>
      <c r="AC103" s="2" t="n"/>
      <c r="AD103" s="8">
        <f>X103/$C104*$B104</f>
        <v/>
      </c>
      <c r="AE103" s="8">
        <f>Y103/$C104*$B104</f>
        <v/>
      </c>
      <c r="AF103" s="8">
        <f>Z103/$C104*$B104</f>
        <v/>
      </c>
      <c r="AG103" s="8">
        <f>AA103/$C104*$B104</f>
        <v/>
      </c>
      <c r="AH103" s="11">
        <f>AB103/$C104*$B104</f>
        <v/>
      </c>
      <c r="AI103" s="8">
        <f>SUM(AD103:AG103)</f>
        <v/>
      </c>
      <c r="AJ103" s="9">
        <f>AI103+AJ104</f>
        <v/>
      </c>
      <c r="AL103" s="7">
        <f>B103-AJ103</f>
        <v/>
      </c>
      <c r="AM103" s="42">
        <f>_xlfn.STDEV.S(AL103:AL122)</f>
        <v/>
      </c>
    </row>
    <row r="104" ht="16" customFormat="1" customHeight="1" s="16">
      <c r="A104" s="10" t="n">
        <v>46111</v>
      </c>
      <c r="B104" s="20" t="n">
        <v>1662.54</v>
      </c>
      <c r="C104" s="18" t="n">
        <v>7853859</v>
      </c>
      <c r="E104" s="14" t="n"/>
      <c r="F104" s="4" t="n">
        <v>129500</v>
      </c>
      <c r="G104" s="4" t="n">
        <v>7706031024</v>
      </c>
      <c r="H104" s="4" t="n">
        <v>103000</v>
      </c>
      <c r="I104" s="4" t="n">
        <v>4107412004</v>
      </c>
      <c r="J104" s="4" t="n">
        <v>25650</v>
      </c>
      <c r="K104" s="4" t="n">
        <v>2272318410</v>
      </c>
      <c r="L104" s="4" t="n">
        <v>83300</v>
      </c>
      <c r="M104" s="4" t="n">
        <v>1793300377</v>
      </c>
      <c r="N104" s="4" t="n">
        <v>157100</v>
      </c>
      <c r="O104" s="4" t="n">
        <v>591611334</v>
      </c>
      <c r="Q104" s="17" t="n"/>
      <c r="R104" s="3">
        <f>G104*F104-G105*F105</f>
        <v/>
      </c>
      <c r="S104" s="3">
        <f>I104*H104-I105*H105</f>
        <v/>
      </c>
      <c r="T104" s="3">
        <f>K104*J104-K105*J105</f>
        <v/>
      </c>
      <c r="U104" s="3">
        <f>M104*L104-M105*L105</f>
        <v/>
      </c>
      <c r="V104" s="3">
        <f>O104*N104-O105*N105</f>
        <v/>
      </c>
      <c r="W104" s="3" t="n"/>
      <c r="X104" s="2">
        <f>R104/10^9</f>
        <v/>
      </c>
      <c r="Y104" s="2">
        <f>S104/10^9</f>
        <v/>
      </c>
      <c r="Z104" s="2">
        <f>T104/10^9</f>
        <v/>
      </c>
      <c r="AA104" s="2">
        <f>U104/10^9</f>
        <v/>
      </c>
      <c r="AB104" s="2">
        <f>V104/10^9</f>
        <v/>
      </c>
      <c r="AC104" s="2" t="n"/>
      <c r="AD104" s="8">
        <f>X104/$C105*$B105</f>
        <v/>
      </c>
      <c r="AE104" s="8">
        <f>Y104/$C105*$B105</f>
        <v/>
      </c>
      <c r="AF104" s="8">
        <f>Z104/$C105*$B105</f>
        <v/>
      </c>
      <c r="AG104" s="8">
        <f>AA104/$C105*$B105</f>
        <v/>
      </c>
      <c r="AH104" s="11">
        <f>AB104/$C105*$B105</f>
        <v/>
      </c>
      <c r="AI104" s="8">
        <f>SUM(AD104:AG104)</f>
        <v/>
      </c>
      <c r="AJ104" s="9">
        <f>AI104+AJ105</f>
        <v/>
      </c>
      <c r="AL104" s="7">
        <f>B104-AJ104</f>
        <v/>
      </c>
      <c r="AM104" s="42">
        <f>_xlfn.STDEV.S(AL104:AL123)</f>
        <v/>
      </c>
    </row>
    <row r="105" ht="16" customFormat="1" customHeight="1" s="16">
      <c r="A105" s="10" t="n">
        <v>46108</v>
      </c>
      <c r="B105" s="20" t="n">
        <v>1672.8</v>
      </c>
      <c r="C105" s="18" t="n">
        <v>7903157</v>
      </c>
      <c r="E105" s="14" t="n"/>
      <c r="F105" s="4" t="n">
        <v>132600</v>
      </c>
      <c r="G105" s="4" t="n">
        <v>7706031024</v>
      </c>
      <c r="H105" s="4" t="n">
        <v>103000</v>
      </c>
      <c r="I105" s="4" t="n">
        <v>4107412004</v>
      </c>
      <c r="J105" s="4" t="n">
        <v>25750</v>
      </c>
      <c r="K105" s="4" t="n">
        <v>2272318410</v>
      </c>
      <c r="L105" s="4" t="n">
        <v>83000</v>
      </c>
      <c r="M105" s="4" t="n">
        <v>1793300377</v>
      </c>
      <c r="N105" s="4" t="n">
        <v>157000</v>
      </c>
      <c r="O105" s="4" t="n">
        <v>591611334</v>
      </c>
      <c r="Q105" s="17" t="n"/>
      <c r="R105" s="3">
        <f>G105*F105-G106*F106</f>
        <v/>
      </c>
      <c r="S105" s="3">
        <f>I105*H105-I106*H106</f>
        <v/>
      </c>
      <c r="T105" s="3">
        <f>K105*J105-K106*J106</f>
        <v/>
      </c>
      <c r="U105" s="3">
        <f>M105*L105-M106*L106</f>
        <v/>
      </c>
      <c r="V105" s="3">
        <f>O105*N105-O106*N106</f>
        <v/>
      </c>
      <c r="W105" s="3" t="n"/>
      <c r="X105" s="2">
        <f>R105/10^9</f>
        <v/>
      </c>
      <c r="Y105" s="2">
        <f>S105/10^9</f>
        <v/>
      </c>
      <c r="Z105" s="2">
        <f>T105/10^9</f>
        <v/>
      </c>
      <c r="AA105" s="2">
        <f>U105/10^9</f>
        <v/>
      </c>
      <c r="AB105" s="2">
        <f>V105/10^9</f>
        <v/>
      </c>
      <c r="AC105" s="2" t="n"/>
      <c r="AD105" s="8">
        <f>X105/$C106*$B106</f>
        <v/>
      </c>
      <c r="AE105" s="8">
        <f>Y105/$C106*$B106</f>
        <v/>
      </c>
      <c r="AF105" s="8">
        <f>Z105/$C106*$B106</f>
        <v/>
      </c>
      <c r="AG105" s="8">
        <f>AA105/$C106*$B106</f>
        <v/>
      </c>
      <c r="AH105" s="11">
        <f>AB105/$C106*$B106</f>
        <v/>
      </c>
      <c r="AI105" s="8">
        <f>SUM(AD105:AG105)</f>
        <v/>
      </c>
      <c r="AJ105" s="9">
        <f>AI105+AJ106</f>
        <v/>
      </c>
      <c r="AL105" s="7">
        <f>B105-AJ105</f>
        <v/>
      </c>
      <c r="AM105" s="42">
        <f>_xlfn.STDEV.S(AL105:AL124)</f>
        <v/>
      </c>
    </row>
    <row r="106" ht="16" customFormat="1" customHeight="1" s="16">
      <c r="A106" s="10" t="n">
        <v>46107</v>
      </c>
      <c r="B106" s="20" t="n">
        <v>1644.63</v>
      </c>
      <c r="C106" s="18" t="n">
        <v>7770000</v>
      </c>
      <c r="E106" s="14" t="n"/>
      <c r="F106" s="4" t="n">
        <v>130000</v>
      </c>
      <c r="G106" s="4" t="n">
        <v>7706031024</v>
      </c>
      <c r="H106" s="4" t="n">
        <v>101100</v>
      </c>
      <c r="I106" s="4" t="n">
        <v>4107412004</v>
      </c>
      <c r="J106" s="4" t="n">
        <v>25550</v>
      </c>
      <c r="K106" s="4" t="n">
        <v>2272318410</v>
      </c>
      <c r="L106" s="4" t="n">
        <v>81800</v>
      </c>
      <c r="M106" s="4" t="n">
        <v>1793300377</v>
      </c>
      <c r="N106" s="4" t="n">
        <v>155000</v>
      </c>
      <c r="O106" s="4" t="n">
        <v>591611334</v>
      </c>
      <c r="Q106" s="17" t="n"/>
      <c r="R106" s="3">
        <f>G106*F106-G107*F107</f>
        <v/>
      </c>
      <c r="S106" s="3">
        <f>I106*H106-I107*H107</f>
        <v/>
      </c>
      <c r="T106" s="3">
        <f>K106*J106-K107*J107</f>
        <v/>
      </c>
      <c r="U106" s="3">
        <f>M106*L106-M107*L107</f>
        <v/>
      </c>
      <c r="V106" s="3">
        <f>O106*N106-O107*N107</f>
        <v/>
      </c>
      <c r="W106" s="3" t="n"/>
      <c r="X106" s="2">
        <f>R106/10^9</f>
        <v/>
      </c>
      <c r="Y106" s="2">
        <f>S106/10^9</f>
        <v/>
      </c>
      <c r="Z106" s="2">
        <f>T106/10^9</f>
        <v/>
      </c>
      <c r="AA106" s="2">
        <f>U106/10^9</f>
        <v/>
      </c>
      <c r="AB106" s="2">
        <f>V106/10^9</f>
        <v/>
      </c>
      <c r="AC106" s="2" t="n"/>
      <c r="AD106" s="8">
        <f>X106/$C107*$B107</f>
        <v/>
      </c>
      <c r="AE106" s="8">
        <f>Y106/$C107*$B107</f>
        <v/>
      </c>
      <c r="AF106" s="8">
        <f>Z106/$C107*$B107</f>
        <v/>
      </c>
      <c r="AG106" s="8">
        <f>AA106/$C107*$B107</f>
        <v/>
      </c>
      <c r="AH106" s="11">
        <f>AB106/$C107*$B107</f>
        <v/>
      </c>
      <c r="AI106" s="8">
        <f>SUM(AD106:AG106)</f>
        <v/>
      </c>
      <c r="AJ106" s="9">
        <f>AI106+AJ107</f>
        <v/>
      </c>
      <c r="AL106" s="7">
        <f>B106-AJ106</f>
        <v/>
      </c>
      <c r="AM106" s="42">
        <f>_xlfn.STDEV.S(AL106:AL125)</f>
        <v/>
      </c>
    </row>
    <row r="107" ht="16" customFormat="1" customHeight="1" s="16">
      <c r="A107" s="10" t="n">
        <v>46106</v>
      </c>
      <c r="B107" s="20" t="n">
        <v>1658.19</v>
      </c>
      <c r="C107" s="18" t="n">
        <v>7823941.62864379</v>
      </c>
      <c r="E107" s="14" t="n"/>
      <c r="F107" s="4" t="n">
        <v>128700</v>
      </c>
      <c r="G107" s="4" t="n">
        <v>7706031024</v>
      </c>
      <c r="H107" s="4" t="n">
        <v>104200</v>
      </c>
      <c r="I107" s="4" t="n">
        <v>4107412004</v>
      </c>
      <c r="J107" s="4" t="n">
        <v>26350</v>
      </c>
      <c r="K107" s="4" t="n">
        <v>2272318410</v>
      </c>
      <c r="L107" s="4" t="n">
        <v>82500</v>
      </c>
      <c r="M107" s="4" t="n">
        <v>1793300377</v>
      </c>
      <c r="N107" s="4" t="n">
        <v>153000</v>
      </c>
      <c r="O107" s="4" t="n">
        <v>591611334</v>
      </c>
      <c r="Q107" s="17" t="n"/>
      <c r="R107" s="3">
        <f>G107*F107-G108*F108</f>
        <v/>
      </c>
      <c r="S107" s="3">
        <f>I107*H107-I108*H108</f>
        <v/>
      </c>
      <c r="T107" s="3">
        <f>K107*J107-K108*J108</f>
        <v/>
      </c>
      <c r="U107" s="3">
        <f>M107*L107-M108*L108</f>
        <v/>
      </c>
      <c r="V107" s="3">
        <f>O107*N107-O108*N108</f>
        <v/>
      </c>
      <c r="W107" s="3" t="n"/>
      <c r="X107" s="2">
        <f>R107/10^9</f>
        <v/>
      </c>
      <c r="Y107" s="2">
        <f>S107/10^9</f>
        <v/>
      </c>
      <c r="Z107" s="2">
        <f>T107/10^9</f>
        <v/>
      </c>
      <c r="AA107" s="2">
        <f>U107/10^9</f>
        <v/>
      </c>
      <c r="AB107" s="2">
        <f>V107/10^9</f>
        <v/>
      </c>
      <c r="AC107" s="2" t="n"/>
      <c r="AD107" s="8">
        <f>X107/$C108*$B108</f>
        <v/>
      </c>
      <c r="AE107" s="8">
        <f>Y107/$C108*$B108</f>
        <v/>
      </c>
      <c r="AF107" s="8">
        <f>Z107/$C108*$B108</f>
        <v/>
      </c>
      <c r="AG107" s="8">
        <f>AA107/$C108*$B108</f>
        <v/>
      </c>
      <c r="AH107" s="11">
        <f>AB107/$C108*$B108</f>
        <v/>
      </c>
      <c r="AI107" s="8">
        <f>SUM(AD107:AG107)</f>
        <v/>
      </c>
      <c r="AJ107" s="9">
        <f>AI107+AJ108</f>
        <v/>
      </c>
      <c r="AL107" s="7">
        <f>B107-AJ107</f>
        <v/>
      </c>
      <c r="AM107" s="42">
        <f>_xlfn.STDEV.S(AL107:AL126)</f>
        <v/>
      </c>
    </row>
    <row r="108" ht="16" customFormat="1" customHeight="1" s="16">
      <c r="A108" s="10" t="n">
        <v>46105</v>
      </c>
      <c r="B108" s="20" t="n">
        <v>1614.77</v>
      </c>
      <c r="C108" s="18" t="n">
        <v>7618930.960391601</v>
      </c>
      <c r="E108" s="14" t="n"/>
      <c r="F108" s="4" t="n">
        <v>124000</v>
      </c>
      <c r="G108" s="4" t="n">
        <v>7706031024</v>
      </c>
      <c r="H108" s="4" t="n">
        <v>99000</v>
      </c>
      <c r="I108" s="4" t="n">
        <v>4107412004</v>
      </c>
      <c r="J108" s="4" t="n">
        <v>25300</v>
      </c>
      <c r="K108" s="4" t="n">
        <v>2272318410</v>
      </c>
      <c r="L108" s="4" t="n">
        <v>79300</v>
      </c>
      <c r="M108" s="4" t="n">
        <v>1793300377</v>
      </c>
      <c r="N108" s="4" t="n">
        <v>153000</v>
      </c>
      <c r="O108" s="4" t="n">
        <v>591611334</v>
      </c>
      <c r="Q108" s="17" t="n"/>
      <c r="R108" s="3">
        <f>G108*F108-G109*F109</f>
        <v/>
      </c>
      <c r="S108" s="3">
        <f>I108*H108-I109*H109</f>
        <v/>
      </c>
      <c r="T108" s="3">
        <f>K108*J108-K109*J109</f>
        <v/>
      </c>
      <c r="U108" s="3">
        <f>M108*L108-M109*L109</f>
        <v/>
      </c>
      <c r="V108" s="3">
        <f>O108*N108-O109*N109</f>
        <v/>
      </c>
      <c r="W108" s="3" t="n"/>
      <c r="X108" s="2">
        <f>R108/10^9</f>
        <v/>
      </c>
      <c r="Y108" s="2">
        <f>S108/10^9</f>
        <v/>
      </c>
      <c r="Z108" s="2">
        <f>T108/10^9</f>
        <v/>
      </c>
      <c r="AA108" s="2">
        <f>U108/10^9</f>
        <v/>
      </c>
      <c r="AB108" s="2">
        <f>V108/10^9</f>
        <v/>
      </c>
      <c r="AC108" s="2" t="n"/>
      <c r="AD108" s="8">
        <f>X108/$C109*$B109</f>
        <v/>
      </c>
      <c r="AE108" s="8">
        <f>Y108/$C109*$B109</f>
        <v/>
      </c>
      <c r="AF108" s="8">
        <f>Z108/$C109*$B109</f>
        <v/>
      </c>
      <c r="AG108" s="8">
        <f>AA108/$C109*$B109</f>
        <v/>
      </c>
      <c r="AH108" s="11">
        <f>AB108/$C109*$B109</f>
        <v/>
      </c>
      <c r="AI108" s="8">
        <f>SUM(AD108:AG108)</f>
        <v/>
      </c>
      <c r="AJ108" s="9">
        <f>AI108+AJ109</f>
        <v/>
      </c>
      <c r="AL108" s="7">
        <f>B108-AJ108</f>
        <v/>
      </c>
      <c r="AM108" s="42">
        <f>_xlfn.STDEV.S(AL108:AL127)</f>
        <v/>
      </c>
    </row>
    <row r="109" ht="16" customFormat="1" customHeight="1" s="16">
      <c r="A109" s="10" t="n">
        <v>46104</v>
      </c>
      <c r="B109" s="20" t="n">
        <v>1591.17</v>
      </c>
      <c r="C109" s="18" t="n">
        <v>7507967.19218369</v>
      </c>
      <c r="E109" s="14" t="n"/>
      <c r="F109" s="4" t="n">
        <v>125600</v>
      </c>
      <c r="G109" s="4" t="n">
        <v>7706031024</v>
      </c>
      <c r="H109" s="4" t="n">
        <v>98000</v>
      </c>
      <c r="I109" s="4" t="n">
        <v>4107412004</v>
      </c>
      <c r="J109" s="4" t="n">
        <v>25350</v>
      </c>
      <c r="K109" s="4" t="n">
        <v>2272318410</v>
      </c>
      <c r="L109" s="4" t="n">
        <v>78300</v>
      </c>
      <c r="M109" s="4" t="n">
        <v>1793300377</v>
      </c>
      <c r="N109" s="4" t="n">
        <v>151800</v>
      </c>
      <c r="O109" s="4" t="n">
        <v>591611334</v>
      </c>
      <c r="Q109" s="17" t="n"/>
      <c r="R109" s="3">
        <f>G109*F109-G110*F110</f>
        <v/>
      </c>
      <c r="S109" s="3">
        <f>I109*H109-I110*H110</f>
        <v/>
      </c>
      <c r="T109" s="3">
        <f>K109*J109-K110*J110</f>
        <v/>
      </c>
      <c r="U109" s="3">
        <f>M109*L109-M110*L110</f>
        <v/>
      </c>
      <c r="V109" s="3">
        <f>O109*N109-O110*N110</f>
        <v/>
      </c>
      <c r="W109" s="3" t="n"/>
      <c r="X109" s="2">
        <f>R109/10^9</f>
        <v/>
      </c>
      <c r="Y109" s="2">
        <f>S109/10^9</f>
        <v/>
      </c>
      <c r="Z109" s="2">
        <f>T109/10^9</f>
        <v/>
      </c>
      <c r="AA109" s="2">
        <f>U109/10^9</f>
        <v/>
      </c>
      <c r="AB109" s="2">
        <f>V109/10^9</f>
        <v/>
      </c>
      <c r="AC109" s="2" t="n"/>
      <c r="AD109" s="8">
        <f>X109/$C110*$B110</f>
        <v/>
      </c>
      <c r="AE109" s="8">
        <f>Y109/$C110*$B110</f>
        <v/>
      </c>
      <c r="AF109" s="8">
        <f>Z109/$C110*$B110</f>
        <v/>
      </c>
      <c r="AG109" s="8">
        <f>AA109/$C110*$B110</f>
        <v/>
      </c>
      <c r="AH109" s="11">
        <f>AB109/$C110*$B110</f>
        <v/>
      </c>
      <c r="AI109" s="8">
        <f>SUM(AD109:AG109)</f>
        <v/>
      </c>
      <c r="AJ109" s="9">
        <f>AI109+AJ110</f>
        <v/>
      </c>
      <c r="AL109" s="7">
        <f>B109-AJ109</f>
        <v/>
      </c>
      <c r="AM109" s="42">
        <f>_xlfn.STDEV.S(AL109:AL128)</f>
        <v/>
      </c>
    </row>
    <row r="110" ht="16" customFormat="1" customHeight="1" s="16">
      <c r="A110" s="10" t="n">
        <v>46101</v>
      </c>
      <c r="B110" s="20" t="n">
        <v>1647.81</v>
      </c>
      <c r="C110" s="18" t="n">
        <v>7775109.86747049</v>
      </c>
      <c r="E110" s="14" t="n"/>
      <c r="F110" s="4" t="n">
        <v>135000</v>
      </c>
      <c r="G110" s="4" t="n">
        <v>7706031024</v>
      </c>
      <c r="H110" s="4" t="n">
        <v>100000</v>
      </c>
      <c r="I110" s="4" t="n">
        <v>4107412004</v>
      </c>
      <c r="J110" s="4" t="n">
        <v>26150</v>
      </c>
      <c r="K110" s="4" t="n">
        <v>2272318410</v>
      </c>
      <c r="L110" s="4" t="n">
        <v>79000</v>
      </c>
      <c r="M110" s="4" t="n">
        <v>1793300377</v>
      </c>
      <c r="N110" s="4" t="n">
        <v>157300</v>
      </c>
      <c r="O110" s="4" t="n">
        <v>591611334</v>
      </c>
      <c r="Q110" s="17" t="n"/>
      <c r="R110" s="3">
        <f>G110*F110-G111*F111</f>
        <v/>
      </c>
      <c r="S110" s="3">
        <f>I110*H110-I111*H111</f>
        <v/>
      </c>
      <c r="T110" s="3">
        <f>K110*J110-K111*J111</f>
        <v/>
      </c>
      <c r="U110" s="3">
        <f>M110*L110-M111*L111</f>
        <v/>
      </c>
      <c r="V110" s="3">
        <f>O110*N110-O111*N111</f>
        <v/>
      </c>
      <c r="W110" s="3" t="n"/>
      <c r="X110" s="2">
        <f>R110/10^9</f>
        <v/>
      </c>
      <c r="Y110" s="2">
        <f>S110/10^9</f>
        <v/>
      </c>
      <c r="Z110" s="2">
        <f>T110/10^9</f>
        <v/>
      </c>
      <c r="AA110" s="2">
        <f>U110/10^9</f>
        <v/>
      </c>
      <c r="AB110" s="2">
        <f>V110/10^9</f>
        <v/>
      </c>
      <c r="AC110" s="2" t="n"/>
      <c r="AD110" s="8">
        <f>X110/$C111*$B111</f>
        <v/>
      </c>
      <c r="AE110" s="8">
        <f>Y110/$C111*$B111</f>
        <v/>
      </c>
      <c r="AF110" s="8">
        <f>Z110/$C111*$B111</f>
        <v/>
      </c>
      <c r="AG110" s="8">
        <f>AA110/$C111*$B111</f>
        <v/>
      </c>
      <c r="AH110" s="11">
        <f>AB110/$C111*$B111</f>
        <v/>
      </c>
      <c r="AI110" s="8">
        <f>SUM(AD110:AG110)</f>
        <v/>
      </c>
      <c r="AJ110" s="9">
        <f>AI110+AJ111</f>
        <v/>
      </c>
      <c r="AL110" s="7">
        <f>B110-AJ110</f>
        <v/>
      </c>
      <c r="AM110" s="42">
        <f>_xlfn.STDEV.S(AL110:AL129)</f>
        <v/>
      </c>
    </row>
    <row r="111" ht="16" customFormat="1" customHeight="1" s="16">
      <c r="A111" s="10" t="n">
        <v>46100</v>
      </c>
      <c r="B111" s="20" t="n">
        <v>1699.13</v>
      </c>
      <c r="C111" s="18" t="n">
        <v>8016799.31922288</v>
      </c>
      <c r="E111" s="14" t="n"/>
      <c r="F111" s="4" t="n">
        <v>145000</v>
      </c>
      <c r="G111" s="4" t="n">
        <v>7706031024</v>
      </c>
      <c r="H111" s="4" t="n">
        <v>102300</v>
      </c>
      <c r="I111" s="4" t="n">
        <v>4107412004</v>
      </c>
      <c r="J111" s="4" t="n">
        <v>26050</v>
      </c>
      <c r="K111" s="4" t="n">
        <v>2272318410</v>
      </c>
      <c r="L111" s="4" t="n">
        <v>81000</v>
      </c>
      <c r="M111" s="4" t="n">
        <v>1793300377</v>
      </c>
      <c r="N111" s="4" t="n">
        <v>158700</v>
      </c>
      <c r="O111" s="4" t="n">
        <v>591611334</v>
      </c>
      <c r="Q111" s="17" t="n"/>
      <c r="R111" s="3">
        <f>G111*F111-G112*F112</f>
        <v/>
      </c>
      <c r="S111" s="3">
        <f>I111*H111-I112*H112</f>
        <v/>
      </c>
      <c r="T111" s="3">
        <f>K111*J111-K112*J112</f>
        <v/>
      </c>
      <c r="U111" s="3">
        <f>M111*L111-M112*L112</f>
        <v/>
      </c>
      <c r="V111" s="3">
        <f>O111*N111-O112*N112</f>
        <v/>
      </c>
      <c r="W111" s="3" t="n"/>
      <c r="X111" s="2">
        <f>R111/10^9</f>
        <v/>
      </c>
      <c r="Y111" s="2">
        <f>S111/10^9</f>
        <v/>
      </c>
      <c r="Z111" s="2">
        <f>T111/10^9</f>
        <v/>
      </c>
      <c r="AA111" s="2">
        <f>U111/10^9</f>
        <v/>
      </c>
      <c r="AB111" s="2">
        <f>V111/10^9</f>
        <v/>
      </c>
      <c r="AC111" s="2" t="n"/>
      <c r="AD111" s="8">
        <f>X111/$C112*$B112</f>
        <v/>
      </c>
      <c r="AE111" s="8">
        <f>Y111/$C112*$B112</f>
        <v/>
      </c>
      <c r="AF111" s="8">
        <f>Z111/$C112*$B112</f>
        <v/>
      </c>
      <c r="AG111" s="8">
        <f>AA111/$C112*$B112</f>
        <v/>
      </c>
      <c r="AH111" s="11">
        <f>AB111/$C112*$B112</f>
        <v/>
      </c>
      <c r="AI111" s="8">
        <f>SUM(AD111:AG111)</f>
        <v/>
      </c>
      <c r="AJ111" s="9">
        <f>AI111+AJ112</f>
        <v/>
      </c>
      <c r="AL111" s="7">
        <f>B111-AJ111</f>
        <v/>
      </c>
      <c r="AM111" s="42">
        <f>_xlfn.STDEV.S(AL111:AL130)</f>
        <v/>
      </c>
    </row>
    <row r="112" ht="16" customFormat="1" customHeight="1" s="16">
      <c r="A112" s="10" t="n">
        <v>46099</v>
      </c>
      <c r="B112" s="20" t="n">
        <v>1713.83</v>
      </c>
      <c r="C112" s="18" t="n">
        <v>8086116.28807787</v>
      </c>
      <c r="E112" s="14" t="n"/>
      <c r="F112" s="4" t="n">
        <v>146000</v>
      </c>
      <c r="G112" s="4" t="n">
        <v>7706031024</v>
      </c>
      <c r="H112" s="4" t="n">
        <v>102000</v>
      </c>
      <c r="I112" s="4" t="n">
        <v>4107412004</v>
      </c>
      <c r="J112" s="4" t="n">
        <v>26100</v>
      </c>
      <c r="K112" s="4" t="n">
        <v>2272318410</v>
      </c>
      <c r="L112" s="4" t="n">
        <v>77800</v>
      </c>
      <c r="M112" s="4" t="n">
        <v>1793300377</v>
      </c>
      <c r="N112" s="4" t="n">
        <v>160000</v>
      </c>
      <c r="O112" s="4" t="n">
        <v>591611334</v>
      </c>
      <c r="Q112" s="17" t="n"/>
      <c r="R112" s="3">
        <f>G112*F112-G113*F113</f>
        <v/>
      </c>
      <c r="S112" s="3">
        <f>I112*H112-I113*H113</f>
        <v/>
      </c>
      <c r="T112" s="3">
        <f>K112*J112-K113*J113</f>
        <v/>
      </c>
      <c r="U112" s="3">
        <f>M112*L112-M113*L113</f>
        <v/>
      </c>
      <c r="V112" s="3">
        <f>O112*N112-O113*N113</f>
        <v/>
      </c>
      <c r="W112" s="3" t="n"/>
      <c r="X112" s="2">
        <f>R112/10^9</f>
        <v/>
      </c>
      <c r="Y112" s="2">
        <f>S112/10^9</f>
        <v/>
      </c>
      <c r="Z112" s="2">
        <f>T112/10^9</f>
        <v/>
      </c>
      <c r="AA112" s="2">
        <f>U112/10^9</f>
        <v/>
      </c>
      <c r="AB112" s="2">
        <f>V112/10^9</f>
        <v/>
      </c>
      <c r="AC112" s="2" t="n"/>
      <c r="AD112" s="8">
        <f>X112/$C113*$B113</f>
        <v/>
      </c>
      <c r="AE112" s="8">
        <f>Y112/$C113*$B113</f>
        <v/>
      </c>
      <c r="AF112" s="8">
        <f>Z112/$C113*$B113</f>
        <v/>
      </c>
      <c r="AG112" s="8">
        <f>AA112/$C113*$B113</f>
        <v/>
      </c>
      <c r="AH112" s="11">
        <f>AB112/$C113*$B113</f>
        <v/>
      </c>
      <c r="AI112" s="8">
        <f>SUM(AD112:AG112)</f>
        <v/>
      </c>
      <c r="AJ112" s="9">
        <f>AI112+AJ113</f>
        <v/>
      </c>
      <c r="AL112" s="7">
        <f>B112-AJ112</f>
        <v/>
      </c>
      <c r="AM112" s="42">
        <f>_xlfn.STDEV.S(AL112:AL131)</f>
        <v/>
      </c>
    </row>
    <row r="113" ht="16" customFormat="1" customHeight="1" s="16">
      <c r="A113" s="10" t="n">
        <v>46098</v>
      </c>
      <c r="B113" s="20" t="n">
        <v>1710.29</v>
      </c>
      <c r="C113" s="18" t="n">
        <v>8069492.50812789</v>
      </c>
      <c r="E113" s="14" t="n"/>
      <c r="F113" s="4" t="n">
        <v>146200</v>
      </c>
      <c r="G113" s="4" t="n">
        <v>7706031024</v>
      </c>
      <c r="H113" s="4" t="n">
        <v>102000</v>
      </c>
      <c r="I113" s="4" t="n">
        <v>4107412004</v>
      </c>
      <c r="J113" s="4" t="n">
        <v>26450</v>
      </c>
      <c r="K113" s="4" t="n">
        <v>2272318410</v>
      </c>
      <c r="L113" s="4" t="n">
        <v>76900</v>
      </c>
      <c r="M113" s="4" t="n">
        <v>1793300377</v>
      </c>
      <c r="N113" s="4" t="n">
        <v>157000</v>
      </c>
      <c r="O113" s="4" t="n">
        <v>591611334</v>
      </c>
      <c r="Q113" s="17" t="n"/>
      <c r="R113" s="3">
        <f>G113*F113-G114*F114</f>
        <v/>
      </c>
      <c r="S113" s="3">
        <f>I113*H113-I114*H114</f>
        <v/>
      </c>
      <c r="T113" s="3">
        <f>K113*J113-K114*J114</f>
        <v/>
      </c>
      <c r="U113" s="3">
        <f>M113*L113-M114*L114</f>
        <v/>
      </c>
      <c r="V113" s="3">
        <f>O113*N113-O114*N114</f>
        <v/>
      </c>
      <c r="W113" s="3" t="n"/>
      <c r="X113" s="2">
        <f>R113/10^9</f>
        <v/>
      </c>
      <c r="Y113" s="2">
        <f>S113/10^9</f>
        <v/>
      </c>
      <c r="Z113" s="2">
        <f>T113/10^9</f>
        <v/>
      </c>
      <c r="AA113" s="2">
        <f>U113/10^9</f>
        <v/>
      </c>
      <c r="AB113" s="2">
        <f>V113/10^9</f>
        <v/>
      </c>
      <c r="AC113" s="2" t="n"/>
      <c r="AD113" s="8">
        <f>X113/$C114*$B114</f>
        <v/>
      </c>
      <c r="AE113" s="8">
        <f>Y113/$C114*$B114</f>
        <v/>
      </c>
      <c r="AF113" s="8">
        <f>Z113/$C114*$B114</f>
        <v/>
      </c>
      <c r="AG113" s="8">
        <f>AA113/$C114*$B114</f>
        <v/>
      </c>
      <c r="AH113" s="11">
        <f>AB113/$C114*$B114</f>
        <v/>
      </c>
      <c r="AI113" s="8">
        <f>SUM(AD113:AG113)</f>
        <v/>
      </c>
      <c r="AJ113" s="9">
        <f>AI113+AJ114</f>
        <v/>
      </c>
      <c r="AL113" s="7">
        <f>B113-AJ113</f>
        <v/>
      </c>
      <c r="AM113" s="42">
        <f>_xlfn.STDEV.S(AL113:AL132)</f>
        <v/>
      </c>
    </row>
    <row r="114" ht="16" customFormat="1" customHeight="1" s="16">
      <c r="A114" s="10" t="n">
        <v>46097</v>
      </c>
      <c r="B114" s="20" t="n">
        <v>1693.21</v>
      </c>
      <c r="C114" s="18" t="n">
        <v>7987959.04511696</v>
      </c>
      <c r="E114" s="14" t="n"/>
      <c r="F114" s="4" t="n">
        <v>144700</v>
      </c>
      <c r="G114" s="4" t="n">
        <v>7706031024</v>
      </c>
      <c r="H114" s="4" t="n">
        <v>100000</v>
      </c>
      <c r="I114" s="4" t="n">
        <v>4107412004</v>
      </c>
      <c r="J114" s="4" t="n">
        <v>25900</v>
      </c>
      <c r="K114" s="4" t="n">
        <v>2272318410</v>
      </c>
      <c r="L114" s="4" t="n">
        <v>76600</v>
      </c>
      <c r="M114" s="4" t="n">
        <v>1793300377</v>
      </c>
      <c r="N114" s="4" t="n">
        <v>154000</v>
      </c>
      <c r="O114" s="4" t="n">
        <v>591611334</v>
      </c>
      <c r="Q114" s="17" t="n"/>
      <c r="R114" s="3">
        <f>G114*F114-G115*F115</f>
        <v/>
      </c>
      <c r="S114" s="3">
        <f>I114*H114-I115*H115</f>
        <v/>
      </c>
      <c r="T114" s="3">
        <f>K114*J114-K115*J115</f>
        <v/>
      </c>
      <c r="U114" s="3">
        <f>M114*L114-M115*L115</f>
        <v/>
      </c>
      <c r="V114" s="3">
        <f>O114*N114-O115*N115</f>
        <v/>
      </c>
      <c r="W114" s="3" t="n"/>
      <c r="X114" s="2">
        <f>R114/10^9</f>
        <v/>
      </c>
      <c r="Y114" s="2">
        <f>S114/10^9</f>
        <v/>
      </c>
      <c r="Z114" s="2">
        <f>T114/10^9</f>
        <v/>
      </c>
      <c r="AA114" s="2">
        <f>U114/10^9</f>
        <v/>
      </c>
      <c r="AB114" s="2">
        <f>V114/10^9</f>
        <v/>
      </c>
      <c r="AC114" s="2" t="n"/>
      <c r="AD114" s="8">
        <f>X114/$C115*$B115</f>
        <v/>
      </c>
      <c r="AE114" s="8">
        <f>Y114/$C115*$B115</f>
        <v/>
      </c>
      <c r="AF114" s="8">
        <f>Z114/$C115*$B115</f>
        <v/>
      </c>
      <c r="AG114" s="8">
        <f>AA114/$C115*$B115</f>
        <v/>
      </c>
      <c r="AH114" s="11">
        <f>AB114/$C115*$B115</f>
        <v/>
      </c>
      <c r="AI114" s="8">
        <f>SUM(AD114:AG114)</f>
        <v/>
      </c>
      <c r="AJ114" s="9">
        <f>AI114+AJ115</f>
        <v/>
      </c>
      <c r="AL114" s="7">
        <f>B114-AJ114</f>
        <v/>
      </c>
      <c r="AM114" s="42">
        <f>_xlfn.STDEV.S(AL114:AL133)</f>
        <v/>
      </c>
    </row>
    <row r="115" ht="16" customFormat="1" customHeight="1" s="16">
      <c r="A115" s="10" t="n">
        <v>46094</v>
      </c>
      <c r="B115" s="20" t="n">
        <v>1696.24</v>
      </c>
      <c r="C115" s="18" t="n">
        <v>8002068.61149225</v>
      </c>
      <c r="E115" s="14" t="n"/>
      <c r="F115" s="4" t="n">
        <v>144600</v>
      </c>
      <c r="G115" s="4" t="n">
        <v>7706031024</v>
      </c>
      <c r="H115" s="4" t="n">
        <v>98000</v>
      </c>
      <c r="I115" s="4" t="n">
        <v>4107412004</v>
      </c>
      <c r="J115" s="4" t="n">
        <v>25250</v>
      </c>
      <c r="K115" s="4" t="n">
        <v>2272318410</v>
      </c>
      <c r="L115" s="4" t="n">
        <v>79300</v>
      </c>
      <c r="M115" s="4" t="n">
        <v>1793300377</v>
      </c>
      <c r="N115" s="4" t="n">
        <v>156800</v>
      </c>
      <c r="O115" s="4" t="n">
        <v>591611334</v>
      </c>
      <c r="Q115" s="17" t="n"/>
      <c r="R115" s="3">
        <f>G115*F115-G116*F116</f>
        <v/>
      </c>
      <c r="S115" s="3">
        <f>I115*H115-I116*H116</f>
        <v/>
      </c>
      <c r="T115" s="3">
        <f>K115*J115-K116*J116</f>
        <v/>
      </c>
      <c r="U115" s="3">
        <f>M115*L115-M116*L116</f>
        <v/>
      </c>
      <c r="V115" s="3">
        <f>O115*N115-O116*N116</f>
        <v/>
      </c>
      <c r="W115" s="3" t="n"/>
      <c r="X115" s="2">
        <f>R115/10^9</f>
        <v/>
      </c>
      <c r="Y115" s="2">
        <f>S115/10^9</f>
        <v/>
      </c>
      <c r="Z115" s="2">
        <f>T115/10^9</f>
        <v/>
      </c>
      <c r="AA115" s="2">
        <f>U115/10^9</f>
        <v/>
      </c>
      <c r="AB115" s="2">
        <f>V115/10^9</f>
        <v/>
      </c>
      <c r="AC115" s="2" t="n"/>
      <c r="AD115" s="8">
        <f>X115/$C116*$B116</f>
        <v/>
      </c>
      <c r="AE115" s="8">
        <f>Y115/$C116*$B116</f>
        <v/>
      </c>
      <c r="AF115" s="8">
        <f>Z115/$C116*$B116</f>
        <v/>
      </c>
      <c r="AG115" s="8">
        <f>AA115/$C116*$B116</f>
        <v/>
      </c>
      <c r="AH115" s="11">
        <f>AB115/$C116*$B116</f>
        <v/>
      </c>
      <c r="AI115" s="8">
        <f>SUM(AD115:AG115)</f>
        <v/>
      </c>
      <c r="AJ115" s="9">
        <f>AI115+AJ116</f>
        <v/>
      </c>
      <c r="AL115" s="7">
        <f>B115-AJ115</f>
        <v/>
      </c>
      <c r="AM115" s="42">
        <f>_xlfn.STDEV.S(AL115:AL134)</f>
        <v/>
      </c>
    </row>
    <row r="116" ht="16" customFormat="1" customHeight="1" s="16">
      <c r="A116" s="10" t="n">
        <v>46093</v>
      </c>
      <c r="B116" s="20" t="n">
        <v>1709.61</v>
      </c>
      <c r="C116" s="18" t="n">
        <v>8064954.212872561</v>
      </c>
      <c r="E116" s="14" t="n"/>
      <c r="F116" s="4" t="n">
        <v>145000</v>
      </c>
      <c r="G116" s="4" t="n">
        <v>7706031024</v>
      </c>
      <c r="H116" s="4" t="n">
        <v>95900</v>
      </c>
      <c r="I116" s="4" t="n">
        <v>4107412004</v>
      </c>
      <c r="J116" s="4" t="n">
        <v>25900</v>
      </c>
      <c r="K116" s="4" t="n">
        <v>2272318410</v>
      </c>
      <c r="L116" s="4" t="n">
        <v>80300</v>
      </c>
      <c r="M116" s="4" t="n">
        <v>1793300377</v>
      </c>
      <c r="N116" s="4" t="n">
        <v>152800</v>
      </c>
      <c r="O116" s="4" t="n">
        <v>591611334</v>
      </c>
      <c r="Q116" s="17" t="n"/>
      <c r="R116" s="3">
        <f>G116*F116-G117*F117</f>
        <v/>
      </c>
      <c r="S116" s="3">
        <f>I116*H116-I117*H117</f>
        <v/>
      </c>
      <c r="T116" s="3">
        <f>K116*J116-K117*J117</f>
        <v/>
      </c>
      <c r="U116" s="3">
        <f>M116*L116-M117*L117</f>
        <v/>
      </c>
      <c r="V116" s="3">
        <f>O116*N116-O117*N117</f>
        <v/>
      </c>
      <c r="W116" s="3" t="n"/>
      <c r="X116" s="2">
        <f>R116/10^9</f>
        <v/>
      </c>
      <c r="Y116" s="2">
        <f>S116/10^9</f>
        <v/>
      </c>
      <c r="Z116" s="2">
        <f>T116/10^9</f>
        <v/>
      </c>
      <c r="AA116" s="2">
        <f>U116/10^9</f>
        <v/>
      </c>
      <c r="AB116" s="2">
        <f>V116/10^9</f>
        <v/>
      </c>
      <c r="AC116" s="2" t="n"/>
      <c r="AD116" s="8">
        <f>X116/$C117*$B117</f>
        <v/>
      </c>
      <c r="AE116" s="8">
        <f>Y116/$C117*$B117</f>
        <v/>
      </c>
      <c r="AF116" s="8">
        <f>Z116/$C117*$B117</f>
        <v/>
      </c>
      <c r="AG116" s="8">
        <f>AA116/$C117*$B117</f>
        <v/>
      </c>
      <c r="AH116" s="11">
        <f>AB116/$C117*$B117</f>
        <v/>
      </c>
      <c r="AI116" s="8">
        <f>SUM(AD116:AG116)</f>
        <v/>
      </c>
      <c r="AJ116" s="9">
        <f>AI116+AJ117</f>
        <v/>
      </c>
      <c r="AL116" s="7">
        <f>B116-AJ116</f>
        <v/>
      </c>
      <c r="AM116" s="42">
        <f>_xlfn.STDEV.S(AL116:AL135)</f>
        <v/>
      </c>
    </row>
    <row r="117" ht="16" customFormat="1" customHeight="1" s="16">
      <c r="A117" s="10" t="n">
        <v>46092</v>
      </c>
      <c r="B117" s="20" t="n">
        <v>1728.34</v>
      </c>
      <c r="C117" s="18" t="n">
        <v>8153530.1205109</v>
      </c>
      <c r="E117" s="14" t="n"/>
      <c r="F117" s="4" t="n">
        <v>146000</v>
      </c>
      <c r="G117" s="4" t="n">
        <v>7706031024</v>
      </c>
      <c r="H117" s="4" t="n">
        <v>95900</v>
      </c>
      <c r="I117" s="4" t="n">
        <v>4107412004</v>
      </c>
      <c r="J117" s="4" t="n">
        <v>25600</v>
      </c>
      <c r="K117" s="4" t="n">
        <v>2272318410</v>
      </c>
      <c r="L117" s="4" t="n">
        <v>78100</v>
      </c>
      <c r="M117" s="4" t="n">
        <v>1793300377</v>
      </c>
      <c r="N117" s="4" t="n">
        <v>159700</v>
      </c>
      <c r="O117" s="4" t="n">
        <v>591611334</v>
      </c>
      <c r="Q117" s="17" t="n"/>
      <c r="R117" s="3">
        <f>G117*F117-G118*F118</f>
        <v/>
      </c>
      <c r="S117" s="3">
        <f>I117*H117-I118*H118</f>
        <v/>
      </c>
      <c r="T117" s="3">
        <f>K117*J117-K118*J118</f>
        <v/>
      </c>
      <c r="U117" s="3">
        <f>M117*L117-M118*L118</f>
        <v/>
      </c>
      <c r="V117" s="3">
        <f>O117*N117-O118*N118</f>
        <v/>
      </c>
      <c r="W117" s="3" t="n"/>
      <c r="X117" s="2">
        <f>R117/10^9</f>
        <v/>
      </c>
      <c r="Y117" s="2">
        <f>S117/10^9</f>
        <v/>
      </c>
      <c r="Z117" s="2">
        <f>T117/10^9</f>
        <v/>
      </c>
      <c r="AA117" s="2">
        <f>U117/10^9</f>
        <v/>
      </c>
      <c r="AB117" s="2">
        <f>V117/10^9</f>
        <v/>
      </c>
      <c r="AC117" s="2" t="n"/>
      <c r="AD117" s="8">
        <f>X117/$C118*$B118</f>
        <v/>
      </c>
      <c r="AE117" s="8">
        <f>Y117/$C118*$B118</f>
        <v/>
      </c>
      <c r="AF117" s="8">
        <f>Z117/$C118*$B118</f>
        <v/>
      </c>
      <c r="AG117" s="8">
        <f>AA117/$C118*$B118</f>
        <v/>
      </c>
      <c r="AH117" s="11">
        <f>AB117/$C118*$B118</f>
        <v/>
      </c>
      <c r="AI117" s="8">
        <f>SUM(AD117:AG117)</f>
        <v/>
      </c>
      <c r="AJ117" s="9">
        <f>AI117+AJ118</f>
        <v/>
      </c>
      <c r="AL117" s="7">
        <f>B117-AJ117</f>
        <v/>
      </c>
      <c r="AM117" s="42">
        <f>_xlfn.STDEV.S(AL117:AL136)</f>
        <v/>
      </c>
    </row>
    <row r="118" ht="16" customFormat="1" customHeight="1" s="16">
      <c r="A118" s="10" t="n">
        <v>46091</v>
      </c>
      <c r="B118" s="20" t="n">
        <v>1676.73</v>
      </c>
      <c r="C118" s="18" t="n">
        <v>7910470.18015925</v>
      </c>
      <c r="E118" s="14" t="n"/>
      <c r="F118" s="4" t="n">
        <v>141800</v>
      </c>
      <c r="G118" s="4" t="n">
        <v>7706031024</v>
      </c>
      <c r="H118" s="4" t="n">
        <v>89800</v>
      </c>
      <c r="I118" s="4" t="n">
        <v>4107412004</v>
      </c>
      <c r="J118" s="4" t="n">
        <v>24050</v>
      </c>
      <c r="K118" s="4" t="n">
        <v>2272318410</v>
      </c>
      <c r="L118" s="4" t="n">
        <v>73000</v>
      </c>
      <c r="M118" s="4" t="n">
        <v>1793300377</v>
      </c>
      <c r="N118" s="4" t="n">
        <v>155000</v>
      </c>
      <c r="O118" s="4" t="n">
        <v>591611334</v>
      </c>
      <c r="Q118" s="17" t="n"/>
      <c r="R118" s="3">
        <f>G118*F118-G119*F119</f>
        <v/>
      </c>
      <c r="S118" s="3">
        <f>I118*H118-I119*H119</f>
        <v/>
      </c>
      <c r="T118" s="3">
        <f>K118*J118-K119*J119</f>
        <v/>
      </c>
      <c r="U118" s="3">
        <f>M118*L118-M119*L119</f>
        <v/>
      </c>
      <c r="V118" s="3">
        <f>O118*N118-O119*N119</f>
        <v/>
      </c>
      <c r="W118" s="3" t="n"/>
      <c r="X118" s="2">
        <f>R118/10^9</f>
        <v/>
      </c>
      <c r="Y118" s="2">
        <f>S118/10^9</f>
        <v/>
      </c>
      <c r="Z118" s="2">
        <f>T118/10^9</f>
        <v/>
      </c>
      <c r="AA118" s="2">
        <f>U118/10^9</f>
        <v/>
      </c>
      <c r="AB118" s="2">
        <f>V118/10^9</f>
        <v/>
      </c>
      <c r="AC118" s="2" t="n"/>
      <c r="AD118" s="8">
        <f>X118/$C119*$B119</f>
        <v/>
      </c>
      <c r="AE118" s="8">
        <f>Y118/$C119*$B119</f>
        <v/>
      </c>
      <c r="AF118" s="8">
        <f>Z118/$C119*$B119</f>
        <v/>
      </c>
      <c r="AG118" s="8">
        <f>AA118/$C119*$B119</f>
        <v/>
      </c>
      <c r="AH118" s="11">
        <f>AB118/$C119*$B119</f>
        <v/>
      </c>
      <c r="AI118" s="8">
        <f>SUM(AD118:AG118)</f>
        <v/>
      </c>
      <c r="AJ118" s="9">
        <f>AI118+AJ119</f>
        <v/>
      </c>
      <c r="AL118" s="7">
        <f>B118-AJ118</f>
        <v/>
      </c>
      <c r="AM118" s="42">
        <f>_xlfn.STDEV.S(AL118:AL137)</f>
        <v/>
      </c>
    </row>
    <row r="119" ht="16" customFormat="1" customHeight="1" s="16">
      <c r="A119" s="10" t="n">
        <v>46090</v>
      </c>
      <c r="B119" s="20" t="n">
        <v>1652.79</v>
      </c>
      <c r="C119" s="18" t="n">
        <v>7796785.7093985</v>
      </c>
      <c r="E119" s="14" t="n"/>
      <c r="F119" s="4" t="n">
        <v>145600</v>
      </c>
      <c r="G119" s="4" t="n">
        <v>7706031024</v>
      </c>
      <c r="H119" s="4" t="n">
        <v>88400</v>
      </c>
      <c r="I119" s="4" t="n">
        <v>4107412004</v>
      </c>
      <c r="J119" s="4" t="n">
        <v>24450</v>
      </c>
      <c r="K119" s="4" t="n">
        <v>2272318410</v>
      </c>
      <c r="L119" s="4" t="n">
        <v>71400</v>
      </c>
      <c r="M119" s="4" t="n">
        <v>1793300377</v>
      </c>
      <c r="N119" s="4" t="n">
        <v>153000</v>
      </c>
      <c r="O119" s="4" t="n">
        <v>591611334</v>
      </c>
      <c r="Q119" s="17" t="n"/>
      <c r="R119" s="3">
        <f>G119*F119-G120*F120</f>
        <v/>
      </c>
      <c r="S119" s="3">
        <f>I119*H119-I120*H120</f>
        <v/>
      </c>
      <c r="T119" s="3">
        <f>K119*J119-K120*J120</f>
        <v/>
      </c>
      <c r="U119" s="3">
        <f>M119*L119-M120*L120</f>
        <v/>
      </c>
      <c r="V119" s="3">
        <f>O119*N119-O120*N120</f>
        <v/>
      </c>
      <c r="W119" s="3" t="n"/>
      <c r="X119" s="2">
        <f>R119/10^9</f>
        <v/>
      </c>
      <c r="Y119" s="2">
        <f>S119/10^9</f>
        <v/>
      </c>
      <c r="Z119" s="2">
        <f>T119/10^9</f>
        <v/>
      </c>
      <c r="AA119" s="2">
        <f>U119/10^9</f>
        <v/>
      </c>
      <c r="AB119" s="2">
        <f>V119/10^9</f>
        <v/>
      </c>
      <c r="AC119" s="2" t="n"/>
      <c r="AD119" s="8">
        <f>X119/$C120*$B120</f>
        <v/>
      </c>
      <c r="AE119" s="8">
        <f>Y119/$C120*$B120</f>
        <v/>
      </c>
      <c r="AF119" s="8">
        <f>Z119/$C120*$B120</f>
        <v/>
      </c>
      <c r="AG119" s="8">
        <f>AA119/$C120*$B120</f>
        <v/>
      </c>
      <c r="AH119" s="11">
        <f>AB119/$C120*$B120</f>
        <v/>
      </c>
      <c r="AI119" s="8">
        <f>SUM(AD119:AG119)</f>
        <v/>
      </c>
      <c r="AJ119" s="9">
        <f>AI119+AJ120</f>
        <v/>
      </c>
      <c r="AL119" s="7">
        <f>B119-AJ119</f>
        <v/>
      </c>
      <c r="AM119" s="42">
        <f>_xlfn.STDEV.S(AL119:AL138)</f>
        <v/>
      </c>
    </row>
    <row r="120" ht="16" customFormat="1" customHeight="1" s="16">
      <c r="A120" s="10" t="n">
        <v>46087</v>
      </c>
      <c r="B120" s="20" t="n">
        <v>1767.84</v>
      </c>
      <c r="C120" s="18" t="n">
        <v>8339493.3666795</v>
      </c>
      <c r="E120" s="14" t="n"/>
      <c r="F120" s="4" t="n">
        <v>156500</v>
      </c>
      <c r="G120" s="4" t="n">
        <v>7706031024</v>
      </c>
      <c r="H120" s="4" t="n">
        <v>95000</v>
      </c>
      <c r="I120" s="4" t="n">
        <v>4107412004</v>
      </c>
      <c r="J120" s="4" t="n">
        <v>26250</v>
      </c>
      <c r="K120" s="4" t="n">
        <v>2272318410</v>
      </c>
      <c r="L120" s="4" t="n">
        <v>76700</v>
      </c>
      <c r="M120" s="4" t="n">
        <v>1793300377</v>
      </c>
      <c r="N120" s="4" t="n">
        <v>156400</v>
      </c>
      <c r="O120" s="4" t="n">
        <v>591611334</v>
      </c>
      <c r="Q120" s="17" t="n"/>
      <c r="R120" s="3">
        <f>G120*F120-G121*F121</f>
        <v/>
      </c>
      <c r="S120" s="3">
        <f>I120*H120-I121*H121</f>
        <v/>
      </c>
      <c r="T120" s="3">
        <f>K120*J120-K121*J121</f>
        <v/>
      </c>
      <c r="U120" s="3">
        <f>M120*L120-M121*L121</f>
        <v/>
      </c>
      <c r="V120" s="3">
        <f>O120*N120-O121*N121</f>
        <v/>
      </c>
      <c r="W120" s="3" t="n"/>
      <c r="X120" s="2">
        <f>R120/10^9</f>
        <v/>
      </c>
      <c r="Y120" s="2">
        <f>S120/10^9</f>
        <v/>
      </c>
      <c r="Z120" s="2">
        <f>T120/10^9</f>
        <v/>
      </c>
      <c r="AA120" s="2">
        <f>U120/10^9</f>
        <v/>
      </c>
      <c r="AB120" s="2">
        <f>V120/10^9</f>
        <v/>
      </c>
      <c r="AC120" s="2" t="n"/>
      <c r="AD120" s="8">
        <f>X120/$C121*$B121</f>
        <v/>
      </c>
      <c r="AE120" s="8">
        <f>Y120/$C121*$B121</f>
        <v/>
      </c>
      <c r="AF120" s="8">
        <f>Z120/$C121*$B121</f>
        <v/>
      </c>
      <c r="AG120" s="8">
        <f>AA120/$C121*$B121</f>
        <v/>
      </c>
      <c r="AH120" s="11">
        <f>AB120/$C121*$B121</f>
        <v/>
      </c>
      <c r="AI120" s="8">
        <f>SUM(AD120:AG120)</f>
        <v/>
      </c>
      <c r="AJ120" s="9">
        <f>AI120+AJ121</f>
        <v/>
      </c>
      <c r="AL120" s="7">
        <f>B120-AJ120</f>
        <v/>
      </c>
      <c r="AM120" s="42">
        <f>_xlfn.STDEV.S(AL120:AL139)</f>
        <v/>
      </c>
    </row>
    <row r="121" ht="16" customFormat="1" customHeight="1" s="16">
      <c r="A121" s="10" t="n">
        <v>46086</v>
      </c>
      <c r="B121" s="20" t="n">
        <v>1808.51</v>
      </c>
      <c r="C121" s="18" t="n">
        <v>8520207.1722514</v>
      </c>
      <c r="E121" s="14" t="n"/>
      <c r="F121" s="4" t="n">
        <v>164800</v>
      </c>
      <c r="G121" s="4" t="n">
        <v>7706031024</v>
      </c>
      <c r="H121" s="4" t="n">
        <v>95000</v>
      </c>
      <c r="I121" s="4" t="n">
        <v>4107412004</v>
      </c>
      <c r="J121" s="4" t="n">
        <v>27000</v>
      </c>
      <c r="K121" s="4" t="n">
        <v>2272318410</v>
      </c>
      <c r="L121" s="4" t="n">
        <v>75500</v>
      </c>
      <c r="M121" s="4" t="n">
        <v>1793300377</v>
      </c>
      <c r="N121" s="4" t="n">
        <v>156400</v>
      </c>
      <c r="O121" s="4" t="n">
        <v>591611334</v>
      </c>
      <c r="Q121" s="17" t="n"/>
      <c r="R121" s="3">
        <f>G121*F121-G122*F122</f>
        <v/>
      </c>
      <c r="S121" s="3">
        <f>I121*H121-I122*H122</f>
        <v/>
      </c>
      <c r="T121" s="3">
        <f>K121*J121-K122*J122</f>
        <v/>
      </c>
      <c r="U121" s="3">
        <f>M121*L121-M122*L122</f>
        <v/>
      </c>
      <c r="V121" s="3">
        <f>O121*N121-O122*N122</f>
        <v/>
      </c>
      <c r="W121" s="3" t="n"/>
      <c r="X121" s="2">
        <f>R121/10^9</f>
        <v/>
      </c>
      <c r="Y121" s="2">
        <f>S121/10^9</f>
        <v/>
      </c>
      <c r="Z121" s="2">
        <f>T121/10^9</f>
        <v/>
      </c>
      <c r="AA121" s="2">
        <f>U121/10^9</f>
        <v/>
      </c>
      <c r="AB121" s="2">
        <f>V121/10^9</f>
        <v/>
      </c>
      <c r="AC121" s="2" t="n"/>
      <c r="AD121" s="8">
        <f>X121/$C122*$B122</f>
        <v/>
      </c>
      <c r="AE121" s="8">
        <f>Y121/$C122*$B122</f>
        <v/>
      </c>
      <c r="AF121" s="8">
        <f>Z121/$C122*$B122</f>
        <v/>
      </c>
      <c r="AG121" s="8">
        <f>AA121/$C122*$B122</f>
        <v/>
      </c>
      <c r="AH121" s="11">
        <f>AB121/$C122*$B122</f>
        <v/>
      </c>
      <c r="AI121" s="8">
        <f>SUM(AD121:AG121)</f>
        <v/>
      </c>
      <c r="AJ121" s="9">
        <f>AI121+AJ122</f>
        <v/>
      </c>
      <c r="AL121" s="7">
        <f>B121-AJ121</f>
        <v/>
      </c>
      <c r="AM121" s="42">
        <f>_xlfn.STDEV.S(AL121:AL140)</f>
        <v/>
      </c>
    </row>
    <row r="122" ht="16" customFormat="1" customHeight="1" s="16">
      <c r="A122" s="10" t="n">
        <v>46085</v>
      </c>
      <c r="B122" s="20" t="n">
        <v>1818.27</v>
      </c>
      <c r="C122" s="18" t="n">
        <v>8566162.29829707</v>
      </c>
      <c r="E122" s="14" t="n"/>
      <c r="F122" s="4" t="n">
        <v>155600</v>
      </c>
      <c r="G122" s="4" t="n">
        <v>7706031024</v>
      </c>
      <c r="H122" s="4" t="n">
        <v>93500</v>
      </c>
      <c r="I122" s="4" t="n">
        <v>4107412004</v>
      </c>
      <c r="J122" s="4" t="n">
        <v>28000</v>
      </c>
      <c r="K122" s="4" t="n">
        <v>2272318410</v>
      </c>
      <c r="L122" s="4" t="n">
        <v>74300</v>
      </c>
      <c r="M122" s="4" t="n">
        <v>1793300377</v>
      </c>
      <c r="N122" s="4" t="n">
        <v>163200</v>
      </c>
      <c r="O122" s="4" t="n">
        <v>591611334</v>
      </c>
      <c r="Q122" s="17" t="n"/>
      <c r="R122" s="3">
        <f>G122*F122-G123*F123</f>
        <v/>
      </c>
      <c r="S122" s="3">
        <f>I122*H122-I123*H123</f>
        <v/>
      </c>
      <c r="T122" s="3">
        <f>K122*J122-K123*J123</f>
        <v/>
      </c>
      <c r="U122" s="3">
        <f>M122*L122-M123*L123</f>
        <v/>
      </c>
      <c r="V122" s="3">
        <f>O122*N122-O123*N123</f>
        <v/>
      </c>
      <c r="W122" s="3" t="n"/>
      <c r="X122" s="2">
        <f>R122/10^9</f>
        <v/>
      </c>
      <c r="Y122" s="2">
        <f>S122/10^9</f>
        <v/>
      </c>
      <c r="Z122" s="2">
        <f>T122/10^9</f>
        <v/>
      </c>
      <c r="AA122" s="2">
        <f>U122/10^9</f>
        <v/>
      </c>
      <c r="AB122" s="2">
        <f>V122/10^9</f>
        <v/>
      </c>
      <c r="AC122" s="2" t="n"/>
      <c r="AD122" s="8">
        <f>X122/$C123*$B123</f>
        <v/>
      </c>
      <c r="AE122" s="8">
        <f>Y122/$C123*$B123</f>
        <v/>
      </c>
      <c r="AF122" s="8">
        <f>Z122/$C123*$B123</f>
        <v/>
      </c>
      <c r="AG122" s="8">
        <f>AA122/$C123*$B123</f>
        <v/>
      </c>
      <c r="AH122" s="11">
        <f>AB122/$C123*$B123</f>
        <v/>
      </c>
      <c r="AI122" s="8">
        <f>SUM(AD122:AG122)</f>
        <v/>
      </c>
      <c r="AJ122" s="9">
        <f>AI122+AJ123</f>
        <v/>
      </c>
      <c r="AL122" s="7">
        <f>B122-AJ122</f>
        <v/>
      </c>
      <c r="AM122" s="42">
        <f>_xlfn.STDEV.S(AL122:AL141)</f>
        <v/>
      </c>
    </row>
    <row r="123" ht="16" customFormat="1" customHeight="1" s="16">
      <c r="A123" s="10" t="n">
        <v>46084</v>
      </c>
      <c r="B123" s="20" t="n">
        <v>1813.14</v>
      </c>
      <c r="C123" s="18" t="n">
        <v>8542538.61945086</v>
      </c>
      <c r="E123" s="14" t="n"/>
      <c r="F123" s="4" t="n">
        <v>155500</v>
      </c>
      <c r="G123" s="4" t="n">
        <v>7706031024</v>
      </c>
      <c r="H123" s="4" t="n">
        <v>93500</v>
      </c>
      <c r="I123" s="4" t="n">
        <v>4107412004</v>
      </c>
      <c r="J123" s="4" t="n">
        <v>26350</v>
      </c>
      <c r="K123" s="4" t="n">
        <v>2272318410</v>
      </c>
      <c r="L123" s="4" t="n">
        <v>75900</v>
      </c>
      <c r="M123" s="4" t="n">
        <v>1793300377</v>
      </c>
      <c r="N123" s="4" t="n">
        <v>164100</v>
      </c>
      <c r="O123" s="4" t="n">
        <v>591611334</v>
      </c>
      <c r="Q123" s="17" t="n"/>
      <c r="R123" s="3">
        <f>G123*F123-G124*F124</f>
        <v/>
      </c>
      <c r="S123" s="3">
        <f>I123*H123-I124*H124</f>
        <v/>
      </c>
      <c r="T123" s="3">
        <f>K123*J123-K124*J124</f>
        <v/>
      </c>
      <c r="U123" s="3">
        <f>M123*L123-M124*L124</f>
        <v/>
      </c>
      <c r="V123" s="3">
        <f>O123*N123-O124*N124</f>
        <v/>
      </c>
      <c r="W123" s="3" t="n"/>
      <c r="X123" s="2">
        <f>R123/10^9</f>
        <v/>
      </c>
      <c r="Y123" s="2">
        <f>S123/10^9</f>
        <v/>
      </c>
      <c r="Z123" s="2">
        <f>T123/10^9</f>
        <v/>
      </c>
      <c r="AA123" s="2">
        <f>U123/10^9</f>
        <v/>
      </c>
      <c r="AB123" s="2">
        <f>V123/10^9</f>
        <v/>
      </c>
      <c r="AC123" s="2" t="n"/>
      <c r="AD123" s="8">
        <f>X123/$C124*$B124</f>
        <v/>
      </c>
      <c r="AE123" s="8">
        <f>Y123/$C124*$B124</f>
        <v/>
      </c>
      <c r="AF123" s="8">
        <f>Z123/$C124*$B124</f>
        <v/>
      </c>
      <c r="AG123" s="8">
        <f>AA123/$C124*$B124</f>
        <v/>
      </c>
      <c r="AH123" s="11">
        <f>AB123/$C124*$B124</f>
        <v/>
      </c>
      <c r="AI123" s="8">
        <f>SUM(AD123:AG123)</f>
        <v/>
      </c>
      <c r="AJ123" s="9">
        <f>AI123+AJ124</f>
        <v/>
      </c>
      <c r="AL123" s="7">
        <f>B123-AJ123</f>
        <v/>
      </c>
      <c r="AM123" s="42">
        <f>_xlfn.STDEV.S(AL123:AL142)</f>
        <v/>
      </c>
    </row>
    <row r="124" ht="16" customFormat="1" customHeight="1" s="16">
      <c r="A124" s="10" t="n">
        <v>46083</v>
      </c>
      <c r="B124" s="20" t="n">
        <v>1846.1</v>
      </c>
      <c r="C124" s="18" t="n">
        <v>8697840.54593605</v>
      </c>
      <c r="E124" s="14" t="n"/>
      <c r="F124" s="4" t="n">
        <v>167200</v>
      </c>
      <c r="G124" s="4" t="n">
        <v>7706031024</v>
      </c>
      <c r="H124" s="4" t="n">
        <v>100500</v>
      </c>
      <c r="I124" s="4" t="n">
        <v>4107412004</v>
      </c>
      <c r="J124" s="4" t="n">
        <v>27800</v>
      </c>
      <c r="K124" s="4" t="n">
        <v>2272318410</v>
      </c>
      <c r="L124" s="4" t="n">
        <v>80100</v>
      </c>
      <c r="M124" s="4" t="n">
        <v>1793300377</v>
      </c>
      <c r="N124" s="4" t="n">
        <v>169000</v>
      </c>
      <c r="O124" s="4" t="n">
        <v>591611334</v>
      </c>
      <c r="Q124" s="17" t="n"/>
      <c r="R124" s="3">
        <f>G124*F124-G125*F125</f>
        <v/>
      </c>
      <c r="S124" s="3">
        <f>I124*H124-I125*H125</f>
        <v/>
      </c>
      <c r="T124" s="3">
        <f>K124*J124-K125*J125</f>
        <v/>
      </c>
      <c r="U124" s="3">
        <f>M124*L124-M125*L125</f>
        <v/>
      </c>
      <c r="V124" s="3">
        <f>O124*N124-O125*N125</f>
        <v/>
      </c>
      <c r="W124" s="3" t="n"/>
      <c r="X124" s="2">
        <f>R124/10^9</f>
        <v/>
      </c>
      <c r="Y124" s="2">
        <f>S124/10^9</f>
        <v/>
      </c>
      <c r="Z124" s="2">
        <f>T124/10^9</f>
        <v/>
      </c>
      <c r="AA124" s="2">
        <f>U124/10^9</f>
        <v/>
      </c>
      <c r="AB124" s="2">
        <f>V124/10^9</f>
        <v/>
      </c>
      <c r="AC124" s="2" t="n"/>
      <c r="AD124" s="8">
        <f>X124/$C125*$B125</f>
        <v/>
      </c>
      <c r="AE124" s="8">
        <f>Y124/$C125*$B125</f>
        <v/>
      </c>
      <c r="AF124" s="8">
        <f>Z124/$C125*$B125</f>
        <v/>
      </c>
      <c r="AG124" s="8">
        <f>AA124/$C125*$B125</f>
        <v/>
      </c>
      <c r="AH124" s="11">
        <f>AB124/$C125*$B125</f>
        <v/>
      </c>
      <c r="AI124" s="8">
        <f>SUM(AD124:AG124)</f>
        <v/>
      </c>
      <c r="AJ124" s="9">
        <f>AI124+AJ125</f>
        <v/>
      </c>
      <c r="AL124" s="7">
        <f>B124-AJ124</f>
        <v/>
      </c>
      <c r="AM124" s="42">
        <f>_xlfn.STDEV.S(AL124:AL143)</f>
        <v/>
      </c>
    </row>
    <row r="125" ht="16" customFormat="1" customHeight="1" s="16">
      <c r="A125" s="10" t="n">
        <v>46080</v>
      </c>
      <c r="B125" s="20" t="n">
        <v>1880.33</v>
      </c>
      <c r="C125" s="18" t="n">
        <v>8859080.884591758</v>
      </c>
      <c r="E125" s="14" t="n"/>
      <c r="F125" s="4" t="n">
        <v>172000</v>
      </c>
      <c r="G125" s="4" t="n">
        <v>7706031024</v>
      </c>
      <c r="H125" s="4" t="n">
        <v>108000</v>
      </c>
      <c r="I125" s="4" t="n">
        <v>4107412004</v>
      </c>
      <c r="J125" s="4" t="n">
        <v>29050</v>
      </c>
      <c r="K125" s="4" t="n">
        <v>2272318410</v>
      </c>
      <c r="L125" s="4" t="n">
        <v>83500</v>
      </c>
      <c r="M125" s="4" t="n">
        <v>1793300377</v>
      </c>
      <c r="N125" s="4" t="n">
        <v>175800</v>
      </c>
      <c r="O125" s="4" t="n">
        <v>591611334</v>
      </c>
      <c r="Q125" s="17" t="n"/>
      <c r="R125" s="3">
        <f>G125*F125-G126*F126</f>
        <v/>
      </c>
      <c r="S125" s="3">
        <f>I125*H125-I126*H126</f>
        <v/>
      </c>
      <c r="T125" s="3">
        <f>K125*J125-K126*J126</f>
        <v/>
      </c>
      <c r="U125" s="3">
        <f>M125*L125-M126*L126</f>
        <v/>
      </c>
      <c r="V125" s="3">
        <f>O125*N125-O126*N126</f>
        <v/>
      </c>
      <c r="W125" s="3" t="n"/>
      <c r="X125" s="2">
        <f>R125/10^9</f>
        <v/>
      </c>
      <c r="Y125" s="2">
        <f>S125/10^9</f>
        <v/>
      </c>
      <c r="Z125" s="2">
        <f>T125/10^9</f>
        <v/>
      </c>
      <c r="AA125" s="2">
        <f>U125/10^9</f>
        <v/>
      </c>
      <c r="AB125" s="2">
        <f>V125/10^9</f>
        <v/>
      </c>
      <c r="AC125" s="2" t="n"/>
      <c r="AD125" s="8">
        <f>X125/$C126*$B126</f>
        <v/>
      </c>
      <c r="AE125" s="8">
        <f>Y125/$C126*$B126</f>
        <v/>
      </c>
      <c r="AF125" s="8">
        <f>Z125/$C126*$B126</f>
        <v/>
      </c>
      <c r="AG125" s="8">
        <f>AA125/$C126*$B126</f>
        <v/>
      </c>
      <c r="AH125" s="11">
        <f>AB125/$C126*$B126</f>
        <v/>
      </c>
      <c r="AI125" s="8">
        <f>SUM(AD125:AG125)</f>
        <v/>
      </c>
      <c r="AJ125" s="9">
        <f>AI125+AJ126</f>
        <v/>
      </c>
      <c r="AL125" s="7">
        <f>B125-AJ125</f>
        <v/>
      </c>
      <c r="AM125" s="42">
        <f>_xlfn.STDEV.S(AL125:AL144)</f>
        <v/>
      </c>
    </row>
    <row r="126" ht="16" customFormat="1" customHeight="1" s="16">
      <c r="A126" s="10" t="n">
        <v>46079</v>
      </c>
      <c r="B126" s="20" t="n">
        <v>1879.64</v>
      </c>
      <c r="C126" s="18" t="n">
        <v>8855899.88549792</v>
      </c>
      <c r="E126" s="14" t="n"/>
      <c r="F126" s="4" t="n">
        <v>168900</v>
      </c>
      <c r="G126" s="4" t="n">
        <v>7706031024</v>
      </c>
      <c r="H126" s="4" t="n">
        <v>107600</v>
      </c>
      <c r="I126" s="4" t="n">
        <v>4107412004</v>
      </c>
      <c r="J126" s="4" t="n">
        <v>29750</v>
      </c>
      <c r="K126" s="4" t="n">
        <v>2272318410</v>
      </c>
      <c r="L126" s="4" t="n">
        <v>81700</v>
      </c>
      <c r="M126" s="4" t="n">
        <v>1793300377</v>
      </c>
      <c r="N126" s="4" t="n">
        <v>178500</v>
      </c>
      <c r="O126" s="4" t="n">
        <v>591611334</v>
      </c>
      <c r="Q126" s="17" t="n"/>
      <c r="R126" s="3">
        <f>G126*F126-G127*F127</f>
        <v/>
      </c>
      <c r="S126" s="3">
        <f>I126*H126-I127*H127</f>
        <v/>
      </c>
      <c r="T126" s="3">
        <f>K126*J126-K127*J127</f>
        <v/>
      </c>
      <c r="U126" s="3">
        <f>M126*L126-M127*L127</f>
        <v/>
      </c>
      <c r="V126" s="3">
        <f>O126*N126-O127*N127</f>
        <v/>
      </c>
      <c r="W126" s="3" t="n"/>
      <c r="X126" s="2">
        <f>R126/10^9</f>
        <v/>
      </c>
      <c r="Y126" s="2">
        <f>S126/10^9</f>
        <v/>
      </c>
      <c r="Z126" s="2">
        <f>T126/10^9</f>
        <v/>
      </c>
      <c r="AA126" s="2">
        <f>U126/10^9</f>
        <v/>
      </c>
      <c r="AB126" s="2">
        <f>V126/10^9</f>
        <v/>
      </c>
      <c r="AC126" s="2" t="n"/>
      <c r="AD126" s="8">
        <f>X126/$C127*$B127</f>
        <v/>
      </c>
      <c r="AE126" s="8">
        <f>Y126/$C127*$B127</f>
        <v/>
      </c>
      <c r="AF126" s="8">
        <f>Z126/$C127*$B127</f>
        <v/>
      </c>
      <c r="AG126" s="8">
        <f>AA126/$C127*$B127</f>
        <v/>
      </c>
      <c r="AH126" s="11">
        <f>AB126/$C127*$B127</f>
        <v/>
      </c>
      <c r="AI126" s="8">
        <f>SUM(AD126:AG126)</f>
        <v/>
      </c>
      <c r="AJ126" s="9">
        <f>AI126+AJ127</f>
        <v/>
      </c>
      <c r="AL126" s="7">
        <f>B126-AJ126</f>
        <v/>
      </c>
      <c r="AM126" s="42">
        <f>_xlfn.STDEV.S(AL126:AL145)</f>
        <v/>
      </c>
    </row>
    <row r="127" ht="16" customFormat="1" customHeight="1" s="16">
      <c r="A127" s="10" t="n">
        <v>46078</v>
      </c>
      <c r="B127" s="20" t="n">
        <v>1860.91</v>
      </c>
      <c r="C127" s="18" t="n">
        <v>8767659.89309844</v>
      </c>
      <c r="E127" s="14" t="n"/>
      <c r="F127" s="4" t="n">
        <v>158000</v>
      </c>
      <c r="G127" s="4" t="n">
        <v>7706031024</v>
      </c>
      <c r="H127" s="4" t="n">
        <v>107000</v>
      </c>
      <c r="I127" s="4" t="n">
        <v>4107412004</v>
      </c>
      <c r="J127" s="4" t="n">
        <v>28550</v>
      </c>
      <c r="K127" s="4" t="n">
        <v>2272318410</v>
      </c>
      <c r="L127" s="4" t="n">
        <v>81000</v>
      </c>
      <c r="M127" s="4" t="n">
        <v>1793300377</v>
      </c>
      <c r="N127" s="4" t="n">
        <v>178500</v>
      </c>
      <c r="O127" s="4" t="n">
        <v>591611334</v>
      </c>
      <c r="Q127" s="17" t="n"/>
      <c r="R127" s="3">
        <f>G127*F127-G128*F128</f>
        <v/>
      </c>
      <c r="S127" s="3">
        <f>I127*H127-I128*H128</f>
        <v/>
      </c>
      <c r="T127" s="3">
        <f>K127*J127-K128*J128</f>
        <v/>
      </c>
      <c r="U127" s="3">
        <f>M127*L127-M128*L128</f>
        <v/>
      </c>
      <c r="V127" s="3">
        <f>O127*N127-O128*N128</f>
        <v/>
      </c>
      <c r="W127" s="3" t="n"/>
      <c r="X127" s="2">
        <f>R127/10^9</f>
        <v/>
      </c>
      <c r="Y127" s="2">
        <f>S127/10^9</f>
        <v/>
      </c>
      <c r="Z127" s="2">
        <f>T127/10^9</f>
        <v/>
      </c>
      <c r="AA127" s="2">
        <f>U127/10^9</f>
        <v/>
      </c>
      <c r="AB127" s="2">
        <f>V127/10^9</f>
        <v/>
      </c>
      <c r="AC127" s="2" t="n"/>
      <c r="AD127" s="8">
        <f>X127/$C128*$B128</f>
        <v/>
      </c>
      <c r="AE127" s="8">
        <f>Y127/$C128*$B128</f>
        <v/>
      </c>
      <c r="AF127" s="8">
        <f>Z127/$C128*$B128</f>
        <v/>
      </c>
      <c r="AG127" s="8">
        <f>AA127/$C128*$B128</f>
        <v/>
      </c>
      <c r="AH127" s="11">
        <f>AB127/$C128*$B128</f>
        <v/>
      </c>
      <c r="AI127" s="8">
        <f>SUM(AD127:AG127)</f>
        <v/>
      </c>
      <c r="AJ127" s="9">
        <f>AI127+AJ128</f>
        <v/>
      </c>
      <c r="AL127" s="7">
        <f>B127-AJ127</f>
        <v/>
      </c>
      <c r="AM127" s="42">
        <f>_xlfn.STDEV.S(AL127:AL146)</f>
        <v/>
      </c>
    </row>
    <row r="128" ht="16" customFormat="1" customHeight="1" s="16">
      <c r="A128" s="10" t="n">
        <v>46077</v>
      </c>
      <c r="B128" s="20" t="n">
        <v>1867.62</v>
      </c>
      <c r="C128" s="18" t="n">
        <v>8799142.595254531</v>
      </c>
      <c r="E128" s="14" t="n"/>
      <c r="F128" s="4" t="n">
        <v>162900</v>
      </c>
      <c r="G128" s="4" t="n">
        <v>7706031024</v>
      </c>
      <c r="H128" s="4" t="n">
        <v>111000</v>
      </c>
      <c r="I128" s="4" t="n">
        <v>4107412004</v>
      </c>
      <c r="J128" s="4" t="n">
        <v>29500</v>
      </c>
      <c r="K128" s="4" t="n">
        <v>2272318410</v>
      </c>
      <c r="L128" s="4" t="n">
        <v>83500</v>
      </c>
      <c r="M128" s="4" t="n">
        <v>1793300377</v>
      </c>
      <c r="N128" s="4" t="n">
        <v>186600</v>
      </c>
      <c r="O128" s="4" t="n">
        <v>591611334</v>
      </c>
      <c r="Q128" s="17" t="n"/>
      <c r="R128" s="3">
        <f>G128*F128-G129*F129</f>
        <v/>
      </c>
      <c r="S128" s="3">
        <f>I128*H128-I129*H129</f>
        <v/>
      </c>
      <c r="T128" s="3">
        <f>K128*J128-K129*J129</f>
        <v/>
      </c>
      <c r="U128" s="3">
        <f>M128*L128-M129*L129</f>
        <v/>
      </c>
      <c r="V128" s="3">
        <f>O128*N128-O129*N129</f>
        <v/>
      </c>
      <c r="W128" s="3" t="n"/>
      <c r="X128" s="2">
        <f>R128/10^9</f>
        <v/>
      </c>
      <c r="Y128" s="2">
        <f>S128/10^9</f>
        <v/>
      </c>
      <c r="Z128" s="2">
        <f>T128/10^9</f>
        <v/>
      </c>
      <c r="AA128" s="2">
        <f>U128/10^9</f>
        <v/>
      </c>
      <c r="AB128" s="2">
        <f>V128/10^9</f>
        <v/>
      </c>
      <c r="AC128" s="2" t="n"/>
      <c r="AD128" s="8">
        <f>X128/$C129*$B129</f>
        <v/>
      </c>
      <c r="AE128" s="8">
        <f>Y128/$C129*$B129</f>
        <v/>
      </c>
      <c r="AF128" s="8">
        <f>Z128/$C129*$B129</f>
        <v/>
      </c>
      <c r="AG128" s="8">
        <f>AA128/$C129*$B129</f>
        <v/>
      </c>
      <c r="AH128" s="11">
        <f>AB128/$C129*$B129</f>
        <v/>
      </c>
      <c r="AI128" s="8">
        <f>SUM(AD128:AG128)</f>
        <v/>
      </c>
      <c r="AJ128" s="9">
        <f>AI128+AJ129</f>
        <v/>
      </c>
      <c r="AL128" s="7">
        <f>B128-AJ128</f>
        <v/>
      </c>
      <c r="AM128" s="42">
        <f>_xlfn.STDEV.S(AL128:AL147)</f>
        <v/>
      </c>
    </row>
    <row r="129" ht="16" customFormat="1" customHeight="1" s="16">
      <c r="A129" s="10" t="n">
        <v>46076</v>
      </c>
      <c r="B129" s="20" t="n">
        <v>1860.14</v>
      </c>
      <c r="C129" s="18" t="n">
        <v>8763849.21454238</v>
      </c>
      <c r="E129" s="14" t="n"/>
      <c r="F129" s="4" t="n">
        <v>162300</v>
      </c>
      <c r="G129" s="4" t="n">
        <v>7706031024</v>
      </c>
      <c r="H129" s="4" t="n">
        <v>110700</v>
      </c>
      <c r="I129" s="4" t="n">
        <v>4107412004</v>
      </c>
      <c r="J129" s="4" t="n">
        <v>30000</v>
      </c>
      <c r="K129" s="4" t="n">
        <v>2272318410</v>
      </c>
      <c r="L129" s="4" t="n">
        <v>84700</v>
      </c>
      <c r="M129" s="4" t="n">
        <v>1793300377</v>
      </c>
      <c r="N129" s="4" t="n">
        <v>174900</v>
      </c>
      <c r="O129" s="4" t="n">
        <v>591611334</v>
      </c>
      <c r="Q129" s="17" t="n"/>
      <c r="R129" s="3">
        <f>G129*F129-G130*F130</f>
        <v/>
      </c>
      <c r="S129" s="3">
        <f>I129*H129-I130*H130</f>
        <v/>
      </c>
      <c r="T129" s="3">
        <f>K129*J129-K130*J130</f>
        <v/>
      </c>
      <c r="U129" s="3">
        <f>M129*L129-M130*L130</f>
        <v/>
      </c>
      <c r="V129" s="3">
        <f>O129*N129-O130*N130</f>
        <v/>
      </c>
      <c r="W129" s="3" t="n"/>
      <c r="X129" s="2">
        <f>R129/10^9</f>
        <v/>
      </c>
      <c r="Y129" s="2">
        <f>S129/10^9</f>
        <v/>
      </c>
      <c r="Z129" s="2">
        <f>T129/10^9</f>
        <v/>
      </c>
      <c r="AA129" s="2">
        <f>U129/10^9</f>
        <v/>
      </c>
      <c r="AB129" s="2">
        <f>V129/10^9</f>
        <v/>
      </c>
      <c r="AC129" s="2" t="n"/>
      <c r="AD129" s="8">
        <f>X129/$C130*$B130</f>
        <v/>
      </c>
      <c r="AE129" s="8">
        <f>Y129/$C130*$B130</f>
        <v/>
      </c>
      <c r="AF129" s="8">
        <f>Z129/$C130*$B130</f>
        <v/>
      </c>
      <c r="AG129" s="8">
        <f>AA129/$C130*$B130</f>
        <v/>
      </c>
      <c r="AH129" s="11">
        <f>AB129/$C130*$B130</f>
        <v/>
      </c>
      <c r="AI129" s="8">
        <f>SUM(AD129:AG129)</f>
        <v/>
      </c>
      <c r="AJ129" s="9">
        <f>AI129+AJ130</f>
        <v/>
      </c>
      <c r="AL129" s="7">
        <f>B129-AJ129</f>
        <v/>
      </c>
      <c r="AM129" s="42">
        <f>_xlfn.STDEV.S(AL129:AL148)</f>
        <v/>
      </c>
    </row>
    <row r="130" ht="16" customFormat="1" customHeight="1" s="16">
      <c r="A130" s="10" t="n">
        <v>46066</v>
      </c>
      <c r="B130" s="20" t="n">
        <v>1824.09</v>
      </c>
      <c r="C130" s="18" t="n">
        <v>8594938.811001079</v>
      </c>
      <c r="E130" s="14" t="n"/>
      <c r="F130" s="4" t="n">
        <v>160000</v>
      </c>
      <c r="G130" s="4" t="n">
        <v>7706031024</v>
      </c>
      <c r="H130" s="4" t="n">
        <v>109000</v>
      </c>
      <c r="I130" s="4" t="n">
        <v>4107412004</v>
      </c>
      <c r="J130" s="4" t="n">
        <v>29800</v>
      </c>
      <c r="K130" s="4" t="n">
        <v>2272318410</v>
      </c>
      <c r="L130" s="4" t="n">
        <v>85600</v>
      </c>
      <c r="M130" s="4" t="n">
        <v>1793300377</v>
      </c>
      <c r="N130" s="4" t="n">
        <v>169200</v>
      </c>
      <c r="O130" s="4" t="n">
        <v>591611334</v>
      </c>
      <c r="Q130" s="17" t="n"/>
      <c r="R130" s="3">
        <f>G130*F130-G131*F131</f>
        <v/>
      </c>
      <c r="S130" s="3">
        <f>I130*H130-I131*H131</f>
        <v/>
      </c>
      <c r="T130" s="3">
        <f>K130*J130-K131*J131</f>
        <v/>
      </c>
      <c r="U130" s="3">
        <f>M130*L130-M131*L131</f>
        <v/>
      </c>
      <c r="V130" s="3">
        <f>O130*N130-O131*N131</f>
        <v/>
      </c>
      <c r="W130" s="3" t="n"/>
      <c r="X130" s="2">
        <f>R130/10^9</f>
        <v/>
      </c>
      <c r="Y130" s="2">
        <f>S130/10^9</f>
        <v/>
      </c>
      <c r="Z130" s="2">
        <f>T130/10^9</f>
        <v/>
      </c>
      <c r="AA130" s="2">
        <f>U130/10^9</f>
        <v/>
      </c>
      <c r="AB130" s="2">
        <f>V130/10^9</f>
        <v/>
      </c>
      <c r="AC130" s="2" t="n"/>
      <c r="AD130" s="8">
        <f>X130/$C131*$B131</f>
        <v/>
      </c>
      <c r="AE130" s="8">
        <f>Y130/$C131*$B131</f>
        <v/>
      </c>
      <c r="AF130" s="8">
        <f>Z130/$C131*$B131</f>
        <v/>
      </c>
      <c r="AG130" s="8">
        <f>AA130/$C131*$B131</f>
        <v/>
      </c>
      <c r="AH130" s="11">
        <f>AB130/$C131*$B131</f>
        <v/>
      </c>
      <c r="AI130" s="8">
        <f>SUM(AD130:AG130)</f>
        <v/>
      </c>
      <c r="AJ130" s="9">
        <f>AI130+AJ131</f>
        <v/>
      </c>
      <c r="AL130" s="7">
        <f>B130-AJ130</f>
        <v/>
      </c>
      <c r="AM130" s="42">
        <f>_xlfn.STDEV.S(AL130:AL149)</f>
        <v/>
      </c>
    </row>
    <row r="131" ht="16" customFormat="1" customHeight="1" s="16">
      <c r="A131" s="10" t="n">
        <v>46065</v>
      </c>
      <c r="B131" s="20" t="n">
        <v>1814.09</v>
      </c>
      <c r="C131" s="18" t="n">
        <v>8546932.57252308</v>
      </c>
      <c r="E131" s="14" t="n"/>
      <c r="F131" s="4" t="n">
        <v>159000</v>
      </c>
      <c r="G131" s="4" t="n">
        <v>7706031024</v>
      </c>
      <c r="H131" s="4" t="n">
        <v>109000</v>
      </c>
      <c r="I131" s="4" t="n">
        <v>4107412004</v>
      </c>
      <c r="J131" s="4" t="n">
        <v>29950</v>
      </c>
      <c r="K131" s="4" t="n">
        <v>2272318410</v>
      </c>
      <c r="L131" s="4" t="n">
        <v>85400</v>
      </c>
      <c r="M131" s="4" t="n">
        <v>1793300377</v>
      </c>
      <c r="N131" s="4" t="n">
        <v>168000</v>
      </c>
      <c r="O131" s="4" t="n">
        <v>591611334</v>
      </c>
      <c r="Q131" s="17" t="n"/>
      <c r="R131" s="3">
        <f>G131*F131-G132*F132</f>
        <v/>
      </c>
      <c r="S131" s="3">
        <f>I131*H131-I132*H132</f>
        <v/>
      </c>
      <c r="T131" s="3">
        <f>K131*J131-K132*J132</f>
        <v/>
      </c>
      <c r="U131" s="3">
        <f>M131*L131-M132*L132</f>
        <v/>
      </c>
      <c r="V131" s="3">
        <f>O131*N131-O132*N132</f>
        <v/>
      </c>
      <c r="W131" s="3" t="n"/>
      <c r="X131" s="2">
        <f>R131/10^9</f>
        <v/>
      </c>
      <c r="Y131" s="2">
        <f>S131/10^9</f>
        <v/>
      </c>
      <c r="Z131" s="2">
        <f>T131/10^9</f>
        <v/>
      </c>
      <c r="AA131" s="2">
        <f>U131/10^9</f>
        <v/>
      </c>
      <c r="AB131" s="2">
        <f>V131/10^9</f>
        <v/>
      </c>
      <c r="AC131" s="2" t="n"/>
      <c r="AD131" s="8">
        <f>X131/$C132*$B132</f>
        <v/>
      </c>
      <c r="AE131" s="8">
        <f>Y131/$C132*$B132</f>
        <v/>
      </c>
      <c r="AF131" s="8">
        <f>Z131/$C132*$B132</f>
        <v/>
      </c>
      <c r="AG131" s="8">
        <f>AA131/$C132*$B132</f>
        <v/>
      </c>
      <c r="AH131" s="11">
        <f>AB131/$C132*$B132</f>
        <v/>
      </c>
      <c r="AI131" s="8">
        <f>SUM(AD131:AG131)</f>
        <v/>
      </c>
      <c r="AJ131" s="9">
        <f>AI131+AJ132</f>
        <v/>
      </c>
      <c r="AL131" s="7">
        <f>B131-AJ131</f>
        <v/>
      </c>
      <c r="AM131" s="42">
        <f>_xlfn.STDEV.S(AL131:AL150)</f>
        <v/>
      </c>
    </row>
    <row r="132" ht="16" customFormat="1" customHeight="1" s="16">
      <c r="A132" s="10" t="n">
        <v>46064</v>
      </c>
      <c r="B132" s="20" t="n">
        <v>1796.85</v>
      </c>
      <c r="C132" s="18" t="n">
        <v>8466314.79860655</v>
      </c>
      <c r="E132" s="14" t="n"/>
      <c r="F132" s="4" t="n">
        <v>150800</v>
      </c>
      <c r="G132" s="4" t="n">
        <v>7706031024</v>
      </c>
      <c r="H132" s="4" t="n">
        <v>103000</v>
      </c>
      <c r="I132" s="4" t="n">
        <v>4107412004</v>
      </c>
      <c r="J132" s="4" t="n">
        <v>29400</v>
      </c>
      <c r="K132" s="4" t="n">
        <v>2272318410</v>
      </c>
      <c r="L132" s="4" t="n">
        <v>86000</v>
      </c>
      <c r="M132" s="4" t="n">
        <v>1793300377</v>
      </c>
      <c r="N132" s="4" t="n">
        <v>168000</v>
      </c>
      <c r="O132" s="4" t="n">
        <v>591611334</v>
      </c>
      <c r="Q132" s="17" t="n"/>
      <c r="R132" s="3">
        <f>G132*F132-G133*F133</f>
        <v/>
      </c>
      <c r="S132" s="3">
        <f>I132*H132-I133*H133</f>
        <v/>
      </c>
      <c r="T132" s="3">
        <f>K132*J132-K133*J133</f>
        <v/>
      </c>
      <c r="U132" s="3">
        <f>M132*L132-M133*L133</f>
        <v/>
      </c>
      <c r="V132" s="3">
        <f>O132*N132-O133*N133</f>
        <v/>
      </c>
      <c r="W132" s="3" t="n"/>
      <c r="X132" s="2">
        <f>R132/10^9</f>
        <v/>
      </c>
      <c r="Y132" s="2">
        <f>S132/10^9</f>
        <v/>
      </c>
      <c r="Z132" s="2">
        <f>T132/10^9</f>
        <v/>
      </c>
      <c r="AA132" s="2">
        <f>U132/10^9</f>
        <v/>
      </c>
      <c r="AB132" s="2">
        <f>V132/10^9</f>
        <v/>
      </c>
      <c r="AC132" s="2" t="n"/>
      <c r="AD132" s="8">
        <f>X132/$C133*$B133</f>
        <v/>
      </c>
      <c r="AE132" s="8">
        <f>Y132/$C133*$B133</f>
        <v/>
      </c>
      <c r="AF132" s="8">
        <f>Z132/$C133*$B133</f>
        <v/>
      </c>
      <c r="AG132" s="8">
        <f>AA132/$C133*$B133</f>
        <v/>
      </c>
      <c r="AH132" s="11">
        <f>AB132/$C133*$B133</f>
        <v/>
      </c>
      <c r="AI132" s="8">
        <f>SUM(AD132:AG132)</f>
        <v/>
      </c>
      <c r="AJ132" s="9">
        <f>AI132+AJ133</f>
        <v/>
      </c>
      <c r="AL132" s="7">
        <f>B132-AJ132</f>
        <v/>
      </c>
      <c r="AM132" s="42">
        <f>_xlfn.STDEV.S(AL132:AL151)</f>
        <v/>
      </c>
    </row>
    <row r="133" ht="16" customFormat="1" customHeight="1" s="16">
      <c r="A133" s="10" t="n">
        <v>46063</v>
      </c>
      <c r="B133" s="20" t="n">
        <v>1754.03</v>
      </c>
      <c r="C133" s="18" t="n">
        <v>8264885.479363441</v>
      </c>
      <c r="E133" s="14" t="n"/>
      <c r="F133" s="4" t="n">
        <v>141500</v>
      </c>
      <c r="G133" s="4" t="n">
        <v>7706031024</v>
      </c>
      <c r="H133" s="4" t="n">
        <v>101300</v>
      </c>
      <c r="I133" s="4" t="n">
        <v>4107412004</v>
      </c>
      <c r="J133" s="4" t="n">
        <v>28950</v>
      </c>
      <c r="K133" s="4" t="n">
        <v>2272318410</v>
      </c>
      <c r="L133" s="4" t="n">
        <v>84500</v>
      </c>
      <c r="M133" s="4" t="n">
        <v>1793300377</v>
      </c>
      <c r="N133" s="4" t="n">
        <v>163000</v>
      </c>
      <c r="O133" s="4" t="n">
        <v>591611334</v>
      </c>
      <c r="Q133" s="17" t="n"/>
      <c r="R133" s="3">
        <f>G133*F133-G134*F134</f>
        <v/>
      </c>
      <c r="S133" s="3">
        <f>I133*H133-I134*H134</f>
        <v/>
      </c>
      <c r="T133" s="3">
        <f>K133*J133-K134*J134</f>
        <v/>
      </c>
      <c r="U133" s="3">
        <f>M133*L133-M134*L134</f>
        <v/>
      </c>
      <c r="V133" s="3">
        <f>O133*N133-O134*N134</f>
        <v/>
      </c>
      <c r="W133" s="3" t="n"/>
      <c r="X133" s="2">
        <f>R133/10^9</f>
        <v/>
      </c>
      <c r="Y133" s="2">
        <f>S133/10^9</f>
        <v/>
      </c>
      <c r="Z133" s="2">
        <f>T133/10^9</f>
        <v/>
      </c>
      <c r="AA133" s="2">
        <f>U133/10^9</f>
        <v/>
      </c>
      <c r="AB133" s="2">
        <f>V133/10^9</f>
        <v/>
      </c>
      <c r="AC133" s="2" t="n"/>
      <c r="AD133" s="8">
        <f>X133/$C134*$B134</f>
        <v/>
      </c>
      <c r="AE133" s="8">
        <f>Y133/$C134*$B134</f>
        <v/>
      </c>
      <c r="AF133" s="8">
        <f>Z133/$C134*$B134</f>
        <v/>
      </c>
      <c r="AG133" s="8">
        <f>AA133/$C134*$B134</f>
        <v/>
      </c>
      <c r="AH133" s="11">
        <f>AB133/$C134*$B134</f>
        <v/>
      </c>
      <c r="AI133" s="8">
        <f>SUM(AD133:AG133)</f>
        <v/>
      </c>
      <c r="AJ133" s="9">
        <f>AI133+AJ134</f>
        <v/>
      </c>
      <c r="AL133" s="7">
        <f>B133-AJ133</f>
        <v/>
      </c>
      <c r="AM133" s="42">
        <f>_xlfn.STDEV.S(AL133:AL152)</f>
        <v/>
      </c>
    </row>
    <row r="134" ht="16" customHeight="1">
      <c r="A134" s="10" t="n">
        <v>46062</v>
      </c>
      <c r="B134" s="20" t="n">
        <v>1754.82</v>
      </c>
      <c r="C134" s="18" t="n">
        <v>8268378.66478647</v>
      </c>
      <c r="E134" s="14" t="n"/>
      <c r="F134" s="4" t="n">
        <v>132300</v>
      </c>
      <c r="G134" s="4" t="n">
        <v>7706031024</v>
      </c>
      <c r="H134" s="4" t="n">
        <v>95000</v>
      </c>
      <c r="I134" s="4" t="n">
        <v>4107412004</v>
      </c>
      <c r="J134" s="4" t="n">
        <v>28200</v>
      </c>
      <c r="K134" s="4" t="n">
        <v>2272318410</v>
      </c>
      <c r="L134" s="4" t="n">
        <v>83000</v>
      </c>
      <c r="M134" s="4" t="n">
        <v>1793300377</v>
      </c>
      <c r="N134" s="4" t="n">
        <v>165000</v>
      </c>
      <c r="O134" s="4" t="n">
        <v>591611334</v>
      </c>
      <c r="Q134" s="17" t="n"/>
      <c r="R134" s="3">
        <f>G134*F134-G135*F135</f>
        <v/>
      </c>
      <c r="S134" s="3">
        <f>I134*H134-I135*H135</f>
        <v/>
      </c>
      <c r="T134" s="3">
        <f>K134*J134-K135*J135</f>
        <v/>
      </c>
      <c r="U134" s="3">
        <f>M134*L134-M135*L135</f>
        <v/>
      </c>
      <c r="V134" s="3">
        <f>O134*N134-O135*N135</f>
        <v/>
      </c>
      <c r="W134" s="3" t="n"/>
      <c r="X134" s="2">
        <f>R134/10^9</f>
        <v/>
      </c>
      <c r="Y134" s="2">
        <f>S134/10^9</f>
        <v/>
      </c>
      <c r="Z134" s="2">
        <f>T134/10^9</f>
        <v/>
      </c>
      <c r="AA134" s="2">
        <f>U134/10^9</f>
        <v/>
      </c>
      <c r="AB134" s="2">
        <f>V134/10^9</f>
        <v/>
      </c>
      <c r="AC134" s="2" t="n"/>
      <c r="AD134" s="8">
        <f>X134/$C135*$B135</f>
        <v/>
      </c>
      <c r="AE134" s="8">
        <f>Y134/$C135*$B135</f>
        <v/>
      </c>
      <c r="AF134" s="8">
        <f>Z134/$C135*$B135</f>
        <v/>
      </c>
      <c r="AG134" s="8">
        <f>AA134/$C135*$B135</f>
        <v/>
      </c>
      <c r="AH134" s="11">
        <f>AB134/$C135*$B135</f>
        <v/>
      </c>
      <c r="AI134" s="8">
        <f>SUM(AD134:AG134)</f>
        <v/>
      </c>
      <c r="AJ134" s="9">
        <f>AI134+AJ135</f>
        <v/>
      </c>
      <c r="AL134" s="7">
        <f>B134-AJ134</f>
        <v/>
      </c>
      <c r="AM134" s="42">
        <f>_xlfn.STDEV.S(AL134:AL153)</f>
        <v/>
      </c>
    </row>
    <row r="135" ht="16" customHeight="1">
      <c r="A135" s="10" t="n">
        <v>46059</v>
      </c>
      <c r="B135" s="20" t="n">
        <v>1755.49</v>
      </c>
      <c r="C135" s="18" t="n">
        <v>8271703.94204918</v>
      </c>
      <c r="E135" s="14" t="n"/>
      <c r="F135" s="4" t="n">
        <v>131000</v>
      </c>
      <c r="G135" s="4" t="n">
        <v>7706031024</v>
      </c>
      <c r="H135" s="4" t="n">
        <v>97500</v>
      </c>
      <c r="I135" s="4" t="n">
        <v>4107412004</v>
      </c>
      <c r="J135" s="4" t="n">
        <v>28050</v>
      </c>
      <c r="K135" s="4" t="n">
        <v>2272318410</v>
      </c>
      <c r="L135" s="4" t="n">
        <v>83000</v>
      </c>
      <c r="M135" s="4" t="n">
        <v>1793300377</v>
      </c>
      <c r="N135" s="4" t="n">
        <v>166000</v>
      </c>
      <c r="O135" s="4" t="n">
        <v>591611334</v>
      </c>
      <c r="Q135" s="17" t="n"/>
      <c r="R135" s="3">
        <f>G135*F135-G136*F136</f>
        <v/>
      </c>
      <c r="S135" s="3">
        <f>I135*H135-I136*H136</f>
        <v/>
      </c>
      <c r="T135" s="3">
        <f>K135*J135-K136*J136</f>
        <v/>
      </c>
      <c r="U135" s="3">
        <f>M135*L135-M136*L136</f>
        <v/>
      </c>
      <c r="V135" s="3">
        <f>O135*N135-O136*N136</f>
        <v/>
      </c>
      <c r="W135" s="3" t="n"/>
      <c r="X135" s="2">
        <f>R135/10^9</f>
        <v/>
      </c>
      <c r="Y135" s="2">
        <f>S135/10^9</f>
        <v/>
      </c>
      <c r="Z135" s="2">
        <f>T135/10^9</f>
        <v/>
      </c>
      <c r="AA135" s="2">
        <f>U135/10^9</f>
        <v/>
      </c>
      <c r="AB135" s="2">
        <f>V135/10^9</f>
        <v/>
      </c>
      <c r="AC135" s="2" t="n"/>
      <c r="AD135" s="8">
        <f>X135/$C136*$B136</f>
        <v/>
      </c>
      <c r="AE135" s="8">
        <f>Y135/$C136*$B136</f>
        <v/>
      </c>
      <c r="AF135" s="8">
        <f>Z135/$C136*$B136</f>
        <v/>
      </c>
      <c r="AG135" s="8">
        <f>AA135/$C136*$B136</f>
        <v/>
      </c>
      <c r="AH135" s="11">
        <f>AB135/$C136*$B136</f>
        <v/>
      </c>
      <c r="AI135" s="8">
        <f>SUM(AD135:AG135)</f>
        <v/>
      </c>
      <c r="AJ135" s="9">
        <f>AI135+AJ136</f>
        <v/>
      </c>
      <c r="AL135" s="7">
        <f>B135-AJ135</f>
        <v/>
      </c>
      <c r="AM135" s="42">
        <f>_xlfn.STDEV.S(AL135:AL154)</f>
        <v/>
      </c>
    </row>
    <row r="136" ht="16" customHeight="1">
      <c r="A136" s="10" t="n">
        <v>46058</v>
      </c>
      <c r="B136" s="20" t="n">
        <v>1782.56</v>
      </c>
      <c r="C136" s="18" t="n">
        <v>8355701.361328131</v>
      </c>
      <c r="E136" s="14" t="n"/>
      <c r="F136" s="4" t="n">
        <v>130100</v>
      </c>
      <c r="G136" s="4" t="n">
        <v>7706031024</v>
      </c>
      <c r="H136" s="4" t="n">
        <v>97600</v>
      </c>
      <c r="I136" s="4" t="n">
        <v>4107412004</v>
      </c>
      <c r="J136" s="4" t="n">
        <v>28800</v>
      </c>
      <c r="K136" s="4" t="n">
        <v>2272318410</v>
      </c>
      <c r="L136" s="4" t="n">
        <v>86000</v>
      </c>
      <c r="M136" s="4" t="n">
        <v>1793300377</v>
      </c>
      <c r="N136" s="4" t="n">
        <v>166500</v>
      </c>
      <c r="O136" s="4" t="n">
        <v>591611334</v>
      </c>
      <c r="Q136" s="17" t="n"/>
      <c r="R136" s="3">
        <f>G136*F136-G137*F137</f>
        <v/>
      </c>
      <c r="S136" s="3">
        <f>I136*H136-I137*H137</f>
        <v/>
      </c>
      <c r="T136" s="3">
        <f>K136*J136-K137*J137</f>
        <v/>
      </c>
      <c r="U136" s="3">
        <f>M136*L136-M137*L137</f>
        <v/>
      </c>
      <c r="V136" s="3">
        <f>O136*N136-O137*N137</f>
        <v/>
      </c>
      <c r="W136" s="3" t="n"/>
      <c r="X136" s="2">
        <f>R136/10^9</f>
        <v/>
      </c>
      <c r="Y136" s="2">
        <f>S136/10^9</f>
        <v/>
      </c>
      <c r="Z136" s="2">
        <f>T136/10^9</f>
        <v/>
      </c>
      <c r="AA136" s="2">
        <f>U136/10^9</f>
        <v/>
      </c>
      <c r="AB136" s="2">
        <f>V136/10^9</f>
        <v/>
      </c>
      <c r="AC136" s="2" t="n"/>
      <c r="AD136" s="8">
        <f>X136/$C137*$B137</f>
        <v/>
      </c>
      <c r="AE136" s="8">
        <f>Y136/$C137*$B137</f>
        <v/>
      </c>
      <c r="AF136" s="8">
        <f>Z136/$C137*$B137</f>
        <v/>
      </c>
      <c r="AG136" s="8">
        <f>AA136/$C137*$B137</f>
        <v/>
      </c>
      <c r="AH136" s="11">
        <f>AB136/$C137*$B137</f>
        <v/>
      </c>
      <c r="AI136" s="8">
        <f>SUM(AD136:AG136)</f>
        <v/>
      </c>
      <c r="AJ136" s="9">
        <f>AI136+AJ137</f>
        <v/>
      </c>
      <c r="AL136" s="7">
        <f>B136-AJ136</f>
        <v/>
      </c>
      <c r="AM136" s="42">
        <f>_xlfn.STDEV.S(AL136:AL155)</f>
        <v/>
      </c>
    </row>
    <row r="137" ht="16" customHeight="1">
      <c r="A137" s="10" t="n">
        <v>46057</v>
      </c>
      <c r="B137" s="20" t="n">
        <v>1791.43</v>
      </c>
      <c r="C137" s="18" t="n">
        <v>8397408.76145798</v>
      </c>
      <c r="E137" s="14" t="n"/>
      <c r="F137" s="4" t="n">
        <v>121600</v>
      </c>
      <c r="G137" s="4" t="n">
        <v>7706031024</v>
      </c>
      <c r="H137" s="4" t="n">
        <v>91300</v>
      </c>
      <c r="I137" s="4" t="n">
        <v>4107412004</v>
      </c>
      <c r="J137" s="4" t="n">
        <v>28250</v>
      </c>
      <c r="K137" s="4" t="n">
        <v>2272318410</v>
      </c>
      <c r="L137" s="4" t="n">
        <v>85500</v>
      </c>
      <c r="M137" s="4" t="n">
        <v>1793300377</v>
      </c>
      <c r="N137" s="4" t="n">
        <v>165000</v>
      </c>
      <c r="O137" s="4" t="n">
        <v>591611334</v>
      </c>
      <c r="Q137" s="17" t="n"/>
      <c r="R137" s="3">
        <f>G137*F137-G138*F138</f>
        <v/>
      </c>
      <c r="S137" s="3">
        <f>I137*H137-I138*H138</f>
        <v/>
      </c>
      <c r="T137" s="3">
        <f>K137*J137-K138*J138</f>
        <v/>
      </c>
      <c r="U137" s="3">
        <f>M137*L137-M138*L138</f>
        <v/>
      </c>
      <c r="V137" s="3">
        <f>O137*N137-O138*N138</f>
        <v/>
      </c>
      <c r="W137" s="3" t="n"/>
      <c r="X137" s="2">
        <f>R137/10^9</f>
        <v/>
      </c>
      <c r="Y137" s="2">
        <f>S137/10^9</f>
        <v/>
      </c>
      <c r="Z137" s="2">
        <f>T137/10^9</f>
        <v/>
      </c>
      <c r="AA137" s="2">
        <f>U137/10^9</f>
        <v/>
      </c>
      <c r="AB137" s="2">
        <f>V137/10^9</f>
        <v/>
      </c>
      <c r="AC137" s="2" t="n"/>
      <c r="AD137" s="8">
        <f>X137/$C138*$B138</f>
        <v/>
      </c>
      <c r="AE137" s="8">
        <f>Y137/$C138*$B138</f>
        <v/>
      </c>
      <c r="AF137" s="8">
        <f>Z137/$C138*$B138</f>
        <v/>
      </c>
      <c r="AG137" s="8">
        <f>AA137/$C138*$B138</f>
        <v/>
      </c>
      <c r="AH137" s="11">
        <f>AB137/$C138*$B138</f>
        <v/>
      </c>
      <c r="AI137" s="8">
        <f>SUM(AD137:AG137)</f>
        <v/>
      </c>
      <c r="AJ137" s="9">
        <f>AI137+AJ138</f>
        <v/>
      </c>
      <c r="AL137" s="7">
        <f>B137-AJ137</f>
        <v/>
      </c>
      <c r="AM137" s="42">
        <f>_xlfn.STDEV.S(AL137:AL156)</f>
        <v/>
      </c>
    </row>
    <row r="138" ht="16" customHeight="1">
      <c r="A138" s="10" t="n">
        <v>46056</v>
      </c>
      <c r="B138" s="20" t="n">
        <v>1813.4</v>
      </c>
      <c r="C138" s="18" t="n">
        <v>8499305.684311282</v>
      </c>
      <c r="E138" s="14" t="n"/>
      <c r="F138" s="4" t="n">
        <v>130700</v>
      </c>
      <c r="G138" s="4" t="n">
        <v>7706031024</v>
      </c>
      <c r="H138" s="4" t="n">
        <v>97300</v>
      </c>
      <c r="I138" s="4" t="n">
        <v>4107412004</v>
      </c>
      <c r="J138" s="4" t="n">
        <v>28400</v>
      </c>
      <c r="K138" s="4" t="n">
        <v>2272318410</v>
      </c>
      <c r="L138" s="4" t="n">
        <v>86700</v>
      </c>
      <c r="M138" s="4" t="n">
        <v>1793300377</v>
      </c>
      <c r="N138" s="4" t="n">
        <v>168000</v>
      </c>
      <c r="O138" s="4" t="n">
        <v>591611334</v>
      </c>
      <c r="Q138" s="17" t="n"/>
      <c r="R138" s="3">
        <f>G138*F138-G139*F139</f>
        <v/>
      </c>
      <c r="S138" s="3">
        <f>I138*H138-I139*H139</f>
        <v/>
      </c>
      <c r="T138" s="3">
        <f>K138*J138-K139*J139</f>
        <v/>
      </c>
      <c r="U138" s="3">
        <f>M138*L138-M139*L139</f>
        <v/>
      </c>
      <c r="V138" s="3">
        <f>O138*N138-O139*N139</f>
        <v/>
      </c>
      <c r="W138" s="3" t="n"/>
      <c r="X138" s="2">
        <f>R138/10^9</f>
        <v/>
      </c>
      <c r="Y138" s="2">
        <f>S138/10^9</f>
        <v/>
      </c>
      <c r="Z138" s="2">
        <f>T138/10^9</f>
        <v/>
      </c>
      <c r="AA138" s="2">
        <f>U138/10^9</f>
        <v/>
      </c>
      <c r="AB138" s="2">
        <f>V138/10^9</f>
        <v/>
      </c>
      <c r="AC138" s="2" t="n"/>
      <c r="AD138" s="8">
        <f>X138/$C139*$B139</f>
        <v/>
      </c>
      <c r="AE138" s="8">
        <f>Y138/$C139*$B139</f>
        <v/>
      </c>
      <c r="AF138" s="8">
        <f>Z138/$C139*$B139</f>
        <v/>
      </c>
      <c r="AG138" s="8">
        <f>AA138/$C139*$B139</f>
        <v/>
      </c>
      <c r="AH138" s="11">
        <f>AB138/$C139*$B139</f>
        <v/>
      </c>
      <c r="AI138" s="8">
        <f>SUM(AD138:AG138)</f>
        <v/>
      </c>
      <c r="AJ138" s="9">
        <f>AI138+AJ139</f>
        <v/>
      </c>
      <c r="AL138" s="7">
        <f>B138-AJ138</f>
        <v/>
      </c>
      <c r="AM138" s="42">
        <f>_xlfn.STDEV.S(AL138:AL157)</f>
        <v/>
      </c>
    </row>
    <row r="139" ht="16" customHeight="1">
      <c r="A139" s="10" t="n">
        <v>46055</v>
      </c>
      <c r="B139" s="20" t="n">
        <v>1806.5</v>
      </c>
      <c r="C139" s="18" t="n">
        <v>8467038.31280216</v>
      </c>
      <c r="E139" s="14" t="n"/>
      <c r="F139" s="4" t="n">
        <v>130700</v>
      </c>
      <c r="G139" s="4" t="n">
        <v>7706031024</v>
      </c>
      <c r="H139" s="4" t="n">
        <v>98600</v>
      </c>
      <c r="I139" s="4" t="n">
        <v>4107412004</v>
      </c>
      <c r="J139" s="4" t="n">
        <v>28100</v>
      </c>
      <c r="K139" s="4" t="n">
        <v>2272318410</v>
      </c>
      <c r="L139" s="4" t="n">
        <v>86800</v>
      </c>
      <c r="M139" s="4" t="n">
        <v>1793300377</v>
      </c>
      <c r="N139" s="4" t="n">
        <v>170000</v>
      </c>
      <c r="O139" s="4" t="n">
        <v>591611334</v>
      </c>
      <c r="Q139" s="17" t="n"/>
      <c r="R139" s="3">
        <f>G139*F139-G140*F140</f>
        <v/>
      </c>
      <c r="S139" s="3">
        <f>I139*H139-I140*H140</f>
        <v/>
      </c>
      <c r="T139" s="3">
        <f>K139*J139-K140*J140</f>
        <v/>
      </c>
      <c r="U139" s="3">
        <f>M139*L139-M140*L140</f>
        <v/>
      </c>
      <c r="V139" s="3">
        <f>O139*N139-O140*N140</f>
        <v/>
      </c>
      <c r="W139" s="3" t="n"/>
      <c r="X139" s="2">
        <f>R139/10^9</f>
        <v/>
      </c>
      <c r="Y139" s="2">
        <f>S139/10^9</f>
        <v/>
      </c>
      <c r="Z139" s="2">
        <f>T139/10^9</f>
        <v/>
      </c>
      <c r="AA139" s="2">
        <f>U139/10^9</f>
        <v/>
      </c>
      <c r="AB139" s="2">
        <f>V139/10^9</f>
        <v/>
      </c>
      <c r="AC139" s="2" t="n"/>
      <c r="AD139" s="8">
        <f>X139/$C140*$B140</f>
        <v/>
      </c>
      <c r="AE139" s="8">
        <f>Y139/$C140*$B140</f>
        <v/>
      </c>
      <c r="AF139" s="8">
        <f>Z139/$C140*$B140</f>
        <v/>
      </c>
      <c r="AG139" s="8">
        <f>AA139/$C140*$B140</f>
        <v/>
      </c>
      <c r="AH139" s="11">
        <f>AB139/$C140*$B140</f>
        <v/>
      </c>
      <c r="AI139" s="8">
        <f>SUM(AD139:AG139)</f>
        <v/>
      </c>
      <c r="AJ139" s="9">
        <f>AI139+AJ140</f>
        <v/>
      </c>
      <c r="AL139" s="7">
        <f>B139-AJ139</f>
        <v/>
      </c>
      <c r="AM139" s="42">
        <f>_xlfn.STDEV.S(AL139:AL158)</f>
        <v/>
      </c>
    </row>
    <row r="140" ht="16" customHeight="1">
      <c r="A140" s="10" t="n">
        <v>46052</v>
      </c>
      <c r="B140" s="20" t="n">
        <v>1829.04</v>
      </c>
      <c r="C140" s="18" t="n">
        <v>8572413.788743909</v>
      </c>
      <c r="E140" s="14" t="n"/>
      <c r="F140" s="4" t="n">
        <v>140500</v>
      </c>
      <c r="G140" s="4" t="n">
        <v>7706031024</v>
      </c>
      <c r="H140" s="4" t="n">
        <v>106000</v>
      </c>
      <c r="I140" s="4" t="n">
        <v>4107412004</v>
      </c>
      <c r="J140" s="4" t="n">
        <v>30200</v>
      </c>
      <c r="K140" s="4" t="n">
        <v>2272318410</v>
      </c>
      <c r="L140" s="4" t="n">
        <v>92500</v>
      </c>
      <c r="M140" s="4" t="n">
        <v>1793300377</v>
      </c>
      <c r="N140" s="4" t="n">
        <v>170500</v>
      </c>
      <c r="O140" s="4" t="n">
        <v>591611334</v>
      </c>
      <c r="Q140" s="17" t="n"/>
      <c r="R140" s="3">
        <f>G140*F140-G141*F141</f>
        <v/>
      </c>
      <c r="S140" s="3">
        <f>I140*H140-I141*H141</f>
        <v/>
      </c>
      <c r="T140" s="3">
        <f>K140*J140-K141*J141</f>
        <v/>
      </c>
      <c r="U140" s="3">
        <f>M140*L140-M141*L141</f>
        <v/>
      </c>
      <c r="V140" s="3">
        <f>O140*N140-O141*N141</f>
        <v/>
      </c>
      <c r="W140" s="3" t="n"/>
      <c r="X140" s="2">
        <f>R140/10^9</f>
        <v/>
      </c>
      <c r="Y140" s="2">
        <f>S140/10^9</f>
        <v/>
      </c>
      <c r="Z140" s="2">
        <f>T140/10^9</f>
        <v/>
      </c>
      <c r="AA140" s="2">
        <f>U140/10^9</f>
        <v/>
      </c>
      <c r="AB140" s="2">
        <f>V140/10^9</f>
        <v/>
      </c>
      <c r="AC140" s="2" t="n"/>
      <c r="AD140" s="8">
        <f>X140/$C141*$B141</f>
        <v/>
      </c>
      <c r="AE140" s="8">
        <f>Y140/$C141*$B141</f>
        <v/>
      </c>
      <c r="AF140" s="8">
        <f>Z140/$C141*$B141</f>
        <v/>
      </c>
      <c r="AG140" s="8">
        <f>AA140/$C141*$B141</f>
        <v/>
      </c>
      <c r="AH140" s="11">
        <f>AB140/$C141*$B141</f>
        <v/>
      </c>
      <c r="AI140" s="8">
        <f>SUM(AD140:AG140)</f>
        <v/>
      </c>
      <c r="AJ140" s="9">
        <f>AI140+AJ141</f>
        <v/>
      </c>
      <c r="AL140" s="7">
        <f>B140-AJ140</f>
        <v/>
      </c>
      <c r="AM140" s="42">
        <f>_xlfn.STDEV.S(AL140:AL159)</f>
        <v/>
      </c>
    </row>
    <row r="141" ht="16" customHeight="1">
      <c r="A141" s="10" t="n">
        <v>46051</v>
      </c>
      <c r="B141" s="20" t="n">
        <v>1814.98</v>
      </c>
      <c r="C141" s="18" t="n">
        <v>8505083.940664981</v>
      </c>
      <c r="E141" s="14" t="n"/>
      <c r="F141" s="4" t="n">
        <v>140500</v>
      </c>
      <c r="G141" s="4" t="n">
        <v>7706031024</v>
      </c>
      <c r="H141" s="4" t="n">
        <v>107000</v>
      </c>
      <c r="I141" s="4" t="n">
        <v>4107412004</v>
      </c>
      <c r="J141" s="4" t="n">
        <v>30000</v>
      </c>
      <c r="K141" s="4" t="n">
        <v>2272318410</v>
      </c>
      <c r="L141" s="4" t="n">
        <v>92000</v>
      </c>
      <c r="M141" s="4" t="n">
        <v>1793300377</v>
      </c>
      <c r="N141" s="4" t="n">
        <v>164000</v>
      </c>
      <c r="O141" s="4" t="n">
        <v>591611334</v>
      </c>
      <c r="Q141" s="17" t="n"/>
      <c r="R141" s="3">
        <f>G141*F141-G142*F142</f>
        <v/>
      </c>
      <c r="S141" s="3">
        <f>I141*H141-I142*H142</f>
        <v/>
      </c>
      <c r="T141" s="3">
        <f>K141*J141-K142*J142</f>
        <v/>
      </c>
      <c r="U141" s="3">
        <f>M141*L141-M142*L142</f>
        <v/>
      </c>
      <c r="V141" s="3">
        <f>O141*N141-O142*N142</f>
        <v/>
      </c>
      <c r="W141" s="3" t="n"/>
      <c r="X141" s="2">
        <f>R141/10^9</f>
        <v/>
      </c>
      <c r="Y141" s="2">
        <f>S141/10^9</f>
        <v/>
      </c>
      <c r="Z141" s="2">
        <f>T141/10^9</f>
        <v/>
      </c>
      <c r="AA141" s="2">
        <f>U141/10^9</f>
        <v/>
      </c>
      <c r="AB141" s="2">
        <f>V141/10^9</f>
        <v/>
      </c>
      <c r="AC141" s="2" t="n"/>
      <c r="AD141" s="8">
        <f>X141/$C142*$B142</f>
        <v/>
      </c>
      <c r="AE141" s="8">
        <f>Y141/$C142*$B142</f>
        <v/>
      </c>
      <c r="AF141" s="8">
        <f>Z141/$C142*$B142</f>
        <v/>
      </c>
      <c r="AG141" s="8">
        <f>AA141/$C142*$B142</f>
        <v/>
      </c>
      <c r="AH141" s="11">
        <f>AB141/$C142*$B142</f>
        <v/>
      </c>
      <c r="AI141" s="8">
        <f>SUM(AD141:AG141)</f>
        <v/>
      </c>
      <c r="AJ141" s="9">
        <f>AI141+AJ142</f>
        <v/>
      </c>
      <c r="AL141" s="7">
        <f>B141-AJ141</f>
        <v/>
      </c>
      <c r="AM141" s="42">
        <f>_xlfn.STDEV.S(AL141:AL160)</f>
        <v/>
      </c>
    </row>
    <row r="142" ht="16" customHeight="1">
      <c r="A142" s="10" t="n">
        <v>46050</v>
      </c>
      <c r="B142" s="20" t="n">
        <v>1802.91</v>
      </c>
      <c r="C142" s="18" t="n">
        <v>8448414.1748285</v>
      </c>
      <c r="E142" s="14" t="n"/>
      <c r="F142" s="4" t="n">
        <v>140500</v>
      </c>
      <c r="G142" s="4" t="n">
        <v>7706031024</v>
      </c>
      <c r="H142" s="4" t="n">
        <v>104300</v>
      </c>
      <c r="I142" s="4" t="n">
        <v>4107412004</v>
      </c>
      <c r="J142" s="4" t="n">
        <v>29100</v>
      </c>
      <c r="K142" s="4" t="n">
        <v>2272318410</v>
      </c>
      <c r="L142" s="4" t="n">
        <v>91000</v>
      </c>
      <c r="M142" s="4" t="n">
        <v>1793300377</v>
      </c>
      <c r="N142" s="4" t="n">
        <v>171500</v>
      </c>
      <c r="O142" s="4" t="n">
        <v>591611334</v>
      </c>
      <c r="Q142" s="17" t="n"/>
      <c r="R142" s="3">
        <f>G142*F142-G143*F143</f>
        <v/>
      </c>
      <c r="S142" s="3">
        <f>I142*H142-I143*H143</f>
        <v/>
      </c>
      <c r="T142" s="3">
        <f>K142*J142-K143*J143</f>
        <v/>
      </c>
      <c r="U142" s="3">
        <f>M142*L142-M143*L143</f>
        <v/>
      </c>
      <c r="V142" s="3">
        <f>O142*N142-O143*N143</f>
        <v/>
      </c>
      <c r="W142" s="3" t="n"/>
      <c r="X142" s="2">
        <f>R142/10^9</f>
        <v/>
      </c>
      <c r="Y142" s="2">
        <f>S142/10^9</f>
        <v/>
      </c>
      <c r="Z142" s="2">
        <f>T142/10^9</f>
        <v/>
      </c>
      <c r="AA142" s="2">
        <f>U142/10^9</f>
        <v/>
      </c>
      <c r="AB142" s="2">
        <f>V142/10^9</f>
        <v/>
      </c>
      <c r="AC142" s="2" t="n"/>
      <c r="AD142" s="8">
        <f>X142/$C143*$B143</f>
        <v/>
      </c>
      <c r="AE142" s="8">
        <f>Y142/$C143*$B143</f>
        <v/>
      </c>
      <c r="AF142" s="8">
        <f>Z142/$C143*$B143</f>
        <v/>
      </c>
      <c r="AG142" s="8">
        <f>AA142/$C143*$B143</f>
        <v/>
      </c>
      <c r="AH142" s="11">
        <f>AB142/$C143*$B143</f>
        <v/>
      </c>
      <c r="AI142" s="8">
        <f>SUM(AD142:AG142)</f>
        <v/>
      </c>
      <c r="AJ142" s="9">
        <f>AI142+AJ143</f>
        <v/>
      </c>
      <c r="AL142" s="7">
        <f>B142-AJ142</f>
        <v/>
      </c>
      <c r="AM142" s="42">
        <f>_xlfn.STDEV.S(AL142:AL161)</f>
        <v/>
      </c>
    </row>
    <row r="143" ht="16" customHeight="1">
      <c r="A143" s="10" t="n">
        <v>46049</v>
      </c>
      <c r="B143" s="20" t="n">
        <v>1830.5</v>
      </c>
      <c r="C143" s="18" t="n">
        <v>8576684.733615849</v>
      </c>
      <c r="E143" s="14" t="n"/>
      <c r="F143" s="4" t="n">
        <v>151000</v>
      </c>
      <c r="G143" s="4" t="n">
        <v>7706031024</v>
      </c>
      <c r="H143" s="4" t="n">
        <v>110600</v>
      </c>
      <c r="I143" s="4" t="n">
        <v>4107412004</v>
      </c>
      <c r="J143" s="4" t="n">
        <v>30900</v>
      </c>
      <c r="K143" s="4" t="n">
        <v>2272318410</v>
      </c>
      <c r="L143" s="4" t="n">
        <v>91900</v>
      </c>
      <c r="M143" s="4" t="n">
        <v>1793300377</v>
      </c>
      <c r="N143" s="4" t="n">
        <v>178800</v>
      </c>
      <c r="O143" s="4" t="n">
        <v>591611334</v>
      </c>
      <c r="Q143" s="17" t="n"/>
      <c r="R143" s="3">
        <f>G143*F143-G144*F144</f>
        <v/>
      </c>
      <c r="S143" s="3">
        <f>I143*H143-I144*H144</f>
        <v/>
      </c>
      <c r="T143" s="3">
        <f>K143*J143-K144*J144</f>
        <v/>
      </c>
      <c r="U143" s="3">
        <f>M143*L143-M144*L144</f>
        <v/>
      </c>
      <c r="V143" s="3">
        <f>O143*N143-O144*N144</f>
        <v/>
      </c>
      <c r="W143" s="3" t="n"/>
      <c r="X143" s="2">
        <f>R143/10^9</f>
        <v/>
      </c>
      <c r="Y143" s="2">
        <f>S143/10^9</f>
        <v/>
      </c>
      <c r="Z143" s="2">
        <f>T143/10^9</f>
        <v/>
      </c>
      <c r="AA143" s="2">
        <f>U143/10^9</f>
        <v/>
      </c>
      <c r="AB143" s="2">
        <f>V143/10^9</f>
        <v/>
      </c>
      <c r="AC143" s="2" t="n"/>
      <c r="AD143" s="8">
        <f>X143/$C144*$B144</f>
        <v/>
      </c>
      <c r="AE143" s="8">
        <f>Y143/$C144*$B144</f>
        <v/>
      </c>
      <c r="AF143" s="8">
        <f>Z143/$C144*$B144</f>
        <v/>
      </c>
      <c r="AG143" s="8">
        <f>AA143/$C144*$B144</f>
        <v/>
      </c>
      <c r="AH143" s="11">
        <f>AB143/$C144*$B144</f>
        <v/>
      </c>
      <c r="AI143" s="8">
        <f>SUM(AD143:AG143)</f>
        <v/>
      </c>
      <c r="AJ143" s="9">
        <f>AI143+AJ144</f>
        <v/>
      </c>
      <c r="AL143" s="7">
        <f>B143-AJ143</f>
        <v/>
      </c>
      <c r="AM143" s="42">
        <f>_xlfn.STDEV.S(AL143:AL162)</f>
        <v/>
      </c>
    </row>
    <row r="144" ht="16" customHeight="1">
      <c r="A144" s="10" t="n">
        <v>46048</v>
      </c>
      <c r="B144" s="20" t="n">
        <v>1843.72</v>
      </c>
      <c r="C144" s="18" t="n">
        <v>8638234.2763854</v>
      </c>
      <c r="E144" s="14" t="n"/>
      <c r="F144" s="4" t="n">
        <v>159900</v>
      </c>
      <c r="G144" s="4" t="n">
        <v>7706031024</v>
      </c>
      <c r="H144" s="4" t="n">
        <v>118900</v>
      </c>
      <c r="I144" s="4" t="n">
        <v>4107412004</v>
      </c>
      <c r="J144" s="4" t="n">
        <v>31000</v>
      </c>
      <c r="K144" s="4" t="n">
        <v>2272318410</v>
      </c>
      <c r="L144" s="4" t="n">
        <v>93500</v>
      </c>
      <c r="M144" s="4" t="n">
        <v>1793300377</v>
      </c>
      <c r="N144" s="4" t="n">
        <v>182000</v>
      </c>
      <c r="O144" s="4" t="n">
        <v>591611334</v>
      </c>
      <c r="Q144" s="17" t="n"/>
      <c r="R144" s="3">
        <f>G144*F144-G145*F145</f>
        <v/>
      </c>
      <c r="S144" s="3">
        <f>I144*H144-I145*H145</f>
        <v/>
      </c>
      <c r="T144" s="3">
        <f>K144*J144-K145*J145</f>
        <v/>
      </c>
      <c r="U144" s="3">
        <f>M144*L144-M145*L145</f>
        <v/>
      </c>
      <c r="V144" s="3">
        <f>O144*N144-O145*N145</f>
        <v/>
      </c>
      <c r="X144" s="2">
        <f>R144/10^9</f>
        <v/>
      </c>
      <c r="Y144" s="2">
        <f>S144/10^9</f>
        <v/>
      </c>
      <c r="Z144" s="2">
        <f>T144/10^9</f>
        <v/>
      </c>
      <c r="AA144" s="2">
        <f>U144/10^9</f>
        <v/>
      </c>
      <c r="AB144" s="2">
        <f>V144/10^9</f>
        <v/>
      </c>
      <c r="AC144" s="2" t="n"/>
      <c r="AD144" s="8">
        <f>X144/$C145*$B145</f>
        <v/>
      </c>
      <c r="AE144" s="8">
        <f>Y144/$C145*$B145</f>
        <v/>
      </c>
      <c r="AF144" s="8">
        <f>Z144/$C145*$B145</f>
        <v/>
      </c>
      <c r="AG144" s="8">
        <f>AA144/$C145*$B145</f>
        <v/>
      </c>
      <c r="AH144" s="11">
        <f>AB144/$C145*$B145</f>
        <v/>
      </c>
      <c r="AI144" s="8">
        <f>SUM(AD144:AG144)</f>
        <v/>
      </c>
      <c r="AJ144" s="9">
        <f>AI144+AJ145</f>
        <v/>
      </c>
      <c r="AL144" s="7">
        <f>B144-AJ144</f>
        <v/>
      </c>
      <c r="AM144" s="42">
        <f>_xlfn.STDEV.S(AL144:AL163)</f>
        <v/>
      </c>
    </row>
    <row r="145" ht="16" customFormat="1" customHeight="1" s="16">
      <c r="A145" s="10" t="n">
        <v>46045</v>
      </c>
      <c r="B145" s="20" t="n">
        <v>1870.79</v>
      </c>
      <c r="C145" s="18" t="n">
        <v>8765185.497228179</v>
      </c>
      <c r="E145" s="14" t="n"/>
      <c r="F145" s="4" t="n">
        <v>165400</v>
      </c>
      <c r="G145" s="4" t="n">
        <v>7706031024</v>
      </c>
      <c r="H145" s="4" t="n">
        <v>122500</v>
      </c>
      <c r="I145" s="4" t="n">
        <v>4107412004</v>
      </c>
      <c r="J145" s="4" t="n">
        <v>32400</v>
      </c>
      <c r="K145" s="4" t="n">
        <v>2272318410</v>
      </c>
      <c r="L145" s="4" t="n">
        <v>93800</v>
      </c>
      <c r="M145" s="4" t="n">
        <v>1793300377</v>
      </c>
      <c r="N145" s="4" t="n">
        <v>193600</v>
      </c>
      <c r="O145" s="4" t="n">
        <v>591611334</v>
      </c>
      <c r="Q145" s="17" t="n"/>
      <c r="R145" s="3">
        <f>G145*F145-G146*F146</f>
        <v/>
      </c>
      <c r="S145" s="3">
        <f>I145*H145-I146*H146</f>
        <v/>
      </c>
      <c r="T145" s="3">
        <f>K145*J145-K146*J146</f>
        <v/>
      </c>
      <c r="U145" s="3">
        <f>M145*L145-M146*L146</f>
        <v/>
      </c>
      <c r="V145" s="3">
        <f>O145*N145-O146*N146</f>
        <v/>
      </c>
      <c r="X145" s="2">
        <f>R145/10^9</f>
        <v/>
      </c>
      <c r="Y145" s="2">
        <f>S145/10^9</f>
        <v/>
      </c>
      <c r="Z145" s="2">
        <f>T145/10^9</f>
        <v/>
      </c>
      <c r="AA145" s="2">
        <f>U145/10^9</f>
        <v/>
      </c>
      <c r="AB145" s="2">
        <f>V145/10^9</f>
        <v/>
      </c>
      <c r="AC145" s="2" t="n"/>
      <c r="AD145" s="8">
        <f>X145/$C146*$B146</f>
        <v/>
      </c>
      <c r="AE145" s="8">
        <f>Y145/$C146*$B146</f>
        <v/>
      </c>
      <c r="AF145" s="8">
        <f>Z145/$C146*$B146</f>
        <v/>
      </c>
      <c r="AG145" s="8">
        <f>AA145/$C146*$B146</f>
        <v/>
      </c>
      <c r="AH145" s="11">
        <f>AB145/$C146*$B146</f>
        <v/>
      </c>
      <c r="AI145" s="8">
        <f>SUM(AD145:AG145)</f>
        <v/>
      </c>
      <c r="AJ145" s="9">
        <f>AI145+AJ146</f>
        <v/>
      </c>
      <c r="AL145" s="7">
        <f>B145-AJ145</f>
        <v/>
      </c>
      <c r="AM145" s="42">
        <f>_xlfn.STDEV.S(AL145:AL164)</f>
        <v/>
      </c>
    </row>
    <row r="146" ht="16" customFormat="1" customHeight="1" s="16">
      <c r="A146" s="10" t="n">
        <v>46044</v>
      </c>
      <c r="B146" s="20" t="n">
        <v>1882.73</v>
      </c>
      <c r="C146" s="18" t="n">
        <v>8821188.51247583</v>
      </c>
      <c r="E146" s="14" t="n"/>
      <c r="F146" s="4" t="n">
        <v>161100</v>
      </c>
      <c r="G146" s="4" t="n">
        <v>7706031024</v>
      </c>
      <c r="H146" s="4" t="n">
        <v>120500</v>
      </c>
      <c r="I146" s="4" t="n">
        <v>4107412004</v>
      </c>
      <c r="J146" s="4" t="n">
        <v>31850</v>
      </c>
      <c r="K146" s="4" t="n">
        <v>2272318410</v>
      </c>
      <c r="L146" s="4" t="n">
        <v>92000</v>
      </c>
      <c r="M146" s="4" t="n">
        <v>1793300377</v>
      </c>
      <c r="N146" s="4" t="n">
        <v>181000</v>
      </c>
      <c r="O146" s="4" t="n">
        <v>591611334</v>
      </c>
      <c r="Q146" s="17" t="n"/>
      <c r="R146" s="3">
        <f>G146*F146-G147*F147</f>
        <v/>
      </c>
      <c r="S146" s="3">
        <f>I146*H146-I147*H147</f>
        <v/>
      </c>
      <c r="T146" s="3">
        <f>K146*J146-K147*J147</f>
        <v/>
      </c>
      <c r="U146" s="3">
        <f>M146*L146-M147*L147</f>
        <v/>
      </c>
      <c r="V146" s="3">
        <f>O146*N146-O147*N147</f>
        <v/>
      </c>
      <c r="X146" s="2">
        <f>R146/10^9</f>
        <v/>
      </c>
      <c r="Y146" s="2">
        <f>S146/10^9</f>
        <v/>
      </c>
      <c r="Z146" s="2">
        <f>T146/10^9</f>
        <v/>
      </c>
      <c r="AA146" s="2">
        <f>U146/10^9</f>
        <v/>
      </c>
      <c r="AB146" s="2">
        <f>V146/10^9</f>
        <v/>
      </c>
      <c r="AC146" s="2" t="n"/>
      <c r="AD146" s="8">
        <f>X146/$C147*$B147</f>
        <v/>
      </c>
      <c r="AE146" s="8">
        <f>Y146/$C147*$B147</f>
        <v/>
      </c>
      <c r="AF146" s="8">
        <f>Z146/$C147*$B147</f>
        <v/>
      </c>
      <c r="AG146" s="8">
        <f>AA146/$C147*$B147</f>
        <v/>
      </c>
      <c r="AH146" s="11">
        <f>AB146/$C147*$B147</f>
        <v/>
      </c>
      <c r="AI146" s="8">
        <f>SUM(AD146:AG146)</f>
        <v/>
      </c>
      <c r="AJ146" s="9">
        <f>AI146+AJ147</f>
        <v/>
      </c>
      <c r="AL146" s="7">
        <f>B146-AJ146</f>
        <v/>
      </c>
      <c r="AM146" s="42">
        <f>_xlfn.STDEV.S(AL146:AL165)</f>
        <v/>
      </c>
    </row>
    <row r="147" ht="16" customHeight="1">
      <c r="A147" s="10" t="n">
        <v>46043</v>
      </c>
      <c r="B147" s="20" t="n">
        <v>1885.44</v>
      </c>
      <c r="C147" s="18" t="n">
        <v>8833628.300884988</v>
      </c>
      <c r="E147" s="14" t="n"/>
      <c r="F147" s="4" t="n">
        <v>160500</v>
      </c>
      <c r="G147" s="4" t="n">
        <v>7706031024</v>
      </c>
      <c r="H147" s="4" t="n">
        <v>122900</v>
      </c>
      <c r="I147" s="4" t="n">
        <v>4107412004</v>
      </c>
      <c r="J147" s="4" t="n">
        <v>31250</v>
      </c>
      <c r="K147" s="4" t="n">
        <v>2272318410</v>
      </c>
      <c r="L147" s="4" t="n">
        <v>91700</v>
      </c>
      <c r="M147" s="4" t="n">
        <v>1793300377</v>
      </c>
      <c r="N147" s="4" t="n">
        <v>181800</v>
      </c>
      <c r="O147" s="4" t="n">
        <v>591611334</v>
      </c>
      <c r="Q147" s="17" t="n"/>
      <c r="R147" s="3">
        <f>G147*F147-G148*F148</f>
        <v/>
      </c>
      <c r="S147" s="3">
        <f>I147*H147-I148*H148</f>
        <v/>
      </c>
      <c r="T147" s="3">
        <f>K147*J147-K148*J148</f>
        <v/>
      </c>
      <c r="U147" s="3">
        <f>M147*L147-M148*L148</f>
        <v/>
      </c>
      <c r="V147" s="3">
        <f>O147*N147-O148*N148</f>
        <v/>
      </c>
      <c r="X147" s="2">
        <f>R147/10^9</f>
        <v/>
      </c>
      <c r="Y147" s="2">
        <f>S147/10^9</f>
        <v/>
      </c>
      <c r="Z147" s="2">
        <f>T147/10^9</f>
        <v/>
      </c>
      <c r="AA147" s="2">
        <f>U147/10^9</f>
        <v/>
      </c>
      <c r="AB147" s="2">
        <f>V147/10^9</f>
        <v/>
      </c>
      <c r="AC147" s="2" t="n"/>
      <c r="AD147" s="8">
        <f>X147/$C148*$B148</f>
        <v/>
      </c>
      <c r="AE147" s="8">
        <f>Y147/$C148*$B148</f>
        <v/>
      </c>
      <c r="AF147" s="8">
        <f>Z147/$C148*$B148</f>
        <v/>
      </c>
      <c r="AG147" s="8">
        <f>AA147/$C148*$B148</f>
        <v/>
      </c>
      <c r="AH147" s="11">
        <f>AB147/$C148*$B148</f>
        <v/>
      </c>
      <c r="AI147" s="8">
        <f>SUM(AD147:AG147)</f>
        <v/>
      </c>
      <c r="AJ147" s="9">
        <f>AI147+AJ148</f>
        <v/>
      </c>
      <c r="AL147" s="7">
        <f>B147-AJ147</f>
        <v/>
      </c>
      <c r="AM147" s="42">
        <f>_xlfn.STDEV.S(AL147:AL166)</f>
        <v/>
      </c>
    </row>
    <row r="148" ht="16" customHeight="1">
      <c r="A148" s="10" t="n">
        <v>46042</v>
      </c>
      <c r="B148" s="20" t="n">
        <v>1893.78</v>
      </c>
      <c r="C148" s="18" t="n">
        <v>8872857.887800099</v>
      </c>
      <c r="E148" s="14" t="n"/>
      <c r="F148" s="4" t="n">
        <v>161000</v>
      </c>
      <c r="G148" s="4" t="n">
        <v>7706031024</v>
      </c>
      <c r="H148" s="4" t="n">
        <v>123000</v>
      </c>
      <c r="I148" s="4" t="n">
        <v>4107412004</v>
      </c>
      <c r="J148" s="4" t="n">
        <v>31150</v>
      </c>
      <c r="K148" s="4" t="n">
        <v>2272318410</v>
      </c>
      <c r="L148" s="4" t="n">
        <v>91700</v>
      </c>
      <c r="M148" s="4" t="n">
        <v>1793300377</v>
      </c>
      <c r="N148" s="4" t="n">
        <v>181800</v>
      </c>
      <c r="O148" s="4" t="n">
        <v>591611334</v>
      </c>
      <c r="Q148" s="17" t="n"/>
      <c r="R148" s="3">
        <f>G148*F148-G149*F149</f>
        <v/>
      </c>
      <c r="S148" s="3">
        <f>I148*H148-I149*H149</f>
        <v/>
      </c>
      <c r="T148" s="3">
        <f>K148*J148-K149*J149</f>
        <v/>
      </c>
      <c r="U148" s="3">
        <f>M148*L148-M149*L149</f>
        <v/>
      </c>
      <c r="V148" s="3">
        <f>O148*N148-O149*N149</f>
        <v/>
      </c>
      <c r="X148" s="2">
        <f>R148/10^9</f>
        <v/>
      </c>
      <c r="Y148" s="2">
        <f>S148/10^9</f>
        <v/>
      </c>
      <c r="Z148" s="2">
        <f>T148/10^9</f>
        <v/>
      </c>
      <c r="AA148" s="2">
        <f>U148/10^9</f>
        <v/>
      </c>
      <c r="AB148" s="2">
        <f>V148/10^9</f>
        <v/>
      </c>
      <c r="AC148" s="2" t="n"/>
      <c r="AD148" s="8">
        <f>X148/$C149*$B149</f>
        <v/>
      </c>
      <c r="AE148" s="8">
        <f>Y148/$C149*$B149</f>
        <v/>
      </c>
      <c r="AF148" s="8">
        <f>Z148/$C149*$B149</f>
        <v/>
      </c>
      <c r="AG148" s="8">
        <f>AA148/$C149*$B149</f>
        <v/>
      </c>
      <c r="AH148" s="11">
        <f>AB148/$C149*$B149</f>
        <v/>
      </c>
      <c r="AI148" s="8">
        <f>SUM(AD148:AG148)</f>
        <v/>
      </c>
      <c r="AJ148" s="9">
        <f>AI148+AJ149</f>
        <v/>
      </c>
      <c r="AL148" s="7">
        <f>B148-AJ148</f>
        <v/>
      </c>
      <c r="AM148" s="42">
        <f>_xlfn.STDEV.S(AL148:AL167)</f>
        <v/>
      </c>
    </row>
    <row r="149" ht="16" customHeight="1">
      <c r="A149" s="10" t="n">
        <v>46041</v>
      </c>
      <c r="B149" s="20" t="n">
        <v>1896.59</v>
      </c>
      <c r="C149" s="18" t="n">
        <v>8885296.39443244</v>
      </c>
      <c r="E149" s="14" t="n"/>
      <c r="F149" s="4" t="n">
        <v>162000</v>
      </c>
      <c r="G149" s="4" t="n">
        <v>7706031024</v>
      </c>
      <c r="H149" s="4" t="n">
        <v>125000</v>
      </c>
      <c r="I149" s="4" t="n">
        <v>4107412004</v>
      </c>
      <c r="J149" s="4" t="n">
        <v>32000</v>
      </c>
      <c r="K149" s="4" t="n">
        <v>2272318410</v>
      </c>
      <c r="L149" s="4" t="n">
        <v>93500</v>
      </c>
      <c r="M149" s="4" t="n">
        <v>1793300377</v>
      </c>
      <c r="N149" s="4" t="n">
        <v>185000</v>
      </c>
      <c r="O149" s="4" t="n">
        <v>591611334</v>
      </c>
      <c r="Q149" s="17" t="n"/>
      <c r="R149" s="3">
        <f>G149*F149-G150*F150</f>
        <v/>
      </c>
      <c r="S149" s="3">
        <f>I149*H149-I150*H150</f>
        <v/>
      </c>
      <c r="T149" s="3">
        <f>K149*J149-K150*J150</f>
        <v/>
      </c>
      <c r="U149" s="3">
        <f>M149*L149-M150*L150</f>
        <v/>
      </c>
      <c r="V149" s="3">
        <f>O149*N149-O150*N150</f>
        <v/>
      </c>
      <c r="X149" s="2">
        <f>R149/10^9</f>
        <v/>
      </c>
      <c r="Y149" s="2">
        <f>S149/10^9</f>
        <v/>
      </c>
      <c r="Z149" s="2">
        <f>T149/10^9</f>
        <v/>
      </c>
      <c r="AA149" s="2">
        <f>U149/10^9</f>
        <v/>
      </c>
      <c r="AB149" s="2">
        <f>V149/10^9</f>
        <v/>
      </c>
      <c r="AC149" s="2" t="n"/>
      <c r="AD149" s="8">
        <f>X149/$C150*$B150</f>
        <v/>
      </c>
      <c r="AE149" s="8">
        <f>Y149/$C150*$B150</f>
        <v/>
      </c>
      <c r="AF149" s="8">
        <f>Z149/$C150*$B150</f>
        <v/>
      </c>
      <c r="AG149" s="8">
        <f>AA149/$C150*$B150</f>
        <v/>
      </c>
      <c r="AH149" s="11">
        <f>AB149/$C150*$B150</f>
        <v/>
      </c>
      <c r="AI149" s="8">
        <f>SUM(AD149:AG149)</f>
        <v/>
      </c>
      <c r="AJ149" s="9">
        <f>AI149+AJ150</f>
        <v/>
      </c>
      <c r="AL149" s="7">
        <f>B149-AJ149</f>
        <v/>
      </c>
      <c r="AM149" s="42">
        <f>_xlfn.STDEV.S(AL149:AL168)</f>
        <v/>
      </c>
    </row>
    <row r="150" ht="16" customHeight="1">
      <c r="A150" s="10" t="n">
        <v>46038</v>
      </c>
      <c r="B150" s="20" t="n">
        <v>1879.13</v>
      </c>
      <c r="C150" s="18" t="n">
        <v>8803610.48562089</v>
      </c>
      <c r="E150" s="14" t="n"/>
      <c r="F150" s="4" t="n">
        <v>159900</v>
      </c>
      <c r="G150" s="4" t="n">
        <v>7706031024</v>
      </c>
      <c r="H150" s="4" t="n">
        <v>124100</v>
      </c>
      <c r="I150" s="4" t="n">
        <v>4107412004</v>
      </c>
      <c r="J150" s="4" t="n">
        <v>32000</v>
      </c>
      <c r="K150" s="4" t="n">
        <v>2272318410</v>
      </c>
      <c r="L150" s="4" t="n">
        <v>93000</v>
      </c>
      <c r="M150" s="4" t="n">
        <v>1793300377</v>
      </c>
      <c r="N150" s="4" t="n">
        <v>184000</v>
      </c>
      <c r="O150" s="4" t="n">
        <v>591611334</v>
      </c>
      <c r="Q150" s="17" t="n"/>
      <c r="R150" s="3">
        <f>G150*F150-G151*F151</f>
        <v/>
      </c>
      <c r="S150" s="3">
        <f>I150*H150-I151*H151</f>
        <v/>
      </c>
      <c r="T150" s="3">
        <f>K150*J150-K151*J151</f>
        <v/>
      </c>
      <c r="U150" s="3">
        <f>M150*L150-M151*L151</f>
        <v/>
      </c>
      <c r="V150" s="3">
        <f>O150*N150-O151*N151</f>
        <v/>
      </c>
      <c r="X150" s="2">
        <f>R150/10^9</f>
        <v/>
      </c>
      <c r="Y150" s="2">
        <f>S150/10^9</f>
        <v/>
      </c>
      <c r="Z150" s="2">
        <f>T150/10^9</f>
        <v/>
      </c>
      <c r="AA150" s="2">
        <f>U150/10^9</f>
        <v/>
      </c>
      <c r="AB150" s="2">
        <f>V150/10^9</f>
        <v/>
      </c>
      <c r="AC150" s="2" t="n"/>
      <c r="AD150" s="8">
        <f>X150/$C151*$B151</f>
        <v/>
      </c>
      <c r="AE150" s="8">
        <f>Y150/$C151*$B151</f>
        <v/>
      </c>
      <c r="AF150" s="8">
        <f>Z150/$C151*$B151</f>
        <v/>
      </c>
      <c r="AG150" s="8">
        <f>AA150/$C151*$B151</f>
        <v/>
      </c>
      <c r="AH150" s="11">
        <f>AB150/$C151*$B151</f>
        <v/>
      </c>
      <c r="AI150" s="8">
        <f>SUM(AD150:AG150)</f>
        <v/>
      </c>
      <c r="AJ150" s="9">
        <f>AI150+AJ151</f>
        <v/>
      </c>
      <c r="AL150" s="7">
        <f>B150-AJ150</f>
        <v/>
      </c>
      <c r="AM150" s="42">
        <f>_xlfn.STDEV.S(AL150:AL169)</f>
        <v/>
      </c>
    </row>
    <row r="151" ht="16" customHeight="1">
      <c r="A151" s="10" t="n">
        <v>46037</v>
      </c>
      <c r="B151" s="20" t="n">
        <v>1864.8</v>
      </c>
      <c r="C151" s="18" t="n">
        <v>8738171.298833581</v>
      </c>
      <c r="E151" s="14" t="n"/>
      <c r="F151" s="4" t="n">
        <v>153000</v>
      </c>
      <c r="G151" s="4" t="n">
        <v>7706031024</v>
      </c>
      <c r="H151" s="4" t="n">
        <v>120000</v>
      </c>
      <c r="I151" s="4" t="n">
        <v>4107412004</v>
      </c>
      <c r="J151" s="4" t="n">
        <v>31450</v>
      </c>
      <c r="K151" s="4" t="n">
        <v>2272318410</v>
      </c>
      <c r="L151" s="4" t="n">
        <v>92300</v>
      </c>
      <c r="M151" s="4" t="n">
        <v>1793300377</v>
      </c>
      <c r="N151" s="4" t="n">
        <v>180500</v>
      </c>
      <c r="O151" s="4" t="n">
        <v>591611334</v>
      </c>
      <c r="Q151" s="17" t="n"/>
      <c r="R151" s="3">
        <f>G151*F151-G152*F152</f>
        <v/>
      </c>
      <c r="S151" s="3">
        <f>I151*H151-I152*H152</f>
        <v/>
      </c>
      <c r="T151" s="3">
        <f>K151*J151-K152*J152</f>
        <v/>
      </c>
      <c r="U151" s="3">
        <f>M151*L151-M152*L152</f>
        <v/>
      </c>
      <c r="V151" s="3">
        <f>O151*N151-O152*N152</f>
        <v/>
      </c>
      <c r="X151" s="2">
        <f>R151/10^9</f>
        <v/>
      </c>
      <c r="Y151" s="2">
        <f>S151/10^9</f>
        <v/>
      </c>
      <c r="Z151" s="2">
        <f>T151/10^9</f>
        <v/>
      </c>
      <c r="AA151" s="2">
        <f>U151/10^9</f>
        <v/>
      </c>
      <c r="AB151" s="2">
        <f>V151/10^9</f>
        <v/>
      </c>
      <c r="AC151" s="2" t="n"/>
      <c r="AD151" s="8">
        <f>X151/$C152*$B152</f>
        <v/>
      </c>
      <c r="AE151" s="8">
        <f>Y151/$C152*$B152</f>
        <v/>
      </c>
      <c r="AF151" s="8">
        <f>Z151/$C152*$B152</f>
        <v/>
      </c>
      <c r="AG151" s="8">
        <f>AA151/$C152*$B152</f>
        <v/>
      </c>
      <c r="AH151" s="11">
        <f>AB151/$C152*$B152</f>
        <v/>
      </c>
      <c r="AI151" s="8">
        <f>SUM(AD151:AG151)</f>
        <v/>
      </c>
      <c r="AJ151" s="9">
        <f>AI151+AJ152</f>
        <v/>
      </c>
      <c r="AL151" s="7">
        <f>B151-AJ151</f>
        <v/>
      </c>
      <c r="AM151" s="42">
        <f>_xlfn.STDEV.S(AL151:AL170)</f>
        <v/>
      </c>
    </row>
    <row r="152" ht="16" customHeight="1">
      <c r="A152" s="10" t="n">
        <v>46036</v>
      </c>
      <c r="B152" s="20" t="n">
        <v>1894.44</v>
      </c>
      <c r="C152" s="18" t="n">
        <v>8866624.79579407</v>
      </c>
      <c r="E152" s="14" t="n"/>
      <c r="F152" s="4" t="n">
        <v>160200</v>
      </c>
      <c r="G152" s="4" t="n">
        <v>7706031024</v>
      </c>
      <c r="H152" s="4" t="n">
        <v>126300</v>
      </c>
      <c r="I152" s="4" t="n">
        <v>4107412004</v>
      </c>
      <c r="J152" s="4" t="n">
        <v>31800</v>
      </c>
      <c r="K152" s="4" t="n">
        <v>2272318410</v>
      </c>
      <c r="L152" s="4" t="n">
        <v>92500</v>
      </c>
      <c r="M152" s="4" t="n">
        <v>1793300377</v>
      </c>
      <c r="N152" s="4" t="n">
        <v>189400</v>
      </c>
      <c r="O152" s="4" t="n">
        <v>591611334</v>
      </c>
      <c r="Q152" s="17" t="n"/>
      <c r="R152" s="3">
        <f>G152*F152-G153*F153</f>
        <v/>
      </c>
      <c r="S152" s="3">
        <f>I152*H152-I153*H153</f>
        <v/>
      </c>
      <c r="T152" s="3">
        <f>K152*J152-K153*J153</f>
        <v/>
      </c>
      <c r="U152" s="3">
        <f>M152*L152-M153*L153</f>
        <v/>
      </c>
      <c r="V152" s="3">
        <f>O152*N152-O153*N153</f>
        <v/>
      </c>
      <c r="X152" s="2">
        <f>R152/10^9</f>
        <v/>
      </c>
      <c r="Y152" s="2">
        <f>S152/10^9</f>
        <v/>
      </c>
      <c r="Z152" s="2">
        <f>T152/10^9</f>
        <v/>
      </c>
      <c r="AA152" s="2">
        <f>U152/10^9</f>
        <v/>
      </c>
      <c r="AB152" s="2">
        <f>V152/10^9</f>
        <v/>
      </c>
      <c r="AC152" s="2" t="n"/>
      <c r="AD152" s="8">
        <f>X152/$C153*$B153</f>
        <v/>
      </c>
      <c r="AE152" s="8">
        <f>Y152/$C153*$B153</f>
        <v/>
      </c>
      <c r="AF152" s="8">
        <f>Z152/$C153*$B153</f>
        <v/>
      </c>
      <c r="AG152" s="8">
        <f>AA152/$C153*$B153</f>
        <v/>
      </c>
      <c r="AH152" s="11">
        <f>AB152/$C153*$B153</f>
        <v/>
      </c>
      <c r="AI152" s="8">
        <f>SUM(AD152:AG152)</f>
        <v/>
      </c>
      <c r="AJ152" s="9">
        <f>AI152+AJ153</f>
        <v/>
      </c>
      <c r="AL152" s="7">
        <f>B152-AJ152</f>
        <v/>
      </c>
      <c r="AM152" s="42">
        <f>_xlfn.STDEV.S(AL152:AL171)</f>
        <v/>
      </c>
    </row>
    <row r="153" ht="16" customHeight="1">
      <c r="A153" s="10" t="n">
        <v>46035</v>
      </c>
      <c r="B153" s="20" t="n">
        <v>1902.93</v>
      </c>
      <c r="C153" s="18" t="n">
        <v>8906522.65103161</v>
      </c>
      <c r="E153" s="14" t="n"/>
      <c r="F153" s="4" t="n">
        <v>167900</v>
      </c>
      <c r="G153" s="4" t="n">
        <v>7706031024</v>
      </c>
      <c r="H153" s="4" t="n">
        <v>134000</v>
      </c>
      <c r="I153" s="4" t="n">
        <v>4107412004</v>
      </c>
      <c r="J153" s="4" t="n">
        <v>33550</v>
      </c>
      <c r="K153" s="4" t="n">
        <v>2272318410</v>
      </c>
      <c r="L153" s="4" t="n">
        <v>94900</v>
      </c>
      <c r="M153" s="4" t="n">
        <v>1793300377</v>
      </c>
      <c r="N153" s="4" t="n">
        <v>195000</v>
      </c>
      <c r="O153" s="4" t="n">
        <v>591611334</v>
      </c>
      <c r="Q153" s="17" t="n"/>
      <c r="R153" s="3">
        <f>G153*F153-G154*F154</f>
        <v/>
      </c>
      <c r="S153" s="3">
        <f>I153*H153-I154*H154</f>
        <v/>
      </c>
      <c r="T153" s="3">
        <f>K153*J153-K154*J154</f>
        <v/>
      </c>
      <c r="U153" s="3">
        <f>M153*L153-M154*L154</f>
        <v/>
      </c>
      <c r="V153" s="3">
        <f>O153*N153-O154*N154</f>
        <v/>
      </c>
      <c r="X153" s="2">
        <f>R153/10^9</f>
        <v/>
      </c>
      <c r="Y153" s="2">
        <f>S153/10^9</f>
        <v/>
      </c>
      <c r="Z153" s="2">
        <f>T153/10^9</f>
        <v/>
      </c>
      <c r="AA153" s="2">
        <f>U153/10^9</f>
        <v/>
      </c>
      <c r="AB153" s="2">
        <f>V153/10^9</f>
        <v/>
      </c>
      <c r="AC153" s="2" t="n"/>
      <c r="AD153" s="8">
        <f>X153/$C154*$B154</f>
        <v/>
      </c>
      <c r="AE153" s="8">
        <f>Y153/$C154*$B154</f>
        <v/>
      </c>
      <c r="AF153" s="8">
        <f>Z153/$C154*$B154</f>
        <v/>
      </c>
      <c r="AG153" s="8">
        <f>AA153/$C154*$B154</f>
        <v/>
      </c>
      <c r="AH153" s="11">
        <f>AB153/$C154*$B154</f>
        <v/>
      </c>
      <c r="AI153" s="8">
        <f>SUM(AD153:AG153)</f>
        <v/>
      </c>
      <c r="AJ153" s="9">
        <f>AI153+AJ154</f>
        <v/>
      </c>
      <c r="AL153" s="7">
        <f>B153-AJ153</f>
        <v/>
      </c>
      <c r="AM153" s="42">
        <f>_xlfn.STDEV.S(AL153:AL172)</f>
        <v/>
      </c>
    </row>
    <row r="154" ht="16" customHeight="1">
      <c r="A154" s="10" t="n">
        <v>46034</v>
      </c>
      <c r="B154" s="20" t="n">
        <v>1877.33</v>
      </c>
      <c r="C154" s="18" t="n">
        <v>8787062.701645181</v>
      </c>
      <c r="E154" s="14" t="n"/>
      <c r="F154" s="4" t="n">
        <v>163700</v>
      </c>
      <c r="G154" s="4" t="n">
        <v>7706031024</v>
      </c>
      <c r="H154" s="4" t="n">
        <v>130200</v>
      </c>
      <c r="I154" s="4" t="n">
        <v>4107412004</v>
      </c>
      <c r="J154" s="4" t="n">
        <v>32600</v>
      </c>
      <c r="K154" s="4" t="n">
        <v>2272318410</v>
      </c>
      <c r="L154" s="4" t="n">
        <v>93100</v>
      </c>
      <c r="M154" s="4" t="n">
        <v>1793300377</v>
      </c>
      <c r="N154" s="4" t="n">
        <v>195000</v>
      </c>
      <c r="O154" s="4" t="n">
        <v>591611334</v>
      </c>
      <c r="Q154" s="17" t="n"/>
      <c r="R154" s="3">
        <f>G154*F154-G155*F155</f>
        <v/>
      </c>
      <c r="S154" s="3">
        <f>I154*H154-I155*H155</f>
        <v/>
      </c>
      <c r="T154" s="3">
        <f>K154*J154-K155*J155</f>
        <v/>
      </c>
      <c r="U154" s="3">
        <f>M154*L154-M155*L155</f>
        <v/>
      </c>
      <c r="V154" s="3">
        <f>O154*N154-O155*N155</f>
        <v/>
      </c>
      <c r="X154" s="2">
        <f>R154/10^9</f>
        <v/>
      </c>
      <c r="Y154" s="2">
        <f>S154/10^9</f>
        <v/>
      </c>
      <c r="Z154" s="2">
        <f>T154/10^9</f>
        <v/>
      </c>
      <c r="AA154" s="2">
        <f>U154/10^9</f>
        <v/>
      </c>
      <c r="AB154" s="2">
        <f>V154/10^9</f>
        <v/>
      </c>
      <c r="AC154" s="2" t="n"/>
      <c r="AD154" s="8">
        <f>X154/$C155*$B155</f>
        <v/>
      </c>
      <c r="AE154" s="8">
        <f>Y154/$C155*$B155</f>
        <v/>
      </c>
      <c r="AF154" s="8">
        <f>Z154/$C155*$B155</f>
        <v/>
      </c>
      <c r="AG154" s="8">
        <f>AA154/$C155*$B155</f>
        <v/>
      </c>
      <c r="AH154" s="11">
        <f>AB154/$C155*$B155</f>
        <v/>
      </c>
      <c r="AI154" s="8">
        <f>SUM(AD154:AG154)</f>
        <v/>
      </c>
      <c r="AJ154" s="9">
        <f>AI154+AJ155</f>
        <v/>
      </c>
      <c r="AL154" s="7">
        <f>B154-AJ154</f>
        <v/>
      </c>
      <c r="AM154" s="42">
        <f>_xlfn.STDEV.S(AL154:AL173)</f>
        <v/>
      </c>
    </row>
    <row r="155" ht="16" customHeight="1">
      <c r="A155" s="10" t="n">
        <v>46031</v>
      </c>
      <c r="B155" s="20" t="n">
        <v>1867.9</v>
      </c>
      <c r="C155" s="18" t="n">
        <v>8742429.379973412</v>
      </c>
      <c r="E155" s="14" t="n"/>
      <c r="F155" s="4" t="n">
        <v>176000</v>
      </c>
      <c r="G155" s="4" t="n">
        <v>7706031024</v>
      </c>
      <c r="H155" s="4" t="n">
        <v>140000</v>
      </c>
      <c r="I155" s="4" t="n">
        <v>4107412004</v>
      </c>
      <c r="J155" s="4" t="n">
        <v>35000</v>
      </c>
      <c r="K155" s="4" t="n">
        <v>2272318410</v>
      </c>
      <c r="L155" s="4" t="n">
        <v>93100</v>
      </c>
      <c r="M155" s="4" t="n">
        <v>1793300377</v>
      </c>
      <c r="N155" s="4" t="n">
        <v>198700</v>
      </c>
      <c r="O155" s="4" t="n">
        <v>591611334</v>
      </c>
      <c r="Q155" s="17" t="n"/>
      <c r="R155" s="3">
        <f>G155*F155-G156*F156</f>
        <v/>
      </c>
      <c r="S155" s="3">
        <f>I155*H155-I156*H156</f>
        <v/>
      </c>
      <c r="T155" s="3">
        <f>K155*J155-K156*J156</f>
        <v/>
      </c>
      <c r="U155" s="3">
        <f>M155*L155-M156*L156</f>
        <v/>
      </c>
      <c r="V155" s="3">
        <f>O155*N155-O156*N156</f>
        <v/>
      </c>
      <c r="X155" s="2">
        <f>R155/10^9</f>
        <v/>
      </c>
      <c r="Y155" s="2">
        <f>S155/10^9</f>
        <v/>
      </c>
      <c r="Z155" s="2">
        <f>T155/10^9</f>
        <v/>
      </c>
      <c r="AA155" s="2">
        <f>U155/10^9</f>
        <v/>
      </c>
      <c r="AB155" s="2">
        <f>V155/10^9</f>
        <v/>
      </c>
      <c r="AC155" s="2" t="n"/>
      <c r="AD155" s="8">
        <f>X155/$C156*$B156</f>
        <v/>
      </c>
      <c r="AE155" s="8">
        <f>Y155/$C156*$B156</f>
        <v/>
      </c>
      <c r="AF155" s="8">
        <f>Z155/$C156*$B156</f>
        <v/>
      </c>
      <c r="AG155" s="8">
        <f>AA155/$C156*$B156</f>
        <v/>
      </c>
      <c r="AH155" s="11">
        <f>AB155/$C156*$B156</f>
        <v/>
      </c>
      <c r="AI155" s="8">
        <f>SUM(AD155:AG155)</f>
        <v/>
      </c>
      <c r="AJ155" s="9">
        <f>AI155+AJ156</f>
        <v/>
      </c>
      <c r="AL155" s="7">
        <f>B155-AJ155</f>
        <v/>
      </c>
      <c r="AM155" s="42">
        <f>_xlfn.STDEV.S(AL155:AL174)</f>
        <v/>
      </c>
    </row>
    <row r="156" ht="16" customHeight="1">
      <c r="A156" s="10" t="n">
        <v>46030</v>
      </c>
      <c r="B156" s="20" t="n">
        <v>1855.56</v>
      </c>
      <c r="C156" s="18" t="n">
        <v>8682135.08469056</v>
      </c>
      <c r="E156" s="14" t="n"/>
      <c r="F156" s="4" t="n">
        <v>176600</v>
      </c>
      <c r="G156" s="4" t="n">
        <v>7706031024</v>
      </c>
      <c r="H156" s="4" t="n">
        <v>139100</v>
      </c>
      <c r="I156" s="4" t="n">
        <v>4107412004</v>
      </c>
      <c r="J156" s="4" t="n">
        <v>35900</v>
      </c>
      <c r="K156" s="4" t="n">
        <v>2272318410</v>
      </c>
      <c r="L156" s="4" t="n">
        <v>94100</v>
      </c>
      <c r="M156" s="4" t="n">
        <v>1793300377</v>
      </c>
      <c r="N156" s="4" t="n">
        <v>203000</v>
      </c>
      <c r="O156" s="4" t="n">
        <v>591611334</v>
      </c>
      <c r="Q156" s="17" t="n"/>
      <c r="R156" s="3">
        <f>G156*F156-G157*F157</f>
        <v/>
      </c>
      <c r="S156" s="3">
        <f>I156*H156-I157*H157</f>
        <v/>
      </c>
      <c r="T156" s="3">
        <f>K156*J156-K157*J157</f>
        <v/>
      </c>
      <c r="U156" s="3">
        <f>M156*L156-M157*L157</f>
        <v/>
      </c>
      <c r="V156" s="3">
        <f>O156*N156-O157*N157</f>
        <v/>
      </c>
      <c r="X156" s="2">
        <f>R156/10^9</f>
        <v/>
      </c>
      <c r="Y156" s="2">
        <f>S156/10^9</f>
        <v/>
      </c>
      <c r="Z156" s="2">
        <f>T156/10^9</f>
        <v/>
      </c>
      <c r="AA156" s="2">
        <f>U156/10^9</f>
        <v/>
      </c>
      <c r="AB156" s="2">
        <f>V156/10^9</f>
        <v/>
      </c>
      <c r="AC156" s="2" t="n"/>
      <c r="AD156" s="8">
        <f>X156/$C157*$B157</f>
        <v/>
      </c>
      <c r="AE156" s="8">
        <f>Y156/$C157*$B157</f>
        <v/>
      </c>
      <c r="AF156" s="8">
        <f>Z156/$C157*$B157</f>
        <v/>
      </c>
      <c r="AG156" s="8">
        <f>AA156/$C157*$B157</f>
        <v/>
      </c>
      <c r="AH156" s="11">
        <f>AB156/$C157*$B157</f>
        <v/>
      </c>
      <c r="AI156" s="8">
        <f>SUM(AD156:AG156)</f>
        <v/>
      </c>
      <c r="AJ156" s="9">
        <f>AI156+AJ157</f>
        <v/>
      </c>
      <c r="AL156" s="7">
        <f>B156-AJ156</f>
        <v/>
      </c>
      <c r="AM156" s="42">
        <f>_xlfn.STDEV.S(AL156:AL175)</f>
        <v/>
      </c>
    </row>
    <row r="157" ht="16" customHeight="1">
      <c r="A157" s="10" t="n">
        <v>46029</v>
      </c>
      <c r="B157" s="20" t="n">
        <v>1861.58</v>
      </c>
      <c r="C157" s="18" t="n">
        <v>8710123.41843175</v>
      </c>
      <c r="E157" s="14" t="n"/>
      <c r="F157" s="4" t="n">
        <v>179000</v>
      </c>
      <c r="G157" s="4" t="n">
        <v>7706031024</v>
      </c>
      <c r="H157" s="4" t="n">
        <v>149500</v>
      </c>
      <c r="I157" s="4" t="n">
        <v>4107412004</v>
      </c>
      <c r="J157" s="4" t="n">
        <v>38550</v>
      </c>
      <c r="K157" s="4" t="n">
        <v>2272318410</v>
      </c>
      <c r="L157" s="4" t="n">
        <v>100500</v>
      </c>
      <c r="M157" s="4" t="n">
        <v>1793300377</v>
      </c>
      <c r="N157" s="4" t="n">
        <v>209600</v>
      </c>
      <c r="O157" s="4" t="n">
        <v>591611334</v>
      </c>
      <c r="Q157" s="17" t="n"/>
      <c r="R157" s="3">
        <f>G157*F157-G158*F158</f>
        <v/>
      </c>
      <c r="S157" s="3">
        <f>I157*H157-I158*H158</f>
        <v/>
      </c>
      <c r="T157" s="3">
        <f>K157*J157-K158*J158</f>
        <v/>
      </c>
      <c r="U157" s="3">
        <f>M157*L157-M158*L158</f>
        <v/>
      </c>
      <c r="V157" s="3">
        <f>O157*N157-O158*N158</f>
        <v/>
      </c>
      <c r="X157" s="2">
        <f>R157/10^9</f>
        <v/>
      </c>
      <c r="Y157" s="2">
        <f>S157/10^9</f>
        <v/>
      </c>
      <c r="Z157" s="2">
        <f>T157/10^9</f>
        <v/>
      </c>
      <c r="AA157" s="2">
        <f>U157/10^9</f>
        <v/>
      </c>
      <c r="AB157" s="2">
        <f>V157/10^9</f>
        <v/>
      </c>
      <c r="AC157" s="2" t="n"/>
      <c r="AD157" s="8">
        <f>X157/$C158*$B158</f>
        <v/>
      </c>
      <c r="AE157" s="8">
        <f>Y157/$C158*$B158</f>
        <v/>
      </c>
      <c r="AF157" s="8">
        <f>Z157/$C158*$B158</f>
        <v/>
      </c>
      <c r="AG157" s="8">
        <f>AA157/$C158*$B158</f>
        <v/>
      </c>
      <c r="AH157" s="11">
        <f>AB157/$C158*$B158</f>
        <v/>
      </c>
      <c r="AI157" s="8">
        <f>SUM(AD157:AG157)</f>
        <v/>
      </c>
      <c r="AJ157" s="9">
        <f>AI157+AJ158</f>
        <v/>
      </c>
      <c r="AL157" s="7">
        <f>B157-AJ157</f>
        <v/>
      </c>
      <c r="AM157" s="42">
        <f>_xlfn.STDEV.S(AL157:AL176)</f>
        <v/>
      </c>
    </row>
    <row r="158" ht="16" customHeight="1">
      <c r="A158" s="10" t="n">
        <v>46028</v>
      </c>
      <c r="B158" s="20" t="n">
        <v>1816.27</v>
      </c>
      <c r="C158" s="18" t="n">
        <v>8497945.760903019</v>
      </c>
      <c r="E158" s="14" t="n"/>
      <c r="F158" s="4" t="n">
        <v>173100</v>
      </c>
      <c r="G158" s="4" t="n">
        <v>7706031024</v>
      </c>
      <c r="H158" s="4" t="n">
        <v>141800</v>
      </c>
      <c r="I158" s="4" t="n">
        <v>4107412004</v>
      </c>
      <c r="J158" s="4" t="n">
        <v>38050</v>
      </c>
      <c r="K158" s="4" t="n">
        <v>2272318410</v>
      </c>
      <c r="L158" s="4" t="n">
        <v>102900</v>
      </c>
      <c r="M158" s="4" t="n">
        <v>1793300377</v>
      </c>
      <c r="N158" s="4" t="n">
        <v>212200</v>
      </c>
      <c r="O158" s="4" t="n">
        <v>591611334</v>
      </c>
      <c r="Q158" s="17" t="n"/>
      <c r="R158" s="3">
        <f>G158*F158-G159*F159</f>
        <v/>
      </c>
      <c r="S158" s="3">
        <f>I158*H158-I159*H159</f>
        <v/>
      </c>
      <c r="T158" s="3">
        <f>K158*J158-K159*J159</f>
        <v/>
      </c>
      <c r="U158" s="3">
        <f>M158*L158-M159*L159</f>
        <v/>
      </c>
      <c r="V158" s="3">
        <f>O158*N158-O159*N159</f>
        <v/>
      </c>
      <c r="X158" s="2">
        <f>R158/10^9</f>
        <v/>
      </c>
      <c r="Y158" s="2">
        <f>S158/10^9</f>
        <v/>
      </c>
      <c r="Z158" s="2">
        <f>T158/10^9</f>
        <v/>
      </c>
      <c r="AA158" s="2">
        <f>U158/10^9</f>
        <v/>
      </c>
      <c r="AB158" s="2">
        <f>V158/10^9</f>
        <v/>
      </c>
      <c r="AC158" s="2" t="n"/>
      <c r="AD158" s="8">
        <f>X158/$C159*$B159</f>
        <v/>
      </c>
      <c r="AE158" s="8">
        <f>Y158/$C159*$B159</f>
        <v/>
      </c>
      <c r="AF158" s="8">
        <f>Z158/$C159*$B159</f>
        <v/>
      </c>
      <c r="AG158" s="8">
        <f>AA158/$C159*$B159</f>
        <v/>
      </c>
      <c r="AH158" s="11">
        <f>AB158/$C159*$B159</f>
        <v/>
      </c>
      <c r="AI158" s="8">
        <f>SUM(AD158:AG158)</f>
        <v/>
      </c>
      <c r="AJ158" s="9">
        <f>AI158+AJ159</f>
        <v/>
      </c>
      <c r="AL158" s="7">
        <f>B158-AJ158</f>
        <v/>
      </c>
      <c r="AM158" s="42">
        <f>_xlfn.STDEV.S(AL158:AL177)</f>
        <v/>
      </c>
    </row>
    <row r="159" ht="16" customHeight="1">
      <c r="A159" s="10" t="n">
        <v>46027</v>
      </c>
      <c r="B159" s="20" t="n">
        <v>1788.4</v>
      </c>
      <c r="C159" s="18" t="n">
        <v>8365478.40018588</v>
      </c>
      <c r="E159" s="14" t="n"/>
      <c r="F159" s="4" t="n">
        <v>173100</v>
      </c>
      <c r="G159" s="4" t="n">
        <v>7706031024</v>
      </c>
      <c r="H159" s="4" t="n">
        <v>132600</v>
      </c>
      <c r="I159" s="4" t="n">
        <v>4107412004</v>
      </c>
      <c r="J159" s="4" t="n">
        <v>35600</v>
      </c>
      <c r="K159" s="4" t="n">
        <v>2272318410</v>
      </c>
      <c r="L159" s="4" t="n">
        <v>100000</v>
      </c>
      <c r="M159" s="4" t="n">
        <v>1793300377</v>
      </c>
      <c r="N159" s="4" t="n">
        <v>207500</v>
      </c>
      <c r="O159" s="4" t="n">
        <v>591611334</v>
      </c>
      <c r="Q159" s="17" t="n"/>
      <c r="R159" s="3">
        <f>G159*F159-G160*F160</f>
        <v/>
      </c>
      <c r="S159" s="3">
        <f>I159*H159-I160*H160</f>
        <v/>
      </c>
      <c r="T159" s="3">
        <f>K159*J159-K160*J160</f>
        <v/>
      </c>
      <c r="U159" s="3">
        <f>M159*L159-M160*L160</f>
        <v/>
      </c>
      <c r="V159" s="3">
        <f>O159*N159-O160*N160</f>
        <v/>
      </c>
      <c r="X159" s="2">
        <f>R159/10^9</f>
        <v/>
      </c>
      <c r="Y159" s="2">
        <f>S159/10^9</f>
        <v/>
      </c>
      <c r="Z159" s="2">
        <f>T159/10^9</f>
        <v/>
      </c>
      <c r="AA159" s="2">
        <f>U159/10^9</f>
        <v/>
      </c>
      <c r="AB159" s="2">
        <f>V159/10^9</f>
        <v/>
      </c>
      <c r="AC159" s="2" t="n"/>
      <c r="AD159" s="8">
        <f>X159/$C160*$B160</f>
        <v/>
      </c>
      <c r="AE159" s="8">
        <f>Y159/$C160*$B160</f>
        <v/>
      </c>
      <c r="AF159" s="8">
        <f>Z159/$C160*$B160</f>
        <v/>
      </c>
      <c r="AG159" s="8">
        <f>AA159/$C160*$B160</f>
        <v/>
      </c>
      <c r="AH159" s="11">
        <f>AB159/$C160*$B160</f>
        <v/>
      </c>
      <c r="AI159" s="8">
        <f>SUM(AD159:AG159)</f>
        <v/>
      </c>
      <c r="AJ159" s="9">
        <f>AI159+AJ160</f>
        <v/>
      </c>
      <c r="AL159" s="7">
        <f>B159-AJ159</f>
        <v/>
      </c>
      <c r="AM159" s="42">
        <f>_xlfn.STDEV.S(AL159:AL178)</f>
        <v/>
      </c>
    </row>
    <row r="160" ht="16" customHeight="1">
      <c r="A160" s="1" t="n">
        <v>46022</v>
      </c>
      <c r="B160" s="20" t="n">
        <v>1784.49</v>
      </c>
      <c r="C160" s="19" t="n">
        <v>8341757.261007281</v>
      </c>
      <c r="E160" s="1" t="n">
        <v>46022</v>
      </c>
      <c r="F160" s="4" t="n">
        <v>169600</v>
      </c>
      <c r="G160" s="4" t="n">
        <v>7706031024</v>
      </c>
      <c r="H160" s="4" t="n">
        <v>124000</v>
      </c>
      <c r="I160" s="4" t="n">
        <v>4107412004</v>
      </c>
      <c r="J160" s="4" t="n">
        <v>33650</v>
      </c>
      <c r="K160" s="4" t="n">
        <v>2272318410</v>
      </c>
      <c r="L160" s="4" t="n">
        <v>94200</v>
      </c>
      <c r="M160" s="4" t="n">
        <v>1793300377</v>
      </c>
      <c r="N160" s="4" t="n">
        <v>209000</v>
      </c>
      <c r="O160" s="4" t="n">
        <v>591611334</v>
      </c>
      <c r="Q160" s="12" t="n"/>
      <c r="R160" s="3">
        <f>G160*F160-G161*F161</f>
        <v/>
      </c>
      <c r="S160" s="3">
        <f>I160*H160-I161*H161</f>
        <v/>
      </c>
      <c r="T160" s="3">
        <f>K160*J160-K161*J161</f>
        <v/>
      </c>
      <c r="U160" s="3">
        <f>M160*L160-M161*L161</f>
        <v/>
      </c>
      <c r="V160" s="3">
        <f>O160*N160-O161*N161</f>
        <v/>
      </c>
      <c r="X160" s="2">
        <f>R160/10^9</f>
        <v/>
      </c>
      <c r="Y160" s="2">
        <f>S160/10^9</f>
        <v/>
      </c>
      <c r="Z160" s="2">
        <f>T160/10^9</f>
        <v/>
      </c>
      <c r="AA160" s="2">
        <f>U160/10^9</f>
        <v/>
      </c>
      <c r="AB160" s="2">
        <f>V160/10^9</f>
        <v/>
      </c>
      <c r="AC160" s="2" t="n"/>
      <c r="AD160" s="8">
        <f>X160/$C161*$B161</f>
        <v/>
      </c>
      <c r="AE160" s="8">
        <f>Y160/$C161*$B161</f>
        <v/>
      </c>
      <c r="AF160" s="8">
        <f>Z160/$C161*$B161</f>
        <v/>
      </c>
      <c r="AG160" s="8">
        <f>AA160/$C161*$B161</f>
        <v/>
      </c>
      <c r="AH160" s="11">
        <f>AB160/$C161*$B161</f>
        <v/>
      </c>
      <c r="AI160" s="8">
        <f>SUM(AD160:AG160)</f>
        <v/>
      </c>
      <c r="AJ160" s="9">
        <f>AI160+AJ161</f>
        <v/>
      </c>
      <c r="AK160" s="16" t="n"/>
      <c r="AL160" s="7">
        <f>B160-AJ160</f>
        <v/>
      </c>
      <c r="AM160" s="42">
        <f>_xlfn.STDEV.S(AL160:AL179)</f>
        <v/>
      </c>
      <c r="AO160" s="7" t="n"/>
      <c r="AP160" s="7" t="n"/>
    </row>
    <row r="161" ht="16" customHeight="1">
      <c r="A161" s="1" t="n">
        <v>46021</v>
      </c>
      <c r="B161" s="7" t="n">
        <v>1766.9</v>
      </c>
      <c r="C161" s="19" t="n">
        <v>8259675</v>
      </c>
      <c r="E161" s="1" t="n">
        <v>46011</v>
      </c>
      <c r="F161" s="4" t="n">
        <v>163000</v>
      </c>
      <c r="G161" s="4" t="n">
        <v>7706031024</v>
      </c>
      <c r="H161" s="4" t="n">
        <v>117500</v>
      </c>
      <c r="I161" s="4" t="n">
        <v>4107412004</v>
      </c>
      <c r="J161" s="4" t="n">
        <v>32800</v>
      </c>
      <c r="K161" s="4" t="n">
        <v>2272318410</v>
      </c>
      <c r="L161" s="4" t="n">
        <v>91000</v>
      </c>
      <c r="M161" s="4" t="n">
        <v>1793300377</v>
      </c>
      <c r="N161" s="4" t="n">
        <v>205400</v>
      </c>
      <c r="O161" s="4" t="n">
        <v>591611334</v>
      </c>
      <c r="Q161" s="12" t="n"/>
      <c r="R161" s="3">
        <f>G161*F161-G162*F162</f>
        <v/>
      </c>
      <c r="S161" s="3">
        <f>I161*H161-I162*H162</f>
        <v/>
      </c>
      <c r="T161" s="3">
        <f>K161*J161-K162*J162</f>
        <v/>
      </c>
      <c r="U161" s="3">
        <f>M161*L161-M162*L162</f>
        <v/>
      </c>
      <c r="V161" s="3">
        <f>O161*N161-O162*N162</f>
        <v/>
      </c>
      <c r="X161" s="2">
        <f>R161/10^9</f>
        <v/>
      </c>
      <c r="Y161" s="2">
        <f>S161/10^9</f>
        <v/>
      </c>
      <c r="Z161" s="2">
        <f>T161/10^9</f>
        <v/>
      </c>
      <c r="AA161" s="2">
        <f>U161/10^9</f>
        <v/>
      </c>
      <c r="AB161" s="2">
        <f>V161/10^9</f>
        <v/>
      </c>
      <c r="AC161" s="2" t="n"/>
      <c r="AD161" s="8">
        <f>X161/$C162*$B162</f>
        <v/>
      </c>
      <c r="AE161" s="8">
        <f>Y161/$C162*$B162</f>
        <v/>
      </c>
      <c r="AF161" s="8">
        <f>Z161/$C162*$B162</f>
        <v/>
      </c>
      <c r="AG161" s="8">
        <f>AA161/$C162*$B162</f>
        <v/>
      </c>
      <c r="AH161" s="11">
        <f>AB161/$C162*$B162</f>
        <v/>
      </c>
      <c r="AI161" s="8">
        <f>SUM(AD161:AG161)</f>
        <v/>
      </c>
      <c r="AJ161" s="9">
        <f>AI161+AJ162</f>
        <v/>
      </c>
      <c r="AK161" s="16" t="n"/>
      <c r="AL161" s="7">
        <f>B161-AJ161</f>
        <v/>
      </c>
      <c r="AM161" s="42">
        <f>_xlfn.STDEV.S(AL161:AL180)</f>
        <v/>
      </c>
    </row>
    <row r="162" ht="16" customHeight="1">
      <c r="A162" s="1" t="n">
        <v>46020</v>
      </c>
      <c r="B162" s="7" t="n">
        <v>1754.84</v>
      </c>
      <c r="C162" s="19" t="n">
        <v>8203331</v>
      </c>
      <c r="E162" s="1" t="n">
        <v>46020</v>
      </c>
      <c r="F162" s="4" t="n">
        <v>159700</v>
      </c>
      <c r="G162" s="4" t="n">
        <v>7706031024</v>
      </c>
      <c r="H162" s="4" t="n">
        <v>117700</v>
      </c>
      <c r="I162" s="4" t="n">
        <v>4107412004</v>
      </c>
      <c r="J162" s="4" t="n">
        <v>33200</v>
      </c>
      <c r="K162" s="4" t="n">
        <v>2272318410</v>
      </c>
      <c r="L162" s="4" t="n">
        <v>94000</v>
      </c>
      <c r="M162" s="4" t="n">
        <v>1793300377</v>
      </c>
      <c r="N162" s="4" t="n">
        <v>208200</v>
      </c>
      <c r="O162" s="4" t="n">
        <v>591611334</v>
      </c>
      <c r="Q162" s="12" t="n"/>
      <c r="R162" s="3">
        <f>G162*F162-G163*F163</f>
        <v/>
      </c>
      <c r="S162" s="3">
        <f>I162*H162-I163*H163</f>
        <v/>
      </c>
      <c r="T162" s="3">
        <f>K162*J162-K163*J163</f>
        <v/>
      </c>
      <c r="U162" s="3">
        <f>M162*L162-M163*L163</f>
        <v/>
      </c>
      <c r="V162" s="3">
        <f>O162*N162-O163*N163</f>
        <v/>
      </c>
      <c r="X162" s="2">
        <f>R162/10^9</f>
        <v/>
      </c>
      <c r="Y162" s="2">
        <f>S162/10^9</f>
        <v/>
      </c>
      <c r="Z162" s="2">
        <f>T162/10^9</f>
        <v/>
      </c>
      <c r="AA162" s="2">
        <f>U162/10^9</f>
        <v/>
      </c>
      <c r="AB162" s="2">
        <f>V162/10^9</f>
        <v/>
      </c>
      <c r="AC162" s="2" t="n"/>
      <c r="AD162" s="8">
        <f>X162/$C163*$B163</f>
        <v/>
      </c>
      <c r="AE162" s="8">
        <f>Y162/$C163*$B163</f>
        <v/>
      </c>
      <c r="AF162" s="8">
        <f>Z162/$C163*$B163</f>
        <v/>
      </c>
      <c r="AG162" s="8">
        <f>AA162/$C163*$B163</f>
        <v/>
      </c>
      <c r="AH162" s="11">
        <f>AB162/$C163*$B163</f>
        <v/>
      </c>
      <c r="AI162" s="8">
        <f>SUM(AD162:AG162)</f>
        <v/>
      </c>
      <c r="AJ162" s="9">
        <f>AI162+AJ163</f>
        <v/>
      </c>
      <c r="AK162" s="16" t="n"/>
      <c r="AL162" s="7">
        <f>B162-AJ162</f>
        <v/>
      </c>
      <c r="AM162" s="42">
        <f>_xlfn.STDEV.S(AL162:AL181)</f>
        <v/>
      </c>
    </row>
    <row r="163" ht="16" customHeight="1">
      <c r="A163" s="1" t="n">
        <v>46017</v>
      </c>
      <c r="B163" s="7" t="n">
        <v>1729.8</v>
      </c>
      <c r="C163" s="19" t="n">
        <v>8086725</v>
      </c>
      <c r="E163" s="1" t="n">
        <v>46017</v>
      </c>
      <c r="F163" s="4" t="n">
        <v>155000</v>
      </c>
      <c r="G163" s="4" t="n">
        <v>7706031024</v>
      </c>
      <c r="H163" s="4" t="n">
        <v>110000</v>
      </c>
      <c r="I163" s="4" t="n">
        <v>4107412004</v>
      </c>
      <c r="J163" s="4" t="n">
        <v>32000</v>
      </c>
      <c r="K163" s="4" t="n">
        <v>2272318410</v>
      </c>
      <c r="L163" s="4" t="n">
        <v>92100</v>
      </c>
      <c r="M163" s="4" t="n">
        <v>1793300377</v>
      </c>
      <c r="N163" s="4" t="n">
        <v>207900</v>
      </c>
      <c r="O163" s="4" t="n">
        <v>591611334</v>
      </c>
      <c r="Q163" s="12" t="n"/>
      <c r="R163" s="3">
        <f>G163*F163-G164*F164</f>
        <v/>
      </c>
      <c r="S163" s="3">
        <f>I163*H163-I164*H164</f>
        <v/>
      </c>
      <c r="T163" s="3">
        <f>K163*J163-K164*J164</f>
        <v/>
      </c>
      <c r="U163" s="3">
        <f>M163*L163-M164*L164</f>
        <v/>
      </c>
      <c r="V163" s="3">
        <f>O163*N163-O164*N164</f>
        <v/>
      </c>
      <c r="X163" s="2">
        <f>R163/10^9</f>
        <v/>
      </c>
      <c r="Y163" s="2">
        <f>S163/10^9</f>
        <v/>
      </c>
      <c r="Z163" s="2">
        <f>T163/10^9</f>
        <v/>
      </c>
      <c r="AA163" s="2">
        <f>U163/10^9</f>
        <v/>
      </c>
      <c r="AB163" s="2">
        <f>V163/10^9</f>
        <v/>
      </c>
      <c r="AC163" s="2" t="n"/>
      <c r="AD163" s="8">
        <f>X163/$C164*$B164</f>
        <v/>
      </c>
      <c r="AE163" s="8">
        <f>Y163/$C164*$B164</f>
        <v/>
      </c>
      <c r="AF163" s="8">
        <f>Z163/$C164*$B164</f>
        <v/>
      </c>
      <c r="AG163" s="8">
        <f>AA163/$C164*$B164</f>
        <v/>
      </c>
      <c r="AH163" s="11">
        <f>AB163/$C164*$B164</f>
        <v/>
      </c>
      <c r="AI163" s="8">
        <f>SUM(AD163:AG163)</f>
        <v/>
      </c>
      <c r="AJ163" s="9">
        <f>AI163+AJ164</f>
        <v/>
      </c>
      <c r="AK163" s="16" t="n"/>
      <c r="AL163" s="7">
        <f>B163-AJ163</f>
        <v/>
      </c>
      <c r="AM163" s="42">
        <f>_xlfn.STDEV.S(AL163:AL182)</f>
        <v/>
      </c>
    </row>
    <row r="164">
      <c r="A164" s="1" t="n">
        <v>46016</v>
      </c>
      <c r="B164" s="7" t="n">
        <v>1742.85</v>
      </c>
      <c r="C164" s="19" t="n">
        <v>8147425</v>
      </c>
      <c r="E164" s="1" t="n">
        <v>46016</v>
      </c>
      <c r="F164" s="4" t="n">
        <v>158000</v>
      </c>
      <c r="G164" s="4" t="n">
        <v>7706031024</v>
      </c>
      <c r="H164" s="4" t="n">
        <v>114300</v>
      </c>
      <c r="I164" s="4" t="n">
        <v>4107412004</v>
      </c>
      <c r="J164" s="4" t="n">
        <v>32250</v>
      </c>
      <c r="K164" s="4" t="n">
        <v>2272318410</v>
      </c>
      <c r="L164" s="4" t="n">
        <v>99000</v>
      </c>
      <c r="M164" s="4" t="n">
        <v>1793300377</v>
      </c>
      <c r="N164" s="4" t="n">
        <v>212000</v>
      </c>
      <c r="O164" s="4" t="n">
        <v>591611334</v>
      </c>
      <c r="Q164" s="12" t="n"/>
      <c r="R164" s="3">
        <f>G164*F164-G165*F165</f>
        <v/>
      </c>
      <c r="S164" s="3">
        <f>I164*H164-I165*H165</f>
        <v/>
      </c>
      <c r="T164" s="3">
        <f>K164*J164-K165*J165</f>
        <v/>
      </c>
      <c r="U164" s="3">
        <f>M164*L164-M165*L165</f>
        <v/>
      </c>
      <c r="V164" s="3">
        <f>O164*N164-O165*N165</f>
        <v/>
      </c>
      <c r="X164" s="2">
        <f>R164/10^9</f>
        <v/>
      </c>
      <c r="Y164" s="2">
        <f>S164/10^9</f>
        <v/>
      </c>
      <c r="Z164" s="2">
        <f>T164/10^9</f>
        <v/>
      </c>
      <c r="AA164" s="2">
        <f>U164/10^9</f>
        <v/>
      </c>
      <c r="AB164" s="2">
        <f>V164/10^9</f>
        <v/>
      </c>
      <c r="AC164" s="2" t="n"/>
      <c r="AD164" s="8">
        <f>X164/$C165*$B165</f>
        <v/>
      </c>
      <c r="AE164" s="8">
        <f>Y164/$C165*$B165</f>
        <v/>
      </c>
      <c r="AF164" s="8">
        <f>Z164/$C165*$B165</f>
        <v/>
      </c>
      <c r="AG164" s="8">
        <f>AA164/$C165*$B165</f>
        <v/>
      </c>
      <c r="AH164" s="11">
        <f>AB164/$C165*$B165</f>
        <v/>
      </c>
      <c r="AI164" s="8">
        <f>SUM(AD164:AG164)</f>
        <v/>
      </c>
      <c r="AJ164" s="9">
        <f>AI164+AJ165</f>
        <v/>
      </c>
      <c r="AK164" s="16" t="n"/>
      <c r="AL164" s="7">
        <f>B164-AJ164</f>
        <v/>
      </c>
      <c r="AM164" s="42">
        <f>_xlfn.STDEV.S(AL164:AL183)</f>
        <v/>
      </c>
    </row>
    <row r="165">
      <c r="A165" s="1" t="n">
        <v>46015</v>
      </c>
      <c r="B165" s="7" t="n">
        <v>1782.82</v>
      </c>
      <c r="C165" s="19" t="n">
        <v>8091453</v>
      </c>
      <c r="E165" s="1" t="n">
        <v>46015</v>
      </c>
      <c r="F165" s="4" t="n">
        <v>169800</v>
      </c>
      <c r="G165" s="4" t="n">
        <v>7706031024</v>
      </c>
      <c r="H165" s="4" t="n">
        <v>122800</v>
      </c>
      <c r="I165" s="4" t="n">
        <v>4107412004</v>
      </c>
      <c r="J165" s="4" t="n">
        <v>34650</v>
      </c>
      <c r="K165" s="4" t="n">
        <v>2272318410</v>
      </c>
      <c r="L165" s="4" t="n">
        <v>102000</v>
      </c>
      <c r="M165" s="4" t="n">
        <v>1793300377</v>
      </c>
      <c r="N165" s="4" t="n">
        <v>199000</v>
      </c>
      <c r="O165" s="4" t="n">
        <v>591611334</v>
      </c>
      <c r="Q165" s="12" t="n"/>
      <c r="R165" s="3">
        <f>G165*F165-G166*F166</f>
        <v/>
      </c>
      <c r="S165" s="3">
        <f>I165*H165-I166*H166</f>
        <v/>
      </c>
      <c r="T165" s="3">
        <f>K165*J165-K166*J166</f>
        <v/>
      </c>
      <c r="U165" s="3">
        <f>M165*L165-M166*L166</f>
        <v/>
      </c>
      <c r="V165" s="3">
        <f>O165*N165-O166*N166</f>
        <v/>
      </c>
      <c r="X165" s="2">
        <f>R165/10^9</f>
        <v/>
      </c>
      <c r="Y165" s="2">
        <f>S165/10^9</f>
        <v/>
      </c>
      <c r="Z165" s="2">
        <f>T165/10^9</f>
        <v/>
      </c>
      <c r="AA165" s="2">
        <f>U165/10^9</f>
        <v/>
      </c>
      <c r="AB165" s="2">
        <f>V165/10^9</f>
        <v/>
      </c>
      <c r="AC165" s="2" t="n"/>
      <c r="AD165" s="8">
        <f>X165/$C166*$B166</f>
        <v/>
      </c>
      <c r="AE165" s="8">
        <f>Y165/$C166*$B166</f>
        <v/>
      </c>
      <c r="AF165" s="8">
        <f>Z165/$C166*$B166</f>
        <v/>
      </c>
      <c r="AG165" s="8">
        <f>AA165/$C166*$B166</f>
        <v/>
      </c>
      <c r="AH165" s="11">
        <f>AB165/$C166*$B166</f>
        <v/>
      </c>
      <c r="AI165" s="8">
        <f>SUM(AD165:AG165)</f>
        <v/>
      </c>
      <c r="AJ165" s="9">
        <f>AI165+AJ166</f>
        <v/>
      </c>
      <c r="AL165" s="7">
        <f>B165-AJ165</f>
        <v/>
      </c>
      <c r="AM165" s="42">
        <f>_xlfn.STDEV.S(AL165:AL184)</f>
        <v/>
      </c>
    </row>
    <row r="166">
      <c r="A166" s="1" t="n">
        <v>46014</v>
      </c>
      <c r="B166" s="7" t="n">
        <v>1772.15</v>
      </c>
      <c r="C166" s="19" t="n">
        <v>8042522</v>
      </c>
      <c r="E166" s="1" t="n">
        <v>46014</v>
      </c>
      <c r="F166" s="4" t="n">
        <v>169900</v>
      </c>
      <c r="G166" s="4" t="n">
        <v>7706031024</v>
      </c>
      <c r="H166" s="4" t="n">
        <v>114900</v>
      </c>
      <c r="I166" s="4" t="n">
        <v>4107412004</v>
      </c>
      <c r="J166" s="4" t="n">
        <v>34250</v>
      </c>
      <c r="K166" s="4" t="n">
        <v>2272318410</v>
      </c>
      <c r="L166" s="4" t="n">
        <v>103000</v>
      </c>
      <c r="M166" s="4" t="n">
        <v>1793300377</v>
      </c>
      <c r="N166" s="4" t="n">
        <v>206500</v>
      </c>
      <c r="O166" s="4" t="n">
        <v>591611334</v>
      </c>
      <c r="Q166" s="12" t="n"/>
      <c r="R166" s="3">
        <f>G166*F166-G167*F167</f>
        <v/>
      </c>
      <c r="S166" s="3">
        <f>I166*H166-I167*H167</f>
        <v/>
      </c>
      <c r="T166" s="3">
        <f>K166*J166-K167*J167</f>
        <v/>
      </c>
      <c r="U166" s="3">
        <f>M166*L166-M167*L167</f>
        <v/>
      </c>
      <c r="V166" s="3">
        <f>O166*N166-O167*N167</f>
        <v/>
      </c>
      <c r="X166" s="2">
        <f>R166/10^9</f>
        <v/>
      </c>
      <c r="Y166" s="2">
        <f>S166/10^9</f>
        <v/>
      </c>
      <c r="Z166" s="2">
        <f>T166/10^9</f>
        <v/>
      </c>
      <c r="AA166" s="2">
        <f>U166/10^9</f>
        <v/>
      </c>
      <c r="AB166" s="2">
        <f>V166/10^9</f>
        <v/>
      </c>
      <c r="AC166" s="2" t="n"/>
      <c r="AD166" s="8">
        <f>X166/$C167*$B167</f>
        <v/>
      </c>
      <c r="AE166" s="8">
        <f>Y166/$C167*$B167</f>
        <v/>
      </c>
      <c r="AF166" s="8">
        <f>Z166/$C167*$B167</f>
        <v/>
      </c>
      <c r="AG166" s="8">
        <f>AA166/$C167*$B167</f>
        <v/>
      </c>
      <c r="AH166" s="11">
        <f>AB166/$C167*$B167</f>
        <v/>
      </c>
      <c r="AI166" s="8">
        <f>SUM(AD166:AG166)</f>
        <v/>
      </c>
      <c r="AJ166" s="9">
        <f>AI166+AJ167</f>
        <v/>
      </c>
      <c r="AL166" s="7">
        <f>B166-AJ166</f>
        <v/>
      </c>
      <c r="AM166" s="42">
        <f>_xlfn.STDEV.S(AL166:AL185)</f>
        <v/>
      </c>
    </row>
    <row r="167">
      <c r="A167" s="1" t="n">
        <v>46013</v>
      </c>
      <c r="B167" s="7" t="n">
        <v>1751.03</v>
      </c>
      <c r="C167" s="19" t="n">
        <v>7947052</v>
      </c>
      <c r="E167" s="1" t="n">
        <v>46013</v>
      </c>
      <c r="F167" s="4" t="n">
        <v>158800</v>
      </c>
      <c r="G167" s="4" t="n">
        <v>7706031024</v>
      </c>
      <c r="H167" s="4" t="n">
        <v>107400</v>
      </c>
      <c r="I167" s="4" t="n">
        <v>4107412004</v>
      </c>
      <c r="J167" s="4" t="n">
        <v>33000</v>
      </c>
      <c r="K167" s="4" t="n">
        <v>2272318410</v>
      </c>
      <c r="L167" s="4" t="n">
        <v>98000</v>
      </c>
      <c r="M167" s="4" t="n">
        <v>1793300377</v>
      </c>
      <c r="N167" s="4" t="n">
        <v>206000</v>
      </c>
      <c r="O167" s="4" t="n">
        <v>591611334</v>
      </c>
      <c r="Q167" s="12" t="n"/>
      <c r="R167" s="3">
        <f>G167*F167-G168*F168</f>
        <v/>
      </c>
      <c r="S167" s="3">
        <f>I167*H167-I168*H168</f>
        <v/>
      </c>
      <c r="T167" s="3">
        <f>K167*J167-K168*J168</f>
        <v/>
      </c>
      <c r="U167" s="3">
        <f>M167*L167-M168*L168</f>
        <v/>
      </c>
      <c r="V167" s="3">
        <f>O167*N167-O168*N168</f>
        <v/>
      </c>
      <c r="X167" s="2">
        <f>R167/10^9</f>
        <v/>
      </c>
      <c r="Y167" s="2">
        <f>S167/10^9</f>
        <v/>
      </c>
      <c r="Z167" s="2">
        <f>T167/10^9</f>
        <v/>
      </c>
      <c r="AA167" s="2">
        <f>U167/10^9</f>
        <v/>
      </c>
      <c r="AB167" s="2">
        <f>V167/10^9</f>
        <v/>
      </c>
      <c r="AC167" s="2" t="n"/>
      <c r="AD167" s="8">
        <f>X167/$C168*$B168</f>
        <v/>
      </c>
      <c r="AE167" s="8">
        <f>Y167/$C168*$B168</f>
        <v/>
      </c>
      <c r="AF167" s="8">
        <f>Z167/$C168*$B168</f>
        <v/>
      </c>
      <c r="AG167" s="8">
        <f>AA167/$C168*$B168</f>
        <v/>
      </c>
      <c r="AH167" s="11">
        <f>AB167/$C168*$B168</f>
        <v/>
      </c>
      <c r="AI167" s="8">
        <f>SUM(AD167:AG167)</f>
        <v/>
      </c>
      <c r="AJ167" s="9">
        <f>AI167+AJ168</f>
        <v/>
      </c>
      <c r="AK167" s="16" t="n"/>
      <c r="AL167" s="7">
        <f>B167-AJ167</f>
        <v/>
      </c>
      <c r="AM167" s="42">
        <f>_xlfn.STDEV.S(AL167:AL186)</f>
        <v/>
      </c>
    </row>
    <row r="168">
      <c r="A168" s="1" t="n">
        <v>46010</v>
      </c>
      <c r="B168" s="7" t="n">
        <v>1704.31</v>
      </c>
      <c r="C168" s="19" t="n">
        <v>7735258</v>
      </c>
      <c r="E168" s="1" t="n">
        <v>46010</v>
      </c>
      <c r="F168" s="4" t="n">
        <v>148500</v>
      </c>
      <c r="G168" s="4" t="n">
        <v>7706031024</v>
      </c>
      <c r="H168" s="4" t="n">
        <v>101500</v>
      </c>
      <c r="I168" s="4" t="n">
        <v>4107412004</v>
      </c>
      <c r="J168" s="4" t="n">
        <v>31700</v>
      </c>
      <c r="K168" s="4" t="n">
        <v>2272318410</v>
      </c>
      <c r="L168" s="4" t="n">
        <v>93800</v>
      </c>
      <c r="M168" s="4" t="n">
        <v>1793300377</v>
      </c>
      <c r="N168" s="4" t="n">
        <v>199900</v>
      </c>
      <c r="O168" s="4" t="n">
        <v>591611334</v>
      </c>
      <c r="Q168" s="12" t="n"/>
      <c r="R168" s="3">
        <f>G168*F168-G169*F169</f>
        <v/>
      </c>
      <c r="S168" s="3">
        <f>I168*H168-I169*H169</f>
        <v/>
      </c>
      <c r="T168" s="3">
        <f>K168*J168-K169*J169</f>
        <v/>
      </c>
      <c r="U168" s="3">
        <f>M168*L168-M169*L169</f>
        <v/>
      </c>
      <c r="V168" s="3">
        <f>O168*N168-O169*N169</f>
        <v/>
      </c>
      <c r="X168" s="2">
        <f>R168/10^9</f>
        <v/>
      </c>
      <c r="Y168" s="2">
        <f>S168/10^9</f>
        <v/>
      </c>
      <c r="Z168" s="2">
        <f>T168/10^9</f>
        <v/>
      </c>
      <c r="AA168" s="2">
        <f>U168/10^9</f>
        <v/>
      </c>
      <c r="AB168" s="2">
        <f>V168/10^9</f>
        <v/>
      </c>
      <c r="AC168" s="2" t="n"/>
      <c r="AD168" s="8">
        <f>X168/$C169*$B169</f>
        <v/>
      </c>
      <c r="AE168" s="8">
        <f>Y168/$C169*$B169</f>
        <v/>
      </c>
      <c r="AF168" s="8">
        <f>Z168/$C169*$B169</f>
        <v/>
      </c>
      <c r="AG168" s="8">
        <f>AA168/$C169*$B169</f>
        <v/>
      </c>
      <c r="AH168" s="11">
        <f>AB168/$C169*$B169</f>
        <v/>
      </c>
      <c r="AI168" s="8">
        <f>SUM(AD168:AG168)</f>
        <v/>
      </c>
      <c r="AJ168" s="9">
        <f>AI168+AJ169</f>
        <v/>
      </c>
      <c r="AK168" s="16" t="n"/>
      <c r="AL168" s="7">
        <f>B168-AJ168</f>
        <v/>
      </c>
      <c r="AM168" s="42">
        <f>_xlfn.STDEV.S(AL168:AL187)</f>
        <v/>
      </c>
    </row>
    <row r="169">
      <c r="A169" s="1" t="n">
        <v>46009</v>
      </c>
      <c r="B169" s="7" t="n">
        <v>1676.98</v>
      </c>
      <c r="C169" s="19" t="n">
        <v>7611538</v>
      </c>
      <c r="E169" s="1" t="n">
        <v>46009</v>
      </c>
      <c r="F169" s="4" t="n">
        <v>142700</v>
      </c>
      <c r="G169" s="4" t="n">
        <v>7706031024</v>
      </c>
      <c r="H169" s="4" t="n">
        <v>94900</v>
      </c>
      <c r="I169" s="4" t="n">
        <v>4107412004</v>
      </c>
      <c r="J169" s="4" t="n">
        <v>30350</v>
      </c>
      <c r="K169" s="4" t="n">
        <v>2272318410</v>
      </c>
      <c r="L169" s="4" t="n">
        <v>88800</v>
      </c>
      <c r="M169" s="4" t="n">
        <v>1793300377</v>
      </c>
      <c r="N169" s="4" t="n">
        <v>191500</v>
      </c>
      <c r="O169" s="4" t="n">
        <v>591611334</v>
      </c>
      <c r="Q169" s="12" t="n"/>
      <c r="R169" s="3">
        <f>G169*F169-G170*F170</f>
        <v/>
      </c>
      <c r="S169" s="3">
        <f>I169*H169-I170*H170</f>
        <v/>
      </c>
      <c r="T169" s="3">
        <f>K169*J169-K170*J170</f>
        <v/>
      </c>
      <c r="U169" s="3">
        <f>M169*L169-M170*L170</f>
        <v/>
      </c>
      <c r="V169" s="3">
        <f>O169*N169-O170*N170</f>
        <v/>
      </c>
      <c r="X169" s="2">
        <f>R169/10^9</f>
        <v/>
      </c>
      <c r="Y169" s="2">
        <f>S169/10^9</f>
        <v/>
      </c>
      <c r="Z169" s="2">
        <f>T169/10^9</f>
        <v/>
      </c>
      <c r="AA169" s="2">
        <f>U169/10^9</f>
        <v/>
      </c>
      <c r="AB169" s="2">
        <f>V169/10^9</f>
        <v/>
      </c>
      <c r="AC169" s="2" t="n"/>
      <c r="AD169" s="8">
        <f>X169/$C170*$B170</f>
        <v/>
      </c>
      <c r="AE169" s="8">
        <f>Y169/$C170*$B170</f>
        <v/>
      </c>
      <c r="AF169" s="8">
        <f>Z169/$C170*$B170</f>
        <v/>
      </c>
      <c r="AG169" s="8">
        <f>AA169/$C170*$B170</f>
        <v/>
      </c>
      <c r="AH169" s="11">
        <f>AB169/$C170*$B170</f>
        <v/>
      </c>
      <c r="AI169" s="8">
        <f>SUM(AD169:AG169)</f>
        <v/>
      </c>
      <c r="AJ169" s="9">
        <f>AI169+AJ170</f>
        <v/>
      </c>
      <c r="AK169" s="16" t="n"/>
      <c r="AL169" s="7">
        <f>B169-AJ169</f>
        <v/>
      </c>
      <c r="AM169" s="42">
        <f>_xlfn.STDEV.S(AL169:AL188)</f>
        <v/>
      </c>
      <c r="AO169" s="16" t="n"/>
      <c r="AP169" s="16" t="n"/>
      <c r="AQ169" s="16" t="n"/>
      <c r="AR169" s="16" t="n"/>
      <c r="AS169" s="16" t="n"/>
      <c r="AT169" s="16" t="n"/>
      <c r="AU169" s="16" t="n"/>
      <c r="AV169" s="16" t="n"/>
    </row>
    <row r="170">
      <c r="A170" s="1" t="n">
        <v>46008</v>
      </c>
      <c r="B170" s="7" t="n">
        <v>1673.66</v>
      </c>
      <c r="C170" s="19" t="n">
        <v>7592113</v>
      </c>
      <c r="E170" s="1" t="n">
        <v>46008</v>
      </c>
      <c r="F170" s="4" t="n">
        <v>142900</v>
      </c>
      <c r="G170" s="4" t="n">
        <v>7706031024</v>
      </c>
      <c r="H170" s="4" t="n">
        <v>94900</v>
      </c>
      <c r="I170" s="4" t="n">
        <v>4107412004</v>
      </c>
      <c r="J170" s="4" t="n">
        <v>29700</v>
      </c>
      <c r="K170" s="4" t="n">
        <v>2272318410</v>
      </c>
      <c r="L170" s="4" t="n">
        <v>87900</v>
      </c>
      <c r="M170" s="4" t="n">
        <v>1793300377</v>
      </c>
      <c r="N170" s="4" t="n">
        <v>191500</v>
      </c>
      <c r="O170" s="4" t="n">
        <v>591611334</v>
      </c>
      <c r="Q170" s="12" t="n"/>
      <c r="R170" s="3">
        <f>G170*F170-G171*F171</f>
        <v/>
      </c>
      <c r="S170" s="3">
        <f>I170*H170-I171*H171</f>
        <v/>
      </c>
      <c r="T170" s="3">
        <f>K170*J170-K171*J171</f>
        <v/>
      </c>
      <c r="U170" s="3">
        <f>M170*L170-M171*L171</f>
        <v/>
      </c>
      <c r="V170" s="3">
        <f>O170*N170-O171*N171</f>
        <v/>
      </c>
      <c r="X170" s="2">
        <f>R170/10^9</f>
        <v/>
      </c>
      <c r="Y170" s="2">
        <f>S170/10^9</f>
        <v/>
      </c>
      <c r="Z170" s="2">
        <f>T170/10^9</f>
        <v/>
      </c>
      <c r="AA170" s="2">
        <f>U170/10^9</f>
        <v/>
      </c>
      <c r="AB170" s="2">
        <f>V170/10^9</f>
        <v/>
      </c>
      <c r="AC170" s="2" t="n"/>
      <c r="AD170" s="8">
        <f>X170/$C171*$B171</f>
        <v/>
      </c>
      <c r="AE170" s="8">
        <f>Y170/$C171*$B171</f>
        <v/>
      </c>
      <c r="AF170" s="8">
        <f>Z170/$C171*$B171</f>
        <v/>
      </c>
      <c r="AG170" s="8">
        <f>AA170/$C171*$B171</f>
        <v/>
      </c>
      <c r="AH170" s="11">
        <f>AB170/$C171*$B171</f>
        <v/>
      </c>
      <c r="AI170" s="8">
        <f>SUM(AD170:AG170)</f>
        <v/>
      </c>
      <c r="AJ170" s="9">
        <f>AI170+AJ171</f>
        <v/>
      </c>
      <c r="AL170" s="7">
        <f>B170-AJ170</f>
        <v/>
      </c>
      <c r="AM170" s="42">
        <f>_xlfn.STDEV.S(AL170:AL189)</f>
        <v/>
      </c>
    </row>
    <row r="171">
      <c r="A171" s="14" t="n">
        <v>46007</v>
      </c>
      <c r="B171" s="15" t="n">
        <v>1679.18</v>
      </c>
      <c r="C171" s="18" t="n">
        <v>7617247</v>
      </c>
      <c r="E171" s="14" t="n">
        <v>46007</v>
      </c>
      <c r="F171" s="4" t="n">
        <v>142900</v>
      </c>
      <c r="G171" s="4" t="n">
        <v>7706031024</v>
      </c>
      <c r="H171" s="4" t="n">
        <v>95000</v>
      </c>
      <c r="I171" s="4" t="n">
        <v>4107412004</v>
      </c>
      <c r="J171" s="4" t="n">
        <v>29600</v>
      </c>
      <c r="K171" s="4" t="n">
        <v>2272318410</v>
      </c>
      <c r="L171" s="4" t="n">
        <v>84300</v>
      </c>
      <c r="M171" s="4" t="n">
        <v>1793300377</v>
      </c>
      <c r="N171" s="4" t="n">
        <v>191500</v>
      </c>
      <c r="O171" s="4" t="n">
        <v>591611334</v>
      </c>
      <c r="Q171" s="17" t="n"/>
      <c r="R171" s="3">
        <f>G171*F171-G172*F172</f>
        <v/>
      </c>
      <c r="S171" s="3">
        <f>I171*H171-I172*H172</f>
        <v/>
      </c>
      <c r="T171" s="3">
        <f>K171*J171-K172*J172</f>
        <v/>
      </c>
      <c r="U171" s="3">
        <f>M171*L171-M172*L172</f>
        <v/>
      </c>
      <c r="V171" s="3">
        <f>O171*N171-O172*N172</f>
        <v/>
      </c>
      <c r="X171" s="2">
        <f>R171/10^9</f>
        <v/>
      </c>
      <c r="Y171" s="2">
        <f>S171/10^9</f>
        <v/>
      </c>
      <c r="Z171" s="2">
        <f>T171/10^9</f>
        <v/>
      </c>
      <c r="AA171" s="2">
        <f>U171/10^9</f>
        <v/>
      </c>
      <c r="AB171" s="2">
        <f>V171/10^9</f>
        <v/>
      </c>
      <c r="AC171" s="2" t="n"/>
      <c r="AD171" s="8">
        <f>X171/$C172*$B172</f>
        <v/>
      </c>
      <c r="AE171" s="8">
        <f>Y171/$C172*$B172</f>
        <v/>
      </c>
      <c r="AF171" s="8">
        <f>Z171/$C172*$B172</f>
        <v/>
      </c>
      <c r="AG171" s="8">
        <f>AA171/$C172*$B172</f>
        <v/>
      </c>
      <c r="AH171" s="11">
        <f>AB171/$C172*$B172</f>
        <v/>
      </c>
      <c r="AI171" s="8">
        <f>SUM(AD171:AG171)</f>
        <v/>
      </c>
      <c r="AJ171" s="9">
        <f>AI171+AJ172</f>
        <v/>
      </c>
      <c r="AL171" s="7">
        <f>B171-AJ171</f>
        <v/>
      </c>
      <c r="AM171" s="42">
        <f>_xlfn.STDEV.S(AL171:AL190)</f>
        <v/>
      </c>
    </row>
    <row r="172">
      <c r="A172" s="14" t="n">
        <v>46006</v>
      </c>
      <c r="B172" s="15" t="n">
        <v>1646.01</v>
      </c>
      <c r="C172" s="18" t="n">
        <v>7392901</v>
      </c>
      <c r="E172" s="14" t="n">
        <v>46006</v>
      </c>
      <c r="F172" s="4" t="n">
        <v>142900</v>
      </c>
      <c r="G172" s="4" t="n">
        <v>7706031024</v>
      </c>
      <c r="H172" s="4" t="n">
        <v>92500</v>
      </c>
      <c r="I172" s="4" t="n">
        <v>4107412004</v>
      </c>
      <c r="J172" s="4" t="n">
        <v>28900</v>
      </c>
      <c r="K172" s="4" t="n">
        <v>2272318410</v>
      </c>
      <c r="L172" s="4" t="n">
        <v>78800</v>
      </c>
      <c r="M172" s="4" t="n">
        <v>1793300377</v>
      </c>
      <c r="N172" s="4" t="n">
        <v>186000</v>
      </c>
      <c r="O172" s="4" t="n">
        <v>591611334</v>
      </c>
      <c r="Q172" s="17" t="n"/>
      <c r="R172" s="3">
        <f>G172*F172-G173*F173</f>
        <v/>
      </c>
      <c r="S172" s="3">
        <f>I172*H172-I173*H173</f>
        <v/>
      </c>
      <c r="T172" s="3">
        <f>K172*J172-K173*J173</f>
        <v/>
      </c>
      <c r="U172" s="3">
        <f>M172*L172-M173*L173</f>
        <v/>
      </c>
      <c r="V172" s="3">
        <f>O172*N172-O173*N173</f>
        <v/>
      </c>
      <c r="X172" s="2">
        <f>R172/10^9</f>
        <v/>
      </c>
      <c r="Y172" s="2">
        <f>S172/10^9</f>
        <v/>
      </c>
      <c r="Z172" s="2">
        <f>T172/10^9</f>
        <v/>
      </c>
      <c r="AA172" s="2">
        <f>U172/10^9</f>
        <v/>
      </c>
      <c r="AB172" s="2">
        <f>V172/10^9</f>
        <v/>
      </c>
      <c r="AC172" s="2" t="n"/>
      <c r="AD172" s="8">
        <f>X172/$C173*$B173</f>
        <v/>
      </c>
      <c r="AE172" s="8">
        <f>Y172/$C173*$B173</f>
        <v/>
      </c>
      <c r="AF172" s="8">
        <f>Z172/$C173*$B173</f>
        <v/>
      </c>
      <c r="AG172" s="8">
        <f>AA172/$C173*$B173</f>
        <v/>
      </c>
      <c r="AH172" s="11">
        <f>AB172/$C173*$B173</f>
        <v/>
      </c>
      <c r="AI172" s="8">
        <f>SUM(AD172:AG172)</f>
        <v/>
      </c>
      <c r="AJ172" s="9">
        <f>AI172+AJ173</f>
        <v/>
      </c>
      <c r="AL172" s="7">
        <f>B172-AJ172</f>
        <v/>
      </c>
      <c r="AM172" s="42">
        <f>_xlfn.STDEV.S(AL172:AL191)</f>
        <v/>
      </c>
    </row>
    <row r="173">
      <c r="A173" s="1" t="n">
        <v>46003</v>
      </c>
      <c r="B173" s="7" t="n">
        <v>1646.89</v>
      </c>
      <c r="C173" s="19" t="n">
        <v>7397955</v>
      </c>
      <c r="E173" s="1" t="n">
        <v>46003</v>
      </c>
      <c r="F173" s="4" t="n">
        <v>144000</v>
      </c>
      <c r="G173" s="4" t="n">
        <v>7706031024</v>
      </c>
      <c r="H173" s="4" t="n">
        <v>94100</v>
      </c>
      <c r="I173" s="4" t="n">
        <v>4107412004</v>
      </c>
      <c r="J173" s="4" t="n">
        <v>27450</v>
      </c>
      <c r="K173" s="4" t="n">
        <v>2272318410</v>
      </c>
      <c r="L173" s="4" t="n">
        <v>84700</v>
      </c>
      <c r="M173" s="4" t="n">
        <v>1793300377</v>
      </c>
      <c r="N173" s="4" t="n">
        <v>185000</v>
      </c>
      <c r="O173" s="4" t="n">
        <v>591611334</v>
      </c>
      <c r="Q173" s="12" t="n"/>
      <c r="R173" s="3">
        <f>G173*F173-G174*F174</f>
        <v/>
      </c>
      <c r="S173" s="3">
        <f>I173*H173-I174*H174</f>
        <v/>
      </c>
      <c r="T173" s="3">
        <f>K173*J173-K174*J174</f>
        <v/>
      </c>
      <c r="U173" s="3">
        <f>M173*L173-M174*L174</f>
        <v/>
      </c>
      <c r="V173" s="3">
        <f>O173*N173-O174*N174</f>
        <v/>
      </c>
      <c r="X173" s="2">
        <f>R173/10^9</f>
        <v/>
      </c>
      <c r="Y173" s="2">
        <f>S173/10^9</f>
        <v/>
      </c>
      <c r="Z173" s="2">
        <f>T173/10^9</f>
        <v/>
      </c>
      <c r="AA173" s="2">
        <f>U173/10^9</f>
        <v/>
      </c>
      <c r="AB173" s="2">
        <f>V173/10^9</f>
        <v/>
      </c>
      <c r="AC173" s="2" t="n"/>
      <c r="AD173" s="8">
        <f>X173/$C174*$B174</f>
        <v/>
      </c>
      <c r="AE173" s="8">
        <f>Y173/$C174*$B174</f>
        <v/>
      </c>
      <c r="AF173" s="8">
        <f>Z173/$C174*$B174</f>
        <v/>
      </c>
      <c r="AG173" s="8">
        <f>AA173/$C174*$B174</f>
        <v/>
      </c>
      <c r="AH173" s="11">
        <f>AB173/$C174*$B174</f>
        <v/>
      </c>
      <c r="AI173" s="8">
        <f>SUM(AD173:AG173)</f>
        <v/>
      </c>
      <c r="AJ173" s="9">
        <f>AI173+AJ174</f>
        <v/>
      </c>
      <c r="AK173" s="9" t="n"/>
      <c r="AL173" s="7">
        <f>B173-AJ173</f>
        <v/>
      </c>
      <c r="AM173" s="42">
        <f>_xlfn.STDEV.S(AL173:AL192)</f>
        <v/>
      </c>
    </row>
    <row r="174">
      <c r="A174" s="1" t="n">
        <v>46002</v>
      </c>
      <c r="B174" s="7" t="n">
        <v>1698.9</v>
      </c>
      <c r="C174" s="19" t="n">
        <v>7631198</v>
      </c>
      <c r="E174" s="10" t="n">
        <v>46002</v>
      </c>
      <c r="F174" s="4" t="n">
        <v>146000</v>
      </c>
      <c r="G174" s="4" t="n">
        <v>7706031024</v>
      </c>
      <c r="H174" s="4" t="n">
        <v>101100</v>
      </c>
      <c r="I174" s="4" t="n">
        <v>4107412004</v>
      </c>
      <c r="J174" s="4" t="n">
        <v>29500</v>
      </c>
      <c r="K174" s="4" t="n">
        <v>2272318410</v>
      </c>
      <c r="L174" s="4" t="n">
        <v>91000</v>
      </c>
      <c r="M174" s="4" t="n">
        <v>1793300377</v>
      </c>
      <c r="N174" s="4" t="n">
        <v>188000</v>
      </c>
      <c r="O174" s="4" t="n">
        <v>591611334</v>
      </c>
      <c r="Q174" s="3" t="n"/>
      <c r="R174" s="3">
        <f>G174*F174-G175*F175</f>
        <v/>
      </c>
      <c r="S174" s="3">
        <f>I174*H174-I175*H175</f>
        <v/>
      </c>
      <c r="T174" s="3">
        <f>K174*J174-K175*J175</f>
        <v/>
      </c>
      <c r="U174" s="3">
        <f>M174*L174-M175*L175</f>
        <v/>
      </c>
      <c r="V174" s="3">
        <f>O174*N174-O175*N175</f>
        <v/>
      </c>
      <c r="X174" s="2">
        <f>R174/10^9</f>
        <v/>
      </c>
      <c r="Y174" s="2">
        <f>S174/10^9</f>
        <v/>
      </c>
      <c r="Z174" s="2">
        <f>T174/10^9</f>
        <v/>
      </c>
      <c r="AA174" s="2">
        <f>U174/10^9</f>
        <v/>
      </c>
      <c r="AB174" s="2">
        <f>V174/10^9</f>
        <v/>
      </c>
      <c r="AC174" s="2" t="n"/>
      <c r="AD174" s="8">
        <f>X174/$C175*$B175</f>
        <v/>
      </c>
      <c r="AE174" s="8">
        <f>Y174/$C175*$B175</f>
        <v/>
      </c>
      <c r="AF174" s="8">
        <f>Z174/$C175*$B175</f>
        <v/>
      </c>
      <c r="AG174" s="8">
        <f>AA174/$C175*$B175</f>
        <v/>
      </c>
      <c r="AH174" s="11">
        <f>AB174/$C175*$B175</f>
        <v/>
      </c>
      <c r="AI174" s="8">
        <f>SUM(AD174:AG174)</f>
        <v/>
      </c>
      <c r="AJ174" s="9">
        <f>AI174+AJ175</f>
        <v/>
      </c>
      <c r="AK174" s="9" t="n"/>
      <c r="AL174" s="7">
        <f>B174-AJ174</f>
        <v/>
      </c>
      <c r="AM174" s="42">
        <f>_xlfn.STDEV.S(AL174:AL193)</f>
        <v/>
      </c>
    </row>
    <row r="175">
      <c r="A175" s="1" t="n">
        <v>46001</v>
      </c>
      <c r="B175" s="7" t="n">
        <v>1718.98</v>
      </c>
      <c r="C175" s="3" t="n">
        <v>7632683.11</v>
      </c>
      <c r="E175" s="10" t="n">
        <v>46001</v>
      </c>
      <c r="F175" s="4" t="n">
        <v>148800</v>
      </c>
      <c r="G175" s="4" t="n">
        <v>7706031024</v>
      </c>
      <c r="H175" s="4" t="n">
        <v>103500</v>
      </c>
      <c r="I175" s="4" t="n">
        <v>4107412004</v>
      </c>
      <c r="J175" s="4" t="n">
        <v>30000</v>
      </c>
      <c r="K175" s="4" t="n">
        <v>2272318410</v>
      </c>
      <c r="L175" s="4" t="n">
        <v>95800</v>
      </c>
      <c r="M175" s="4" t="n">
        <v>1793300377</v>
      </c>
      <c r="N175" s="4" t="n">
        <v>196600</v>
      </c>
      <c r="O175" s="4" t="n">
        <v>591611334</v>
      </c>
      <c r="Q175" s="3" t="n"/>
      <c r="R175" s="3">
        <f>G175*F175-G176*F176</f>
        <v/>
      </c>
      <c r="S175" s="3">
        <f>I175*H175-I176*H176</f>
        <v/>
      </c>
      <c r="T175" s="3">
        <f>K175*J175-K176*J176</f>
        <v/>
      </c>
      <c r="U175" s="3">
        <f>M175*L175-M176*L176</f>
        <v/>
      </c>
      <c r="V175" s="3">
        <f>O175*N175-O176*N176</f>
        <v/>
      </c>
      <c r="X175" s="2">
        <f>R175/10^9</f>
        <v/>
      </c>
      <c r="Y175" s="2">
        <f>S175/10^9</f>
        <v/>
      </c>
      <c r="Z175" s="2">
        <f>T175/10^9</f>
        <v/>
      </c>
      <c r="AA175" s="2">
        <f>U175/10^9</f>
        <v/>
      </c>
      <c r="AB175" s="2">
        <f>V175/10^9</f>
        <v/>
      </c>
      <c r="AC175" s="2" t="n"/>
      <c r="AD175" s="8">
        <f>X175/$C176*$B176</f>
        <v/>
      </c>
      <c r="AE175" s="8">
        <f>Y175/$C176*$B176</f>
        <v/>
      </c>
      <c r="AF175" s="8">
        <f>Z175/$C176*$B176</f>
        <v/>
      </c>
      <c r="AG175" s="8">
        <f>AA175/$C176*$B176</f>
        <v/>
      </c>
      <c r="AH175" s="11">
        <f>AB175/$C176*$B176</f>
        <v/>
      </c>
      <c r="AI175" s="8">
        <f>SUM(AD175:AG175)</f>
        <v/>
      </c>
      <c r="AJ175" s="9">
        <f>AI175+AJ176</f>
        <v/>
      </c>
      <c r="AK175" s="9" t="n"/>
      <c r="AL175" s="7">
        <f>B175-AJ175</f>
        <v/>
      </c>
      <c r="AM175" s="42">
        <f>_xlfn.STDEV.S(AL175:AL194)</f>
        <v/>
      </c>
    </row>
    <row r="176">
      <c r="A176" s="1" t="n">
        <v>46000</v>
      </c>
      <c r="B176" s="7" t="n">
        <v>1747.17</v>
      </c>
      <c r="C176" s="3" t="n">
        <v>7754983.67</v>
      </c>
      <c r="E176" s="10" t="n">
        <v>46000</v>
      </c>
      <c r="F176" s="4" t="n">
        <v>160000</v>
      </c>
      <c r="G176" s="4" t="n">
        <v>7706031024</v>
      </c>
      <c r="H176" s="4" t="n">
        <v>107500</v>
      </c>
      <c r="I176" s="4" t="n">
        <v>4107412004</v>
      </c>
      <c r="J176" s="4" t="n">
        <v>32000</v>
      </c>
      <c r="K176" s="4" t="n">
        <v>2272318410</v>
      </c>
      <c r="L176" s="4" t="n">
        <v>103000</v>
      </c>
      <c r="M176" s="4" t="n">
        <v>1793300377</v>
      </c>
      <c r="N176" s="4" t="n">
        <v>200000</v>
      </c>
      <c r="O176" s="4" t="n">
        <v>591611334</v>
      </c>
      <c r="Q176" s="3" t="n"/>
      <c r="R176" s="3">
        <f>G176*F176-G177*F177</f>
        <v/>
      </c>
      <c r="S176" s="3">
        <f>I176*H176-I177*H177</f>
        <v/>
      </c>
      <c r="T176" s="3">
        <f>K176*J176-K177*J177</f>
        <v/>
      </c>
      <c r="U176" s="3">
        <f>M176*L176-M177*L177</f>
        <v/>
      </c>
      <c r="V176" s="3">
        <f>O176*N176-O177*N177</f>
        <v/>
      </c>
      <c r="X176" s="2">
        <f>R176/10^9</f>
        <v/>
      </c>
      <c r="Y176" s="2">
        <f>S176/10^9</f>
        <v/>
      </c>
      <c r="Z176" s="2">
        <f>T176/10^9</f>
        <v/>
      </c>
      <c r="AA176" s="2">
        <f>U176/10^9</f>
        <v/>
      </c>
      <c r="AB176" s="2">
        <f>V176/10^9</f>
        <v/>
      </c>
      <c r="AC176" s="2" t="n"/>
      <c r="AD176" s="8">
        <f>X176/$C177*$B177</f>
        <v/>
      </c>
      <c r="AE176" s="8">
        <f>Y176/$C177*$B177</f>
        <v/>
      </c>
      <c r="AF176" s="8">
        <f>Z176/$C177*$B177</f>
        <v/>
      </c>
      <c r="AG176" s="8">
        <f>AA176/$C177*$B177</f>
        <v/>
      </c>
      <c r="AH176" s="11">
        <f>AB176/$C177*$B177</f>
        <v/>
      </c>
      <c r="AI176" s="8">
        <f>SUM(AD176:AG176)</f>
        <v/>
      </c>
      <c r="AJ176" s="9">
        <f>AI176+AJ177</f>
        <v/>
      </c>
      <c r="AK176" s="9" t="n"/>
      <c r="AL176" s="7">
        <f>B176-AJ176</f>
        <v/>
      </c>
      <c r="AM176" s="42">
        <f>_xlfn.STDEV.S(AL176:AL195)</f>
        <v/>
      </c>
    </row>
    <row r="177">
      <c r="A177" s="1" t="n">
        <v>45999</v>
      </c>
      <c r="B177" s="7" t="n">
        <v>1753.74</v>
      </c>
      <c r="C177" s="3" t="n">
        <v>7783654.14</v>
      </c>
      <c r="E177" s="10" t="n">
        <v>45999</v>
      </c>
      <c r="F177" s="4" t="n">
        <v>152700</v>
      </c>
      <c r="G177" s="4" t="n">
        <v>7706031024</v>
      </c>
      <c r="H177" s="4" t="n">
        <v>110000</v>
      </c>
      <c r="I177" s="4" t="n">
        <v>4107412004</v>
      </c>
      <c r="J177" s="4" t="n">
        <v>32950</v>
      </c>
      <c r="K177" s="4" t="n">
        <v>2272318410</v>
      </c>
      <c r="L177" s="4" t="n">
        <v>106300</v>
      </c>
      <c r="M177" s="4" t="n">
        <v>1793300377</v>
      </c>
      <c r="N177" s="4" t="n">
        <v>206400</v>
      </c>
      <c r="O177" s="4" t="n">
        <v>591611334</v>
      </c>
      <c r="Q177" s="3" t="n"/>
      <c r="R177" s="3">
        <f>G177*F177-G178*F178</f>
        <v/>
      </c>
      <c r="S177" s="3">
        <f>I177*H177-I178*H178</f>
        <v/>
      </c>
      <c r="T177" s="3">
        <f>K177*J177-K178*J178</f>
        <v/>
      </c>
      <c r="U177" s="3">
        <f>M177*L177-M178*L178</f>
        <v/>
      </c>
      <c r="V177" s="3">
        <f>O177*N177-O178*N178</f>
        <v/>
      </c>
      <c r="X177" s="2">
        <f>R177/10^9</f>
        <v/>
      </c>
      <c r="Y177" s="2">
        <f>S177/10^9</f>
        <v/>
      </c>
      <c r="Z177" s="2">
        <f>T177/10^9</f>
        <v/>
      </c>
      <c r="AA177" s="2">
        <f>U177/10^9</f>
        <v/>
      </c>
      <c r="AB177" s="2">
        <f>V177/10^9</f>
        <v/>
      </c>
      <c r="AC177" s="2" t="n"/>
      <c r="AD177" s="8">
        <f>X177/$C178*$B178</f>
        <v/>
      </c>
      <c r="AE177" s="8">
        <f>Y177/$C178*$B178</f>
        <v/>
      </c>
      <c r="AF177" s="8">
        <f>Z177/$C178*$B178</f>
        <v/>
      </c>
      <c r="AG177" s="8">
        <f>AA177/$C178*$B178</f>
        <v/>
      </c>
      <c r="AH177" s="11">
        <f>AB177/$C178*$B178</f>
        <v/>
      </c>
      <c r="AI177" s="8">
        <f>SUM(AD177:AG177)</f>
        <v/>
      </c>
      <c r="AJ177" s="9">
        <f>AI177+AJ178</f>
        <v/>
      </c>
      <c r="AK177" s="9" t="n"/>
      <c r="AL177" s="7">
        <f>B177-AJ177</f>
        <v/>
      </c>
      <c r="AM177" s="42">
        <f>_xlfn.STDEV.S(AL177:AL196)</f>
        <v/>
      </c>
    </row>
    <row r="178">
      <c r="A178" s="1" t="n">
        <v>45996</v>
      </c>
      <c r="B178" s="7" t="n">
        <v>1741.32</v>
      </c>
      <c r="C178" s="3" t="n">
        <v>7722271.5</v>
      </c>
      <c r="E178" s="10" t="n">
        <v>45996</v>
      </c>
      <c r="F178" s="4" t="n">
        <v>142800</v>
      </c>
      <c r="G178" s="4" t="n">
        <v>7706031024</v>
      </c>
      <c r="H178" s="4" t="n">
        <v>107000</v>
      </c>
      <c r="I178" s="4" t="n">
        <v>4107412004</v>
      </c>
      <c r="J178" s="4" t="n">
        <v>33800</v>
      </c>
      <c r="K178" s="4" t="n">
        <v>2272318410</v>
      </c>
      <c r="L178" s="4" t="n">
        <v>104000</v>
      </c>
      <c r="M178" s="4" t="n">
        <v>1793300377</v>
      </c>
      <c r="N178" s="4" t="n">
        <v>207500</v>
      </c>
      <c r="O178" s="4" t="n">
        <v>591611334</v>
      </c>
      <c r="Q178" s="3" t="n"/>
      <c r="R178" s="3">
        <f>G178*F178-G179*F179</f>
        <v/>
      </c>
      <c r="S178" s="3">
        <f>I178*H178-I179*H179</f>
        <v/>
      </c>
      <c r="T178" s="3">
        <f>K178*J178-K179*J179</f>
        <v/>
      </c>
      <c r="U178" s="3">
        <f>M178*L178-M179*L179</f>
        <v/>
      </c>
      <c r="V178" s="3">
        <f>O178*N178-O179*N179</f>
        <v/>
      </c>
      <c r="X178" s="2">
        <f>R178/10^9</f>
        <v/>
      </c>
      <c r="Y178" s="2">
        <f>S178/10^9</f>
        <v/>
      </c>
      <c r="Z178" s="2">
        <f>T178/10^9</f>
        <v/>
      </c>
      <c r="AA178" s="2">
        <f>U178/10^9</f>
        <v/>
      </c>
      <c r="AB178" s="2">
        <f>V178/10^9</f>
        <v/>
      </c>
      <c r="AC178" s="2" t="n"/>
      <c r="AD178" s="8">
        <f>X178/$C179*$B179</f>
        <v/>
      </c>
      <c r="AE178" s="8">
        <f>Y178/$C179*$B179</f>
        <v/>
      </c>
      <c r="AF178" s="8">
        <f>Z178/$C179*$B179</f>
        <v/>
      </c>
      <c r="AG178" s="8">
        <f>AA178/$C179*$B179</f>
        <v/>
      </c>
      <c r="AH178" s="11">
        <f>AB178/$C179*$B179</f>
        <v/>
      </c>
      <c r="AI178" s="8">
        <f>SUM(AD178:AG178)</f>
        <v/>
      </c>
      <c r="AJ178" s="9">
        <f>AI178+AJ179</f>
        <v/>
      </c>
      <c r="AK178" s="9" t="n"/>
      <c r="AL178" s="7">
        <f>B178-AJ178</f>
        <v/>
      </c>
      <c r="AM178" s="42">
        <f>_xlfn.STDEV.S(AL178:AL197)</f>
        <v/>
      </c>
    </row>
    <row r="179">
      <c r="A179" s="1" t="n">
        <v>45995</v>
      </c>
      <c r="B179" s="7" t="n">
        <v>1737.24</v>
      </c>
      <c r="C179" s="3" t="n">
        <v>7703713.1</v>
      </c>
      <c r="E179" s="10" t="n">
        <v>45995</v>
      </c>
      <c r="F179" s="4" t="n">
        <v>267000</v>
      </c>
      <c r="G179" s="4" t="n">
        <v>3853015512</v>
      </c>
      <c r="H179" s="4" t="n">
        <v>105200</v>
      </c>
      <c r="I179" s="4" t="n">
        <v>4107412004</v>
      </c>
      <c r="J179" s="4" t="n">
        <v>34400</v>
      </c>
      <c r="K179" s="4" t="n">
        <v>2272318410</v>
      </c>
      <c r="L179" s="4" t="n">
        <v>102000</v>
      </c>
      <c r="M179" s="4" t="n">
        <v>1793300377</v>
      </c>
      <c r="N179" s="4" t="n">
        <v>206000</v>
      </c>
      <c r="O179" s="4" t="n">
        <v>591611334</v>
      </c>
      <c r="Q179" s="3" t="n"/>
      <c r="R179" s="3">
        <f>G179*F179-G180*F180</f>
        <v/>
      </c>
      <c r="S179" s="3">
        <f>I179*H179-I180*H180</f>
        <v/>
      </c>
      <c r="T179" s="3">
        <f>K179*J179-K180*J180</f>
        <v/>
      </c>
      <c r="U179" s="3">
        <f>M179*L179-M180*L180</f>
        <v/>
      </c>
      <c r="V179" s="3">
        <f>O179*N179-O180*N180</f>
        <v/>
      </c>
      <c r="X179" s="2">
        <f>R179/10^9</f>
        <v/>
      </c>
      <c r="Y179" s="2">
        <f>S179/10^9</f>
        <v/>
      </c>
      <c r="Z179" s="2">
        <f>T179/10^9</f>
        <v/>
      </c>
      <c r="AA179" s="2">
        <f>U179/10^9</f>
        <v/>
      </c>
      <c r="AB179" s="2">
        <f>V179/10^9</f>
        <v/>
      </c>
      <c r="AC179" s="2" t="n"/>
      <c r="AD179" s="8">
        <f>X179/$C180*$B180</f>
        <v/>
      </c>
      <c r="AE179" s="8">
        <f>Y179/$C180*$B180</f>
        <v/>
      </c>
      <c r="AF179" s="8">
        <f>Z179/$C180*$B180</f>
        <v/>
      </c>
      <c r="AG179" s="8">
        <f>AA179/$C180*$B180</f>
        <v/>
      </c>
      <c r="AH179" s="11">
        <f>AB179/$C180*$B180</f>
        <v/>
      </c>
      <c r="AI179" s="8">
        <f>SUM(AD179:AG179)</f>
        <v/>
      </c>
      <c r="AJ179" s="9">
        <f>AI179+AJ180</f>
        <v/>
      </c>
      <c r="AK179" s="9" t="n"/>
      <c r="AL179" s="7">
        <f>B179-AJ179</f>
        <v/>
      </c>
      <c r="AM179" s="42">
        <f>_xlfn.STDEV.S(AL179:AL198)</f>
        <v/>
      </c>
    </row>
    <row r="180">
      <c r="A180" s="1" t="n">
        <v>45994</v>
      </c>
      <c r="B180" s="7" t="n">
        <v>1731.77</v>
      </c>
      <c r="C180" s="3" t="n">
        <v>7679457.65</v>
      </c>
      <c r="E180" s="10" t="n">
        <v>45994</v>
      </c>
      <c r="F180" s="4" t="n">
        <v>269400</v>
      </c>
      <c r="G180" s="4" t="n">
        <v>3853015512</v>
      </c>
      <c r="H180" s="4" t="n">
        <v>106800</v>
      </c>
      <c r="I180" s="4" t="n">
        <v>4107412004</v>
      </c>
      <c r="J180" s="4" t="n">
        <v>34500</v>
      </c>
      <c r="K180" s="4" t="n">
        <v>2272318410</v>
      </c>
      <c r="L180" s="4" t="n">
        <v>100000</v>
      </c>
      <c r="M180" s="4" t="n">
        <v>1793300377</v>
      </c>
      <c r="N180" s="4" t="n">
        <v>214000</v>
      </c>
      <c r="O180" s="4" t="n">
        <v>591611334</v>
      </c>
      <c r="Q180" s="3" t="n"/>
      <c r="R180" s="3">
        <f>G180*F180-G181*F181</f>
        <v/>
      </c>
      <c r="S180" s="3">
        <f>I180*H180-I181*H181</f>
        <v/>
      </c>
      <c r="T180" s="3">
        <f>K180*J180-K181*J181</f>
        <v/>
      </c>
      <c r="U180" s="3">
        <f>M180*L180-M181*L181</f>
        <v/>
      </c>
      <c r="V180" s="3">
        <f>O180*N180-O181*N181</f>
        <v/>
      </c>
      <c r="X180" s="2">
        <f>R180/10^9</f>
        <v/>
      </c>
      <c r="Y180" s="2">
        <f>S180/10^9</f>
        <v/>
      </c>
      <c r="Z180" s="2">
        <f>T180/10^9</f>
        <v/>
      </c>
      <c r="AA180" s="2">
        <f>U180/10^9</f>
        <v/>
      </c>
      <c r="AB180" s="2">
        <f>V180/10^9</f>
        <v/>
      </c>
      <c r="AC180" s="2" t="n"/>
      <c r="AD180" s="8">
        <f>X180/$C181*$B181</f>
        <v/>
      </c>
      <c r="AE180" s="8">
        <f>Y180/$C181*$B181</f>
        <v/>
      </c>
      <c r="AF180" s="8">
        <f>Z180/$C181*$B181</f>
        <v/>
      </c>
      <c r="AG180" s="8">
        <f>AA180/$C181*$B181</f>
        <v/>
      </c>
      <c r="AH180" s="11">
        <f>AB180/$C181*$B181</f>
        <v/>
      </c>
      <c r="AI180" s="8">
        <f>SUM(AD180:AG180)</f>
        <v/>
      </c>
      <c r="AJ180" s="9">
        <f>AI180+AJ181</f>
        <v/>
      </c>
      <c r="AK180" s="9" t="n"/>
      <c r="AL180" s="7">
        <f>B180-AJ180</f>
        <v/>
      </c>
      <c r="AM180" s="42">
        <f>_xlfn.STDEV.S(AL180:AL199)</f>
        <v/>
      </c>
    </row>
    <row r="181">
      <c r="A181" s="1" t="n">
        <v>45993</v>
      </c>
      <c r="B181" s="7" t="n">
        <v>1717.06</v>
      </c>
      <c r="C181" s="3" t="n">
        <v>7614247.71</v>
      </c>
      <c r="E181" s="10" t="n">
        <v>45993</v>
      </c>
      <c r="F181" s="4" t="n">
        <v>275000</v>
      </c>
      <c r="G181" s="4" t="n">
        <v>3853015512</v>
      </c>
      <c r="H181" s="4" t="n">
        <v>106800</v>
      </c>
      <c r="I181" s="4" t="n">
        <v>4107412004</v>
      </c>
      <c r="J181" s="4" t="n">
        <v>34900</v>
      </c>
      <c r="K181" s="4" t="n">
        <v>2272318410</v>
      </c>
      <c r="L181" s="4" t="n">
        <v>103800</v>
      </c>
      <c r="M181" s="4" t="n">
        <v>1793300377</v>
      </c>
      <c r="N181" s="4" t="n">
        <v>217900</v>
      </c>
      <c r="O181" s="4" t="n">
        <v>591611334</v>
      </c>
      <c r="Q181" s="3" t="n"/>
      <c r="R181" s="3">
        <f>G181*F181-G182*F182</f>
        <v/>
      </c>
      <c r="S181" s="3">
        <f>I181*H181-I182*H182</f>
        <v/>
      </c>
      <c r="T181" s="3">
        <f>K181*J181-K182*J182</f>
        <v/>
      </c>
      <c r="U181" s="3">
        <f>M181*L181-M182*L182</f>
        <v/>
      </c>
      <c r="V181" s="3">
        <f>O181*N181-O182*N182</f>
        <v/>
      </c>
      <c r="X181" s="2">
        <f>R181/10^9</f>
        <v/>
      </c>
      <c r="Y181" s="2">
        <f>S181/10^9</f>
        <v/>
      </c>
      <c r="Z181" s="2">
        <f>T181/10^9</f>
        <v/>
      </c>
      <c r="AA181" s="2">
        <f>U181/10^9</f>
        <v/>
      </c>
      <c r="AB181" s="2">
        <f>V181/10^9</f>
        <v/>
      </c>
      <c r="AC181" s="2" t="n"/>
      <c r="AD181" s="8">
        <f>X181/$C182*$B182</f>
        <v/>
      </c>
      <c r="AE181" s="8">
        <f>Y181/$C182*$B182</f>
        <v/>
      </c>
      <c r="AF181" s="8">
        <f>Z181/$C182*$B182</f>
        <v/>
      </c>
      <c r="AG181" s="8">
        <f>AA181/$C182*$B182</f>
        <v/>
      </c>
      <c r="AH181" s="11">
        <f>AB181/$C182*$B182</f>
        <v/>
      </c>
      <c r="AI181" s="8">
        <f>SUM(AD181:AG181)</f>
        <v/>
      </c>
      <c r="AJ181" s="9">
        <f>AI181+AJ182</f>
        <v/>
      </c>
      <c r="AK181" s="9" t="n"/>
      <c r="AL181" s="7">
        <f>B181-AJ181</f>
        <v/>
      </c>
      <c r="AM181" s="42">
        <f>_xlfn.STDEV.S(AL181:AL200)</f>
        <v/>
      </c>
    </row>
    <row r="182">
      <c r="A182" s="1" t="n">
        <v>45992</v>
      </c>
      <c r="B182" s="7" t="n">
        <v>1701.67</v>
      </c>
      <c r="C182" s="3" t="n">
        <v>7545825.35</v>
      </c>
      <c r="E182" s="10" t="n">
        <v>45992</v>
      </c>
      <c r="F182" s="4" t="n">
        <v>269900</v>
      </c>
      <c r="G182" s="4" t="n">
        <v>3853015512</v>
      </c>
      <c r="H182" s="4" t="n">
        <v>105700</v>
      </c>
      <c r="I182" s="4" t="n">
        <v>4107412004</v>
      </c>
      <c r="J182" s="4" t="n">
        <v>34900</v>
      </c>
      <c r="K182" s="4" t="n">
        <v>2272318410</v>
      </c>
      <c r="L182" s="4" t="n">
        <v>101600</v>
      </c>
      <c r="M182" s="4" t="n">
        <v>1793300377</v>
      </c>
      <c r="N182" s="4" t="n">
        <v>203900</v>
      </c>
      <c r="O182" s="4" t="n">
        <v>591611334</v>
      </c>
      <c r="Q182" s="3" t="n"/>
      <c r="R182" s="3">
        <f>G182*F182-G183*F183</f>
        <v/>
      </c>
      <c r="S182" s="3">
        <f>I182*H182-I183*H183</f>
        <v/>
      </c>
      <c r="T182" s="3">
        <f>K182*J182-K183*J183</f>
        <v/>
      </c>
      <c r="U182" s="3">
        <f>M182*L182-M183*L183</f>
        <v/>
      </c>
      <c r="V182" s="3">
        <f>O182*N182-O183*N183</f>
        <v/>
      </c>
      <c r="X182" s="2">
        <f>R182/10^9</f>
        <v/>
      </c>
      <c r="Y182" s="2">
        <f>S182/10^9</f>
        <v/>
      </c>
      <c r="Z182" s="2">
        <f>T182/10^9</f>
        <v/>
      </c>
      <c r="AA182" s="2">
        <f>U182/10^9</f>
        <v/>
      </c>
      <c r="AB182" s="2">
        <f>V182/10^9</f>
        <v/>
      </c>
      <c r="AC182" s="2" t="n"/>
      <c r="AD182" s="8">
        <f>X182/$C183*$B183</f>
        <v/>
      </c>
      <c r="AE182" s="8">
        <f>Y182/$C183*$B183</f>
        <v/>
      </c>
      <c r="AF182" s="8">
        <f>Z182/$C183*$B183</f>
        <v/>
      </c>
      <c r="AG182" s="8">
        <f>AA182/$C183*$B183</f>
        <v/>
      </c>
      <c r="AH182" s="11">
        <f>AB182/$C183*$B183</f>
        <v/>
      </c>
      <c r="AI182" s="8">
        <f>SUM(AD182:AG182)</f>
        <v/>
      </c>
      <c r="AJ182" s="9">
        <f>AI182+AJ183</f>
        <v/>
      </c>
      <c r="AK182" s="9" t="n"/>
      <c r="AL182" s="7">
        <f>B182-AJ182</f>
        <v/>
      </c>
      <c r="AM182" s="42">
        <f>_xlfn.STDEV.S(AL182:AL201)</f>
        <v/>
      </c>
    </row>
    <row r="183">
      <c r="A183" s="1" t="n">
        <v>45989</v>
      </c>
      <c r="B183" s="7" t="n">
        <v>1690.99</v>
      </c>
      <c r="C183" s="3" t="n">
        <v>7498472.39</v>
      </c>
      <c r="E183" s="10" t="n">
        <v>45989</v>
      </c>
      <c r="F183" s="4" t="n">
        <v>260400</v>
      </c>
      <c r="G183" s="4" t="n">
        <v>3853015512</v>
      </c>
      <c r="H183" s="4" t="n">
        <v>102900</v>
      </c>
      <c r="I183" s="4" t="n">
        <v>4107412004</v>
      </c>
      <c r="J183" s="4" t="n">
        <v>34250</v>
      </c>
      <c r="K183" s="4" t="n">
        <v>2272318410</v>
      </c>
      <c r="L183" s="4" t="n">
        <v>95000</v>
      </c>
      <c r="M183" s="4" t="n">
        <v>1793300377</v>
      </c>
      <c r="N183" s="4" t="n">
        <v>203500</v>
      </c>
      <c r="O183" s="4" t="n">
        <v>591611334</v>
      </c>
      <c r="Q183" s="3" t="n"/>
      <c r="R183" s="3">
        <f>G183*F183-G184*F184</f>
        <v/>
      </c>
      <c r="S183" s="3">
        <f>I183*H183-I184*H184</f>
        <v/>
      </c>
      <c r="T183" s="3">
        <f>K183*J183-K184*J184</f>
        <v/>
      </c>
      <c r="U183" s="3">
        <f>M183*L183-M184*L184</f>
        <v/>
      </c>
      <c r="V183" s="3">
        <f>O183*N183-O184*N184</f>
        <v/>
      </c>
      <c r="X183" s="2">
        <f>R183/10^9</f>
        <v/>
      </c>
      <c r="Y183" s="2">
        <f>S183/10^9</f>
        <v/>
      </c>
      <c r="Z183" s="2">
        <f>T183/10^9</f>
        <v/>
      </c>
      <c r="AA183" s="2">
        <f>U183/10^9</f>
        <v/>
      </c>
      <c r="AB183" s="2">
        <f>V183/10^9</f>
        <v/>
      </c>
      <c r="AC183" s="2" t="n"/>
      <c r="AD183" s="8">
        <f>X183/$C184*$B184</f>
        <v/>
      </c>
      <c r="AE183" s="8">
        <f>Y183/$C184*$B184</f>
        <v/>
      </c>
      <c r="AF183" s="8">
        <f>Z183/$C184*$B184</f>
        <v/>
      </c>
      <c r="AG183" s="8">
        <f>AA183/$C184*$B184</f>
        <v/>
      </c>
      <c r="AH183" s="11">
        <f>AB183/$C184*$B184</f>
        <v/>
      </c>
      <c r="AI183" s="8">
        <f>SUM(AD183:AG183)</f>
        <v/>
      </c>
      <c r="AJ183" s="9">
        <f>AI183+AJ184</f>
        <v/>
      </c>
      <c r="AK183" s="9" t="n"/>
      <c r="AL183" s="7">
        <f>B183-AJ183</f>
        <v/>
      </c>
      <c r="AM183" s="42">
        <f>_xlfn.STDEV.S(AL183:AL202)</f>
        <v/>
      </c>
    </row>
    <row r="184">
      <c r="A184" s="1" t="n">
        <v>45988</v>
      </c>
      <c r="B184" s="7" t="n">
        <v>1684.32</v>
      </c>
      <c r="C184" s="3" t="n">
        <v>7468916.54</v>
      </c>
      <c r="E184" s="10" t="n">
        <v>45988</v>
      </c>
      <c r="F184" s="4" t="n">
        <v>248000</v>
      </c>
      <c r="G184" s="4" t="n">
        <v>3853015512</v>
      </c>
      <c r="H184" s="4" t="n">
        <v>102500</v>
      </c>
      <c r="I184" s="4" t="n">
        <v>4107412004</v>
      </c>
      <c r="J184" s="4" t="n">
        <v>33650</v>
      </c>
      <c r="K184" s="4" t="n">
        <v>2272318410</v>
      </c>
      <c r="L184" s="4" t="n">
        <v>89500</v>
      </c>
      <c r="M184" s="4" t="n">
        <v>1793300377</v>
      </c>
      <c r="N184" s="4" t="n">
        <v>202000</v>
      </c>
      <c r="O184" s="4" t="n">
        <v>591611334</v>
      </c>
      <c r="Q184" s="3" t="n"/>
      <c r="R184" s="3">
        <f>G184*F184-G185*F185</f>
        <v/>
      </c>
      <c r="S184" s="3">
        <f>I184*H184-I185*H185</f>
        <v/>
      </c>
      <c r="T184" s="3">
        <f>K184*J184-K185*J185</f>
        <v/>
      </c>
      <c r="U184" s="3">
        <f>M184*L184-M185*L185</f>
        <v/>
      </c>
      <c r="V184" s="3">
        <f>O184*N184-O185*N185</f>
        <v/>
      </c>
      <c r="X184" s="2">
        <f>R184/10^9</f>
        <v/>
      </c>
      <c r="Y184" s="2">
        <f>S184/10^9</f>
        <v/>
      </c>
      <c r="Z184" s="2">
        <f>T184/10^9</f>
        <v/>
      </c>
      <c r="AA184" s="2">
        <f>U184/10^9</f>
        <v/>
      </c>
      <c r="AB184" s="2">
        <f>V184/10^9</f>
        <v/>
      </c>
      <c r="AC184" s="2" t="n"/>
      <c r="AD184" s="8">
        <f>X184/$C185*$B185</f>
        <v/>
      </c>
      <c r="AE184" s="8">
        <f>Y184/$C185*$B185</f>
        <v/>
      </c>
      <c r="AF184" s="8">
        <f>Z184/$C185*$B185</f>
        <v/>
      </c>
      <c r="AG184" s="8">
        <f>AA184/$C185*$B185</f>
        <v/>
      </c>
      <c r="AH184" s="11">
        <f>AB184/$C185*$B185</f>
        <v/>
      </c>
      <c r="AI184" s="8">
        <f>SUM(AD184:AG184)</f>
        <v/>
      </c>
      <c r="AJ184" s="9">
        <f>AI184+AJ185</f>
        <v/>
      </c>
      <c r="AK184" s="9" t="n"/>
      <c r="AL184" s="7">
        <f>B184-AJ184</f>
        <v/>
      </c>
      <c r="AM184" s="42">
        <f>_xlfn.STDEV.S(AL184:AL203)</f>
        <v/>
      </c>
    </row>
    <row r="185">
      <c r="A185" s="1" t="n">
        <v>45987</v>
      </c>
      <c r="B185" s="7" t="n">
        <v>1680.36</v>
      </c>
      <c r="C185" s="3" t="n">
        <v>7451196.51</v>
      </c>
      <c r="E185" s="10" t="n">
        <v>45987</v>
      </c>
      <c r="F185" s="4" t="n">
        <v>245000</v>
      </c>
      <c r="G185" s="4" t="n">
        <v>3853015512</v>
      </c>
      <c r="H185" s="4" t="n">
        <v>102100</v>
      </c>
      <c r="I185" s="4" t="n">
        <v>4107412004</v>
      </c>
      <c r="J185" s="4" t="n">
        <v>33850</v>
      </c>
      <c r="K185" s="4" t="n">
        <v>2272318410</v>
      </c>
      <c r="L185" s="4" t="n">
        <v>87200</v>
      </c>
      <c r="M185" s="4" t="n">
        <v>1793300377</v>
      </c>
      <c r="N185" s="4" t="n">
        <v>207800</v>
      </c>
      <c r="O185" s="4" t="n">
        <v>591611334</v>
      </c>
      <c r="Q185" s="3" t="n"/>
      <c r="R185" s="3">
        <f>G185*F185-G186*F186</f>
        <v/>
      </c>
      <c r="S185" s="3">
        <f>I185*H185-I186*H186</f>
        <v/>
      </c>
      <c r="T185" s="3">
        <f>K185*J185-K186*J186</f>
        <v/>
      </c>
      <c r="U185" s="3">
        <f>M185*L185-M186*L186</f>
        <v/>
      </c>
      <c r="V185" s="3">
        <f>O185*N185-O186*N186</f>
        <v/>
      </c>
      <c r="X185" s="2">
        <f>R185/10^9</f>
        <v/>
      </c>
      <c r="Y185" s="2">
        <f>S185/10^9</f>
        <v/>
      </c>
      <c r="Z185" s="2">
        <f>T185/10^9</f>
        <v/>
      </c>
      <c r="AA185" s="2">
        <f>U185/10^9</f>
        <v/>
      </c>
      <c r="AB185" s="2">
        <f>V185/10^9</f>
        <v/>
      </c>
      <c r="AC185" s="2" t="n"/>
      <c r="AD185" s="8">
        <f>X185/$C186*$B186</f>
        <v/>
      </c>
      <c r="AE185" s="8">
        <f>Y185/$C186*$B186</f>
        <v/>
      </c>
      <c r="AF185" s="8">
        <f>Z185/$C186*$B186</f>
        <v/>
      </c>
      <c r="AG185" s="8">
        <f>AA185/$C186*$B186</f>
        <v/>
      </c>
      <c r="AH185" s="11">
        <f>AB185/$C186*$B186</f>
        <v/>
      </c>
      <c r="AI185" s="8">
        <f>SUM(AD185:AG185)</f>
        <v/>
      </c>
      <c r="AJ185" s="9">
        <f>AI185+AJ186</f>
        <v/>
      </c>
      <c r="AK185" s="9" t="n"/>
      <c r="AL185" s="7">
        <f>B185-AJ185</f>
        <v/>
      </c>
      <c r="AM185" s="42">
        <f>_xlfn.STDEV.S(AL185:AL204)</f>
        <v/>
      </c>
    </row>
    <row r="186">
      <c r="A186" s="1" t="n">
        <v>45986</v>
      </c>
      <c r="B186" s="7" t="n">
        <v>1660.36</v>
      </c>
      <c r="C186" s="3" t="n">
        <v>7361450.64</v>
      </c>
      <c r="E186" s="10" t="n">
        <v>45986</v>
      </c>
      <c r="F186" s="4" t="n">
        <v>243000</v>
      </c>
      <c r="G186" s="4" t="n">
        <v>3853015512</v>
      </c>
      <c r="H186" s="4" t="n">
        <v>102600</v>
      </c>
      <c r="I186" s="4" t="n">
        <v>4107412004</v>
      </c>
      <c r="J186" s="4" t="n">
        <v>33400</v>
      </c>
      <c r="K186" s="4" t="n">
        <v>2272318410</v>
      </c>
      <c r="L186" s="4" t="n">
        <v>81500</v>
      </c>
      <c r="M186" s="4" t="n">
        <v>1793300377</v>
      </c>
      <c r="N186" s="4" t="n">
        <v>219100</v>
      </c>
      <c r="O186" s="4" t="n">
        <v>591611334</v>
      </c>
      <c r="Q186" s="3" t="n"/>
      <c r="R186" s="3">
        <f>G186*F186-G187*F187</f>
        <v/>
      </c>
      <c r="S186" s="3">
        <f>I186*H186-I187*H187</f>
        <v/>
      </c>
      <c r="T186" s="3">
        <f>K186*J186-K187*J187</f>
        <v/>
      </c>
      <c r="U186" s="3">
        <f>M186*L186-M187*L187</f>
        <v/>
      </c>
      <c r="V186" s="3">
        <f>O186*N186-O187*N187</f>
        <v/>
      </c>
      <c r="X186" s="2">
        <f>R186/10^9</f>
        <v/>
      </c>
      <c r="Y186" s="2">
        <f>S186/10^9</f>
        <v/>
      </c>
      <c r="Z186" s="2">
        <f>T186/10^9</f>
        <v/>
      </c>
      <c r="AA186" s="2">
        <f>U186/10^9</f>
        <v/>
      </c>
      <c r="AB186" s="2">
        <f>V186/10^9</f>
        <v/>
      </c>
      <c r="AC186" s="2" t="n"/>
      <c r="AD186" s="8">
        <f>X186/$C187*$B187</f>
        <v/>
      </c>
      <c r="AE186" s="8">
        <f>Y186/$C187*$B187</f>
        <v/>
      </c>
      <c r="AF186" s="8">
        <f>Z186/$C187*$B187</f>
        <v/>
      </c>
      <c r="AG186" s="8">
        <f>AA186/$C187*$B187</f>
        <v/>
      </c>
      <c r="AH186" s="11">
        <f>AB186/$C187*$B187</f>
        <v/>
      </c>
      <c r="AI186" s="8">
        <f>SUM(AD186:AG186)</f>
        <v/>
      </c>
      <c r="AJ186" s="9">
        <f>AI186+AJ187</f>
        <v/>
      </c>
      <c r="AK186" s="9" t="n"/>
      <c r="AL186" s="7">
        <f>B186-AJ186</f>
        <v/>
      </c>
      <c r="AM186" s="42">
        <f>_xlfn.STDEV.S(AL186:AL205)</f>
        <v/>
      </c>
    </row>
    <row r="187">
      <c r="A187" s="1" t="n">
        <v>45985</v>
      </c>
      <c r="B187" s="7" t="n">
        <v>1667.98</v>
      </c>
      <c r="C187" s="3" t="n">
        <v>7395236.81</v>
      </c>
      <c r="E187" s="1" t="n">
        <v>45985</v>
      </c>
      <c r="F187" s="4" t="n">
        <v>239500</v>
      </c>
      <c r="G187" s="4" t="n">
        <v>3853015512</v>
      </c>
      <c r="H187" s="4" t="n">
        <v>102700</v>
      </c>
      <c r="I187" s="4" t="n">
        <v>4107412004</v>
      </c>
      <c r="J187" s="4" t="n">
        <v>34450</v>
      </c>
      <c r="K187" s="4" t="n">
        <v>2272318410</v>
      </c>
      <c r="L187" s="4" t="n">
        <v>77900</v>
      </c>
      <c r="M187" s="4" t="n">
        <v>1793300377</v>
      </c>
      <c r="N187" s="4" t="n">
        <v>204800</v>
      </c>
      <c r="O187" s="4" t="n">
        <v>591611334</v>
      </c>
      <c r="Q187" s="3" t="n"/>
      <c r="R187" s="3">
        <f>G187*F187-G188*F188</f>
        <v/>
      </c>
      <c r="S187" s="3">
        <f>I187*H187-I188*H188</f>
        <v/>
      </c>
      <c r="T187" s="3">
        <f>K187*J187-K188*J188</f>
        <v/>
      </c>
      <c r="U187" s="3">
        <f>M187*L187-M188*L188</f>
        <v/>
      </c>
      <c r="V187" s="3">
        <f>O187*N187-O188*N188</f>
        <v/>
      </c>
      <c r="X187" s="2">
        <f>R187/10^9</f>
        <v/>
      </c>
      <c r="Y187" s="2">
        <f>S187/10^9</f>
        <v/>
      </c>
      <c r="Z187" s="2">
        <f>T187/10^9</f>
        <v/>
      </c>
      <c r="AA187" s="2">
        <f>U187/10^9</f>
        <v/>
      </c>
      <c r="AB187" s="2">
        <f>V187/10^9</f>
        <v/>
      </c>
      <c r="AC187" s="2" t="n"/>
      <c r="AD187" s="8">
        <f>X187/$C188*$B188</f>
        <v/>
      </c>
      <c r="AE187" s="8">
        <f>Y187/$C188*$B188</f>
        <v/>
      </c>
      <c r="AF187" s="8">
        <f>Z187/$C188*$B188</f>
        <v/>
      </c>
      <c r="AG187" s="8">
        <f>AA187/$C188*$B188</f>
        <v/>
      </c>
      <c r="AH187" s="11">
        <f>AB187/$C188*$B188</f>
        <v/>
      </c>
      <c r="AI187" s="8">
        <f>SUM(AD187:AG187)</f>
        <v/>
      </c>
      <c r="AJ187" s="9">
        <f>AI187+AJ188</f>
        <v/>
      </c>
      <c r="AK187" s="9" t="n"/>
      <c r="AL187" s="7">
        <f>B187-AJ187</f>
        <v/>
      </c>
      <c r="AM187" s="42">
        <f>_xlfn.STDEV.S(AL187:AL206)</f>
        <v/>
      </c>
    </row>
    <row r="188">
      <c r="A188" s="1" t="n">
        <v>45982</v>
      </c>
      <c r="B188" s="7" t="n">
        <v>1654.93</v>
      </c>
      <c r="C188" s="3" t="n">
        <v>7337352.13</v>
      </c>
      <c r="E188" s="1" t="n">
        <v>45982</v>
      </c>
      <c r="F188" s="4" t="n">
        <v>229700</v>
      </c>
      <c r="G188" s="4" t="n">
        <v>3853015512</v>
      </c>
      <c r="H188" s="4" t="n">
        <v>99300</v>
      </c>
      <c r="I188" s="4" t="n">
        <v>4107412004</v>
      </c>
      <c r="J188" s="4" t="n">
        <v>32200</v>
      </c>
      <c r="K188" s="4" t="n">
        <v>2272318410</v>
      </c>
      <c r="L188" s="4" t="n">
        <v>74500</v>
      </c>
      <c r="M188" s="4" t="n">
        <v>1793300377</v>
      </c>
      <c r="N188" s="4" t="n">
        <v>194600</v>
      </c>
      <c r="O188" s="4" t="n">
        <v>591611334</v>
      </c>
      <c r="Q188" s="3" t="n"/>
      <c r="R188" s="3">
        <f>G188*F188-G189*F189</f>
        <v/>
      </c>
      <c r="S188" s="3">
        <f>I188*H188-I189*H189</f>
        <v/>
      </c>
      <c r="T188" s="3">
        <f>K188*J188-K189*J189</f>
        <v/>
      </c>
      <c r="U188" s="3">
        <f>M188*L188-M189*L189</f>
        <v/>
      </c>
      <c r="V188" s="3">
        <f>O188*N188-O189*N189</f>
        <v/>
      </c>
      <c r="X188" s="2">
        <f>R188/10^9</f>
        <v/>
      </c>
      <c r="Y188" s="2">
        <f>S188/10^9</f>
        <v/>
      </c>
      <c r="Z188" s="2">
        <f>T188/10^9</f>
        <v/>
      </c>
      <c r="AA188" s="2">
        <f>U188/10^9</f>
        <v/>
      </c>
      <c r="AB188" s="2">
        <f>V188/10^9</f>
        <v/>
      </c>
      <c r="AC188" s="2" t="n"/>
      <c r="AD188" s="8">
        <f>X188/$C189*$B189</f>
        <v/>
      </c>
      <c r="AE188" s="8">
        <f>Y188/$C189*$B189</f>
        <v/>
      </c>
      <c r="AF188" s="8">
        <f>Z188/$C189*$B189</f>
        <v/>
      </c>
      <c r="AG188" s="8">
        <f>AA188/$C189*$B189</f>
        <v/>
      </c>
      <c r="AH188" s="11">
        <f>AB188/$C189*$B189</f>
        <v/>
      </c>
      <c r="AI188" s="8">
        <f>SUM(AD188:AG188)</f>
        <v/>
      </c>
      <c r="AJ188" s="9">
        <f>AI188+AJ189</f>
        <v/>
      </c>
      <c r="AK188" s="9" t="n"/>
      <c r="AL188" s="7">
        <f>B188-AJ188</f>
        <v/>
      </c>
      <c r="AM188" s="42">
        <f>_xlfn.STDEV.S(AL188:AL207)</f>
        <v/>
      </c>
    </row>
    <row r="189">
      <c r="A189" s="1" t="n">
        <v>45981</v>
      </c>
      <c r="B189" s="7" t="n">
        <v>1655.99</v>
      </c>
      <c r="C189" s="3" t="n">
        <v>7342097.86</v>
      </c>
      <c r="E189" s="1" t="n">
        <v>45981</v>
      </c>
      <c r="F189" s="4" t="n">
        <v>228000</v>
      </c>
      <c r="G189" s="4" t="n">
        <v>3853015512</v>
      </c>
      <c r="H189" s="4" t="n">
        <v>97800</v>
      </c>
      <c r="I189" s="4" t="n">
        <v>4107412004</v>
      </c>
      <c r="J189" s="4" t="n">
        <v>32000</v>
      </c>
      <c r="K189" s="4" t="n">
        <v>2272318410</v>
      </c>
      <c r="L189" s="4" t="n">
        <v>72000</v>
      </c>
      <c r="M189" s="4" t="n">
        <v>1793300377</v>
      </c>
      <c r="N189" s="4" t="n">
        <v>190400</v>
      </c>
      <c r="O189" s="4" t="n">
        <v>591611334</v>
      </c>
      <c r="Q189" s="3" t="n"/>
      <c r="R189" s="3">
        <f>G189*F189-G190*F190</f>
        <v/>
      </c>
      <c r="S189" s="3">
        <f>I189*H189-I190*H190</f>
        <v/>
      </c>
      <c r="T189" s="3">
        <f>K189*J189-K190*J190</f>
        <v/>
      </c>
      <c r="U189" s="3">
        <f>M189*L189-M190*L190</f>
        <v/>
      </c>
      <c r="V189" s="3">
        <f>O189*N189-O190*N190</f>
        <v/>
      </c>
      <c r="X189" s="2">
        <f>R189/10^9</f>
        <v/>
      </c>
      <c r="Y189" s="2">
        <f>S189/10^9</f>
        <v/>
      </c>
      <c r="Z189" s="2">
        <f>T189/10^9</f>
        <v/>
      </c>
      <c r="AA189" s="2">
        <f>U189/10^9</f>
        <v/>
      </c>
      <c r="AB189" s="2">
        <f>V189/10^9</f>
        <v/>
      </c>
      <c r="AC189" s="2" t="n"/>
      <c r="AD189" s="8">
        <f>X189/$C190*$B190</f>
        <v/>
      </c>
      <c r="AE189" s="8">
        <f>Y189/$C190*$B190</f>
        <v/>
      </c>
      <c r="AF189" s="8">
        <f>Z189/$C190*$B190</f>
        <v/>
      </c>
      <c r="AG189" s="8">
        <f>AA189/$C190*$B190</f>
        <v/>
      </c>
      <c r="AH189" s="11">
        <f>AB189/$C190*$B190</f>
        <v/>
      </c>
      <c r="AI189" s="8">
        <f>SUM(AD189:AG189)</f>
        <v/>
      </c>
      <c r="AJ189" s="9">
        <f>AI189+AJ190</f>
        <v/>
      </c>
      <c r="AK189" s="9" t="n"/>
      <c r="AL189" s="7">
        <f>B189-AJ189</f>
        <v/>
      </c>
      <c r="AM189" s="42">
        <f>_xlfn.STDEV.S(AL189:AL208)</f>
        <v/>
      </c>
    </row>
    <row r="190">
      <c r="A190" s="1" t="n">
        <v>45980</v>
      </c>
      <c r="B190" s="7" t="n">
        <v>1649</v>
      </c>
      <c r="C190" s="3" t="n">
        <v>7310156.11</v>
      </c>
      <c r="E190" s="1" t="n">
        <v>45980</v>
      </c>
      <c r="F190" s="4" t="n">
        <v>220500</v>
      </c>
      <c r="G190" s="4" t="n">
        <v>3853015512</v>
      </c>
      <c r="H190" s="4" t="n">
        <v>96900</v>
      </c>
      <c r="I190" s="4" t="n">
        <v>4107412004</v>
      </c>
      <c r="J190" s="4" t="n">
        <v>31600</v>
      </c>
      <c r="K190" s="4" t="n">
        <v>2272318410</v>
      </c>
      <c r="L190" s="4" t="n">
        <v>72000</v>
      </c>
      <c r="M190" s="4" t="n">
        <v>1793300377</v>
      </c>
      <c r="N190" s="4" t="n">
        <v>178000</v>
      </c>
      <c r="O190" s="4" t="n">
        <v>591611334</v>
      </c>
      <c r="Q190" s="3" t="n"/>
      <c r="R190" s="3">
        <f>G190*F190-G191*F191</f>
        <v/>
      </c>
      <c r="S190" s="3">
        <f>I190*H190-I191*H191</f>
        <v/>
      </c>
      <c r="T190" s="3">
        <f>K190*J190-K191*J191</f>
        <v/>
      </c>
      <c r="U190" s="3">
        <f>M190*L190-M191*L191</f>
        <v/>
      </c>
      <c r="V190" s="3">
        <f>O190*N190-O191*N191</f>
        <v/>
      </c>
      <c r="X190" s="2">
        <f>R190/10^9</f>
        <v/>
      </c>
      <c r="Y190" s="2">
        <f>S190/10^9</f>
        <v/>
      </c>
      <c r="Z190" s="2">
        <f>T190/10^9</f>
        <v/>
      </c>
      <c r="AA190" s="2">
        <f>U190/10^9</f>
        <v/>
      </c>
      <c r="AB190" s="2">
        <f>V190/10^9</f>
        <v/>
      </c>
      <c r="AC190" s="2" t="n"/>
      <c r="AD190" s="8">
        <f>X190/$C191*$B191</f>
        <v/>
      </c>
      <c r="AE190" s="8">
        <f>Y190/$C191*$B191</f>
        <v/>
      </c>
      <c r="AF190" s="8">
        <f>Z190/$C191*$B191</f>
        <v/>
      </c>
      <c r="AG190" s="8">
        <f>AA190/$C191*$B191</f>
        <v/>
      </c>
      <c r="AH190" s="11">
        <f>AB190/$C191*$B191</f>
        <v/>
      </c>
      <c r="AI190" s="8">
        <f>SUM(AD190:AG190)</f>
        <v/>
      </c>
      <c r="AJ190" s="9">
        <f>AI190+AJ191</f>
        <v/>
      </c>
      <c r="AK190" s="9" t="n"/>
      <c r="AL190" s="7">
        <f>B190-AJ190</f>
        <v/>
      </c>
      <c r="AM190" s="42">
        <f>_xlfn.STDEV.S(AL190:AL209)</f>
        <v/>
      </c>
    </row>
    <row r="191">
      <c r="A191" s="1" t="n">
        <v>45979</v>
      </c>
      <c r="B191" s="7" t="n">
        <v>1659.92</v>
      </c>
      <c r="C191" s="3" t="n">
        <v>7358546.27</v>
      </c>
      <c r="E191" s="1" t="n">
        <v>45979</v>
      </c>
      <c r="F191" s="4" t="n">
        <v>220000</v>
      </c>
      <c r="G191" s="4" t="n">
        <v>3853015512</v>
      </c>
      <c r="H191" s="4" t="n">
        <v>97000</v>
      </c>
      <c r="I191" s="4" t="n">
        <v>4107412004</v>
      </c>
      <c r="J191" s="4" t="n">
        <v>32350</v>
      </c>
      <c r="K191" s="4" t="n">
        <v>2272318410</v>
      </c>
      <c r="L191" s="4" t="n">
        <v>72000</v>
      </c>
      <c r="M191" s="4" t="n">
        <v>1793300377</v>
      </c>
      <c r="N191" s="4" t="n">
        <v>179100</v>
      </c>
      <c r="O191" s="4" t="n">
        <v>591611334</v>
      </c>
      <c r="Q191" s="3" t="n"/>
      <c r="R191" s="3">
        <f>G191*F191-G192*F192</f>
        <v/>
      </c>
      <c r="S191" s="3">
        <f>I191*H191-I192*H192</f>
        <v/>
      </c>
      <c r="T191" s="3">
        <f>K191*J191-K192*J192</f>
        <v/>
      </c>
      <c r="U191" s="3">
        <f>M191*L191-M192*L192</f>
        <v/>
      </c>
      <c r="V191" s="3">
        <f>O191*N191-O192*N192</f>
        <v/>
      </c>
      <c r="X191" s="2">
        <f>R191/10^9</f>
        <v/>
      </c>
      <c r="Y191" s="2">
        <f>S191/10^9</f>
        <v/>
      </c>
      <c r="Z191" s="2">
        <f>T191/10^9</f>
        <v/>
      </c>
      <c r="AA191" s="2">
        <f>U191/10^9</f>
        <v/>
      </c>
      <c r="AB191" s="2">
        <f>V191/10^9</f>
        <v/>
      </c>
      <c r="AC191" s="2" t="n"/>
      <c r="AD191" s="8">
        <f>X191/$C192*$B192</f>
        <v/>
      </c>
      <c r="AE191" s="8">
        <f>Y191/$C192*$B192</f>
        <v/>
      </c>
      <c r="AF191" s="8">
        <f>Z191/$C192*$B192</f>
        <v/>
      </c>
      <c r="AG191" s="8">
        <f>AA191/$C192*$B192</f>
        <v/>
      </c>
      <c r="AH191" s="11">
        <f>AB191/$C192*$B192</f>
        <v/>
      </c>
      <c r="AI191" s="8">
        <f>SUM(AD191:AG191)</f>
        <v/>
      </c>
      <c r="AJ191" s="9">
        <f>AI191+AJ192</f>
        <v/>
      </c>
      <c r="AK191" s="9" t="n"/>
      <c r="AL191" s="7">
        <f>B191-AJ191</f>
        <v/>
      </c>
      <c r="AM191" s="42">
        <f>_xlfn.STDEV.S(AL191:AL210)</f>
        <v/>
      </c>
    </row>
    <row r="192">
      <c r="A192" s="1" t="n">
        <v>45978</v>
      </c>
      <c r="B192" s="7" t="n">
        <v>1654.42</v>
      </c>
      <c r="C192" s="3" t="n">
        <v>7334188.83</v>
      </c>
      <c r="E192" s="1" t="n">
        <v>45978</v>
      </c>
      <c r="F192" s="4" t="n">
        <v>217000</v>
      </c>
      <c r="G192" s="4" t="n">
        <v>3853015512</v>
      </c>
      <c r="H192" s="4" t="n">
        <v>95000</v>
      </c>
      <c r="I192" s="4" t="n">
        <v>4107412004</v>
      </c>
      <c r="J192" s="4" t="n">
        <v>32200</v>
      </c>
      <c r="K192" s="4" t="n">
        <v>2272318410</v>
      </c>
      <c r="L192" s="4" t="n">
        <v>71900</v>
      </c>
      <c r="M192" s="4" t="n">
        <v>1793300377</v>
      </c>
      <c r="N192" s="4" t="n">
        <v>179000</v>
      </c>
      <c r="O192" s="4" t="n">
        <v>591611334</v>
      </c>
      <c r="Q192" s="3" t="n"/>
      <c r="R192" s="3">
        <f>G192*F192-G193*F193</f>
        <v/>
      </c>
      <c r="S192" s="3">
        <f>I192*H192-I193*H193</f>
        <v/>
      </c>
      <c r="T192" s="3">
        <f>K192*J192-K193*J193</f>
        <v/>
      </c>
      <c r="U192" s="3">
        <f>M192*L192-M193*L193</f>
        <v/>
      </c>
      <c r="V192" s="3">
        <f>O192*N192-O193*N193</f>
        <v/>
      </c>
      <c r="X192" s="2">
        <f>R192/10^9</f>
        <v/>
      </c>
      <c r="Y192" s="2">
        <f>S192/10^9</f>
        <v/>
      </c>
      <c r="Z192" s="2">
        <f>T192/10^9</f>
        <v/>
      </c>
      <c r="AA192" s="2">
        <f>U192/10^9</f>
        <v/>
      </c>
      <c r="AB192" s="2">
        <f>V192/10^9</f>
        <v/>
      </c>
      <c r="AC192" s="2" t="n"/>
      <c r="AD192" s="8">
        <f>X192/$C193*$B193</f>
        <v/>
      </c>
      <c r="AE192" s="8">
        <f>Y192/$C193*$B193</f>
        <v/>
      </c>
      <c r="AF192" s="8">
        <f>Z192/$C193*$B193</f>
        <v/>
      </c>
      <c r="AG192" s="8">
        <f>AA192/$C193*$B193</f>
        <v/>
      </c>
      <c r="AH192" s="11">
        <f>AB192/$C193*$B193</f>
        <v/>
      </c>
      <c r="AI192" s="8">
        <f>SUM(AD192:AG192)</f>
        <v/>
      </c>
      <c r="AJ192" s="9">
        <f>AI192+AJ193</f>
        <v/>
      </c>
      <c r="AK192" s="9" t="n"/>
      <c r="AL192" s="7">
        <f>B192-AJ192</f>
        <v/>
      </c>
      <c r="AM192" s="42">
        <f>_xlfn.STDEV.S(AL192:AL211)</f>
        <v/>
      </c>
    </row>
    <row r="193">
      <c r="A193" s="1" t="n">
        <v>45975</v>
      </c>
      <c r="B193" s="7" t="n">
        <v>1635.46</v>
      </c>
      <c r="C193" s="3" t="n">
        <v>7250163.93</v>
      </c>
      <c r="E193" s="1" t="n">
        <v>45975</v>
      </c>
      <c r="F193" s="4" t="n">
        <v>211000</v>
      </c>
      <c r="G193" s="4" t="n">
        <v>3853015512</v>
      </c>
      <c r="H193" s="4" t="n">
        <v>93900</v>
      </c>
      <c r="I193" s="4" t="n">
        <v>4107412004</v>
      </c>
      <c r="J193" s="4" t="n">
        <v>32100</v>
      </c>
      <c r="K193" s="4" t="n">
        <v>2272318410</v>
      </c>
      <c r="L193" s="4" t="n">
        <v>72000</v>
      </c>
      <c r="M193" s="4" t="n">
        <v>1793300377</v>
      </c>
      <c r="N193" s="4" t="n">
        <v>176400</v>
      </c>
      <c r="O193" s="4" t="n">
        <v>591611334</v>
      </c>
      <c r="Q193" s="3" t="n"/>
      <c r="R193" s="3">
        <f>G193*F193-G194*F194</f>
        <v/>
      </c>
      <c r="S193" s="3">
        <f>I193*H193-I194*H194</f>
        <v/>
      </c>
      <c r="T193" s="3">
        <f>K193*J193-K194*J194</f>
        <v/>
      </c>
      <c r="U193" s="3">
        <f>M193*L193-M194*L194</f>
        <v/>
      </c>
      <c r="V193" s="3">
        <f>O193*N193-O194*N194</f>
        <v/>
      </c>
      <c r="X193" s="2">
        <f>R193/10^9</f>
        <v/>
      </c>
      <c r="Y193" s="2">
        <f>S193/10^9</f>
        <v/>
      </c>
      <c r="Z193" s="2">
        <f>T193/10^9</f>
        <v/>
      </c>
      <c r="AA193" s="2">
        <f>U193/10^9</f>
        <v/>
      </c>
      <c r="AB193" s="2">
        <f>V193/10^9</f>
        <v/>
      </c>
      <c r="AC193" s="2" t="n"/>
      <c r="AD193" s="8">
        <f>X193/$C194*$B194</f>
        <v/>
      </c>
      <c r="AE193" s="8">
        <f>Y193/$C194*$B194</f>
        <v/>
      </c>
      <c r="AF193" s="8">
        <f>Z193/$C194*$B194</f>
        <v/>
      </c>
      <c r="AG193" s="8">
        <f>AA193/$C194*$B194</f>
        <v/>
      </c>
      <c r="AH193" s="11">
        <f>AB193/$C194*$B194</f>
        <v/>
      </c>
      <c r="AI193" s="8">
        <f>SUM(AD193:AG193)</f>
        <v/>
      </c>
      <c r="AJ193" s="9">
        <f>AI193+AJ194</f>
        <v/>
      </c>
      <c r="AK193" s="9" t="n"/>
      <c r="AL193" s="7">
        <f>B193-AJ193</f>
        <v/>
      </c>
      <c r="AM193" s="42">
        <f>_xlfn.STDEV.S(AL193:AL212)</f>
        <v/>
      </c>
    </row>
    <row r="194">
      <c r="A194" s="1" t="n">
        <v>45974</v>
      </c>
      <c r="B194" s="7" t="n">
        <v>1631.44</v>
      </c>
      <c r="C194" s="3" t="n">
        <v>7232316.6</v>
      </c>
      <c r="E194" s="1" t="n">
        <v>45974</v>
      </c>
      <c r="F194" s="4" t="n">
        <v>211200</v>
      </c>
      <c r="G194" s="4" t="n">
        <v>3853015512</v>
      </c>
      <c r="H194" s="4" t="n">
        <v>93300</v>
      </c>
      <c r="I194" s="4" t="n">
        <v>4107412004</v>
      </c>
      <c r="J194" s="4" t="n">
        <v>31950</v>
      </c>
      <c r="K194" s="4" t="n">
        <v>2272318410</v>
      </c>
      <c r="L194" s="4" t="n">
        <v>72900</v>
      </c>
      <c r="M194" s="4" t="n">
        <v>1793300377</v>
      </c>
      <c r="N194" s="4" t="n">
        <v>176300</v>
      </c>
      <c r="O194" s="4" t="n">
        <v>591611334</v>
      </c>
      <c r="Q194" s="3" t="n"/>
      <c r="R194" s="3">
        <f>G194*F194-G195*F195</f>
        <v/>
      </c>
      <c r="S194" s="3">
        <f>I194*H194-I195*H195</f>
        <v/>
      </c>
      <c r="T194" s="3">
        <f>K194*J194-K195*J195</f>
        <v/>
      </c>
      <c r="U194" s="3">
        <f>M194*L194-M195*L195</f>
        <v/>
      </c>
      <c r="V194" s="3">
        <f>O194*N194-O195*N195</f>
        <v/>
      </c>
      <c r="X194" s="2">
        <f>R194/10^9</f>
        <v/>
      </c>
      <c r="Y194" s="2">
        <f>S194/10^9</f>
        <v/>
      </c>
      <c r="Z194" s="2">
        <f>T194/10^9</f>
        <v/>
      </c>
      <c r="AA194" s="2">
        <f>U194/10^9</f>
        <v/>
      </c>
      <c r="AB194" s="2">
        <f>V194/10^9</f>
        <v/>
      </c>
      <c r="AC194" s="2" t="n"/>
      <c r="AD194" s="8">
        <f>X194/$C195*$B195</f>
        <v/>
      </c>
      <c r="AE194" s="8">
        <f>Y194/$C195*$B195</f>
        <v/>
      </c>
      <c r="AF194" s="8">
        <f>Z194/$C195*$B195</f>
        <v/>
      </c>
      <c r="AG194" s="8">
        <f>AA194/$C195*$B195</f>
        <v/>
      </c>
      <c r="AH194" s="11">
        <f>AB194/$C195*$B195</f>
        <v/>
      </c>
      <c r="AI194" s="8">
        <f>SUM(AD194:AG194)</f>
        <v/>
      </c>
      <c r="AJ194" s="9">
        <f>AI194+AJ195</f>
        <v/>
      </c>
      <c r="AK194" s="9" t="n"/>
      <c r="AL194" s="7">
        <f>B194-AJ194</f>
        <v/>
      </c>
      <c r="AM194" s="42">
        <f>_xlfn.STDEV.S(AL194:AL213)</f>
        <v/>
      </c>
    </row>
    <row r="195">
      <c r="A195" s="1" t="n">
        <v>45973</v>
      </c>
      <c r="B195" s="7" t="n">
        <v>1631.86</v>
      </c>
      <c r="C195" s="3" t="n">
        <v>7223739.13</v>
      </c>
      <c r="E195" s="1" t="n">
        <v>45973</v>
      </c>
      <c r="F195" s="4" t="n">
        <v>211200</v>
      </c>
      <c r="G195" s="4" t="n">
        <v>3853015512</v>
      </c>
      <c r="H195" s="4" t="n">
        <v>94000</v>
      </c>
      <c r="I195" s="4" t="n">
        <v>4107412004</v>
      </c>
      <c r="J195" s="4" t="n">
        <v>32800</v>
      </c>
      <c r="K195" s="4" t="n">
        <v>2272318410</v>
      </c>
      <c r="L195" s="4" t="n">
        <v>73500</v>
      </c>
      <c r="M195" s="4" t="n">
        <v>1793300377</v>
      </c>
      <c r="N195" s="4" t="n">
        <v>176100</v>
      </c>
      <c r="O195" s="4" t="n">
        <v>591611334</v>
      </c>
      <c r="Q195" s="3" t="n"/>
      <c r="R195" s="3">
        <f>G195*F195-G196*F196</f>
        <v/>
      </c>
      <c r="S195" s="3">
        <f>I195*H195-I196*H196</f>
        <v/>
      </c>
      <c r="T195" s="3">
        <f>K195*J195-K196*J196</f>
        <v/>
      </c>
      <c r="U195" s="3">
        <f>M195*L195-M196*L196</f>
        <v/>
      </c>
      <c r="V195" s="3">
        <f>O195*N195-O196*N196</f>
        <v/>
      </c>
      <c r="X195" s="2">
        <f>R195/10^9</f>
        <v/>
      </c>
      <c r="Y195" s="2">
        <f>S195/10^9</f>
        <v/>
      </c>
      <c r="Z195" s="2">
        <f>T195/10^9</f>
        <v/>
      </c>
      <c r="AA195" s="2">
        <f>U195/10^9</f>
        <v/>
      </c>
      <c r="AB195" s="2">
        <f>V195/10^9</f>
        <v/>
      </c>
      <c r="AC195" s="2" t="n"/>
      <c r="AD195" s="8">
        <f>X195/$C196*$B196</f>
        <v/>
      </c>
      <c r="AE195" s="8">
        <f>Y195/$C196*$B196</f>
        <v/>
      </c>
      <c r="AF195" s="8">
        <f>Z195/$C196*$B196</f>
        <v/>
      </c>
      <c r="AG195" s="8">
        <f>AA195/$C196*$B196</f>
        <v/>
      </c>
      <c r="AH195" s="11">
        <f>AB195/$C196*$B196</f>
        <v/>
      </c>
      <c r="AI195" s="8">
        <f>SUM(AD195:AG195)</f>
        <v/>
      </c>
      <c r="AJ195" s="9">
        <f>AI195+AJ196</f>
        <v/>
      </c>
      <c r="AK195" s="9" t="n"/>
      <c r="AL195" s="7">
        <f>B195-AJ195</f>
        <v/>
      </c>
      <c r="AM195" s="42">
        <f>_xlfn.STDEV.S(AL195:AL214)</f>
        <v/>
      </c>
    </row>
    <row r="196">
      <c r="A196" s="1" t="n">
        <v>45972</v>
      </c>
      <c r="B196" s="7" t="n">
        <v>1593.61</v>
      </c>
      <c r="C196" s="3" t="n">
        <v>7054412.96</v>
      </c>
      <c r="E196" s="1" t="n">
        <v>45972</v>
      </c>
      <c r="F196" s="4" t="n">
        <v>201000</v>
      </c>
      <c r="G196" s="4" t="n">
        <v>3853015512</v>
      </c>
      <c r="H196" s="4" t="n">
        <v>90000</v>
      </c>
      <c r="I196" s="4" t="n">
        <v>4107412004</v>
      </c>
      <c r="J196" s="4" t="n">
        <v>31050</v>
      </c>
      <c r="K196" s="4" t="n">
        <v>2272318410</v>
      </c>
      <c r="L196" s="4" t="n">
        <v>72000</v>
      </c>
      <c r="M196" s="4" t="n">
        <v>1793300377</v>
      </c>
      <c r="N196" s="4" t="n">
        <v>174900</v>
      </c>
      <c r="O196" s="4" t="n">
        <v>591611334</v>
      </c>
      <c r="Q196" s="3" t="n"/>
      <c r="R196" s="3">
        <f>G196*F196-G197*F197</f>
        <v/>
      </c>
      <c r="S196" s="3">
        <f>I196*H196-I197*H197</f>
        <v/>
      </c>
      <c r="T196" s="3">
        <f>K196*J196-K197*J197</f>
        <v/>
      </c>
      <c r="U196" s="3">
        <f>M196*L196-M197*L197</f>
        <v/>
      </c>
      <c r="V196" s="3">
        <f>O196*N196-O197*N197</f>
        <v/>
      </c>
      <c r="X196" s="2">
        <f>R196/10^9</f>
        <v/>
      </c>
      <c r="Y196" s="2">
        <f>S196/10^9</f>
        <v/>
      </c>
      <c r="Z196" s="2">
        <f>T196/10^9</f>
        <v/>
      </c>
      <c r="AA196" s="2">
        <f>U196/10^9</f>
        <v/>
      </c>
      <c r="AB196" s="2">
        <f>V196/10^9</f>
        <v/>
      </c>
      <c r="AC196" s="2" t="n"/>
      <c r="AD196" s="8">
        <f>X196/$C197*$B197</f>
        <v/>
      </c>
      <c r="AE196" s="8">
        <f>Y196/$C197*$B197</f>
        <v/>
      </c>
      <c r="AF196" s="8">
        <f>Z196/$C197*$B197</f>
        <v/>
      </c>
      <c r="AG196" s="8">
        <f>AA196/$C197*$B197</f>
        <v/>
      </c>
      <c r="AH196" s="11">
        <f>AB196/$C197*$B197</f>
        <v/>
      </c>
      <c r="AI196" s="8">
        <f>SUM(AD196:AG196)</f>
        <v/>
      </c>
      <c r="AJ196" s="9">
        <f>AI196+AJ197</f>
        <v/>
      </c>
      <c r="AK196" s="9" t="n"/>
      <c r="AL196" s="7">
        <f>B196-AJ196</f>
        <v/>
      </c>
      <c r="AM196" s="42">
        <f>_xlfn.STDEV.S(AL196:AL215)</f>
        <v/>
      </c>
    </row>
    <row r="197">
      <c r="A197" s="1" t="n">
        <v>45971</v>
      </c>
      <c r="B197" s="7" t="n">
        <v>1580.54</v>
      </c>
      <c r="C197" s="3" t="n">
        <v>6996566.81</v>
      </c>
      <c r="E197" s="1" t="n">
        <v>45971</v>
      </c>
      <c r="F197" s="4" t="n">
        <v>199000</v>
      </c>
      <c r="G197" s="4" t="n">
        <v>3853015512</v>
      </c>
      <c r="H197" s="4" t="n">
        <v>86900</v>
      </c>
      <c r="I197" s="4" t="n">
        <v>4107412004</v>
      </c>
      <c r="J197" s="4" t="n">
        <v>29800</v>
      </c>
      <c r="K197" s="4" t="n">
        <v>2272318410</v>
      </c>
      <c r="L197" s="4" t="n">
        <v>70500</v>
      </c>
      <c r="M197" s="4" t="n">
        <v>1793300377</v>
      </c>
      <c r="N197" s="4" t="n">
        <v>176500</v>
      </c>
      <c r="O197" s="4" t="n">
        <v>591611334</v>
      </c>
      <c r="Q197" s="3" t="n"/>
      <c r="R197" s="3">
        <f>G197*F197-G198*F198</f>
        <v/>
      </c>
      <c r="S197" s="3">
        <f>I197*H197-I198*H198</f>
        <v/>
      </c>
      <c r="T197" s="3">
        <f>K197*J197-K198*J198</f>
        <v/>
      </c>
      <c r="U197" s="3">
        <f>M197*L197-M198*L198</f>
        <v/>
      </c>
      <c r="V197" s="3">
        <f>O197*N197-O198*N198</f>
        <v/>
      </c>
      <c r="X197" s="2">
        <f>R197/10^9</f>
        <v/>
      </c>
      <c r="Y197" s="2">
        <f>S197/10^9</f>
        <v/>
      </c>
      <c r="Z197" s="2">
        <f>T197/10^9</f>
        <v/>
      </c>
      <c r="AA197" s="2">
        <f>U197/10^9</f>
        <v/>
      </c>
      <c r="AB197" s="2">
        <f>V197/10^9</f>
        <v/>
      </c>
      <c r="AC197" s="2" t="n"/>
      <c r="AD197" s="8">
        <f>X197/$C198*$B198</f>
        <v/>
      </c>
      <c r="AE197" s="8">
        <f>Y197/$C198*$B198</f>
        <v/>
      </c>
      <c r="AF197" s="8">
        <f>Z197/$C198*$B198</f>
        <v/>
      </c>
      <c r="AG197" s="8">
        <f>AA197/$C198*$B198</f>
        <v/>
      </c>
      <c r="AH197" s="11">
        <f>AB197/$C198*$B198</f>
        <v/>
      </c>
      <c r="AI197" s="8">
        <f>SUM(AD197:AG197)</f>
        <v/>
      </c>
      <c r="AJ197" s="9">
        <f>AI197+AJ198</f>
        <v/>
      </c>
      <c r="AK197" s="9" t="n"/>
      <c r="AL197" s="7">
        <f>B197-AJ197</f>
        <v/>
      </c>
      <c r="AM197" s="42">
        <f>_xlfn.STDEV.S(AL197:AL216)</f>
        <v/>
      </c>
    </row>
    <row r="198">
      <c r="A198" s="1" t="n">
        <v>45968</v>
      </c>
      <c r="B198" s="7" t="n">
        <v>1599.1</v>
      </c>
      <c r="C198" s="3" t="n">
        <v>7078696.81</v>
      </c>
      <c r="E198" s="1" t="n">
        <v>45968</v>
      </c>
      <c r="F198" s="4" t="n">
        <v>199700</v>
      </c>
      <c r="G198" s="4" t="n">
        <v>3853015512</v>
      </c>
      <c r="H198" s="4" t="n">
        <v>92000</v>
      </c>
      <c r="I198" s="4" t="n">
        <v>4107412004</v>
      </c>
      <c r="J198" s="4" t="n">
        <v>31350</v>
      </c>
      <c r="K198" s="4" t="n">
        <v>2272318410</v>
      </c>
      <c r="L198" s="4" t="n">
        <v>71500</v>
      </c>
      <c r="M198" s="4" t="n">
        <v>1793300377</v>
      </c>
      <c r="N198" s="4" t="n">
        <v>178000</v>
      </c>
      <c r="O198" s="4" t="n">
        <v>591611334</v>
      </c>
      <c r="Q198" s="3" t="n"/>
      <c r="R198" s="3">
        <f>G198*F198-G199*F199</f>
        <v/>
      </c>
      <c r="S198" s="3">
        <f>I198*H198-I199*H199</f>
        <v/>
      </c>
      <c r="T198" s="3">
        <f>K198*J198-K199*J199</f>
        <v/>
      </c>
      <c r="U198" s="3">
        <f>M198*L198-M199*L199</f>
        <v/>
      </c>
      <c r="V198" s="3">
        <f>O198*N198-O199*N199</f>
        <v/>
      </c>
      <c r="X198" s="2">
        <f>R198/10^9</f>
        <v/>
      </c>
      <c r="Y198" s="2">
        <f>S198/10^9</f>
        <v/>
      </c>
      <c r="Z198" s="2">
        <f>T198/10^9</f>
        <v/>
      </c>
      <c r="AA198" s="2">
        <f>U198/10^9</f>
        <v/>
      </c>
      <c r="AB198" s="2">
        <f>V198/10^9</f>
        <v/>
      </c>
      <c r="AC198" s="2" t="n"/>
      <c r="AD198" s="8">
        <f>X198/$C199*$B199</f>
        <v/>
      </c>
      <c r="AE198" s="8">
        <f>Y198/$C199*$B199</f>
        <v/>
      </c>
      <c r="AF198" s="8">
        <f>Z198/$C199*$B199</f>
        <v/>
      </c>
      <c r="AG198" s="8">
        <f>AA198/$C199*$B199</f>
        <v/>
      </c>
      <c r="AH198" s="11">
        <f>AB198/$C199*$B199</f>
        <v/>
      </c>
      <c r="AI198" s="8">
        <f>SUM(AD198:AG198)</f>
        <v/>
      </c>
      <c r="AJ198" s="9">
        <f>AI198+AJ199</f>
        <v/>
      </c>
      <c r="AK198" s="9" t="n"/>
      <c r="AL198" s="7">
        <f>B198-AJ198</f>
        <v/>
      </c>
      <c r="AM198" s="42">
        <f>_xlfn.STDEV.S(AL198:AL217)</f>
        <v/>
      </c>
    </row>
    <row r="199">
      <c r="A199" s="1" t="n">
        <v>45967</v>
      </c>
      <c r="B199" s="7" t="n">
        <v>1642.64</v>
      </c>
      <c r="C199" s="3" t="n">
        <v>7270148.81</v>
      </c>
      <c r="E199" s="5" t="n">
        <v>45967</v>
      </c>
      <c r="F199" s="4" t="n">
        <v>207800</v>
      </c>
      <c r="G199" s="4" t="n">
        <v>3853015512</v>
      </c>
      <c r="H199" s="4" t="n">
        <v>98900</v>
      </c>
      <c r="I199" s="4" t="n">
        <v>4107412004</v>
      </c>
      <c r="J199" s="4" t="n">
        <v>32000</v>
      </c>
      <c r="K199" s="4" t="n">
        <v>2272318410</v>
      </c>
      <c r="L199" s="4" t="n">
        <v>73800</v>
      </c>
      <c r="M199" s="4" t="n">
        <v>1793300377</v>
      </c>
      <c r="N199" s="4" t="n">
        <v>180900</v>
      </c>
      <c r="O199" s="4" t="n">
        <v>591611334</v>
      </c>
      <c r="Q199" s="3" t="n"/>
      <c r="R199" s="3">
        <f>G199*F199-G200*F200</f>
        <v/>
      </c>
      <c r="S199" s="3">
        <f>I199*H199-I200*H200</f>
        <v/>
      </c>
      <c r="T199" s="3">
        <f>K199*J199-K200*J200</f>
        <v/>
      </c>
      <c r="U199" s="3">
        <f>M199*L199-M200*L200</f>
        <v/>
      </c>
      <c r="V199" s="3">
        <f>O199*N199-O200*N200</f>
        <v/>
      </c>
      <c r="X199" s="2">
        <f>R199/10^9</f>
        <v/>
      </c>
      <c r="Y199" s="2">
        <f>S199/10^9</f>
        <v/>
      </c>
      <c r="Z199" s="2">
        <f>T199/10^9</f>
        <v/>
      </c>
      <c r="AA199" s="2">
        <f>U199/10^9</f>
        <v/>
      </c>
      <c r="AB199" s="2">
        <f>V199/10^9</f>
        <v/>
      </c>
      <c r="AC199" s="2" t="n"/>
      <c r="AD199" s="8">
        <f>X199/$C200*$B200</f>
        <v/>
      </c>
      <c r="AE199" s="8">
        <f>Y199/$C200*$B200</f>
        <v/>
      </c>
      <c r="AF199" s="8">
        <f>Z199/$C200*$B200</f>
        <v/>
      </c>
      <c r="AG199" s="8">
        <f>AA199/$C200*$B200</f>
        <v/>
      </c>
      <c r="AH199" s="11">
        <f>AB199/$C200*$B200</f>
        <v/>
      </c>
      <c r="AI199" s="8">
        <f>SUM(AD199:AG199)</f>
        <v/>
      </c>
      <c r="AJ199" s="9">
        <f>AI199+AJ200</f>
        <v/>
      </c>
      <c r="AK199" s="9" t="n"/>
      <c r="AL199" s="7">
        <f>B199-AJ199</f>
        <v/>
      </c>
      <c r="AM199" s="42">
        <f>_xlfn.STDEV.S(AL199:AL218)</f>
        <v/>
      </c>
    </row>
    <row r="200">
      <c r="A200" s="1" t="n">
        <v>45966</v>
      </c>
      <c r="B200" s="7" t="n">
        <v>1654.89</v>
      </c>
      <c r="C200" s="3" t="n">
        <v>7324334.16</v>
      </c>
      <c r="E200" s="5" t="n">
        <v>45966</v>
      </c>
      <c r="F200" s="4" t="n">
        <v>206500</v>
      </c>
      <c r="G200" s="4" t="n">
        <v>3853015512</v>
      </c>
      <c r="H200" s="4" t="n">
        <v>99600</v>
      </c>
      <c r="I200" s="4" t="n">
        <v>4107412004</v>
      </c>
      <c r="J200" s="4" t="n">
        <v>32500</v>
      </c>
      <c r="K200" s="4" t="n">
        <v>2272318410</v>
      </c>
      <c r="L200" s="4" t="n">
        <v>74600</v>
      </c>
      <c r="M200" s="4" t="n">
        <v>1793300377</v>
      </c>
      <c r="N200" s="4" t="n">
        <v>184500</v>
      </c>
      <c r="O200" s="4" t="n">
        <v>591611334</v>
      </c>
      <c r="Q200" s="3" t="n"/>
      <c r="R200" s="3">
        <f>G200*F200-G201*F201</f>
        <v/>
      </c>
      <c r="S200" s="3">
        <f>I200*H200-I201*H201</f>
        <v/>
      </c>
      <c r="T200" s="3">
        <f>K200*J200-K201*J201</f>
        <v/>
      </c>
      <c r="U200" s="3">
        <f>M200*L200-M201*L201</f>
        <v/>
      </c>
      <c r="V200" s="3">
        <f>O200*N200-O201*N201</f>
        <v/>
      </c>
      <c r="X200" s="2">
        <f>R200/10^9</f>
        <v/>
      </c>
      <c r="Y200" s="2">
        <f>S200/10^9</f>
        <v/>
      </c>
      <c r="Z200" s="2">
        <f>T200/10^9</f>
        <v/>
      </c>
      <c r="AA200" s="2">
        <f>U200/10^9</f>
        <v/>
      </c>
      <c r="AB200" s="2">
        <f>V200/10^9</f>
        <v/>
      </c>
      <c r="AC200" s="2" t="n"/>
      <c r="AD200" s="8">
        <f>X200/$C201*$B201</f>
        <v/>
      </c>
      <c r="AE200" s="8">
        <f>Y200/$C201*$B201</f>
        <v/>
      </c>
      <c r="AF200" s="8">
        <f>Z200/$C201*$B201</f>
        <v/>
      </c>
      <c r="AG200" s="8">
        <f>AA200/$C201*$B201</f>
        <v/>
      </c>
      <c r="AH200" s="11">
        <f>AB200/$C201*$B201</f>
        <v/>
      </c>
      <c r="AI200" s="8">
        <f>SUM(AD200:AG200)</f>
        <v/>
      </c>
      <c r="AJ200" s="9">
        <f>AI200+AJ201</f>
        <v/>
      </c>
      <c r="AK200" s="9" t="n"/>
      <c r="AL200" s="7">
        <f>B200-AJ200</f>
        <v/>
      </c>
      <c r="AM200" s="42">
        <f>_xlfn.STDEV.S(AL200:AL219)</f>
        <v/>
      </c>
    </row>
    <row r="201">
      <c r="A201" s="1" t="n">
        <v>45965</v>
      </c>
      <c r="B201" s="7" t="n">
        <v>1651.98</v>
      </c>
      <c r="C201" s="3" t="n">
        <v>7311085.94</v>
      </c>
      <c r="E201" s="5" t="n">
        <v>45965</v>
      </c>
      <c r="F201" s="4" t="n">
        <v>201000</v>
      </c>
      <c r="G201" s="4" t="n">
        <v>3853015512</v>
      </c>
      <c r="H201" s="4" t="n">
        <v>100200</v>
      </c>
      <c r="I201" s="4" t="n">
        <v>4107412004</v>
      </c>
      <c r="J201" s="4" t="n">
        <v>33500</v>
      </c>
      <c r="K201" s="4" t="n">
        <v>2272318410</v>
      </c>
      <c r="L201" s="4" t="n">
        <v>74500</v>
      </c>
      <c r="M201" s="4" t="n">
        <v>1793300377</v>
      </c>
      <c r="N201" s="4" t="n">
        <v>185800</v>
      </c>
      <c r="O201" s="4" t="n">
        <v>591611334</v>
      </c>
      <c r="Q201" s="3" t="n"/>
      <c r="R201" s="3">
        <f>G201*F201-G202*F202</f>
        <v/>
      </c>
      <c r="S201" s="3">
        <f>I201*H201-I202*H202</f>
        <v/>
      </c>
      <c r="T201" s="3">
        <f>K201*J201-K202*J202</f>
        <v/>
      </c>
      <c r="U201" s="3">
        <f>M201*L201-M202*L202</f>
        <v/>
      </c>
      <c r="V201" s="3">
        <f>O201*N201-O202*N202</f>
        <v/>
      </c>
      <c r="X201" s="2">
        <f>R201/10^9</f>
        <v/>
      </c>
      <c r="Y201" s="2">
        <f>S201/10^9</f>
        <v/>
      </c>
      <c r="Z201" s="2">
        <f>T201/10^9</f>
        <v/>
      </c>
      <c r="AA201" s="2">
        <f>U201/10^9</f>
        <v/>
      </c>
      <c r="AB201" s="2">
        <f>V201/10^9</f>
        <v/>
      </c>
      <c r="AC201" s="2" t="n"/>
      <c r="AD201" s="8">
        <f>X201/$C202*$B202</f>
        <v/>
      </c>
      <c r="AE201" s="8">
        <f>Y201/$C202*$B202</f>
        <v/>
      </c>
      <c r="AF201" s="8">
        <f>Z201/$C202*$B202</f>
        <v/>
      </c>
      <c r="AG201" s="8">
        <f>AA201/$C202*$B202</f>
        <v/>
      </c>
      <c r="AH201" s="11">
        <f>AB201/$C202*$B202</f>
        <v/>
      </c>
      <c r="AI201" s="8">
        <f>SUM(AD201:AG201)</f>
        <v/>
      </c>
      <c r="AJ201" s="9">
        <f>AI201+AJ202</f>
        <v/>
      </c>
      <c r="AK201" s="9" t="n"/>
      <c r="AL201" s="7">
        <f>B201-AJ201</f>
        <v/>
      </c>
      <c r="AM201" s="42">
        <f>_xlfn.STDEV.S(AL201:AL220)</f>
        <v/>
      </c>
    </row>
    <row r="202">
      <c r="A202" s="1" t="n">
        <v>45964</v>
      </c>
      <c r="B202" s="7" t="n">
        <v>1617</v>
      </c>
      <c r="C202" s="3" t="n">
        <v>7155586.92</v>
      </c>
      <c r="E202" s="5" t="n">
        <v>45964</v>
      </c>
      <c r="F202" s="4" t="n">
        <v>195400</v>
      </c>
      <c r="G202" s="4" t="n">
        <v>3853015512</v>
      </c>
      <c r="H202" s="4" t="n">
        <v>98500</v>
      </c>
      <c r="I202" s="4" t="n">
        <v>4107412004</v>
      </c>
      <c r="J202" s="4" t="n">
        <v>31350</v>
      </c>
      <c r="K202" s="4" t="n">
        <v>2272318410</v>
      </c>
      <c r="L202" s="4" t="n">
        <v>75500</v>
      </c>
      <c r="M202" s="4" t="n">
        <v>1793300377</v>
      </c>
      <c r="N202" s="4" t="n">
        <v>183500</v>
      </c>
      <c r="O202" s="4" t="n">
        <v>591611334</v>
      </c>
      <c r="Q202" s="3" t="n"/>
      <c r="R202" s="3">
        <f>G202*F202-G203*F203</f>
        <v/>
      </c>
      <c r="S202" s="3">
        <f>I202*H202-I203*H203</f>
        <v/>
      </c>
      <c r="T202" s="3">
        <f>K202*J202-K203*J203</f>
        <v/>
      </c>
      <c r="U202" s="3">
        <f>M202*L202-M203*L203</f>
        <v/>
      </c>
      <c r="V202" s="3">
        <f>O202*N202-O203*N203</f>
        <v/>
      </c>
      <c r="X202" s="2">
        <f>R202/10^9</f>
        <v/>
      </c>
      <c r="Y202" s="2">
        <f>S202/10^9</f>
        <v/>
      </c>
      <c r="Z202" s="2">
        <f>T202/10^9</f>
        <v/>
      </c>
      <c r="AA202" s="2">
        <f>U202/10^9</f>
        <v/>
      </c>
      <c r="AB202" s="2">
        <f>V202/10^9</f>
        <v/>
      </c>
      <c r="AC202" s="2" t="n"/>
      <c r="AD202" s="8">
        <f>X202/$C203*$B203</f>
        <v/>
      </c>
      <c r="AE202" s="8">
        <f>Y202/$C203*$B203</f>
        <v/>
      </c>
      <c r="AF202" s="8">
        <f>Z202/$C203*$B203</f>
        <v/>
      </c>
      <c r="AG202" s="8">
        <f>AA202/$C203*$B203</f>
        <v/>
      </c>
      <c r="AH202" s="11">
        <f>AB202/$C203*$B203</f>
        <v/>
      </c>
      <c r="AI202" s="8">
        <f>SUM(AD202:AG202)</f>
        <v/>
      </c>
      <c r="AJ202" s="9">
        <f>AI202+AJ203</f>
        <v/>
      </c>
      <c r="AK202" s="9" t="n"/>
      <c r="AL202" s="7">
        <f>B202-AJ202</f>
        <v/>
      </c>
      <c r="AM202" s="42">
        <f>_xlfn.STDEV.S(AL202:AL221)</f>
        <v/>
      </c>
    </row>
    <row r="203">
      <c r="A203" s="1" t="n">
        <v>45961</v>
      </c>
      <c r="B203" s="7" t="n">
        <v>1639.65</v>
      </c>
      <c r="C203" s="3" t="n">
        <v>7255023.4</v>
      </c>
      <c r="E203" s="5" t="n">
        <v>45961</v>
      </c>
      <c r="F203" s="4" t="n">
        <v>191000</v>
      </c>
      <c r="G203" s="4" t="n">
        <v>3853015512</v>
      </c>
      <c r="H203" s="4" t="n">
        <v>99200</v>
      </c>
      <c r="I203" s="4" t="n">
        <v>4107412004</v>
      </c>
      <c r="J203" s="4" t="n">
        <v>33300</v>
      </c>
      <c r="K203" s="4" t="n">
        <v>2272318410</v>
      </c>
      <c r="L203" s="4" t="n">
        <v>77100</v>
      </c>
      <c r="M203" s="4" t="n">
        <v>1793300377</v>
      </c>
      <c r="N203" s="4" t="n">
        <v>187000</v>
      </c>
      <c r="O203" s="4" t="n">
        <v>591611334</v>
      </c>
      <c r="Q203" s="3" t="n"/>
      <c r="R203" s="3">
        <f>G203*F203-G204*F204</f>
        <v/>
      </c>
      <c r="S203" s="3">
        <f>I203*H203-I204*H204</f>
        <v/>
      </c>
      <c r="T203" s="3">
        <f>K203*J203-K204*J204</f>
        <v/>
      </c>
      <c r="U203" s="3">
        <f>M203*L203-M204*L204</f>
        <v/>
      </c>
      <c r="V203" s="3">
        <f>O203*N203-O204*N204</f>
        <v/>
      </c>
      <c r="X203" s="2">
        <f>R203/10^9</f>
        <v/>
      </c>
      <c r="Y203" s="2">
        <f>S203/10^9</f>
        <v/>
      </c>
      <c r="Z203" s="2">
        <f>T203/10^9</f>
        <v/>
      </c>
      <c r="AA203" s="2">
        <f>U203/10^9</f>
        <v/>
      </c>
      <c r="AB203" s="2">
        <f>V203/10^9</f>
        <v/>
      </c>
      <c r="AC203" s="2" t="n"/>
      <c r="AD203" s="8">
        <f>X203/$C204*$B204</f>
        <v/>
      </c>
      <c r="AE203" s="8">
        <f>Y203/$C204*$B204</f>
        <v/>
      </c>
      <c r="AF203" s="8">
        <f>Z203/$C204*$B204</f>
        <v/>
      </c>
      <c r="AG203" s="8">
        <f>AA203/$C204*$B204</f>
        <v/>
      </c>
      <c r="AH203" s="11">
        <f>AB203/$C204*$B204</f>
        <v/>
      </c>
      <c r="AI203" s="8">
        <f>SUM(AD203:AG203)</f>
        <v/>
      </c>
      <c r="AJ203" s="9">
        <f>AI203+AJ204</f>
        <v/>
      </c>
      <c r="AK203" s="9" t="n"/>
      <c r="AL203" s="7">
        <f>B203-AJ203</f>
        <v/>
      </c>
      <c r="AM203" s="42">
        <f>_xlfn.STDEV.S(AL203:AL222)</f>
        <v/>
      </c>
    </row>
    <row r="204">
      <c r="A204" s="1" t="n">
        <v>45960</v>
      </c>
      <c r="B204" s="7" t="n">
        <v>1669.57</v>
      </c>
      <c r="C204" s="3" t="n">
        <v>7387416.12</v>
      </c>
      <c r="E204" s="5" t="n">
        <v>45960</v>
      </c>
      <c r="F204" s="4" t="n">
        <v>204100</v>
      </c>
      <c r="G204" s="4" t="n">
        <v>3853015512</v>
      </c>
      <c r="H204" s="4" t="n">
        <v>104000</v>
      </c>
      <c r="I204" s="4" t="n">
        <v>4107412004</v>
      </c>
      <c r="J204" s="4" t="n">
        <v>34600</v>
      </c>
      <c r="K204" s="4" t="n">
        <v>2272318410</v>
      </c>
      <c r="L204" s="4" t="n">
        <v>77500</v>
      </c>
      <c r="M204" s="4" t="n">
        <v>1793300377</v>
      </c>
      <c r="N204" s="4" t="n">
        <v>195500</v>
      </c>
      <c r="O204" s="4" t="n">
        <v>591611334</v>
      </c>
      <c r="Q204" s="3" t="n"/>
      <c r="R204" s="3">
        <f>G204*F204-G205*F205</f>
        <v/>
      </c>
      <c r="S204" s="3">
        <f>I204*H204-I205*H205</f>
        <v/>
      </c>
      <c r="T204" s="3">
        <f>K204*J204-K205*J205</f>
        <v/>
      </c>
      <c r="U204" s="3">
        <f>M204*L204-M205*L205</f>
        <v/>
      </c>
      <c r="V204" s="3">
        <f>O204*N204-O205*N205</f>
        <v/>
      </c>
      <c r="X204" s="2">
        <f>R204/10^9</f>
        <v/>
      </c>
      <c r="Y204" s="2">
        <f>S204/10^9</f>
        <v/>
      </c>
      <c r="Z204" s="2">
        <f>T204/10^9</f>
        <v/>
      </c>
      <c r="AA204" s="2">
        <f>U204/10^9</f>
        <v/>
      </c>
      <c r="AB204" s="2">
        <f>V204/10^9</f>
        <v/>
      </c>
      <c r="AC204" s="2" t="n"/>
      <c r="AD204" s="8">
        <f>X204/$C205*$B205</f>
        <v/>
      </c>
      <c r="AE204" s="8">
        <f>Y204/$C205*$B205</f>
        <v/>
      </c>
      <c r="AF204" s="8">
        <f>Z204/$C205*$B205</f>
        <v/>
      </c>
      <c r="AG204" s="8">
        <f>AA204/$C205*$B205</f>
        <v/>
      </c>
      <c r="AH204" s="11">
        <f>AB204/$C205*$B205</f>
        <v/>
      </c>
      <c r="AI204" s="8">
        <f>SUM(AD204:AG204)</f>
        <v/>
      </c>
      <c r="AJ204" s="9">
        <f>AI204+AJ205</f>
        <v/>
      </c>
      <c r="AK204" s="9" t="n"/>
      <c r="AL204" s="7">
        <f>B204-AJ204</f>
        <v/>
      </c>
      <c r="AM204" s="42">
        <f>_xlfn.STDEV.S(AL204:AL223)</f>
        <v/>
      </c>
    </row>
    <row r="205">
      <c r="A205" s="1" t="n">
        <v>45959</v>
      </c>
      <c r="B205" s="7" t="n">
        <v>1685.83</v>
      </c>
      <c r="C205" s="3" t="n">
        <v>7459345.34</v>
      </c>
      <c r="E205" s="5" t="n">
        <v>45959</v>
      </c>
      <c r="F205" s="4" t="n">
        <v>212000</v>
      </c>
      <c r="G205" s="4" t="n">
        <v>3853015512</v>
      </c>
      <c r="H205" s="4" t="n">
        <v>103800</v>
      </c>
      <c r="I205" s="4" t="n">
        <v>4107412004</v>
      </c>
      <c r="J205" s="4" t="n">
        <v>35950</v>
      </c>
      <c r="K205" s="4" t="n">
        <v>2272318410</v>
      </c>
      <c r="L205" s="4" t="n">
        <v>79200</v>
      </c>
      <c r="M205" s="4" t="n">
        <v>1793300377</v>
      </c>
      <c r="N205" s="4" t="n">
        <v>195100</v>
      </c>
      <c r="O205" s="4" t="n">
        <v>591611334</v>
      </c>
      <c r="Q205" s="3" t="n"/>
      <c r="R205" s="3">
        <f>G205*F205-G206*F206</f>
        <v/>
      </c>
      <c r="S205" s="3">
        <f>I205*H205-I206*H206</f>
        <v/>
      </c>
      <c r="T205" s="3">
        <f>K205*J205-K206*J206</f>
        <v/>
      </c>
      <c r="U205" s="3">
        <f>M205*L205-M206*L206</f>
        <v/>
      </c>
      <c r="V205" s="3">
        <f>O205*N205-O206*N206</f>
        <v/>
      </c>
      <c r="X205" s="2">
        <f>R205/10^9</f>
        <v/>
      </c>
      <c r="Y205" s="2">
        <f>S205/10^9</f>
        <v/>
      </c>
      <c r="Z205" s="2">
        <f>T205/10^9</f>
        <v/>
      </c>
      <c r="AA205" s="2">
        <f>U205/10^9</f>
        <v/>
      </c>
      <c r="AB205" s="2">
        <f>V205/10^9</f>
        <v/>
      </c>
      <c r="AC205" s="2" t="n"/>
      <c r="AD205" s="8">
        <f>X205/$C206*$B206</f>
        <v/>
      </c>
      <c r="AE205" s="8">
        <f>Y205/$C206*$B206</f>
        <v/>
      </c>
      <c r="AF205" s="8">
        <f>Z205/$C206*$B206</f>
        <v/>
      </c>
      <c r="AG205" s="8">
        <f>AA205/$C206*$B206</f>
        <v/>
      </c>
      <c r="AH205" s="11">
        <f>AB205/$C206*$B206</f>
        <v/>
      </c>
      <c r="AI205" s="8">
        <f>SUM(AD205:AG205)</f>
        <v/>
      </c>
      <c r="AJ205" s="9">
        <f>AI205+AJ206</f>
        <v/>
      </c>
      <c r="AK205" s="9" t="n"/>
      <c r="AL205" s="7">
        <f>B205-AJ205</f>
        <v/>
      </c>
      <c r="AM205" s="42">
        <f>_xlfn.STDEV.S(AL205:AL224)</f>
        <v/>
      </c>
    </row>
    <row r="206">
      <c r="A206" s="1" t="n">
        <v>45958</v>
      </c>
      <c r="B206" s="7" t="n">
        <v>1680.5</v>
      </c>
      <c r="C206" s="3" t="n">
        <v>7431820.79</v>
      </c>
      <c r="E206" s="5" t="n">
        <v>45958</v>
      </c>
      <c r="F206" s="4" t="n">
        <v>220100</v>
      </c>
      <c r="G206" s="4" t="n">
        <v>3853015512</v>
      </c>
      <c r="H206" s="4" t="n">
        <v>107000</v>
      </c>
      <c r="I206" s="4" t="n">
        <v>4107412004</v>
      </c>
      <c r="J206" s="4" t="n">
        <v>36800</v>
      </c>
      <c r="K206" s="4" t="n">
        <v>2272318410</v>
      </c>
      <c r="L206" s="4" t="n">
        <v>80000</v>
      </c>
      <c r="M206" s="4" t="n">
        <v>1793300377</v>
      </c>
      <c r="N206" s="4" t="n">
        <v>187500</v>
      </c>
      <c r="O206" s="4" t="n">
        <v>591611334</v>
      </c>
      <c r="Q206" s="3" t="n"/>
      <c r="R206" s="3">
        <f>G206*F206-G207*F207</f>
        <v/>
      </c>
      <c r="S206" s="3">
        <f>I206*H206-I207*H207</f>
        <v/>
      </c>
      <c r="T206" s="3">
        <f>K206*J206-K207*J207</f>
        <v/>
      </c>
      <c r="U206" s="3">
        <f>M206*L206-M207*L207</f>
        <v/>
      </c>
      <c r="V206" s="3">
        <f>O206*N206-O207*N207</f>
        <v/>
      </c>
      <c r="X206" s="2">
        <f>R206/10^9</f>
        <v/>
      </c>
      <c r="Y206" s="2">
        <f>S206/10^9</f>
        <v/>
      </c>
      <c r="Z206" s="2">
        <f>T206/10^9</f>
        <v/>
      </c>
      <c r="AA206" s="2">
        <f>U206/10^9</f>
        <v/>
      </c>
      <c r="AB206" s="2">
        <f>V206/10^9</f>
        <v/>
      </c>
      <c r="AC206" s="2" t="n"/>
      <c r="AD206" s="8">
        <f>X206/$C207*$B207</f>
        <v/>
      </c>
      <c r="AE206" s="8">
        <f>Y206/$C207*$B207</f>
        <v/>
      </c>
      <c r="AF206" s="8">
        <f>Z206/$C207*$B207</f>
        <v/>
      </c>
      <c r="AG206" s="8">
        <f>AA206/$C207*$B207</f>
        <v/>
      </c>
      <c r="AH206" s="11">
        <f>AB206/$C207*$B207</f>
        <v/>
      </c>
      <c r="AI206" s="8">
        <f>SUM(AD206:AG206)</f>
        <v/>
      </c>
      <c r="AJ206" s="9">
        <f>AI206+AJ207</f>
        <v/>
      </c>
      <c r="AK206" s="9" t="n"/>
      <c r="AL206" s="7">
        <f>B206-AJ206</f>
        <v/>
      </c>
      <c r="AM206" s="42">
        <f>_xlfn.STDEV.S(AL206:AL225)</f>
        <v/>
      </c>
    </row>
    <row r="207">
      <c r="A207" s="1" t="n">
        <v>45957</v>
      </c>
      <c r="B207" s="7" t="n">
        <v>1652.54</v>
      </c>
      <c r="C207" s="3" t="n">
        <v>7308157.86</v>
      </c>
      <c r="E207" s="5" t="n">
        <v>45957</v>
      </c>
      <c r="F207" s="4" t="n">
        <v>214000</v>
      </c>
      <c r="G207" s="4" t="n">
        <v>3853015512</v>
      </c>
      <c r="H207" s="4" t="n">
        <v>106500</v>
      </c>
      <c r="I207" s="4" t="n">
        <v>4107412004</v>
      </c>
      <c r="J207" s="4" t="n">
        <v>36100</v>
      </c>
      <c r="K207" s="4" t="n">
        <v>2272318410</v>
      </c>
      <c r="L207" s="4" t="n">
        <v>81000</v>
      </c>
      <c r="M207" s="4" t="n">
        <v>1793300377</v>
      </c>
      <c r="N207" s="4" t="n">
        <v>175300</v>
      </c>
      <c r="O207" s="4" t="n">
        <v>591611334</v>
      </c>
      <c r="Q207" s="3" t="n"/>
      <c r="R207" s="3">
        <f>G207*F207-G208*F208</f>
        <v/>
      </c>
      <c r="S207" s="3">
        <f>I207*H207-I208*H208</f>
        <v/>
      </c>
      <c r="T207" s="3">
        <f>K207*J207-K208*J208</f>
        <v/>
      </c>
      <c r="U207" s="3">
        <f>M207*L207-M208*L208</f>
        <v/>
      </c>
      <c r="V207" s="3">
        <f>O207*N207-O208*N208</f>
        <v/>
      </c>
      <c r="X207" s="2">
        <f>R207/10^9</f>
        <v/>
      </c>
      <c r="Y207" s="2">
        <f>S207/10^9</f>
        <v/>
      </c>
      <c r="Z207" s="2">
        <f>T207/10^9</f>
        <v/>
      </c>
      <c r="AA207" s="2">
        <f>U207/10^9</f>
        <v/>
      </c>
      <c r="AB207" s="2">
        <f>V207/10^9</f>
        <v/>
      </c>
      <c r="AC207" s="2" t="n"/>
      <c r="AD207" s="8">
        <f>X207/$C208*$B208</f>
        <v/>
      </c>
      <c r="AE207" s="8">
        <f>Y207/$C208*$B208</f>
        <v/>
      </c>
      <c r="AF207" s="8">
        <f>Z207/$C208*$B208</f>
        <v/>
      </c>
      <c r="AG207" s="8">
        <f>AA207/$C208*$B208</f>
        <v/>
      </c>
      <c r="AH207" s="11">
        <f>AB207/$C208*$B208</f>
        <v/>
      </c>
      <c r="AI207" s="8">
        <f>SUM(AD207:AG207)</f>
        <v/>
      </c>
      <c r="AJ207" s="9">
        <f>AI207+AJ208</f>
        <v/>
      </c>
      <c r="AK207" s="9" t="n"/>
      <c r="AL207" s="7">
        <f>B207-AJ207</f>
        <v/>
      </c>
      <c r="AM207" s="42">
        <f>_xlfn.STDEV.S(AL207:AL226)</f>
        <v/>
      </c>
    </row>
    <row r="208">
      <c r="A208" s="1" t="n">
        <v>45954</v>
      </c>
      <c r="B208" s="7" t="n">
        <v>1683.18</v>
      </c>
      <c r="C208" s="3" t="n">
        <v>7443674.3</v>
      </c>
      <c r="E208" s="5" t="n">
        <v>45954</v>
      </c>
      <c r="F208" s="4" t="n">
        <v>219000</v>
      </c>
      <c r="G208" s="4" t="n">
        <v>3853015512</v>
      </c>
      <c r="H208" s="4" t="n">
        <v>114500</v>
      </c>
      <c r="I208" s="4" t="n">
        <v>4107412004</v>
      </c>
      <c r="J208" s="4" t="n">
        <v>38800</v>
      </c>
      <c r="K208" s="4" t="n">
        <v>2272318410</v>
      </c>
      <c r="L208" s="4" t="n">
        <v>82200</v>
      </c>
      <c r="M208" s="4" t="n">
        <v>1793300377</v>
      </c>
      <c r="N208" s="4" t="n">
        <v>180000</v>
      </c>
      <c r="O208" s="4" t="n">
        <v>591611334</v>
      </c>
      <c r="Q208" s="3" t="n"/>
      <c r="R208" s="3">
        <f>G208*F208-G209*F209</f>
        <v/>
      </c>
      <c r="S208" s="3">
        <f>I208*H208-I209*H209</f>
        <v/>
      </c>
      <c r="T208" s="3">
        <f>K208*J208-K209*J209</f>
        <v/>
      </c>
      <c r="U208" s="3">
        <f>M208*L208-M209*L209</f>
        <v/>
      </c>
      <c r="V208" s="3">
        <f>O208*N208-O209*N209</f>
        <v/>
      </c>
      <c r="X208" s="2">
        <f>R208/10^9</f>
        <v/>
      </c>
      <c r="Y208" s="2">
        <f>S208/10^9</f>
        <v/>
      </c>
      <c r="Z208" s="2">
        <f>T208/10^9</f>
        <v/>
      </c>
      <c r="AA208" s="2">
        <f>U208/10^9</f>
        <v/>
      </c>
      <c r="AB208" s="2">
        <f>V208/10^9</f>
        <v/>
      </c>
      <c r="AC208" s="2" t="n"/>
      <c r="AD208" s="8">
        <f>X208/$C209*$B209</f>
        <v/>
      </c>
      <c r="AE208" s="8">
        <f>Y208/$C209*$B209</f>
        <v/>
      </c>
      <c r="AF208" s="8">
        <f>Z208/$C209*$B209</f>
        <v/>
      </c>
      <c r="AG208" s="8">
        <f>AA208/$C209*$B209</f>
        <v/>
      </c>
      <c r="AH208" s="11">
        <f>AB208/$C209*$B209</f>
        <v/>
      </c>
      <c r="AI208" s="8">
        <f>SUM(AD208:AG208)</f>
        <v/>
      </c>
      <c r="AJ208" s="9">
        <f>AI208+AJ209</f>
        <v/>
      </c>
      <c r="AK208" s="9" t="n"/>
      <c r="AL208" s="7">
        <f>B208-AJ208</f>
        <v/>
      </c>
      <c r="AM208" s="42">
        <f>_xlfn.STDEV.S(AL208:AL227)</f>
        <v/>
      </c>
    </row>
    <row r="209">
      <c r="A209" s="1" t="n">
        <v>45953</v>
      </c>
      <c r="B209" s="7" t="n">
        <v>1687.06</v>
      </c>
      <c r="C209" s="3" t="n">
        <v>7460806.88</v>
      </c>
      <c r="E209" s="5" t="n">
        <v>45953</v>
      </c>
      <c r="F209" s="4" t="n">
        <v>215000</v>
      </c>
      <c r="G209" s="4" t="n">
        <v>3853015512</v>
      </c>
      <c r="H209" s="4" t="n">
        <v>115000</v>
      </c>
      <c r="I209" s="4" t="n">
        <v>4107412004</v>
      </c>
      <c r="J209" s="4" t="n">
        <v>39400</v>
      </c>
      <c r="K209" s="4" t="n">
        <v>2272318410</v>
      </c>
      <c r="L209" s="4" t="n">
        <v>80600</v>
      </c>
      <c r="M209" s="4" t="n">
        <v>1793300377</v>
      </c>
      <c r="N209" s="4" t="n">
        <v>184000</v>
      </c>
      <c r="O209" s="4" t="n">
        <v>591611334</v>
      </c>
      <c r="Q209" s="3" t="n"/>
      <c r="R209" s="3">
        <f>G209*F209-G210*F210</f>
        <v/>
      </c>
      <c r="S209" s="3">
        <f>I209*H209-I210*H210</f>
        <v/>
      </c>
      <c r="T209" s="3">
        <f>K209*J209-K210*J210</f>
        <v/>
      </c>
      <c r="U209" s="3">
        <f>M209*L209-M210*L210</f>
        <v/>
      </c>
      <c r="V209" s="3">
        <f>O209*N209-O210*N210</f>
        <v/>
      </c>
      <c r="X209" s="2">
        <f>R209/10^9</f>
        <v/>
      </c>
      <c r="Y209" s="2">
        <f>S209/10^9</f>
        <v/>
      </c>
      <c r="Z209" s="2">
        <f>T209/10^9</f>
        <v/>
      </c>
      <c r="AA209" s="2">
        <f>U209/10^9</f>
        <v/>
      </c>
      <c r="AB209" s="2">
        <f>V209/10^9</f>
        <v/>
      </c>
      <c r="AC209" s="2" t="n"/>
      <c r="AD209" s="8">
        <f>X209/$C210*$B210</f>
        <v/>
      </c>
      <c r="AE209" s="8">
        <f>Y209/$C210*$B210</f>
        <v/>
      </c>
      <c r="AF209" s="8">
        <f>Z209/$C210*$B210</f>
        <v/>
      </c>
      <c r="AG209" s="8">
        <f>AA209/$C210*$B210</f>
        <v/>
      </c>
      <c r="AH209" s="11">
        <f>AB209/$C210*$B210</f>
        <v/>
      </c>
      <c r="AI209" s="8">
        <f>SUM(AD209:AG209)</f>
        <v/>
      </c>
      <c r="AJ209" s="9">
        <f>AI209+AJ210</f>
        <v/>
      </c>
      <c r="AK209" s="9" t="n"/>
      <c r="AL209" s="7">
        <f>B209-AJ209</f>
        <v/>
      </c>
      <c r="AM209" s="42">
        <f>_xlfn.STDEV.S(AL209:AL228)</f>
        <v/>
      </c>
    </row>
    <row r="210">
      <c r="A210" s="1" t="n">
        <v>45952</v>
      </c>
      <c r="B210" s="7" t="n">
        <v>1678.5</v>
      </c>
      <c r="C210" s="3" t="n">
        <v>7422526.39</v>
      </c>
      <c r="E210" s="5" t="n">
        <v>45952</v>
      </c>
      <c r="F210" s="4" t="n">
        <v>203000</v>
      </c>
      <c r="G210" s="4" t="n">
        <v>3853015512</v>
      </c>
      <c r="H210" s="4" t="n">
        <v>113000</v>
      </c>
      <c r="I210" s="4" t="n">
        <v>4107412004</v>
      </c>
      <c r="J210" s="4" t="n">
        <v>39000</v>
      </c>
      <c r="K210" s="4" t="n">
        <v>2272318410</v>
      </c>
      <c r="L210" s="4" t="n">
        <v>79000</v>
      </c>
      <c r="M210" s="4" t="n">
        <v>1793300377</v>
      </c>
      <c r="N210" s="4" t="n">
        <v>180200</v>
      </c>
      <c r="O210" s="4" t="n">
        <v>591611334</v>
      </c>
      <c r="Q210" s="3" t="n"/>
      <c r="R210" s="3">
        <f>G210*F210-G211*F211</f>
        <v/>
      </c>
      <c r="S210" s="3">
        <f>I210*H210-I211*H211</f>
        <v/>
      </c>
      <c r="T210" s="3">
        <f>K210*J210-K211*J211</f>
        <v/>
      </c>
      <c r="U210" s="3">
        <f>M210*L210-M211*L211</f>
        <v/>
      </c>
      <c r="V210" s="3">
        <f>O210*N210-O211*N211</f>
        <v/>
      </c>
      <c r="X210" s="2">
        <f>R210/10^9</f>
        <v/>
      </c>
      <c r="Y210" s="2">
        <f>S210/10^9</f>
        <v/>
      </c>
      <c r="Z210" s="2">
        <f>T210/10^9</f>
        <v/>
      </c>
      <c r="AA210" s="2">
        <f>U210/10^9</f>
        <v/>
      </c>
      <c r="AB210" s="2">
        <f>V210/10^9</f>
        <v/>
      </c>
      <c r="AC210" s="2" t="n"/>
      <c r="AD210" s="8">
        <f>X210/$C211*$B211</f>
        <v/>
      </c>
      <c r="AE210" s="8">
        <f>Y210/$C211*$B211</f>
        <v/>
      </c>
      <c r="AF210" s="8">
        <f>Z210/$C211*$B211</f>
        <v/>
      </c>
      <c r="AG210" s="8">
        <f>AA210/$C211*$B211</f>
        <v/>
      </c>
      <c r="AH210" s="11">
        <f>AB210/$C211*$B211</f>
        <v/>
      </c>
      <c r="AI210" s="8">
        <f>SUM(AD210:AG210)</f>
        <v/>
      </c>
      <c r="AJ210" s="9">
        <f>AI210+AJ211</f>
        <v/>
      </c>
      <c r="AK210" s="9" t="n"/>
      <c r="AL210" s="7">
        <f>B210-AJ210</f>
        <v/>
      </c>
      <c r="AM210" s="42">
        <f>_xlfn.STDEV.S(AL210:AL229)</f>
        <v/>
      </c>
    </row>
    <row r="211">
      <c r="A211" s="1" t="n">
        <v>45951</v>
      </c>
      <c r="B211" s="7" t="n">
        <v>1663.43</v>
      </c>
      <c r="C211" s="3" t="n">
        <v>7242755.99</v>
      </c>
      <c r="E211" s="5" t="n">
        <v>45951</v>
      </c>
      <c r="F211" s="4" t="n">
        <v>203400</v>
      </c>
      <c r="G211" s="4" t="n">
        <v>3853015512</v>
      </c>
      <c r="H211" s="4" t="n">
        <v>110900</v>
      </c>
      <c r="I211" s="4" t="n">
        <v>4107412004</v>
      </c>
      <c r="J211" s="4" t="n">
        <v>38800</v>
      </c>
      <c r="K211" s="4" t="n">
        <v>2272318410</v>
      </c>
      <c r="L211" s="4" t="n">
        <v>74100</v>
      </c>
      <c r="M211" s="4" t="n">
        <v>1793300377</v>
      </c>
      <c r="N211" s="4" t="n">
        <v>180000</v>
      </c>
      <c r="O211" s="4" t="n">
        <v>591611334</v>
      </c>
      <c r="Q211" s="3" t="n"/>
      <c r="R211" s="3">
        <f>G211*F211-G212*F212</f>
        <v/>
      </c>
      <c r="S211" s="3">
        <f>I211*H211-I212*H212</f>
        <v/>
      </c>
      <c r="T211" s="3">
        <f>K211*J211-K212*J212</f>
        <v/>
      </c>
      <c r="U211" s="3">
        <f>M211*L211-M212*L212</f>
        <v/>
      </c>
      <c r="V211" s="3">
        <f>O211*N211-O212*N212</f>
        <v/>
      </c>
      <c r="X211" s="2">
        <f>R211/10^9</f>
        <v/>
      </c>
      <c r="Y211" s="2">
        <f>S211/10^9</f>
        <v/>
      </c>
      <c r="Z211" s="2">
        <f>T211/10^9</f>
        <v/>
      </c>
      <c r="AA211" s="2">
        <f>U211/10^9</f>
        <v/>
      </c>
      <c r="AB211" s="2">
        <f>V211/10^9</f>
        <v/>
      </c>
      <c r="AC211" s="2" t="n"/>
      <c r="AD211" s="8">
        <f>X211/$C212*$B212</f>
        <v/>
      </c>
      <c r="AE211" s="8">
        <f>Y211/$C212*$B212</f>
        <v/>
      </c>
      <c r="AF211" s="8">
        <f>Z211/$C212*$B212</f>
        <v/>
      </c>
      <c r="AG211" s="8">
        <f>AA211/$C212*$B212</f>
        <v/>
      </c>
      <c r="AH211" s="11">
        <f>AB211/$C212*$B212</f>
        <v/>
      </c>
      <c r="AI211" s="8">
        <f>SUM(AD211:AG211)</f>
        <v/>
      </c>
      <c r="AJ211" s="9">
        <f>AI211+AJ212</f>
        <v/>
      </c>
      <c r="AK211" s="9" t="n"/>
      <c r="AL211" s="7">
        <f>B211-AJ211</f>
        <v/>
      </c>
      <c r="AM211" s="42">
        <f>_xlfn.STDEV.S(AL211:AL230)</f>
        <v/>
      </c>
    </row>
    <row r="212">
      <c r="A212" s="1" t="n">
        <v>45950</v>
      </c>
      <c r="B212" s="7" t="n">
        <v>1636.43</v>
      </c>
      <c r="C212" s="3" t="n">
        <v>7125178.42</v>
      </c>
      <c r="E212" s="5" t="n">
        <v>45950</v>
      </c>
      <c r="F212" s="4" t="n">
        <v>194900</v>
      </c>
      <c r="G212" s="4" t="n">
        <v>3853015512</v>
      </c>
      <c r="H212" s="4" t="n">
        <v>108000</v>
      </c>
      <c r="I212" s="4" t="n">
        <v>4107412004</v>
      </c>
      <c r="J212" s="4" t="n">
        <v>38150</v>
      </c>
      <c r="K212" s="4" t="n">
        <v>2272318410</v>
      </c>
      <c r="L212" s="4" t="n">
        <v>73500</v>
      </c>
      <c r="M212" s="4" t="n">
        <v>1793300377</v>
      </c>
      <c r="N212" s="4" t="n">
        <v>174500</v>
      </c>
      <c r="O212" s="4" t="n">
        <v>591611334</v>
      </c>
      <c r="Q212" s="3" t="n"/>
      <c r="R212" s="3">
        <f>G212*F212-G213*F213</f>
        <v/>
      </c>
      <c r="S212" s="3">
        <f>I212*H212-I213*H213</f>
        <v/>
      </c>
      <c r="T212" s="3">
        <f>K212*J212-K213*J213</f>
        <v/>
      </c>
      <c r="U212" s="3">
        <f>M212*L212-M213*L213</f>
        <v/>
      </c>
      <c r="V212" s="3">
        <f>O212*N212-O213*N213</f>
        <v/>
      </c>
      <c r="X212" s="2">
        <f>R212/10^9</f>
        <v/>
      </c>
      <c r="Y212" s="2">
        <f>S212/10^9</f>
        <v/>
      </c>
      <c r="Z212" s="2">
        <f>T212/10^9</f>
        <v/>
      </c>
      <c r="AA212" s="2">
        <f>U212/10^9</f>
        <v/>
      </c>
      <c r="AB212" s="2">
        <f>V212/10^9</f>
        <v/>
      </c>
      <c r="AC212" s="2" t="n"/>
      <c r="AD212" s="8">
        <f>X212/$C213*$B213</f>
        <v/>
      </c>
      <c r="AE212" s="8">
        <f>Y212/$C213*$B213</f>
        <v/>
      </c>
      <c r="AF212" s="8">
        <f>Z212/$C213*$B213</f>
        <v/>
      </c>
      <c r="AG212" s="8">
        <f>AA212/$C213*$B213</f>
        <v/>
      </c>
      <c r="AH212" s="11">
        <f>AB212/$C213*$B213</f>
        <v/>
      </c>
      <c r="AI212" s="8">
        <f>SUM(AD212:AG212)</f>
        <v/>
      </c>
      <c r="AJ212" s="9">
        <f>AI212+AJ213</f>
        <v/>
      </c>
      <c r="AK212" s="9" t="n"/>
      <c r="AL212" s="7">
        <f>B212-AJ212</f>
        <v/>
      </c>
      <c r="AM212" s="42">
        <f>_xlfn.STDEV.S(AL212:AL231)</f>
        <v/>
      </c>
    </row>
    <row r="213">
      <c r="A213" s="1" t="n">
        <v>45947</v>
      </c>
      <c r="B213" s="7" t="n">
        <v>1731.19</v>
      </c>
      <c r="C213" s="3" t="n">
        <v>7537578.45</v>
      </c>
      <c r="E213" s="5" t="n">
        <v>45947</v>
      </c>
      <c r="F213" s="4" t="n">
        <v>204000</v>
      </c>
      <c r="G213" s="4" t="n">
        <v>3853015512</v>
      </c>
      <c r="H213" s="4" t="n">
        <v>116000</v>
      </c>
      <c r="I213" s="4" t="n">
        <v>4107412004</v>
      </c>
      <c r="J213" s="4" t="n">
        <v>41000</v>
      </c>
      <c r="K213" s="4" t="n">
        <v>2272318410</v>
      </c>
      <c r="L213" s="4" t="n">
        <v>79000</v>
      </c>
      <c r="M213" s="4" t="n">
        <v>1793300377</v>
      </c>
      <c r="N213" s="4" t="n">
        <v>175000</v>
      </c>
      <c r="O213" s="4" t="n">
        <v>591611334</v>
      </c>
      <c r="Q213" s="3" t="n"/>
      <c r="R213" s="3">
        <f>G213*F213-G214*F214</f>
        <v/>
      </c>
      <c r="S213" s="3">
        <f>I213*H213-I214*H214</f>
        <v/>
      </c>
      <c r="T213" s="3">
        <f>K213*J213-K214*J214</f>
        <v/>
      </c>
      <c r="U213" s="3">
        <f>M213*L213-M214*L214</f>
        <v/>
      </c>
      <c r="V213" s="3">
        <f>O213*N213-O214*N214</f>
        <v/>
      </c>
      <c r="X213" s="2">
        <f>R213/10^9</f>
        <v/>
      </c>
      <c r="Y213" s="2">
        <f>S213/10^9</f>
        <v/>
      </c>
      <c r="Z213" s="2">
        <f>T213/10^9</f>
        <v/>
      </c>
      <c r="AA213" s="2">
        <f>U213/10^9</f>
        <v/>
      </c>
      <c r="AB213" s="2">
        <f>V213/10^9</f>
        <v/>
      </c>
      <c r="AC213" s="2" t="n"/>
      <c r="AD213" s="8">
        <f>X213/$C214*$B214</f>
        <v/>
      </c>
      <c r="AE213" s="8">
        <f>Y213/$C214*$B214</f>
        <v/>
      </c>
      <c r="AF213" s="8">
        <f>Z213/$C214*$B214</f>
        <v/>
      </c>
      <c r="AG213" s="8">
        <f>AA213/$C214*$B214</f>
        <v/>
      </c>
      <c r="AH213" s="11">
        <f>AB213/$C214*$B214</f>
        <v/>
      </c>
      <c r="AI213" s="8">
        <f>SUM(AD213:AG213)</f>
        <v/>
      </c>
      <c r="AJ213" s="9">
        <f>AI213+AJ214</f>
        <v/>
      </c>
      <c r="AK213" s="9" t="n"/>
      <c r="AL213" s="7">
        <f>B213-AJ213</f>
        <v/>
      </c>
      <c r="AM213" s="42">
        <f>_xlfn.STDEV.S(AL213:AL232)</f>
        <v/>
      </c>
    </row>
    <row r="214">
      <c r="A214" s="1" t="n">
        <v>45946</v>
      </c>
      <c r="B214" s="7" t="n">
        <v>1766.85</v>
      </c>
      <c r="C214" s="3" t="n">
        <v>7687928.84</v>
      </c>
      <c r="E214" s="5" t="n">
        <v>45946</v>
      </c>
      <c r="F214" s="4" t="n">
        <v>213100</v>
      </c>
      <c r="G214" s="4" t="n">
        <v>3853015512</v>
      </c>
      <c r="H214" s="4" t="n">
        <v>122000</v>
      </c>
      <c r="I214" s="4" t="n">
        <v>4107412004</v>
      </c>
      <c r="J214" s="4" t="n">
        <v>43400</v>
      </c>
      <c r="K214" s="4" t="n">
        <v>2272318410</v>
      </c>
      <c r="L214" s="4" t="n">
        <v>82100</v>
      </c>
      <c r="M214" s="4" t="n">
        <v>1793300377</v>
      </c>
      <c r="N214" s="4" t="n">
        <v>173500</v>
      </c>
      <c r="O214" s="4" t="n">
        <v>591611334</v>
      </c>
      <c r="Q214" s="3" t="n"/>
      <c r="R214" s="3">
        <f>G214*F214-G215*F215</f>
        <v/>
      </c>
      <c r="S214" s="3">
        <f>I214*H214-I215*H215</f>
        <v/>
      </c>
      <c r="T214" s="3">
        <f>K214*J214-K215*J215</f>
        <v/>
      </c>
      <c r="U214" s="3">
        <f>M214*L214-M215*L215</f>
        <v/>
      </c>
      <c r="V214" s="3">
        <f>O214*N214-O215*N215</f>
        <v/>
      </c>
      <c r="X214" s="2">
        <f>R214/10^9</f>
        <v/>
      </c>
      <c r="Y214" s="2">
        <f>S214/10^9</f>
        <v/>
      </c>
      <c r="Z214" s="2">
        <f>T214/10^9</f>
        <v/>
      </c>
      <c r="AA214" s="2">
        <f>U214/10^9</f>
        <v/>
      </c>
      <c r="AB214" s="2">
        <f>V214/10^9</f>
        <v/>
      </c>
      <c r="AC214" s="2" t="n"/>
      <c r="AD214" s="8">
        <f>X214/$C215*$B215</f>
        <v/>
      </c>
      <c r="AE214" s="8">
        <f>Y214/$C215*$B215</f>
        <v/>
      </c>
      <c r="AF214" s="8">
        <f>Z214/$C215*$B215</f>
        <v/>
      </c>
      <c r="AG214" s="8">
        <f>AA214/$C215*$B215</f>
        <v/>
      </c>
      <c r="AH214" s="11">
        <f>AB214/$C215*$B215</f>
        <v/>
      </c>
      <c r="AI214" s="8">
        <f>SUM(AD214:AG214)</f>
        <v/>
      </c>
      <c r="AJ214" s="9">
        <f>AI214+AJ215</f>
        <v/>
      </c>
      <c r="AK214" s="9" t="n"/>
      <c r="AL214" s="7">
        <f>B214-AJ214</f>
        <v/>
      </c>
      <c r="AM214" s="42">
        <f>_xlfn.STDEV.S(AL214:AL233)</f>
        <v/>
      </c>
    </row>
    <row r="215">
      <c r="A215" s="1" t="n">
        <v>45945</v>
      </c>
      <c r="B215" s="7" t="n">
        <v>1757.95</v>
      </c>
      <c r="C215" s="3" t="n">
        <v>7649189.27</v>
      </c>
      <c r="E215" s="5" t="n">
        <v>45945</v>
      </c>
      <c r="F215" s="4" t="n">
        <v>209500</v>
      </c>
      <c r="G215" s="4" t="n">
        <v>3853015512</v>
      </c>
      <c r="H215" s="4" t="n">
        <v>124000</v>
      </c>
      <c r="I215" s="4" t="n">
        <v>4107412004</v>
      </c>
      <c r="J215" s="4" t="n">
        <v>41900</v>
      </c>
      <c r="K215" s="4" t="n">
        <v>2272318410</v>
      </c>
      <c r="L215" s="4" t="n">
        <v>83700</v>
      </c>
      <c r="M215" s="4" t="n">
        <v>1793300377</v>
      </c>
      <c r="N215" s="4" t="n">
        <v>163100</v>
      </c>
      <c r="O215" s="4" t="n">
        <v>591611334</v>
      </c>
      <c r="Q215" s="3" t="n"/>
      <c r="R215" s="3">
        <f>G215*F215-G216*F216</f>
        <v/>
      </c>
      <c r="S215" s="3">
        <f>I215*H215-I216*H216</f>
        <v/>
      </c>
      <c r="T215" s="3">
        <f>K215*J215-K216*J216</f>
        <v/>
      </c>
      <c r="U215" s="3">
        <f>M215*L215-M216*L216</f>
        <v/>
      </c>
      <c r="V215" s="3">
        <f>O215*N215-O216*N216</f>
        <v/>
      </c>
      <c r="X215" s="2">
        <f>R215/10^9</f>
        <v/>
      </c>
      <c r="Y215" s="2">
        <f>S215/10^9</f>
        <v/>
      </c>
      <c r="Z215" s="2">
        <f>T215/10^9</f>
        <v/>
      </c>
      <c r="AA215" s="2">
        <f>U215/10^9</f>
        <v/>
      </c>
      <c r="AB215" s="2">
        <f>V215/10^9</f>
        <v/>
      </c>
      <c r="AC215" s="2" t="n"/>
      <c r="AD215" s="8">
        <f>X215/$C216*$B216</f>
        <v/>
      </c>
      <c r="AE215" s="8">
        <f>Y215/$C216*$B216</f>
        <v/>
      </c>
      <c r="AF215" s="8">
        <f>Z215/$C216*$B216</f>
        <v/>
      </c>
      <c r="AG215" s="8">
        <f>AA215/$C216*$B216</f>
        <v/>
      </c>
      <c r="AH215" s="11">
        <f>AB215/$C216*$B216</f>
        <v/>
      </c>
      <c r="AI215" s="8">
        <f>SUM(AD215:AG215)</f>
        <v/>
      </c>
      <c r="AJ215" s="9">
        <f>AI215+AJ216</f>
        <v/>
      </c>
      <c r="AK215" s="9" t="n"/>
      <c r="AL215" s="7">
        <f>B215-AJ215</f>
        <v/>
      </c>
      <c r="AM215" s="42">
        <f>_xlfn.STDEV.S(AL215:AL234)</f>
        <v/>
      </c>
    </row>
    <row r="216">
      <c r="A216" s="1" t="n">
        <v>45944</v>
      </c>
      <c r="B216" s="7" t="n">
        <v>1761.06</v>
      </c>
      <c r="C216" s="3" t="n">
        <v>7662740.85</v>
      </c>
      <c r="E216" s="5" t="n">
        <v>45944</v>
      </c>
      <c r="F216" s="4" t="n">
        <v>211900</v>
      </c>
      <c r="G216" s="4" t="n">
        <v>3853015512</v>
      </c>
      <c r="H216" s="4" t="n">
        <v>127000</v>
      </c>
      <c r="I216" s="4" t="n">
        <v>4107412004</v>
      </c>
      <c r="J216" s="4" t="n">
        <v>42750</v>
      </c>
      <c r="K216" s="4" t="n">
        <v>2272318410</v>
      </c>
      <c r="L216" s="4" t="n">
        <v>86500</v>
      </c>
      <c r="M216" s="4" t="n">
        <v>1793300377</v>
      </c>
      <c r="N216" s="4" t="n">
        <v>152500</v>
      </c>
      <c r="O216" s="4" t="n">
        <v>591611334</v>
      </c>
      <c r="Q216" s="3" t="n"/>
      <c r="R216" s="3">
        <f>G216*F216-G217*F217</f>
        <v/>
      </c>
      <c r="S216" s="3">
        <f>I216*H216-I217*H217</f>
        <v/>
      </c>
      <c r="T216" s="3">
        <f>K216*J216-K217*J217</f>
        <v/>
      </c>
      <c r="U216" s="3">
        <f>M216*L216-M217*L217</f>
        <v/>
      </c>
      <c r="V216" s="3">
        <f>O216*N216-O217*N217</f>
        <v/>
      </c>
      <c r="X216" s="2">
        <f>R216/10^9</f>
        <v/>
      </c>
      <c r="Y216" s="2">
        <f>S216/10^9</f>
        <v/>
      </c>
      <c r="Z216" s="2">
        <f>T216/10^9</f>
        <v/>
      </c>
      <c r="AA216" s="2">
        <f>U216/10^9</f>
        <v/>
      </c>
      <c r="AB216" s="2">
        <f>V216/10^9</f>
        <v/>
      </c>
      <c r="AC216" s="2" t="n"/>
      <c r="AD216" s="8">
        <f>X216/$C217*$B217</f>
        <v/>
      </c>
      <c r="AE216" s="8">
        <f>Y216/$C217*$B217</f>
        <v/>
      </c>
      <c r="AF216" s="8">
        <f>Z216/$C217*$B217</f>
        <v/>
      </c>
      <c r="AG216" s="8">
        <f>AA216/$C217*$B217</f>
        <v/>
      </c>
      <c r="AH216" s="11">
        <f>AB216/$C217*$B217</f>
        <v/>
      </c>
      <c r="AI216" s="8">
        <f>SUM(AD216:AG216)</f>
        <v/>
      </c>
      <c r="AJ216" s="9">
        <f>AI216+AJ217</f>
        <v/>
      </c>
      <c r="AK216" s="9" t="n"/>
      <c r="AL216" s="7">
        <f>B216-AJ216</f>
        <v/>
      </c>
      <c r="AM216" s="42">
        <f>_xlfn.STDEV.S(AL216:AL235)</f>
        <v/>
      </c>
    </row>
    <row r="217">
      <c r="A217" s="1" t="n">
        <v>45943</v>
      </c>
      <c r="B217" s="7" t="n">
        <v>1765.12</v>
      </c>
      <c r="C217" s="3" t="n">
        <v>7676787.45</v>
      </c>
      <c r="E217" s="5" t="n">
        <v>45943</v>
      </c>
      <c r="F217" s="4" t="n">
        <v>205400</v>
      </c>
      <c r="G217" s="4" t="n">
        <v>3853015512</v>
      </c>
      <c r="H217" s="4" t="n">
        <v>124200</v>
      </c>
      <c r="I217" s="4" t="n">
        <v>4107412004</v>
      </c>
      <c r="J217" s="4" t="n">
        <v>43000</v>
      </c>
      <c r="K217" s="4" t="n">
        <v>2272318410</v>
      </c>
      <c r="L217" s="4" t="n">
        <v>89200</v>
      </c>
      <c r="M217" s="4" t="n">
        <v>1793300377</v>
      </c>
      <c r="N217" s="4" t="n">
        <v>142600</v>
      </c>
      <c r="O217" s="4" t="n">
        <v>591611334</v>
      </c>
      <c r="Q217" s="3" t="n"/>
      <c r="R217" s="3">
        <f>G217*F217-G218*F218</f>
        <v/>
      </c>
      <c r="S217" s="3">
        <f>I217*H217-I218*H218</f>
        <v/>
      </c>
      <c r="T217" s="3">
        <f>K217*J217-K218*J218</f>
        <v/>
      </c>
      <c r="U217" s="3">
        <f>M217*L217-M218*L218</f>
        <v/>
      </c>
      <c r="V217" s="3">
        <f>O217*N217-O218*N218</f>
        <v/>
      </c>
      <c r="X217" s="2">
        <f>R217/10^9</f>
        <v/>
      </c>
      <c r="Y217" s="2">
        <f>S217/10^9</f>
        <v/>
      </c>
      <c r="Z217" s="2">
        <f>T217/10^9</f>
        <v/>
      </c>
      <c r="AA217" s="2">
        <f>U217/10^9</f>
        <v/>
      </c>
      <c r="AB217" s="2">
        <f>V217/10^9</f>
        <v/>
      </c>
      <c r="AC217" s="2" t="n"/>
      <c r="AD217" s="8">
        <f>X217/$C218*$B218</f>
        <v/>
      </c>
      <c r="AE217" s="8">
        <f>Y217/$C218*$B218</f>
        <v/>
      </c>
      <c r="AF217" s="8">
        <f>Z217/$C218*$B218</f>
        <v/>
      </c>
      <c r="AG217" s="8">
        <f>AA217/$C218*$B218</f>
        <v/>
      </c>
      <c r="AH217" s="11">
        <f>AB217/$C218*$B218</f>
        <v/>
      </c>
      <c r="AI217" s="8">
        <f>SUM(AD217:AG217)</f>
        <v/>
      </c>
      <c r="AJ217" s="9">
        <f>AI217+AJ218</f>
        <v/>
      </c>
      <c r="AK217" s="9" t="n"/>
      <c r="AL217" s="7">
        <f>B217-AJ217</f>
        <v/>
      </c>
      <c r="AM217" s="42">
        <f>_xlfn.STDEV.S(AL217:AL236)</f>
        <v/>
      </c>
    </row>
    <row r="218">
      <c r="A218" s="1" t="n">
        <v>45940</v>
      </c>
      <c r="B218" s="7" t="n">
        <v>1747.55</v>
      </c>
      <c r="C218" s="3" t="n">
        <v>7579392.53</v>
      </c>
      <c r="E218" s="5" t="n">
        <v>45940</v>
      </c>
      <c r="F218" s="4" t="n">
        <v>192000</v>
      </c>
      <c r="G218" s="4" t="n">
        <v>3853015512</v>
      </c>
      <c r="H218" s="4" t="n">
        <v>123000</v>
      </c>
      <c r="I218" s="4" t="n">
        <v>4107412004</v>
      </c>
      <c r="J218" s="4" t="n">
        <v>40350</v>
      </c>
      <c r="K218" s="4" t="n">
        <v>2272318410</v>
      </c>
      <c r="L218" s="4" t="n">
        <v>89000</v>
      </c>
      <c r="M218" s="4" t="n">
        <v>1793300377</v>
      </c>
      <c r="N218" s="4" t="n">
        <v>133300</v>
      </c>
      <c r="O218" s="4" t="n">
        <v>591611334</v>
      </c>
      <c r="Q218" s="3" t="n"/>
      <c r="R218" s="3">
        <f>G218*F218-G219*F219</f>
        <v/>
      </c>
      <c r="S218" s="3">
        <f>I218*H218-I219*H219</f>
        <v/>
      </c>
      <c r="T218" s="3">
        <f>K218*J218-K219*J219</f>
        <v/>
      </c>
      <c r="U218" s="3">
        <f>M218*L218-M219*L219</f>
        <v/>
      </c>
      <c r="V218" s="3">
        <f>O218*N218-O219*N219</f>
        <v/>
      </c>
      <c r="X218" s="2">
        <f>R218/10^9</f>
        <v/>
      </c>
      <c r="Y218" s="2">
        <f>S218/10^9</f>
        <v/>
      </c>
      <c r="Z218" s="2">
        <f>T218/10^9</f>
        <v/>
      </c>
      <c r="AA218" s="2">
        <f>U218/10^9</f>
        <v/>
      </c>
      <c r="AB218" s="2">
        <f>V218/10^9</f>
        <v/>
      </c>
      <c r="AC218" s="2" t="n"/>
      <c r="AD218" s="8">
        <f>X218/$C219*$B219</f>
        <v/>
      </c>
      <c r="AE218" s="8">
        <f>Y218/$C219*$B219</f>
        <v/>
      </c>
      <c r="AF218" s="8">
        <f>Z218/$C219*$B219</f>
        <v/>
      </c>
      <c r="AG218" s="8">
        <f>AA218/$C219*$B219</f>
        <v/>
      </c>
      <c r="AH218" s="11">
        <f>AB218/$C219*$B219</f>
        <v/>
      </c>
      <c r="AI218" s="8">
        <f>SUM(AD218:AG218)</f>
        <v/>
      </c>
      <c r="AJ218" s="9">
        <f>AI218+AJ219</f>
        <v/>
      </c>
      <c r="AK218" s="9" t="n"/>
      <c r="AL218" s="7">
        <f>B218-AJ218</f>
        <v/>
      </c>
      <c r="AM218" s="42">
        <f>_xlfn.STDEV.S(AL218:AL237)</f>
        <v/>
      </c>
    </row>
    <row r="219">
      <c r="A219" s="1" t="n">
        <v>45939</v>
      </c>
      <c r="B219" s="7" t="n">
        <v>1716.47</v>
      </c>
      <c r="C219" s="3" t="n">
        <v>7444613.08</v>
      </c>
      <c r="E219" s="5" t="n">
        <v>45939</v>
      </c>
      <c r="F219" s="4" t="n">
        <v>179500</v>
      </c>
      <c r="G219" s="4" t="n">
        <v>3853015512</v>
      </c>
      <c r="H219" s="4" t="n">
        <v>115000</v>
      </c>
      <c r="I219" s="4" t="n">
        <v>4107412004</v>
      </c>
      <c r="J219" s="4" t="n">
        <v>38000</v>
      </c>
      <c r="K219" s="4" t="n">
        <v>2272318410</v>
      </c>
      <c r="L219" s="4" t="n">
        <v>87200</v>
      </c>
      <c r="M219" s="4" t="n">
        <v>1793300377</v>
      </c>
      <c r="N219" s="4" t="n">
        <v>133100</v>
      </c>
      <c r="O219" s="4" t="n">
        <v>591611334</v>
      </c>
      <c r="Q219" s="3" t="n"/>
      <c r="R219" s="3">
        <f>G219*F219-G220*F220</f>
        <v/>
      </c>
      <c r="S219" s="3">
        <f>I219*H219-I220*H220</f>
        <v/>
      </c>
      <c r="T219" s="3">
        <f>K219*J219-K220*J220</f>
        <v/>
      </c>
      <c r="U219" s="3">
        <f>M219*L219-M220*L220</f>
        <v/>
      </c>
      <c r="V219" s="3">
        <f>O219*N219-O220*N220</f>
        <v/>
      </c>
      <c r="X219" s="2">
        <f>R219/10^9</f>
        <v/>
      </c>
      <c r="Y219" s="2">
        <f>S219/10^9</f>
        <v/>
      </c>
      <c r="Z219" s="2">
        <f>T219/10^9</f>
        <v/>
      </c>
      <c r="AA219" s="2">
        <f>U219/10^9</f>
        <v/>
      </c>
      <c r="AB219" s="2">
        <f>V219/10^9</f>
        <v/>
      </c>
      <c r="AC219" s="2" t="n"/>
      <c r="AD219" s="8">
        <f>X219/$C220*$B220</f>
        <v/>
      </c>
      <c r="AE219" s="8">
        <f>Y219/$C220*$B220</f>
        <v/>
      </c>
      <c r="AF219" s="8">
        <f>Z219/$C220*$B220</f>
        <v/>
      </c>
      <c r="AG219" s="8">
        <f>AA219/$C220*$B220</f>
        <v/>
      </c>
      <c r="AH219" s="11">
        <f>AB219/$C220*$B220</f>
        <v/>
      </c>
      <c r="AI219" s="8">
        <f>SUM(AD219:AG219)</f>
        <v/>
      </c>
      <c r="AJ219" s="9">
        <f>AI219+AJ220</f>
        <v/>
      </c>
      <c r="AK219" s="9" t="n"/>
      <c r="AL219" s="7">
        <f>B219-AJ219</f>
        <v/>
      </c>
      <c r="AM219" s="42">
        <f>_xlfn.STDEV.S(AL219:AL238)</f>
        <v/>
      </c>
    </row>
    <row r="220">
      <c r="A220" s="1" t="n">
        <v>45938</v>
      </c>
      <c r="B220" s="7" t="n">
        <v>1697.83</v>
      </c>
      <c r="C220" s="3" t="n">
        <v>7361977.11</v>
      </c>
      <c r="E220" s="5" t="n">
        <v>45938</v>
      </c>
      <c r="F220" s="4" t="n">
        <v>178100</v>
      </c>
      <c r="G220" s="4" t="n">
        <v>3853015512</v>
      </c>
      <c r="H220" s="4" t="n">
        <v>107500</v>
      </c>
      <c r="I220" s="4" t="n">
        <v>4107412004</v>
      </c>
      <c r="J220" s="4" t="n">
        <v>36300</v>
      </c>
      <c r="K220" s="4" t="n">
        <v>2272318410</v>
      </c>
      <c r="L220" s="4" t="n">
        <v>86600</v>
      </c>
      <c r="M220" s="4" t="n">
        <v>1793300377</v>
      </c>
      <c r="N220" s="4" t="n">
        <v>133400</v>
      </c>
      <c r="O220" s="4" t="n">
        <v>591611334</v>
      </c>
      <c r="Q220" s="3" t="n"/>
      <c r="R220" s="3">
        <f>G220*F220-G221*F221</f>
        <v/>
      </c>
      <c r="S220" s="3">
        <f>I220*H220-I221*H221</f>
        <v/>
      </c>
      <c r="T220" s="3">
        <f>K220*J220-K221*J221</f>
        <v/>
      </c>
      <c r="U220" s="3">
        <f>M220*L220-M221*L221</f>
        <v/>
      </c>
      <c r="V220" s="3">
        <f>O220*N220-O221*N221</f>
        <v/>
      </c>
      <c r="X220" s="2">
        <f>R220/10^9</f>
        <v/>
      </c>
      <c r="Y220" s="2">
        <f>S220/10^9</f>
        <v/>
      </c>
      <c r="Z220" s="2">
        <f>T220/10^9</f>
        <v/>
      </c>
      <c r="AA220" s="2">
        <f>U220/10^9</f>
        <v/>
      </c>
      <c r="AB220" s="2">
        <f>V220/10^9</f>
        <v/>
      </c>
      <c r="AC220" s="2" t="n"/>
      <c r="AD220" s="8">
        <f>X220/$C221*$B221</f>
        <v/>
      </c>
      <c r="AE220" s="8">
        <f>Y220/$C221*$B221</f>
        <v/>
      </c>
      <c r="AF220" s="8">
        <f>Z220/$C221*$B221</f>
        <v/>
      </c>
      <c r="AG220" s="8">
        <f>AA220/$C221*$B221</f>
        <v/>
      </c>
      <c r="AH220" s="11">
        <f>AB220/$C221*$B221</f>
        <v/>
      </c>
      <c r="AI220" s="8">
        <f>SUM(AD220:AG220)</f>
        <v/>
      </c>
      <c r="AJ220" s="9">
        <f>AI220+AJ221</f>
        <v/>
      </c>
      <c r="AK220" s="9" t="n"/>
      <c r="AL220" s="7">
        <f>B220-AJ220</f>
        <v/>
      </c>
      <c r="AM220" s="42">
        <f>_xlfn.STDEV.S(AL220:AL239)</f>
        <v/>
      </c>
    </row>
    <row r="221">
      <c r="A221" s="1" t="n">
        <v>45937</v>
      </c>
      <c r="B221" s="7" t="n">
        <v>1685.3</v>
      </c>
      <c r="C221" s="3" t="n">
        <v>7307626.38</v>
      </c>
      <c r="E221" s="5" t="n">
        <v>45937</v>
      </c>
      <c r="F221" s="4" t="n">
        <v>180000</v>
      </c>
      <c r="G221" s="4" t="n">
        <v>3853015512</v>
      </c>
      <c r="H221" s="4" t="n">
        <v>103100</v>
      </c>
      <c r="I221" s="4" t="n">
        <v>4107412004</v>
      </c>
      <c r="J221" s="4" t="n">
        <v>35000</v>
      </c>
      <c r="K221" s="4" t="n">
        <v>2272318410</v>
      </c>
      <c r="L221" s="4" t="n">
        <v>86600</v>
      </c>
      <c r="M221" s="4" t="n">
        <v>1793300377</v>
      </c>
      <c r="N221" s="4" t="n">
        <v>133400</v>
      </c>
      <c r="O221" s="4" t="n">
        <v>591611334</v>
      </c>
      <c r="Q221" s="3" t="n"/>
      <c r="R221" s="3">
        <f>G221*F221-G222*F222</f>
        <v/>
      </c>
      <c r="S221" s="3">
        <f>I221*H221-I222*H222</f>
        <v/>
      </c>
      <c r="T221" s="3">
        <f>K221*J221-K222*J222</f>
        <v/>
      </c>
      <c r="U221" s="3">
        <f>M221*L221-M222*L222</f>
        <v/>
      </c>
      <c r="V221" s="3">
        <f>O221*N221-O222*N222</f>
        <v/>
      </c>
      <c r="X221" s="2">
        <f>R221/10^9</f>
        <v/>
      </c>
      <c r="Y221" s="2">
        <f>S221/10^9</f>
        <v/>
      </c>
      <c r="Z221" s="2">
        <f>T221/10^9</f>
        <v/>
      </c>
      <c r="AA221" s="2">
        <f>U221/10^9</f>
        <v/>
      </c>
      <c r="AB221" s="2">
        <f>V221/10^9</f>
        <v/>
      </c>
      <c r="AC221" s="2" t="n"/>
      <c r="AD221" s="8">
        <f>X221/$C222*$B222</f>
        <v/>
      </c>
      <c r="AE221" s="8">
        <f>Y221/$C222*$B222</f>
        <v/>
      </c>
      <c r="AF221" s="8">
        <f>Z221/$C222*$B222</f>
        <v/>
      </c>
      <c r="AG221" s="8">
        <f>AA221/$C222*$B222</f>
        <v/>
      </c>
      <c r="AH221" s="11">
        <f>AB221/$C222*$B222</f>
        <v/>
      </c>
      <c r="AI221" s="8">
        <f>SUM(AD221:AG221)</f>
        <v/>
      </c>
      <c r="AJ221" s="9">
        <f>AI221+AJ222</f>
        <v/>
      </c>
      <c r="AK221" s="9" t="n"/>
      <c r="AL221" s="7">
        <f>B221-AJ221</f>
        <v/>
      </c>
      <c r="AM221" s="42">
        <f>_xlfn.STDEV.S(AL221:AL240)</f>
        <v/>
      </c>
    </row>
    <row r="222">
      <c r="A222" s="1" t="n">
        <v>45936</v>
      </c>
      <c r="B222" s="7" t="n">
        <v>1695.5</v>
      </c>
      <c r="C222" s="3" t="n">
        <v>7351849.09</v>
      </c>
      <c r="E222" s="5" t="n">
        <v>45936</v>
      </c>
      <c r="F222" s="4" t="n">
        <v>179700</v>
      </c>
      <c r="G222" s="4" t="n">
        <v>3853015512</v>
      </c>
      <c r="H222" s="4" t="n">
        <v>102700</v>
      </c>
      <c r="I222" s="4" t="n">
        <v>4107412004</v>
      </c>
      <c r="J222" s="4" t="n">
        <v>35000</v>
      </c>
      <c r="K222" s="4" t="n">
        <v>2272318410</v>
      </c>
      <c r="L222" s="4" t="n">
        <v>81000</v>
      </c>
      <c r="M222" s="4" t="n">
        <v>1793300377</v>
      </c>
      <c r="N222" s="4" t="n">
        <v>134300</v>
      </c>
      <c r="O222" s="4" t="n">
        <v>591611334</v>
      </c>
      <c r="Q222" s="3" t="n"/>
      <c r="R222" s="3">
        <f>G222*F222-G223*F223</f>
        <v/>
      </c>
      <c r="S222" s="3">
        <f>I222*H222-I223*H223</f>
        <v/>
      </c>
      <c r="T222" s="3">
        <f>K222*J222-K223*J223</f>
        <v/>
      </c>
      <c r="U222" s="3">
        <f>M222*L222-M223*L223</f>
        <v/>
      </c>
      <c r="V222" s="3">
        <f>O222*N222-O223*N223</f>
        <v/>
      </c>
      <c r="X222" s="2">
        <f>R222/10^9</f>
        <v/>
      </c>
      <c r="Y222" s="2">
        <f>S222/10^9</f>
        <v/>
      </c>
      <c r="Z222" s="2">
        <f>T222/10^9</f>
        <v/>
      </c>
      <c r="AA222" s="2">
        <f>U222/10^9</f>
        <v/>
      </c>
      <c r="AB222" s="2">
        <f>V222/10^9</f>
        <v/>
      </c>
      <c r="AC222" s="2" t="n"/>
      <c r="AD222" s="8">
        <f>X222/$C223*$B223</f>
        <v/>
      </c>
      <c r="AE222" s="8">
        <f>Y222/$C223*$B223</f>
        <v/>
      </c>
      <c r="AF222" s="8">
        <f>Z222/$C223*$B223</f>
        <v/>
      </c>
      <c r="AG222" s="8">
        <f>AA222/$C223*$B223</f>
        <v/>
      </c>
      <c r="AH222" s="11">
        <f>AB222/$C223*$B223</f>
        <v/>
      </c>
      <c r="AI222" s="8">
        <f>SUM(AD222:AG222)</f>
        <v/>
      </c>
      <c r="AJ222" s="9">
        <f>AI222+AJ223</f>
        <v/>
      </c>
      <c r="AK222" s="9" t="n"/>
      <c r="AL222" s="7">
        <f>B222-AJ222</f>
        <v/>
      </c>
      <c r="AM222" s="42">
        <f>_xlfn.STDEV.S(AL222:AL241)</f>
        <v/>
      </c>
    </row>
    <row r="223">
      <c r="A223" s="1" t="n">
        <v>45933</v>
      </c>
      <c r="B223" s="7" t="n">
        <v>1645.82</v>
      </c>
      <c r="C223" s="3" t="n">
        <v>7136436.35</v>
      </c>
      <c r="E223" s="5" t="n">
        <v>45933</v>
      </c>
      <c r="F223" s="4" t="n">
        <v>176500</v>
      </c>
      <c r="G223" s="4" t="n">
        <v>3853015512</v>
      </c>
      <c r="H223" s="4" t="n">
        <v>100000</v>
      </c>
      <c r="I223" s="4" t="n">
        <v>4107412004</v>
      </c>
      <c r="J223" s="4" t="n">
        <v>32750</v>
      </c>
      <c r="K223" s="4" t="n">
        <v>2272318410</v>
      </c>
      <c r="L223" s="4" t="n">
        <v>80000</v>
      </c>
      <c r="M223" s="4" t="n">
        <v>1793300377</v>
      </c>
      <c r="N223" s="4" t="n">
        <v>129300</v>
      </c>
      <c r="O223" s="4" t="n">
        <v>591611334</v>
      </c>
      <c r="Q223" s="3" t="n"/>
      <c r="R223" s="3">
        <f>G223*F223-G224*F224</f>
        <v/>
      </c>
      <c r="S223" s="3">
        <f>I223*H223-I224*H224</f>
        <v/>
      </c>
      <c r="T223" s="3">
        <f>K223*J223-K224*J224</f>
        <v/>
      </c>
      <c r="U223" s="3">
        <f>M223*L223-M224*L224</f>
        <v/>
      </c>
      <c r="V223" s="3">
        <f>O223*N223-O224*N224</f>
        <v/>
      </c>
      <c r="X223" s="2">
        <f>R223/10^9</f>
        <v/>
      </c>
      <c r="Y223" s="2">
        <f>S223/10^9</f>
        <v/>
      </c>
      <c r="Z223" s="2">
        <f>T223/10^9</f>
        <v/>
      </c>
      <c r="AA223" s="2">
        <f>U223/10^9</f>
        <v/>
      </c>
      <c r="AB223" s="2">
        <f>V223/10^9</f>
        <v/>
      </c>
      <c r="AC223" s="2" t="n"/>
      <c r="AD223" s="8">
        <f>X223/$C224*$B224</f>
        <v/>
      </c>
      <c r="AE223" s="8">
        <f>Y223/$C224*$B224</f>
        <v/>
      </c>
      <c r="AF223" s="8">
        <f>Z223/$C224*$B224</f>
        <v/>
      </c>
      <c r="AG223" s="8">
        <f>AA223/$C224*$B224</f>
        <v/>
      </c>
      <c r="AH223" s="11">
        <f>AB223/$C224*$B224</f>
        <v/>
      </c>
      <c r="AI223" s="8">
        <f>SUM(AD223:AG223)</f>
        <v/>
      </c>
      <c r="AJ223" s="9">
        <f>AI223+AJ224</f>
        <v/>
      </c>
      <c r="AK223" s="9" t="n"/>
      <c r="AL223" s="7">
        <f>B223-AJ223</f>
        <v/>
      </c>
      <c r="AM223" s="42">
        <f>_xlfn.STDEV.S(AL223:AL242)</f>
        <v/>
      </c>
    </row>
    <row r="224">
      <c r="A224" s="1" t="n">
        <v>45932</v>
      </c>
      <c r="B224" s="7" t="n">
        <v>1652.71</v>
      </c>
      <c r="C224" s="3" t="n">
        <v>7165791.12</v>
      </c>
      <c r="E224" s="5" t="n">
        <v>45932</v>
      </c>
      <c r="F224" s="4" t="n">
        <v>171000</v>
      </c>
      <c r="G224" s="4" t="n">
        <v>3853015512</v>
      </c>
      <c r="H224" s="4" t="n">
        <v>98600</v>
      </c>
      <c r="I224" s="4" t="n">
        <v>4107412004</v>
      </c>
      <c r="J224" s="4" t="n">
        <v>31750</v>
      </c>
      <c r="K224" s="4" t="n">
        <v>2272318410</v>
      </c>
      <c r="L224" s="4" t="n">
        <v>80300</v>
      </c>
      <c r="M224" s="4" t="n">
        <v>1793300377</v>
      </c>
      <c r="N224" s="4" t="n">
        <v>128700</v>
      </c>
      <c r="O224" s="4" t="n">
        <v>591611334</v>
      </c>
      <c r="Q224" s="3" t="n"/>
      <c r="R224" s="3">
        <f>G224*F224-G225*F225</f>
        <v/>
      </c>
      <c r="S224" s="3">
        <f>I224*H224-I225*H225</f>
        <v/>
      </c>
      <c r="T224" s="3">
        <f>K224*J224-K225*J225</f>
        <v/>
      </c>
      <c r="U224" s="3">
        <f>M224*L224-M225*L225</f>
        <v/>
      </c>
      <c r="V224" s="3">
        <f>O224*N224-O225*N225</f>
        <v/>
      </c>
      <c r="X224" s="2">
        <f>R224/10^9</f>
        <v/>
      </c>
      <c r="Y224" s="2">
        <f>S224/10^9</f>
        <v/>
      </c>
      <c r="Z224" s="2">
        <f>T224/10^9</f>
        <v/>
      </c>
      <c r="AA224" s="2">
        <f>U224/10^9</f>
        <v/>
      </c>
      <c r="AB224" s="2">
        <f>V224/10^9</f>
        <v/>
      </c>
      <c r="AC224" s="2" t="n"/>
      <c r="AD224" s="8">
        <f>X224/$C225*$B225</f>
        <v/>
      </c>
      <c r="AE224" s="8">
        <f>Y224/$C225*$B225</f>
        <v/>
      </c>
      <c r="AF224" s="8">
        <f>Z224/$C225*$B225</f>
        <v/>
      </c>
      <c r="AG224" s="8">
        <f>AA224/$C225*$B225</f>
        <v/>
      </c>
      <c r="AH224" s="11">
        <f>AB224/$C225*$B225</f>
        <v/>
      </c>
      <c r="AI224" s="8">
        <f>SUM(AD224:AG224)</f>
        <v/>
      </c>
      <c r="AJ224" s="9">
        <f>AI224+AJ225</f>
        <v/>
      </c>
      <c r="AK224" s="9" t="n"/>
      <c r="AL224" s="7">
        <f>B224-AJ224</f>
        <v/>
      </c>
      <c r="AM224" s="42">
        <f>_xlfn.STDEV.S(AL224:AL243)</f>
        <v/>
      </c>
    </row>
    <row r="225">
      <c r="A225" s="1" t="n">
        <v>45931</v>
      </c>
      <c r="B225" s="7" t="n">
        <v>1665.05</v>
      </c>
      <c r="C225" s="3" t="n">
        <v>7219277.87</v>
      </c>
      <c r="E225" s="5" t="n">
        <v>45931</v>
      </c>
      <c r="F225" s="4" t="n">
        <v>170000</v>
      </c>
      <c r="G225" s="4" t="n">
        <v>3853015512</v>
      </c>
      <c r="H225" s="4" t="n">
        <v>101200</v>
      </c>
      <c r="I225" s="4" t="n">
        <v>4107412004</v>
      </c>
      <c r="J225" s="4" t="n">
        <v>33150</v>
      </c>
      <c r="K225" s="4" t="n">
        <v>2272318410</v>
      </c>
      <c r="L225" s="4" t="n">
        <v>80200</v>
      </c>
      <c r="M225" s="4" t="n">
        <v>1793300377</v>
      </c>
      <c r="N225" s="4" t="n">
        <v>128000</v>
      </c>
      <c r="O225" s="4" t="n">
        <v>591611334</v>
      </c>
      <c r="Q225" s="3" t="n"/>
      <c r="R225" s="3">
        <f>G225*F225-G226*F226</f>
        <v/>
      </c>
      <c r="S225" s="3">
        <f>I225*H225-I226*H226</f>
        <v/>
      </c>
      <c r="T225" s="3">
        <f>K225*J225-K226*J226</f>
        <v/>
      </c>
      <c r="U225" s="3">
        <f>M225*L225-M226*L226</f>
        <v/>
      </c>
      <c r="V225" s="3">
        <f>O225*N225-O226*N226</f>
        <v/>
      </c>
      <c r="X225" s="2">
        <f>R225/10^9</f>
        <v/>
      </c>
      <c r="Y225" s="2">
        <f>S225/10^9</f>
        <v/>
      </c>
      <c r="Z225" s="2">
        <f>T225/10^9</f>
        <v/>
      </c>
      <c r="AA225" s="2">
        <f>U225/10^9</f>
        <v/>
      </c>
      <c r="AB225" s="2">
        <f>V225/10^9</f>
        <v/>
      </c>
      <c r="AC225" s="2" t="n"/>
      <c r="AD225" s="8">
        <f>X225/$C226*$B226</f>
        <v/>
      </c>
      <c r="AE225" s="8">
        <f>Y225/$C226*$B226</f>
        <v/>
      </c>
      <c r="AF225" s="8">
        <f>Z225/$C226*$B226</f>
        <v/>
      </c>
      <c r="AG225" s="8">
        <f>AA225/$C226*$B226</f>
        <v/>
      </c>
      <c r="AH225" s="11">
        <f>AB225/$C226*$B226</f>
        <v/>
      </c>
      <c r="AI225" s="8">
        <f>SUM(AD225:AG225)</f>
        <v/>
      </c>
      <c r="AJ225" s="9">
        <f>AI225+AJ226</f>
        <v/>
      </c>
      <c r="AK225" s="9" t="n"/>
      <c r="AL225" s="7">
        <f>B225-AJ225</f>
        <v/>
      </c>
      <c r="AM225" s="42">
        <f>_xlfn.STDEV.S(AL225:AL244)</f>
        <v/>
      </c>
    </row>
    <row r="226">
      <c r="A226" s="1" t="n">
        <v>45930</v>
      </c>
      <c r="B226" s="7" t="n">
        <v>1661.7</v>
      </c>
      <c r="C226" s="3" t="n">
        <v>7204747.23</v>
      </c>
      <c r="E226" s="5" t="n">
        <v>45930</v>
      </c>
      <c r="F226" s="4" t="n">
        <v>174900</v>
      </c>
      <c r="G226" s="4" t="n">
        <v>3853015512</v>
      </c>
      <c r="H226" s="4" t="n">
        <v>103000</v>
      </c>
      <c r="I226" s="4" t="n">
        <v>4107412004</v>
      </c>
      <c r="J226" s="4" t="n">
        <v>32100</v>
      </c>
      <c r="K226" s="4" t="n">
        <v>2272318410</v>
      </c>
      <c r="L226" s="4" t="n">
        <v>80200</v>
      </c>
      <c r="M226" s="4" t="n">
        <v>1793300377</v>
      </c>
      <c r="N226" s="4" t="n">
        <v>129600</v>
      </c>
      <c r="O226" s="4" t="n">
        <v>591611334</v>
      </c>
      <c r="Q226" s="3" t="n"/>
      <c r="R226" s="3">
        <f>G226*F226-G227*F227</f>
        <v/>
      </c>
      <c r="S226" s="3">
        <f>I226*H226-I227*H227</f>
        <v/>
      </c>
      <c r="T226" s="3">
        <f>K226*J226-K227*J227</f>
        <v/>
      </c>
      <c r="U226" s="3">
        <f>M226*L226-M227*L227</f>
        <v/>
      </c>
      <c r="V226" s="3">
        <f>O226*N226-O227*N227</f>
        <v/>
      </c>
      <c r="X226" s="2">
        <f>R226/10^9</f>
        <v/>
      </c>
      <c r="Y226" s="2">
        <f>S226/10^9</f>
        <v/>
      </c>
      <c r="Z226" s="2">
        <f>T226/10^9</f>
        <v/>
      </c>
      <c r="AA226" s="2">
        <f>U226/10^9</f>
        <v/>
      </c>
      <c r="AB226" s="2">
        <f>V226/10^9</f>
        <v/>
      </c>
      <c r="AC226" s="2" t="n"/>
      <c r="AD226" s="8">
        <f>X226/$C227*$B227</f>
        <v/>
      </c>
      <c r="AE226" s="8">
        <f>Y226/$C227*$B227</f>
        <v/>
      </c>
      <c r="AF226" s="8">
        <f>Z226/$C227*$B227</f>
        <v/>
      </c>
      <c r="AG226" s="8">
        <f>AA226/$C227*$B227</f>
        <v/>
      </c>
      <c r="AH226" s="11">
        <f>AB226/$C227*$B227</f>
        <v/>
      </c>
      <c r="AI226" s="8">
        <f>SUM(AD226:AG226)</f>
        <v/>
      </c>
      <c r="AJ226" s="9">
        <f>AI226+AJ227</f>
        <v/>
      </c>
      <c r="AK226" s="9" t="n"/>
      <c r="AL226" s="7">
        <f>B226-AJ226</f>
        <v/>
      </c>
      <c r="AM226" s="42">
        <f>_xlfn.STDEV.S(AL226:AL245)</f>
        <v/>
      </c>
    </row>
    <row r="227">
      <c r="A227" s="1" t="n">
        <v>45929</v>
      </c>
      <c r="B227" s="7" t="n">
        <v>1666.48</v>
      </c>
      <c r="C227" s="3" t="n">
        <v>7226776.88</v>
      </c>
      <c r="E227" s="5" t="n">
        <v>45929</v>
      </c>
      <c r="F227" s="4" t="n">
        <v>172800</v>
      </c>
      <c r="G227" s="4" t="n">
        <v>3853015512</v>
      </c>
      <c r="H227" s="4" t="n">
        <v>101900</v>
      </c>
      <c r="I227" s="4" t="n">
        <v>4107412004</v>
      </c>
      <c r="J227" s="4" t="n">
        <v>30000</v>
      </c>
      <c r="K227" s="4" t="n">
        <v>2272318410</v>
      </c>
      <c r="L227" s="4" t="n">
        <v>80000</v>
      </c>
      <c r="M227" s="4" t="n">
        <v>1793300377</v>
      </c>
      <c r="N227" s="4" t="n">
        <v>129700</v>
      </c>
      <c r="O227" s="4" t="n">
        <v>591611334</v>
      </c>
      <c r="Q227" s="3" t="n"/>
      <c r="R227" s="3">
        <f>G227*F227-G228*F228</f>
        <v/>
      </c>
      <c r="S227" s="3">
        <f>I227*H227-I228*H228</f>
        <v/>
      </c>
      <c r="T227" s="3">
        <f>K227*J227-K228*J228</f>
        <v/>
      </c>
      <c r="U227" s="3">
        <f>M227*L227-M228*L228</f>
        <v/>
      </c>
      <c r="V227" s="3">
        <f>O227*N227-O228*N228</f>
        <v/>
      </c>
      <c r="X227" s="2">
        <f>R227/10^9</f>
        <v/>
      </c>
      <c r="Y227" s="2">
        <f>S227/10^9</f>
        <v/>
      </c>
      <c r="Z227" s="2">
        <f>T227/10^9</f>
        <v/>
      </c>
      <c r="AA227" s="2">
        <f>U227/10^9</f>
        <v/>
      </c>
      <c r="AB227" s="2">
        <f>V227/10^9</f>
        <v/>
      </c>
      <c r="AC227" s="2" t="n"/>
      <c r="AD227" s="8">
        <f>X227/$C228*$B228</f>
        <v/>
      </c>
      <c r="AE227" s="8">
        <f>Y227/$C228*$B228</f>
        <v/>
      </c>
      <c r="AF227" s="8">
        <f>Z227/$C228*$B228</f>
        <v/>
      </c>
      <c r="AG227" s="8">
        <f>AA227/$C228*$B228</f>
        <v/>
      </c>
      <c r="AH227" s="11">
        <f>AB227/$C228*$B228</f>
        <v/>
      </c>
      <c r="AI227" s="8">
        <f>SUM(AD227:AG227)</f>
        <v/>
      </c>
      <c r="AJ227" s="9">
        <f>AI227+AJ228</f>
        <v/>
      </c>
      <c r="AK227" s="9" t="n"/>
      <c r="AL227" s="7">
        <f>B227-AJ227</f>
        <v/>
      </c>
      <c r="AM227" s="42">
        <f>_xlfn.STDEV.S(AL227:AL246)</f>
        <v/>
      </c>
    </row>
    <row r="228">
      <c r="A228" s="1" t="n">
        <v>45926</v>
      </c>
      <c r="B228" s="7" t="n">
        <v>1660.7</v>
      </c>
      <c r="C228" s="3" t="n">
        <v>7196834.69</v>
      </c>
      <c r="E228" s="5" t="n">
        <v>45926</v>
      </c>
      <c r="F228" s="4" t="n">
        <v>164000</v>
      </c>
      <c r="G228" s="4" t="n">
        <v>3853015512</v>
      </c>
      <c r="H228" s="4" t="n">
        <v>99000</v>
      </c>
      <c r="I228" s="4" t="n">
        <v>4107412004</v>
      </c>
      <c r="J228" s="4" t="n">
        <v>29400</v>
      </c>
      <c r="K228" s="4" t="n">
        <v>2272318410</v>
      </c>
      <c r="L228" s="4" t="n">
        <v>80200</v>
      </c>
      <c r="M228" s="4" t="n">
        <v>1793300377</v>
      </c>
      <c r="N228" s="4" t="n">
        <v>132500</v>
      </c>
      <c r="O228" s="4" t="n">
        <v>591611334</v>
      </c>
      <c r="Q228" s="3" t="n"/>
      <c r="R228" s="3">
        <f>G228*F228-G229*F229</f>
        <v/>
      </c>
      <c r="S228" s="3">
        <f>I228*H228-I229*H229</f>
        <v/>
      </c>
      <c r="T228" s="3">
        <f>K228*J228-K229*J229</f>
        <v/>
      </c>
      <c r="U228" s="3">
        <f>M228*L228-M229*L229</f>
        <v/>
      </c>
      <c r="V228" s="3">
        <f>O228*N228-O229*N229</f>
        <v/>
      </c>
      <c r="X228" s="2">
        <f>R228/10^9</f>
        <v/>
      </c>
      <c r="Y228" s="2">
        <f>S228/10^9</f>
        <v/>
      </c>
      <c r="Z228" s="2">
        <f>T228/10^9</f>
        <v/>
      </c>
      <c r="AA228" s="2">
        <f>U228/10^9</f>
        <v/>
      </c>
      <c r="AB228" s="2">
        <f>V228/10^9</f>
        <v/>
      </c>
      <c r="AC228" s="2" t="n"/>
      <c r="AD228" s="8">
        <f>X228/$C229*$B229</f>
        <v/>
      </c>
      <c r="AE228" s="8">
        <f>Y228/$C229*$B229</f>
        <v/>
      </c>
      <c r="AF228" s="8">
        <f>Z228/$C229*$B229</f>
        <v/>
      </c>
      <c r="AG228" s="8">
        <f>AA228/$C229*$B229</f>
        <v/>
      </c>
      <c r="AH228" s="11">
        <f>AB228/$C229*$B229</f>
        <v/>
      </c>
      <c r="AI228" s="8">
        <f>SUM(AD228:AG228)</f>
        <v/>
      </c>
      <c r="AJ228" s="9">
        <f>AI228+AJ229</f>
        <v/>
      </c>
      <c r="AK228" s="9" t="n"/>
      <c r="AL228" s="7">
        <f>B228-AJ228</f>
        <v/>
      </c>
      <c r="AM228" s="42">
        <f>_xlfn.STDEV.S(AL228:AL247)</f>
        <v/>
      </c>
    </row>
    <row r="229">
      <c r="A229" s="1" t="n">
        <v>45925</v>
      </c>
      <c r="B229" s="7" t="n">
        <v>1666.09</v>
      </c>
      <c r="C229" s="3" t="n">
        <v>7220223.82</v>
      </c>
      <c r="E229" s="5" t="n">
        <v>45925</v>
      </c>
      <c r="F229" s="4" t="n">
        <v>158000</v>
      </c>
      <c r="G229" s="4" t="n">
        <v>3853015512</v>
      </c>
      <c r="H229" s="4" t="n">
        <v>99500</v>
      </c>
      <c r="I229" s="4" t="n">
        <v>4107412004</v>
      </c>
      <c r="J229" s="4" t="n">
        <v>29400</v>
      </c>
      <c r="K229" s="4" t="n">
        <v>2272318410</v>
      </c>
      <c r="L229" s="4" t="n">
        <v>80100</v>
      </c>
      <c r="M229" s="4" t="n">
        <v>1793300377</v>
      </c>
      <c r="N229" s="4" t="n">
        <v>135900</v>
      </c>
      <c r="O229" s="4" t="n">
        <v>591611334</v>
      </c>
      <c r="Q229" s="3" t="n"/>
      <c r="R229" s="3">
        <f>G229*F229-G230*F230</f>
        <v/>
      </c>
      <c r="S229" s="3">
        <f>I229*H229-I230*H230</f>
        <v/>
      </c>
      <c r="T229" s="3">
        <f>K229*J229-K230*J230</f>
        <v/>
      </c>
      <c r="U229" s="3">
        <f>M229*L229-M230*L230</f>
        <v/>
      </c>
      <c r="V229" s="3">
        <f>O229*N229-O230*N230</f>
        <v/>
      </c>
      <c r="X229" s="2">
        <f>R229/10^9</f>
        <v/>
      </c>
      <c r="Y229" s="2">
        <f>S229/10^9</f>
        <v/>
      </c>
      <c r="Z229" s="2">
        <f>T229/10^9</f>
        <v/>
      </c>
      <c r="AA229" s="2">
        <f>U229/10^9</f>
        <v/>
      </c>
      <c r="AB229" s="2">
        <f>V229/10^9</f>
        <v/>
      </c>
      <c r="AC229" s="2" t="n"/>
      <c r="AD229" s="8">
        <f>X229/$C230*$B230</f>
        <v/>
      </c>
      <c r="AE229" s="8">
        <f>Y229/$C230*$B230</f>
        <v/>
      </c>
      <c r="AF229" s="8">
        <f>Z229/$C230*$B230</f>
        <v/>
      </c>
      <c r="AG229" s="8">
        <f>AA229/$C230*$B230</f>
        <v/>
      </c>
      <c r="AH229" s="11">
        <f>AB229/$C230*$B230</f>
        <v/>
      </c>
      <c r="AI229" s="8">
        <f>SUM(AD229:AG229)</f>
        <v/>
      </c>
      <c r="AJ229" s="9">
        <f>AI229+AJ230</f>
        <v/>
      </c>
      <c r="AK229" s="9" t="n"/>
      <c r="AL229" s="7">
        <f>B229-AJ229</f>
        <v/>
      </c>
      <c r="AM229" s="42">
        <f>_xlfn.STDEV.S(AL229:AL248)</f>
        <v/>
      </c>
    </row>
    <row r="230">
      <c r="A230" s="1" t="n">
        <v>45924</v>
      </c>
      <c r="B230" s="7" t="n">
        <v>1657.46</v>
      </c>
      <c r="C230" s="3" t="n">
        <v>7182845.36</v>
      </c>
      <c r="E230" s="5" t="n">
        <v>45924</v>
      </c>
      <c r="F230" s="4" t="n">
        <v>149000</v>
      </c>
      <c r="G230" s="4" t="n">
        <v>3853015512</v>
      </c>
      <c r="H230" s="4" t="n">
        <v>98000</v>
      </c>
      <c r="I230" s="4" t="n">
        <v>4107412004</v>
      </c>
      <c r="J230" s="4" t="n">
        <v>29000</v>
      </c>
      <c r="K230" s="4" t="n">
        <v>2272318410</v>
      </c>
      <c r="L230" s="4" t="n">
        <v>80100</v>
      </c>
      <c r="M230" s="4" t="n">
        <v>1793300377</v>
      </c>
      <c r="N230" s="4" t="n">
        <v>133700</v>
      </c>
      <c r="O230" s="4" t="n">
        <v>591611334</v>
      </c>
      <c r="Q230" s="3" t="n"/>
      <c r="R230" s="3">
        <f>G230*F230-G231*F231</f>
        <v/>
      </c>
      <c r="S230" s="3">
        <f>I230*H230-I231*H231</f>
        <v/>
      </c>
      <c r="T230" s="3">
        <f>K230*J230-K231*J231</f>
        <v/>
      </c>
      <c r="U230" s="3">
        <f>M230*L230-M231*L231</f>
        <v/>
      </c>
      <c r="V230" s="3">
        <f>O230*N230-O231*N231</f>
        <v/>
      </c>
      <c r="X230" s="2">
        <f>R230/10^9</f>
        <v/>
      </c>
      <c r="Y230" s="2">
        <f>S230/10^9</f>
        <v/>
      </c>
      <c r="Z230" s="2">
        <f>T230/10^9</f>
        <v/>
      </c>
      <c r="AA230" s="2">
        <f>U230/10^9</f>
        <v/>
      </c>
      <c r="AB230" s="2">
        <f>V230/10^9</f>
        <v/>
      </c>
      <c r="AC230" s="2" t="n"/>
      <c r="AD230" s="8">
        <f>X230/$C231*$B231</f>
        <v/>
      </c>
      <c r="AE230" s="8">
        <f>Y230/$C231*$B231</f>
        <v/>
      </c>
      <c r="AF230" s="8">
        <f>Z230/$C231*$B231</f>
        <v/>
      </c>
      <c r="AG230" s="8">
        <f>AA230/$C231*$B231</f>
        <v/>
      </c>
      <c r="AH230" s="11">
        <f>AB230/$C231*$B231</f>
        <v/>
      </c>
      <c r="AI230" s="8">
        <f>SUM(AD230:AG230)</f>
        <v/>
      </c>
      <c r="AJ230" s="9">
        <f>AI230+AJ231</f>
        <v/>
      </c>
      <c r="AK230" s="9" t="n"/>
      <c r="AL230" s="7">
        <f>B230-AJ230</f>
        <v/>
      </c>
      <c r="AM230" s="42">
        <f>_xlfn.STDEV.S(AL230:AL249)</f>
        <v/>
      </c>
    </row>
    <row r="231">
      <c r="A231" s="1" t="n">
        <v>45923</v>
      </c>
      <c r="B231" s="7" t="n">
        <v>1635.26</v>
      </c>
      <c r="C231" s="3" t="n">
        <v>7086624.74</v>
      </c>
      <c r="E231" s="5" t="n">
        <v>45923</v>
      </c>
      <c r="F231" s="4" t="n">
        <v>149200</v>
      </c>
      <c r="G231" s="4" t="n">
        <v>3853015512</v>
      </c>
      <c r="H231" s="4" t="n">
        <v>98700</v>
      </c>
      <c r="I231" s="4" t="n">
        <v>4107412004</v>
      </c>
      <c r="J231" s="4" t="n">
        <v>28300</v>
      </c>
      <c r="K231" s="4" t="n">
        <v>2272318410</v>
      </c>
      <c r="L231" s="4" t="n">
        <v>80200</v>
      </c>
      <c r="M231" s="4" t="n">
        <v>1793300377</v>
      </c>
      <c r="N231" s="4" t="n">
        <v>133000</v>
      </c>
      <c r="O231" s="4" t="n">
        <v>591611334</v>
      </c>
      <c r="Q231" s="3" t="n"/>
      <c r="R231" s="3">
        <f>G231*F231-G232*F232</f>
        <v/>
      </c>
      <c r="S231" s="3">
        <f>I231*H231-I232*H232</f>
        <v/>
      </c>
      <c r="T231" s="3">
        <f>K231*J231-K232*J232</f>
        <v/>
      </c>
      <c r="U231" s="3">
        <f>M231*L231-M232*L232</f>
        <v/>
      </c>
      <c r="V231" s="3">
        <f>O231*N231-O232*N232</f>
        <v/>
      </c>
      <c r="X231" s="2">
        <f>R231/10^9</f>
        <v/>
      </c>
      <c r="Y231" s="2">
        <f>S231/10^9</f>
        <v/>
      </c>
      <c r="Z231" s="2">
        <f>T231/10^9</f>
        <v/>
      </c>
      <c r="AA231" s="2">
        <f>U231/10^9</f>
        <v/>
      </c>
      <c r="AB231" s="2">
        <f>V231/10^9</f>
        <v/>
      </c>
      <c r="AC231" s="2" t="n"/>
      <c r="AD231" s="8">
        <f>X231/$C232*$B232</f>
        <v/>
      </c>
      <c r="AE231" s="8">
        <f>Y231/$C232*$B232</f>
        <v/>
      </c>
      <c r="AF231" s="8">
        <f>Z231/$C232*$B232</f>
        <v/>
      </c>
      <c r="AG231" s="8">
        <f>AA231/$C232*$B232</f>
        <v/>
      </c>
      <c r="AH231" s="11">
        <f>AB231/$C232*$B232</f>
        <v/>
      </c>
      <c r="AI231" s="8">
        <f>SUM(AD231:AG231)</f>
        <v/>
      </c>
      <c r="AJ231" s="9">
        <f>AI231+AJ232</f>
        <v/>
      </c>
      <c r="AK231" s="9" t="n"/>
      <c r="AL231" s="7">
        <f>B231-AJ231</f>
        <v/>
      </c>
      <c r="AM231" s="42">
        <f>_xlfn.STDEV.S(AL231:AL250)</f>
        <v/>
      </c>
    </row>
    <row r="232">
      <c r="A232" s="1" t="n">
        <v>45922</v>
      </c>
      <c r="B232" s="7" t="n">
        <v>1634.45</v>
      </c>
      <c r="C232" s="3" t="n">
        <v>7082813.97</v>
      </c>
      <c r="E232" s="5" t="n">
        <v>45922</v>
      </c>
      <c r="F232" s="4" t="n">
        <v>148800</v>
      </c>
      <c r="G232" s="4" t="n">
        <v>3853015512</v>
      </c>
      <c r="H232" s="4" t="n">
        <v>99500</v>
      </c>
      <c r="I232" s="4" t="n">
        <v>4107412004</v>
      </c>
      <c r="J232" s="4" t="n">
        <v>28800</v>
      </c>
      <c r="K232" s="4" t="n">
        <v>2272318410</v>
      </c>
      <c r="L232" s="4" t="n">
        <v>80200</v>
      </c>
      <c r="M232" s="4" t="n">
        <v>1793300377</v>
      </c>
      <c r="N232" s="4" t="n">
        <v>135500</v>
      </c>
      <c r="O232" s="4" t="n">
        <v>591611334</v>
      </c>
      <c r="Q232" s="3" t="n"/>
      <c r="R232" s="3">
        <f>G232*F232-G233*F233</f>
        <v/>
      </c>
      <c r="S232" s="3">
        <f>I232*H232-I233*H233</f>
        <v/>
      </c>
      <c r="T232" s="3">
        <f>K232*J232-K233*J233</f>
        <v/>
      </c>
      <c r="U232" s="3">
        <f>M232*L232-M233*L233</f>
        <v/>
      </c>
      <c r="V232" s="3">
        <f>O232*N232-O233*N233</f>
        <v/>
      </c>
      <c r="X232" s="2">
        <f>R232/10^9</f>
        <v/>
      </c>
      <c r="Y232" s="2">
        <f>S232/10^9</f>
        <v/>
      </c>
      <c r="Z232" s="2">
        <f>T232/10^9</f>
        <v/>
      </c>
      <c r="AA232" s="2">
        <f>U232/10^9</f>
        <v/>
      </c>
      <c r="AB232" s="2">
        <f>V232/10^9</f>
        <v/>
      </c>
      <c r="AC232" s="2" t="n"/>
      <c r="AD232" s="8">
        <f>X232/$C233*$B233</f>
        <v/>
      </c>
      <c r="AE232" s="8">
        <f>Y232/$C233*$B233</f>
        <v/>
      </c>
      <c r="AF232" s="8">
        <f>Z232/$C233*$B233</f>
        <v/>
      </c>
      <c r="AG232" s="8">
        <f>AA232/$C233*$B233</f>
        <v/>
      </c>
      <c r="AH232" s="11">
        <f>AB232/$C233*$B233</f>
        <v/>
      </c>
      <c r="AI232" s="8">
        <f>SUM(AD232:AG232)</f>
        <v/>
      </c>
      <c r="AJ232" s="9">
        <f>AI232+AJ233</f>
        <v/>
      </c>
      <c r="AK232" s="9" t="n"/>
      <c r="AL232" s="7">
        <f>B232-AJ232</f>
        <v/>
      </c>
      <c r="AM232" s="42">
        <f>_xlfn.STDEV.S(AL232:AL251)</f>
        <v/>
      </c>
    </row>
    <row r="233">
      <c r="A233" s="1" t="n">
        <v>45919</v>
      </c>
      <c r="B233" s="7" t="n">
        <v>1658.62</v>
      </c>
      <c r="C233" s="3" t="n">
        <v>7187566.72</v>
      </c>
      <c r="E233" s="5" t="n">
        <v>45919</v>
      </c>
      <c r="F233" s="4" t="n">
        <v>153200</v>
      </c>
      <c r="G233" s="4" t="n">
        <v>3853015512</v>
      </c>
      <c r="H233" s="4" t="n">
        <v>101700</v>
      </c>
      <c r="I233" s="4" t="n">
        <v>4107412004</v>
      </c>
      <c r="J233" s="4" t="n">
        <v>29450</v>
      </c>
      <c r="K233" s="4" t="n">
        <v>2272318410</v>
      </c>
      <c r="L233" s="4" t="n">
        <v>80000</v>
      </c>
      <c r="M233" s="4" t="n">
        <v>1793300377</v>
      </c>
      <c r="N233" s="4" t="n">
        <v>137200</v>
      </c>
      <c r="O233" s="4" t="n">
        <v>591611334</v>
      </c>
      <c r="Q233" s="3" t="n"/>
      <c r="R233" s="3">
        <f>G233*F233-G234*F234</f>
        <v/>
      </c>
      <c r="S233" s="3">
        <f>I233*H233-I234*H234</f>
        <v/>
      </c>
      <c r="T233" s="3">
        <f>K233*J233-K234*J234</f>
        <v/>
      </c>
      <c r="U233" s="3">
        <f>M233*L233-M234*L234</f>
        <v/>
      </c>
      <c r="V233" s="3">
        <f>O233*N233-O234*N234</f>
        <v/>
      </c>
      <c r="X233" s="2">
        <f>R233/10^9</f>
        <v/>
      </c>
      <c r="Y233" s="2">
        <f>S233/10^9</f>
        <v/>
      </c>
      <c r="Z233" s="2">
        <f>T233/10^9</f>
        <v/>
      </c>
      <c r="AA233" s="2">
        <f>U233/10^9</f>
        <v/>
      </c>
      <c r="AB233" s="2">
        <f>V233/10^9</f>
        <v/>
      </c>
      <c r="AC233" s="2" t="n"/>
      <c r="AD233" s="8">
        <f>X233/$C234*$B234</f>
        <v/>
      </c>
      <c r="AE233" s="8">
        <f>Y233/$C234*$B234</f>
        <v/>
      </c>
      <c r="AF233" s="8">
        <f>Z233/$C234*$B234</f>
        <v/>
      </c>
      <c r="AG233" s="8">
        <f>AA233/$C234*$B234</f>
        <v/>
      </c>
      <c r="AH233" s="11">
        <f>AB233/$C234*$B234</f>
        <v/>
      </c>
      <c r="AI233" s="8">
        <f>SUM(AD233:AG233)</f>
        <v/>
      </c>
      <c r="AJ233" s="9">
        <f>AI233+AJ234</f>
        <v/>
      </c>
      <c r="AK233" s="9" t="n"/>
      <c r="AL233" s="7">
        <f>B233-AJ233</f>
        <v/>
      </c>
      <c r="AM233" s="42">
        <f>_xlfn.STDEV.S(AL233:AL252)</f>
        <v/>
      </c>
    </row>
    <row r="234">
      <c r="A234" s="1" t="n">
        <v>45918</v>
      </c>
      <c r="B234" s="7" t="n">
        <v>1665.18</v>
      </c>
      <c r="C234" s="3" t="n">
        <v>7208878.98</v>
      </c>
      <c r="E234" s="5" t="n">
        <v>45918</v>
      </c>
      <c r="F234" s="4" t="n">
        <v>145000</v>
      </c>
      <c r="G234" s="4" t="n">
        <v>3853015512</v>
      </c>
      <c r="H234" s="4" t="n">
        <v>103500</v>
      </c>
      <c r="I234" s="4" t="n">
        <v>4107412004</v>
      </c>
      <c r="J234" s="4" t="n">
        <v>30200</v>
      </c>
      <c r="K234" s="4" t="n">
        <v>2272318410</v>
      </c>
      <c r="L234" s="4" t="n">
        <v>80000</v>
      </c>
      <c r="M234" s="4" t="n">
        <v>1793300377</v>
      </c>
      <c r="N234" s="4" t="n">
        <v>139800</v>
      </c>
      <c r="O234" s="4" t="n">
        <v>591611334</v>
      </c>
      <c r="Q234" s="3" t="n"/>
      <c r="R234" s="3">
        <f>G234*F234-G235*F235</f>
        <v/>
      </c>
      <c r="S234" s="3">
        <f>I234*H234-I235*H235</f>
        <v/>
      </c>
      <c r="T234" s="3">
        <f>K234*J234-K235*J235</f>
        <v/>
      </c>
      <c r="U234" s="3">
        <f>M234*L234-M235*L235</f>
        <v/>
      </c>
      <c r="V234" s="3">
        <f>O234*N234-O235*N235</f>
        <v/>
      </c>
      <c r="X234" s="2">
        <f>R234/10^9</f>
        <v/>
      </c>
      <c r="Y234" s="2">
        <f>S234/10^9</f>
        <v/>
      </c>
      <c r="Z234" s="2">
        <f>T234/10^9</f>
        <v/>
      </c>
      <c r="AA234" s="2">
        <f>U234/10^9</f>
        <v/>
      </c>
      <c r="AB234" s="2">
        <f>V234/10^9</f>
        <v/>
      </c>
      <c r="AC234" s="2" t="n"/>
      <c r="AD234" s="8">
        <f>X234/$C235*$B235</f>
        <v/>
      </c>
      <c r="AE234" s="8">
        <f>Y234/$C235*$B235</f>
        <v/>
      </c>
      <c r="AF234" s="8">
        <f>Z234/$C235*$B235</f>
        <v/>
      </c>
      <c r="AG234" s="8">
        <f>AA234/$C235*$B235</f>
        <v/>
      </c>
      <c r="AH234" s="11">
        <f>AB234/$C235*$B235</f>
        <v/>
      </c>
      <c r="AI234" s="8">
        <f>SUM(AD234:AG234)</f>
        <v/>
      </c>
      <c r="AJ234" s="9">
        <f>AI234+AJ235</f>
        <v/>
      </c>
      <c r="AK234" s="9" t="n"/>
      <c r="AL234" s="7">
        <f>B234-AJ234</f>
        <v/>
      </c>
      <c r="AM234" s="42">
        <f>_xlfn.STDEV.S(AL234:AL253)</f>
        <v/>
      </c>
    </row>
    <row r="235">
      <c r="A235" s="1" t="n">
        <v>45917</v>
      </c>
      <c r="B235" s="7" t="n">
        <v>1670.97</v>
      </c>
      <c r="C235" s="3" t="n">
        <v>7233924.32</v>
      </c>
      <c r="E235" s="5" t="n">
        <v>45917</v>
      </c>
      <c r="F235" s="4" t="n">
        <v>143100</v>
      </c>
      <c r="G235" s="4" t="n">
        <v>3853015512</v>
      </c>
      <c r="H235" s="4" t="n">
        <v>102900</v>
      </c>
      <c r="I235" s="4" t="n">
        <v>4107412004</v>
      </c>
      <c r="J235" s="4" t="n">
        <v>30200</v>
      </c>
      <c r="K235" s="4" t="n">
        <v>2272318410</v>
      </c>
      <c r="L235" s="4" t="n">
        <v>80300</v>
      </c>
      <c r="M235" s="4" t="n">
        <v>1793300377</v>
      </c>
      <c r="N235" s="4" t="n">
        <v>142000</v>
      </c>
      <c r="O235" s="4" t="n">
        <v>591611334</v>
      </c>
      <c r="Q235" s="3" t="n"/>
      <c r="R235" s="3">
        <f>G235*F235-G236*F236</f>
        <v/>
      </c>
      <c r="S235" s="3">
        <f>I235*H235-I236*H236</f>
        <v/>
      </c>
      <c r="T235" s="3">
        <f>K235*J235-K236*J236</f>
        <v/>
      </c>
      <c r="U235" s="3">
        <f>M235*L235-M236*L236</f>
        <v/>
      </c>
      <c r="V235" s="3">
        <f>O235*N235-O236*N236</f>
        <v/>
      </c>
      <c r="X235" s="2">
        <f>R235/10^9</f>
        <v/>
      </c>
      <c r="Y235" s="2">
        <f>S235/10^9</f>
        <v/>
      </c>
      <c r="Z235" s="2">
        <f>T235/10^9</f>
        <v/>
      </c>
      <c r="AA235" s="2">
        <f>U235/10^9</f>
        <v/>
      </c>
      <c r="AB235" s="2">
        <f>V235/10^9</f>
        <v/>
      </c>
      <c r="AC235" s="2" t="n"/>
      <c r="AD235" s="8">
        <f>X235/$C236*$B236</f>
        <v/>
      </c>
      <c r="AE235" s="8">
        <f>Y235/$C236*$B236</f>
        <v/>
      </c>
      <c r="AF235" s="8">
        <f>Z235/$C236*$B236</f>
        <v/>
      </c>
      <c r="AG235" s="8">
        <f>AA235/$C236*$B236</f>
        <v/>
      </c>
      <c r="AH235" s="11">
        <f>AB235/$C236*$B236</f>
        <v/>
      </c>
      <c r="AI235" s="8">
        <f>SUM(AD235:AG235)</f>
        <v/>
      </c>
      <c r="AJ235" s="9">
        <f>AI235+AJ236</f>
        <v/>
      </c>
      <c r="AK235" s="9" t="n"/>
      <c r="AL235" s="7">
        <f>B235-AJ235</f>
        <v/>
      </c>
      <c r="AM235" s="42">
        <f>_xlfn.STDEV.S(AL235:AL254)</f>
        <v/>
      </c>
    </row>
    <row r="236">
      <c r="A236" s="1" t="n">
        <v>45916</v>
      </c>
      <c r="B236" s="7" t="n">
        <v>1680.9</v>
      </c>
      <c r="C236" s="3" t="n">
        <v>7272554.43</v>
      </c>
      <c r="E236" s="5" t="n">
        <v>45916</v>
      </c>
      <c r="F236" s="4" t="n">
        <v>135000</v>
      </c>
      <c r="G236" s="4" t="n">
        <v>3853015512</v>
      </c>
      <c r="H236" s="4" t="n">
        <v>102700</v>
      </c>
      <c r="I236" s="4" t="n">
        <v>4107412004</v>
      </c>
      <c r="J236" s="4" t="n">
        <v>30600</v>
      </c>
      <c r="K236" s="4" t="n">
        <v>2272318410</v>
      </c>
      <c r="L236" s="4" t="n">
        <v>80200</v>
      </c>
      <c r="M236" s="4" t="n">
        <v>1793300377</v>
      </c>
      <c r="N236" s="4" t="n">
        <v>142000</v>
      </c>
      <c r="O236" s="4" t="n">
        <v>591611334</v>
      </c>
      <c r="Q236" s="3" t="n"/>
      <c r="R236" s="3">
        <f>G236*F236-G237*F237</f>
        <v/>
      </c>
      <c r="S236" s="3">
        <f>I236*H236-I237*H237</f>
        <v/>
      </c>
      <c r="T236" s="3">
        <f>K236*J236-K237*J237</f>
        <v/>
      </c>
      <c r="U236" s="3">
        <f>M236*L236-M237*L237</f>
        <v/>
      </c>
      <c r="V236" s="3">
        <f>O236*N236-O237*N237</f>
        <v/>
      </c>
      <c r="X236" s="2">
        <f>R236/10^9</f>
        <v/>
      </c>
      <c r="Y236" s="2">
        <f>S236/10^9</f>
        <v/>
      </c>
      <c r="Z236" s="2">
        <f>T236/10^9</f>
        <v/>
      </c>
      <c r="AA236" s="2">
        <f>U236/10^9</f>
        <v/>
      </c>
      <c r="AB236" s="2">
        <f>V236/10^9</f>
        <v/>
      </c>
      <c r="AC236" s="2" t="n"/>
      <c r="AD236" s="8">
        <f>X236/$C237*$B237</f>
        <v/>
      </c>
      <c r="AE236" s="8">
        <f>Y236/$C237*$B237</f>
        <v/>
      </c>
      <c r="AF236" s="8">
        <f>Z236/$C237*$B237</f>
        <v/>
      </c>
      <c r="AG236" s="8">
        <f>AA236/$C237*$B237</f>
        <v/>
      </c>
      <c r="AH236" s="11">
        <f>AB236/$C237*$B237</f>
        <v/>
      </c>
      <c r="AI236" s="8">
        <f>SUM(AD236:AG236)</f>
        <v/>
      </c>
      <c r="AJ236" s="9">
        <f>AI236+AJ237</f>
        <v/>
      </c>
      <c r="AK236" s="9" t="n"/>
      <c r="AL236" s="7">
        <f>B236-AJ236</f>
        <v/>
      </c>
      <c r="AM236" s="42">
        <f>_xlfn.STDEV.S(AL236:AL255)</f>
        <v/>
      </c>
    </row>
    <row r="237">
      <c r="A237" s="1" t="n">
        <v>45915</v>
      </c>
      <c r="B237" s="7" t="n">
        <v>1684.9</v>
      </c>
      <c r="C237" s="3" t="n">
        <v>7287309.68</v>
      </c>
      <c r="E237" s="5" t="n">
        <v>45915</v>
      </c>
      <c r="F237" s="4" t="n">
        <v>137800</v>
      </c>
      <c r="G237" s="4" t="n">
        <v>3853015512</v>
      </c>
      <c r="H237" s="4" t="n">
        <v>104500</v>
      </c>
      <c r="I237" s="4" t="n">
        <v>4107412004</v>
      </c>
      <c r="J237" s="4" t="n">
        <v>30650</v>
      </c>
      <c r="K237" s="4" t="n">
        <v>2272318410</v>
      </c>
      <c r="L237" s="4" t="n">
        <v>80300</v>
      </c>
      <c r="M237" s="4" t="n">
        <v>1793300377</v>
      </c>
      <c r="N237" s="4" t="n">
        <v>145600</v>
      </c>
      <c r="O237" s="4" t="n">
        <v>591611334</v>
      </c>
      <c r="Q237" s="3" t="n"/>
      <c r="R237" s="3">
        <f>G237*F237-G238*F238</f>
        <v/>
      </c>
      <c r="S237" s="3">
        <f>I237*H237-I238*H238</f>
        <v/>
      </c>
      <c r="T237" s="3">
        <f>K237*J237-K238*J238</f>
        <v/>
      </c>
      <c r="U237" s="3">
        <f>M237*L237-M238*L238</f>
        <v/>
      </c>
      <c r="V237" s="3">
        <f>O237*N237-O238*N238</f>
        <v/>
      </c>
      <c r="X237" s="2">
        <f>R237/10^9</f>
        <v/>
      </c>
      <c r="Y237" s="2">
        <f>S237/10^9</f>
        <v/>
      </c>
      <c r="Z237" s="2">
        <f>T237/10^9</f>
        <v/>
      </c>
      <c r="AA237" s="2">
        <f>U237/10^9</f>
        <v/>
      </c>
      <c r="AB237" s="2">
        <f>V237/10^9</f>
        <v/>
      </c>
      <c r="AC237" s="2" t="n"/>
      <c r="AD237" s="8">
        <f>X237/$C238*$B238</f>
        <v/>
      </c>
      <c r="AE237" s="8">
        <f>Y237/$C238*$B238</f>
        <v/>
      </c>
      <c r="AF237" s="8">
        <f>Z237/$C238*$B238</f>
        <v/>
      </c>
      <c r="AG237" s="8">
        <f>AA237/$C238*$B238</f>
        <v/>
      </c>
      <c r="AH237" s="11">
        <f>AB237/$C238*$B238</f>
        <v/>
      </c>
      <c r="AI237" s="8">
        <f>SUM(AD237:AG237)</f>
        <v/>
      </c>
      <c r="AJ237" s="9">
        <f>AI237+AJ238</f>
        <v/>
      </c>
      <c r="AK237" s="9" t="n"/>
      <c r="AL237" s="7">
        <f>B237-AJ237</f>
        <v/>
      </c>
      <c r="AM237" s="42">
        <f>_xlfn.STDEV.S(AL237:AL256)</f>
        <v/>
      </c>
    </row>
    <row r="238">
      <c r="A238" s="1" t="n">
        <v>45912</v>
      </c>
      <c r="B238" s="7" t="n">
        <v>1667.26</v>
      </c>
      <c r="C238" s="3" t="n">
        <v>7211047.89</v>
      </c>
      <c r="E238" s="5" t="n">
        <v>45912</v>
      </c>
      <c r="F238" s="4" t="n">
        <v>137800</v>
      </c>
      <c r="G238" s="4" t="n">
        <v>3853015512</v>
      </c>
      <c r="H238" s="4" t="n">
        <v>105500</v>
      </c>
      <c r="I238" s="4" t="n">
        <v>4107412004</v>
      </c>
      <c r="J238" s="4" t="n">
        <v>30750</v>
      </c>
      <c r="K238" s="4" t="n">
        <v>2272318410</v>
      </c>
      <c r="L238" s="4" t="n">
        <v>80300</v>
      </c>
      <c r="M238" s="4" t="n">
        <v>1793300377</v>
      </c>
      <c r="N238" s="4" t="n">
        <v>146000</v>
      </c>
      <c r="O238" s="4" t="n">
        <v>591611334</v>
      </c>
      <c r="Q238" s="3" t="n"/>
      <c r="R238" s="3">
        <f>G238*F238-G239*F239</f>
        <v/>
      </c>
      <c r="S238" s="3">
        <f>I238*H238-I239*H239</f>
        <v/>
      </c>
      <c r="T238" s="3">
        <f>K238*J238-K239*J239</f>
        <v/>
      </c>
      <c r="U238" s="3">
        <f>M238*L238-M239*L239</f>
        <v/>
      </c>
      <c r="V238" s="3">
        <f>O238*N238-O239*N239</f>
        <v/>
      </c>
      <c r="X238" s="2">
        <f>R238/10^9</f>
        <v/>
      </c>
      <c r="Y238" s="2">
        <f>S238/10^9</f>
        <v/>
      </c>
      <c r="Z238" s="2">
        <f>T238/10^9</f>
        <v/>
      </c>
      <c r="AA238" s="2">
        <f>U238/10^9</f>
        <v/>
      </c>
      <c r="AB238" s="2">
        <f>V238/10^9</f>
        <v/>
      </c>
      <c r="AC238" s="2" t="n"/>
      <c r="AD238" s="8">
        <f>X238/$C239*$B239</f>
        <v/>
      </c>
      <c r="AE238" s="8">
        <f>Y238/$C239*$B239</f>
        <v/>
      </c>
      <c r="AF238" s="8">
        <f>Z238/$C239*$B239</f>
        <v/>
      </c>
      <c r="AG238" s="8">
        <f>AA238/$C239*$B239</f>
        <v/>
      </c>
      <c r="AH238" s="11">
        <f>AB238/$C239*$B239</f>
        <v/>
      </c>
      <c r="AI238" s="8">
        <f>SUM(AD238:AG238)</f>
        <v/>
      </c>
      <c r="AJ238" s="9">
        <f>AI238+AJ239</f>
        <v/>
      </c>
      <c r="AK238" s="9" t="n"/>
      <c r="AL238" s="7">
        <f>B238-AJ238</f>
        <v/>
      </c>
      <c r="AM238" s="42">
        <f>_xlfn.STDEV.S(AL238:AL257)</f>
        <v/>
      </c>
    </row>
    <row r="239">
      <c r="A239" s="1" t="n">
        <v>45911</v>
      </c>
      <c r="B239" s="7" t="n">
        <v>1657.75</v>
      </c>
      <c r="C239" s="3" t="n">
        <v>7169881.49</v>
      </c>
      <c r="E239" s="5" t="n">
        <v>45911</v>
      </c>
      <c r="F239" s="4" t="n">
        <v>136000</v>
      </c>
      <c r="G239" s="4" t="n">
        <v>3853015512</v>
      </c>
      <c r="H239" s="4" t="n">
        <v>105900</v>
      </c>
      <c r="I239" s="4" t="n">
        <v>4107412004</v>
      </c>
      <c r="J239" s="4" t="n">
        <v>31100</v>
      </c>
      <c r="K239" s="4" t="n">
        <v>2272318410</v>
      </c>
      <c r="L239" s="4" t="n">
        <v>80300</v>
      </c>
      <c r="M239" s="4" t="n">
        <v>1793300377</v>
      </c>
      <c r="N239" s="4" t="n">
        <v>145400</v>
      </c>
      <c r="O239" s="4" t="n">
        <v>591611334</v>
      </c>
      <c r="Q239" s="3" t="n"/>
      <c r="R239" s="3">
        <f>G239*F239-G240*F240</f>
        <v/>
      </c>
      <c r="S239" s="3">
        <f>I239*H239-I240*H240</f>
        <v/>
      </c>
      <c r="T239" s="3">
        <f>K239*J239-K240*J240</f>
        <v/>
      </c>
      <c r="U239" s="3">
        <f>M239*L239-M240*L240</f>
        <v/>
      </c>
      <c r="V239" s="3">
        <f>O239*N239-O240*N240</f>
        <v/>
      </c>
      <c r="X239" s="2">
        <f>R239/10^9</f>
        <v/>
      </c>
      <c r="Y239" s="2">
        <f>S239/10^9</f>
        <v/>
      </c>
      <c r="Z239" s="2">
        <f>T239/10^9</f>
        <v/>
      </c>
      <c r="AA239" s="2">
        <f>U239/10^9</f>
        <v/>
      </c>
      <c r="AB239" s="2">
        <f>V239/10^9</f>
        <v/>
      </c>
      <c r="AC239" s="2" t="n"/>
      <c r="AD239" s="8">
        <f>X239/$C240*$B240</f>
        <v/>
      </c>
      <c r="AE239" s="8">
        <f>Y239/$C240*$B240</f>
        <v/>
      </c>
      <c r="AF239" s="8">
        <f>Z239/$C240*$B240</f>
        <v/>
      </c>
      <c r="AG239" s="8">
        <f>AA239/$C240*$B240</f>
        <v/>
      </c>
      <c r="AH239" s="11">
        <f>AB239/$C240*$B240</f>
        <v/>
      </c>
      <c r="AI239" s="8">
        <f>SUM(AD239:AG239)</f>
        <v/>
      </c>
      <c r="AJ239" s="9">
        <f>AI239+AJ240</f>
        <v/>
      </c>
      <c r="AK239" s="9" t="n"/>
      <c r="AL239" s="7">
        <f>B239-AJ239</f>
        <v/>
      </c>
      <c r="AM239" s="42">
        <f>_xlfn.STDEV.S(AL239:AL258)</f>
        <v/>
      </c>
    </row>
    <row r="240">
      <c r="A240" s="1" t="n">
        <v>45910</v>
      </c>
      <c r="B240" s="7" t="n">
        <v>1643.26</v>
      </c>
      <c r="C240" s="3" t="n">
        <v>7107252.16</v>
      </c>
      <c r="E240" s="5" t="n">
        <v>45910</v>
      </c>
      <c r="F240" s="4" t="n">
        <v>130900</v>
      </c>
      <c r="G240" s="4" t="n">
        <v>3853015512</v>
      </c>
      <c r="H240" s="4" t="n">
        <v>101800</v>
      </c>
      <c r="I240" s="4" t="n">
        <v>4107412004</v>
      </c>
      <c r="J240" s="4" t="n">
        <v>30600</v>
      </c>
      <c r="K240" s="4" t="n">
        <v>2272318410</v>
      </c>
      <c r="L240" s="4" t="n">
        <v>80300</v>
      </c>
      <c r="M240" s="4" t="n">
        <v>1793300377</v>
      </c>
      <c r="N240" s="4" t="n">
        <v>144900</v>
      </c>
      <c r="O240" s="4" t="n">
        <v>591611334</v>
      </c>
      <c r="Q240" s="3" t="n"/>
      <c r="R240" s="3">
        <f>G240*F240-G241*F241</f>
        <v/>
      </c>
      <c r="S240" s="3">
        <f>I240*H240-I241*H241</f>
        <v/>
      </c>
      <c r="T240" s="3">
        <f>K240*J240-K241*J241</f>
        <v/>
      </c>
      <c r="U240" s="3">
        <f>M240*L240-M241*L241</f>
        <v/>
      </c>
      <c r="V240" s="3">
        <f>O240*N240-O241*N241</f>
        <v/>
      </c>
      <c r="X240" s="2">
        <f>R240/10^9</f>
        <v/>
      </c>
      <c r="Y240" s="2">
        <f>S240/10^9</f>
        <v/>
      </c>
      <c r="Z240" s="2">
        <f>T240/10^9</f>
        <v/>
      </c>
      <c r="AA240" s="2">
        <f>U240/10^9</f>
        <v/>
      </c>
      <c r="AB240" s="2">
        <f>V240/10^9</f>
        <v/>
      </c>
      <c r="AC240" s="2" t="n"/>
      <c r="AD240" s="8">
        <f>X240/$C241*$B241</f>
        <v/>
      </c>
      <c r="AE240" s="8">
        <f>Y240/$C241*$B241</f>
        <v/>
      </c>
      <c r="AF240" s="8">
        <f>Z240/$C241*$B241</f>
        <v/>
      </c>
      <c r="AG240" s="8">
        <f>AA240/$C241*$B241</f>
        <v/>
      </c>
      <c r="AH240" s="11">
        <f>AB240/$C241*$B241</f>
        <v/>
      </c>
      <c r="AI240" s="8">
        <f>SUM(AD240:AG240)</f>
        <v/>
      </c>
      <c r="AJ240" s="9">
        <f>AI240+AJ241</f>
        <v/>
      </c>
      <c r="AK240" s="9" t="n"/>
      <c r="AL240" s="7">
        <f>B240-AJ240</f>
        <v/>
      </c>
      <c r="AM240" s="42">
        <f>_xlfn.STDEV.S(AL240:AL259)</f>
        <v/>
      </c>
    </row>
    <row r="241">
      <c r="A241" s="1" t="n">
        <v>45909</v>
      </c>
      <c r="B241" s="7" t="n">
        <v>1637.32</v>
      </c>
      <c r="C241" s="3" t="n">
        <v>7081316.51</v>
      </c>
      <c r="E241" s="5" t="n">
        <v>45909</v>
      </c>
      <c r="F241" s="4" t="n">
        <v>129200</v>
      </c>
      <c r="G241" s="4" t="n">
        <v>3853015512</v>
      </c>
      <c r="H241" s="4" t="n">
        <v>101400</v>
      </c>
      <c r="I241" s="4" t="n">
        <v>4107412004</v>
      </c>
      <c r="J241" s="4" t="n">
        <v>30300</v>
      </c>
      <c r="K241" s="4" t="n">
        <v>2272318410</v>
      </c>
      <c r="L241" s="4" t="n">
        <v>80300</v>
      </c>
      <c r="M241" s="4" t="n">
        <v>1793300377</v>
      </c>
      <c r="N241" s="4" t="n">
        <v>145000</v>
      </c>
      <c r="O241" s="4" t="n">
        <v>591611334</v>
      </c>
      <c r="Q241" s="3" t="n"/>
      <c r="R241" s="3">
        <f>G241*F241-G242*F242</f>
        <v/>
      </c>
      <c r="S241" s="3">
        <f>I241*H241-I242*H242</f>
        <v/>
      </c>
      <c r="T241" s="3">
        <f>K241*J241-K242*J242</f>
        <v/>
      </c>
      <c r="U241" s="3">
        <f>M241*L241-M242*L242</f>
        <v/>
      </c>
      <c r="V241" s="3">
        <f>O241*N241-O242*N242</f>
        <v/>
      </c>
      <c r="X241" s="2">
        <f>R241/10^9</f>
        <v/>
      </c>
      <c r="Y241" s="2">
        <f>S241/10^9</f>
        <v/>
      </c>
      <c r="Z241" s="2">
        <f>T241/10^9</f>
        <v/>
      </c>
      <c r="AA241" s="2">
        <f>U241/10^9</f>
        <v/>
      </c>
      <c r="AB241" s="2">
        <f>V241/10^9</f>
        <v/>
      </c>
      <c r="AC241" s="2" t="n"/>
      <c r="AD241" s="8">
        <f>X241/$C242*$B242</f>
        <v/>
      </c>
      <c r="AE241" s="8">
        <f>Y241/$C242*$B242</f>
        <v/>
      </c>
      <c r="AF241" s="8">
        <f>Z241/$C242*$B242</f>
        <v/>
      </c>
      <c r="AG241" s="8">
        <f>AA241/$C242*$B242</f>
        <v/>
      </c>
      <c r="AH241" s="11">
        <f>AB241/$C242*$B242</f>
        <v/>
      </c>
      <c r="AI241" s="8">
        <f>SUM(AD241:AG241)</f>
        <v/>
      </c>
      <c r="AJ241" s="9">
        <f>AI241+AJ242</f>
        <v/>
      </c>
      <c r="AK241" s="9" t="n"/>
      <c r="AL241" s="7">
        <f>B241-AJ241</f>
        <v/>
      </c>
      <c r="AM241" s="42">
        <f>_xlfn.STDEV.S(AL241:AL260)</f>
        <v/>
      </c>
    </row>
    <row r="242">
      <c r="A242" s="1" t="n">
        <v>45908</v>
      </c>
      <c r="B242" s="7" t="n">
        <v>1624.53</v>
      </c>
      <c r="C242" s="3" t="n">
        <v>7026001.24</v>
      </c>
      <c r="E242" s="5" t="n">
        <v>45908</v>
      </c>
      <c r="F242" s="4" t="n">
        <v>125000</v>
      </c>
      <c r="G242" s="4" t="n">
        <v>3853015512</v>
      </c>
      <c r="H242" s="4" t="n">
        <v>100000</v>
      </c>
      <c r="I242" s="4" t="n">
        <v>4107412004</v>
      </c>
      <c r="J242" s="4" t="n">
        <v>30300</v>
      </c>
      <c r="K242" s="4" t="n">
        <v>2272318410</v>
      </c>
      <c r="L242" s="4" t="n">
        <v>80300</v>
      </c>
      <c r="M242" s="4" t="n">
        <v>1793300377</v>
      </c>
      <c r="N242" s="4" t="n">
        <v>141900</v>
      </c>
      <c r="O242" s="4" t="n">
        <v>591611334</v>
      </c>
      <c r="Q242" s="3" t="n"/>
      <c r="R242" s="3">
        <f>G242*F242-G243*F243</f>
        <v/>
      </c>
      <c r="S242" s="3">
        <f>I242*H242-I243*H243</f>
        <v/>
      </c>
      <c r="T242" s="3">
        <f>K242*J242-K243*J243</f>
        <v/>
      </c>
      <c r="U242" s="3">
        <f>M242*L242-M243*L243</f>
        <v/>
      </c>
      <c r="V242" s="3">
        <f>O242*N242-O243*N243</f>
        <v/>
      </c>
      <c r="X242" s="2">
        <f>R242/10^9</f>
        <v/>
      </c>
      <c r="Y242" s="2">
        <f>S242/10^9</f>
        <v/>
      </c>
      <c r="Z242" s="2">
        <f>T242/10^9</f>
        <v/>
      </c>
      <c r="AA242" s="2">
        <f>U242/10^9</f>
        <v/>
      </c>
      <c r="AB242" s="2">
        <f>V242/10^9</f>
        <v/>
      </c>
      <c r="AC242" s="2" t="n"/>
      <c r="AD242" s="8">
        <f>X242/$C243*$B243</f>
        <v/>
      </c>
      <c r="AE242" s="8">
        <f>Y242/$C243*$B243</f>
        <v/>
      </c>
      <c r="AF242" s="8">
        <f>Z242/$C243*$B243</f>
        <v/>
      </c>
      <c r="AG242" s="8">
        <f>AA242/$C243*$B243</f>
        <v/>
      </c>
      <c r="AH242" s="11">
        <f>AB242/$C243*$B243</f>
        <v/>
      </c>
      <c r="AI242" s="8">
        <f>SUM(AD242:AG242)</f>
        <v/>
      </c>
      <c r="AJ242" s="9">
        <f>AI242+AJ243</f>
        <v/>
      </c>
      <c r="AK242" s="9" t="n"/>
      <c r="AL242" s="7">
        <f>B242-AJ242</f>
        <v/>
      </c>
      <c r="AM242" s="42">
        <f>_xlfn.STDEV.S(AL242:AL261)</f>
        <v/>
      </c>
    </row>
    <row r="243">
      <c r="A243" s="1" t="n">
        <v>45905</v>
      </c>
      <c r="B243" s="7" t="n">
        <v>1666.97</v>
      </c>
      <c r="C243" s="3" t="n">
        <v>7209462.27</v>
      </c>
      <c r="E243" s="5" t="n">
        <v>45905</v>
      </c>
      <c r="F243" s="4" t="n">
        <v>125000</v>
      </c>
      <c r="G243" s="4" t="n">
        <v>3853015512</v>
      </c>
      <c r="H243" s="4" t="n">
        <v>100000</v>
      </c>
      <c r="I243" s="4" t="n">
        <v>4107412004</v>
      </c>
      <c r="J243" s="4" t="n">
        <v>30300</v>
      </c>
      <c r="K243" s="4" t="n">
        <v>2272318410</v>
      </c>
      <c r="L243" s="4" t="n">
        <v>80400</v>
      </c>
      <c r="M243" s="4" t="n">
        <v>1793300377</v>
      </c>
      <c r="N243" s="4" t="n">
        <v>142000</v>
      </c>
      <c r="O243" s="4" t="n">
        <v>591611334</v>
      </c>
      <c r="Q243" s="3" t="n"/>
      <c r="R243" s="3">
        <f>G243*F243-G244*F244</f>
        <v/>
      </c>
      <c r="S243" s="3">
        <f>I243*H243-I244*H244</f>
        <v/>
      </c>
      <c r="T243" s="3">
        <f>K243*J243-K244*J244</f>
        <v/>
      </c>
      <c r="U243" s="3">
        <f>M243*L243-M244*L244</f>
        <v/>
      </c>
      <c r="V243" s="3">
        <f>O243*N243-O244*N244</f>
        <v/>
      </c>
      <c r="X243" s="2">
        <f>R243/10^9</f>
        <v/>
      </c>
      <c r="Y243" s="2">
        <f>S243/10^9</f>
        <v/>
      </c>
      <c r="Z243" s="2">
        <f>T243/10^9</f>
        <v/>
      </c>
      <c r="AA243" s="2">
        <f>U243/10^9</f>
        <v/>
      </c>
      <c r="AB243" s="2">
        <f>V243/10^9</f>
        <v/>
      </c>
      <c r="AC243" s="2" t="n"/>
      <c r="AD243" s="8">
        <f>X243/$C244*$B244</f>
        <v/>
      </c>
      <c r="AE243" s="8">
        <f>Y243/$C244*$B244</f>
        <v/>
      </c>
      <c r="AF243" s="8">
        <f>Z243/$C244*$B244</f>
        <v/>
      </c>
      <c r="AG243" s="8">
        <f>AA243/$C244*$B244</f>
        <v/>
      </c>
      <c r="AH243" s="11">
        <f>AB243/$C244*$B244</f>
        <v/>
      </c>
      <c r="AI243" s="8">
        <f>SUM(AD243:AG243)</f>
        <v/>
      </c>
      <c r="AJ243" s="9">
        <f>AI243+AJ244</f>
        <v/>
      </c>
      <c r="AK243" s="9" t="n"/>
      <c r="AL243" s="7">
        <f>B243-AJ243</f>
        <v/>
      </c>
      <c r="AM243" s="42">
        <f>_xlfn.STDEV.S(AL243:AL262)</f>
        <v/>
      </c>
    </row>
    <row r="244">
      <c r="A244" s="1" t="n">
        <v>45904</v>
      </c>
      <c r="B244" s="7" t="n">
        <v>1696.29</v>
      </c>
      <c r="C244" s="3" t="n">
        <v>7336257.24</v>
      </c>
      <c r="E244" s="5" t="n">
        <v>45904</v>
      </c>
      <c r="F244" s="4" t="n">
        <v>125000</v>
      </c>
      <c r="G244" s="4" t="n">
        <v>3853015512</v>
      </c>
      <c r="H244" s="4" t="n">
        <v>102300</v>
      </c>
      <c r="I244" s="4" t="n">
        <v>4107412004</v>
      </c>
      <c r="J244" s="4" t="n">
        <v>30300</v>
      </c>
      <c r="K244" s="4" t="n">
        <v>2272318410</v>
      </c>
      <c r="L244" s="4" t="n">
        <v>80100</v>
      </c>
      <c r="M244" s="4" t="n">
        <v>1793300377</v>
      </c>
      <c r="N244" s="4" t="n">
        <v>140000</v>
      </c>
      <c r="O244" s="4" t="n">
        <v>591611334</v>
      </c>
      <c r="Q244" s="3" t="n"/>
      <c r="R244" s="3">
        <f>G244*F244-G245*F245</f>
        <v/>
      </c>
      <c r="S244" s="3">
        <f>I244*H244-I245*H245</f>
        <v/>
      </c>
      <c r="T244" s="3">
        <f>K244*J244-K245*J245</f>
        <v/>
      </c>
      <c r="U244" s="3">
        <f>M244*L244-M245*L245</f>
        <v/>
      </c>
      <c r="V244" s="3">
        <f>O244*N244-O245*N245</f>
        <v/>
      </c>
      <c r="X244" s="2">
        <f>R244/10^9</f>
        <v/>
      </c>
      <c r="Y244" s="2">
        <f>S244/10^9</f>
        <v/>
      </c>
      <c r="Z244" s="2">
        <f>T244/10^9</f>
        <v/>
      </c>
      <c r="AA244" s="2">
        <f>U244/10^9</f>
        <v/>
      </c>
      <c r="AB244" s="2">
        <f>V244/10^9</f>
        <v/>
      </c>
      <c r="AC244" s="2" t="n"/>
      <c r="AD244" s="8">
        <f>X244/$C245*$B245</f>
        <v/>
      </c>
      <c r="AE244" s="8">
        <f>Y244/$C245*$B245</f>
        <v/>
      </c>
      <c r="AF244" s="8">
        <f>Z244/$C245*$B245</f>
        <v/>
      </c>
      <c r="AG244" s="8">
        <f>AA244/$C245*$B245</f>
        <v/>
      </c>
      <c r="AH244" s="11">
        <f>AB244/$C245*$B245</f>
        <v/>
      </c>
      <c r="AI244" s="8">
        <f>SUM(AD244:AG244)</f>
        <v/>
      </c>
      <c r="AJ244" s="9">
        <f>AI244+AJ245</f>
        <v/>
      </c>
      <c r="AK244" s="9" t="n"/>
      <c r="AL244" s="7">
        <f>B244-AJ244</f>
        <v/>
      </c>
      <c r="AM244" s="42">
        <f>_xlfn.STDEV.S(AL244:AL263)</f>
        <v/>
      </c>
    </row>
    <row r="245">
      <c r="A245" s="1" t="n">
        <v>45903</v>
      </c>
      <c r="B245" s="7" t="n">
        <v>1681.3</v>
      </c>
      <c r="C245" s="3" t="n">
        <v>7271420.36</v>
      </c>
      <c r="E245" s="5" t="n">
        <v>45903</v>
      </c>
      <c r="F245" s="4" t="n">
        <v>125000</v>
      </c>
      <c r="G245" s="4" t="n">
        <v>3853015512</v>
      </c>
      <c r="H245" s="4" t="n">
        <v>102700</v>
      </c>
      <c r="I245" s="4" t="n">
        <v>4107412004</v>
      </c>
      <c r="J245" s="4" t="n">
        <v>30150</v>
      </c>
      <c r="K245" s="4" t="n">
        <v>2272318410</v>
      </c>
      <c r="L245" s="4" t="n">
        <v>80200</v>
      </c>
      <c r="M245" s="4" t="n">
        <v>1793300377</v>
      </c>
      <c r="N245" s="4" t="n">
        <v>142000</v>
      </c>
      <c r="O245" s="4" t="n">
        <v>591611334</v>
      </c>
      <c r="Q245" s="3" t="n"/>
      <c r="R245" s="3">
        <f>G245*F245-G246*F246</f>
        <v/>
      </c>
      <c r="S245" s="3">
        <f>I245*H245-I246*H246</f>
        <v/>
      </c>
      <c r="T245" s="3">
        <f>K245*J245-K246*J246</f>
        <v/>
      </c>
      <c r="U245" s="3">
        <f>M245*L245-M246*L246</f>
        <v/>
      </c>
      <c r="V245" s="3">
        <f>O245*N245-O246*N246</f>
        <v/>
      </c>
      <c r="X245" s="2">
        <f>R245/10^9</f>
        <v/>
      </c>
      <c r="Y245" s="2">
        <f>S245/10^9</f>
        <v/>
      </c>
      <c r="Z245" s="2">
        <f>T245/10^9</f>
        <v/>
      </c>
      <c r="AA245" s="2">
        <f>U245/10^9</f>
        <v/>
      </c>
      <c r="AB245" s="2">
        <f>V245/10^9</f>
        <v/>
      </c>
      <c r="AC245" s="2" t="n"/>
      <c r="AD245" s="8">
        <f>X245/$C246*$B246</f>
        <v/>
      </c>
      <c r="AE245" s="8">
        <f>Y245/$C246*$B246</f>
        <v/>
      </c>
      <c r="AF245" s="8">
        <f>Z245/$C246*$B246</f>
        <v/>
      </c>
      <c r="AG245" s="8">
        <f>AA245/$C246*$B246</f>
        <v/>
      </c>
      <c r="AH245" s="11">
        <f>AB245/$C246*$B246</f>
        <v/>
      </c>
      <c r="AI245" s="8">
        <f>SUM(AD245:AG245)</f>
        <v/>
      </c>
      <c r="AJ245" s="9">
        <f>AI245+AJ246</f>
        <v/>
      </c>
      <c r="AK245" s="9" t="n"/>
      <c r="AL245" s="7">
        <f>B245-AJ245</f>
        <v/>
      </c>
      <c r="AM245" s="42">
        <f>_xlfn.STDEV.S(AL245:AL264)</f>
        <v/>
      </c>
    </row>
    <row r="246">
      <c r="A246" s="1" t="n">
        <v>45898</v>
      </c>
      <c r="B246" s="7" t="n">
        <v>1682.21</v>
      </c>
      <c r="C246" s="3" t="n">
        <v>7275347.19</v>
      </c>
      <c r="E246" s="5" t="n">
        <v>45898</v>
      </c>
      <c r="F246" s="4" t="n">
        <v>128300</v>
      </c>
      <c r="G246" s="4" t="n">
        <v>3853015512</v>
      </c>
      <c r="H246" s="4" t="n">
        <v>104500</v>
      </c>
      <c r="I246" s="4" t="n">
        <v>4107412004</v>
      </c>
      <c r="J246" s="4" t="n">
        <v>30400</v>
      </c>
      <c r="K246" s="4" t="n">
        <v>2272318410</v>
      </c>
      <c r="L246" s="4" t="n">
        <v>80200</v>
      </c>
      <c r="M246" s="4" t="n">
        <v>1793300377</v>
      </c>
      <c r="N246" s="4" t="n">
        <v>144500</v>
      </c>
      <c r="O246" s="4" t="n">
        <v>591611334</v>
      </c>
      <c r="Q246" s="3" t="n"/>
      <c r="R246" s="3">
        <f>G246*F246-G247*F247</f>
        <v/>
      </c>
      <c r="S246" s="3">
        <f>I246*H246-I247*H247</f>
        <v/>
      </c>
      <c r="T246" s="3">
        <f>K246*J246-K247*J247</f>
        <v/>
      </c>
      <c r="U246" s="3">
        <f>M246*L246-M247*L247</f>
        <v/>
      </c>
      <c r="V246" s="3">
        <f>O246*N246-O247*N247</f>
        <v/>
      </c>
      <c r="X246" s="2">
        <f>R246/10^9</f>
        <v/>
      </c>
      <c r="Y246" s="2">
        <f>S246/10^9</f>
        <v/>
      </c>
      <c r="Z246" s="2">
        <f>T246/10^9</f>
        <v/>
      </c>
      <c r="AA246" s="2">
        <f>U246/10^9</f>
        <v/>
      </c>
      <c r="AB246" s="2">
        <f>V246/10^9</f>
        <v/>
      </c>
      <c r="AC246" s="2" t="n"/>
      <c r="AD246" s="8">
        <f>X246/$C247*$B247</f>
        <v/>
      </c>
      <c r="AE246" s="8">
        <f>Y246/$C247*$B247</f>
        <v/>
      </c>
      <c r="AF246" s="8">
        <f>Z246/$C247*$B247</f>
        <v/>
      </c>
      <c r="AG246" s="8">
        <f>AA246/$C247*$B247</f>
        <v/>
      </c>
      <c r="AH246" s="11">
        <f>AB246/$C247*$B247</f>
        <v/>
      </c>
      <c r="AI246" s="8">
        <f>SUM(AD246:AG246)</f>
        <v/>
      </c>
      <c r="AJ246" s="9">
        <f>AI246+AJ247</f>
        <v/>
      </c>
      <c r="AK246" s="9" t="n"/>
      <c r="AL246" s="7">
        <f>B246-AJ246</f>
        <v/>
      </c>
      <c r="AM246" s="42">
        <f>_xlfn.STDEV.S(AL246:AL265)</f>
        <v/>
      </c>
    </row>
    <row r="247">
      <c r="A247" s="1" t="n">
        <v>45897</v>
      </c>
      <c r="B247" s="7" t="n">
        <v>1680.86</v>
      </c>
      <c r="C247" s="3" t="n">
        <v>7269546.26</v>
      </c>
      <c r="E247" s="5" t="n">
        <v>45897</v>
      </c>
      <c r="F247" s="4" t="n">
        <v>130100</v>
      </c>
      <c r="G247" s="4" t="n">
        <v>3853015512</v>
      </c>
      <c r="H247" s="4" t="n">
        <v>104600</v>
      </c>
      <c r="I247" s="4" t="n">
        <v>4107412004</v>
      </c>
      <c r="J247" s="4" t="n">
        <v>30700</v>
      </c>
      <c r="K247" s="4" t="n">
        <v>2272318410</v>
      </c>
      <c r="L247" s="4" t="n">
        <v>80200</v>
      </c>
      <c r="M247" s="4" t="n">
        <v>1793300377</v>
      </c>
      <c r="N247" s="4" t="n">
        <v>145000</v>
      </c>
      <c r="O247" s="4" t="n">
        <v>591611334</v>
      </c>
      <c r="Q247" s="3" t="n"/>
      <c r="R247" s="3">
        <f>G247*F247-G248*F248</f>
        <v/>
      </c>
      <c r="S247" s="3">
        <f>I247*H247-I248*H248</f>
        <v/>
      </c>
      <c r="T247" s="3">
        <f>K247*J247-K248*J248</f>
        <v/>
      </c>
      <c r="U247" s="3">
        <f>M247*L247-M248*L248</f>
        <v/>
      </c>
      <c r="V247" s="3">
        <f>O247*N247-O248*N248</f>
        <v/>
      </c>
      <c r="X247" s="2">
        <f>R247/10^9</f>
        <v/>
      </c>
      <c r="Y247" s="2">
        <f>S247/10^9</f>
        <v/>
      </c>
      <c r="Z247" s="2">
        <f>T247/10^9</f>
        <v/>
      </c>
      <c r="AA247" s="2">
        <f>U247/10^9</f>
        <v/>
      </c>
      <c r="AB247" s="2">
        <f>V247/10^9</f>
        <v/>
      </c>
      <c r="AC247" s="2" t="n"/>
      <c r="AD247" s="8">
        <f>X247/$C248*$B248</f>
        <v/>
      </c>
      <c r="AE247" s="8">
        <f>Y247/$C248*$B248</f>
        <v/>
      </c>
      <c r="AF247" s="8">
        <f>Z247/$C248*$B248</f>
        <v/>
      </c>
      <c r="AG247" s="8">
        <f>AA247/$C248*$B248</f>
        <v/>
      </c>
      <c r="AH247" s="11">
        <f>AB247/$C248*$B248</f>
        <v/>
      </c>
      <c r="AI247" s="8">
        <f>SUM(AD247:AG247)</f>
        <v/>
      </c>
      <c r="AJ247" s="9">
        <f>AI247+AJ248</f>
        <v/>
      </c>
      <c r="AK247" s="9" t="n"/>
      <c r="AL247" s="7">
        <f>B247-AJ247</f>
        <v/>
      </c>
      <c r="AM247" s="42">
        <f>_xlfn.STDEV.S(AL247:AL266)</f>
        <v/>
      </c>
    </row>
    <row r="248">
      <c r="A248" s="1" t="n">
        <v>45896</v>
      </c>
      <c r="B248" s="7" t="n">
        <v>1672.78</v>
      </c>
      <c r="C248" s="3" t="n">
        <v>7234547.81</v>
      </c>
      <c r="E248" s="5" t="n">
        <v>45896</v>
      </c>
      <c r="F248" s="4" t="n">
        <v>132000</v>
      </c>
      <c r="G248" s="4" t="n">
        <v>3853015512</v>
      </c>
      <c r="H248" s="4" t="n">
        <v>104600</v>
      </c>
      <c r="I248" s="4" t="n">
        <v>4107412004</v>
      </c>
      <c r="J248" s="4" t="n">
        <v>30600</v>
      </c>
      <c r="K248" s="4" t="n">
        <v>2272318410</v>
      </c>
      <c r="L248" s="4" t="n">
        <v>80200</v>
      </c>
      <c r="M248" s="4" t="n">
        <v>1793300377</v>
      </c>
      <c r="N248" s="4" t="n">
        <v>144100</v>
      </c>
      <c r="O248" s="4" t="n">
        <v>591611334</v>
      </c>
      <c r="Q248" s="3" t="n"/>
      <c r="R248" s="3">
        <f>G248*F248-G249*F249</f>
        <v/>
      </c>
      <c r="S248" s="3">
        <f>I248*H248-I249*H249</f>
        <v/>
      </c>
      <c r="T248" s="3">
        <f>K248*J248-K249*J249</f>
        <v/>
      </c>
      <c r="U248" s="3">
        <f>M248*L248-M249*L249</f>
        <v/>
      </c>
      <c r="V248" s="3">
        <f>O248*N248-O249*N249</f>
        <v/>
      </c>
      <c r="X248" s="2">
        <f>R248/10^9</f>
        <v/>
      </c>
      <c r="Y248" s="2">
        <f>S248/10^9</f>
        <v/>
      </c>
      <c r="Z248" s="2">
        <f>T248/10^9</f>
        <v/>
      </c>
      <c r="AA248" s="2">
        <f>U248/10^9</f>
        <v/>
      </c>
      <c r="AB248" s="2">
        <f>V248/10^9</f>
        <v/>
      </c>
      <c r="AC248" s="2" t="n"/>
      <c r="AD248" s="8">
        <f>X248/$C249*$B249</f>
        <v/>
      </c>
      <c r="AE248" s="8">
        <f>Y248/$C249*$B249</f>
        <v/>
      </c>
      <c r="AF248" s="8">
        <f>Z248/$C249*$B249</f>
        <v/>
      </c>
      <c r="AG248" s="8">
        <f>AA248/$C249*$B249</f>
        <v/>
      </c>
      <c r="AH248" s="11">
        <f>AB248/$C249*$B249</f>
        <v/>
      </c>
      <c r="AI248" s="8">
        <f>SUM(AD248:AG248)</f>
        <v/>
      </c>
      <c r="AJ248" s="9">
        <f>AI248+AJ249</f>
        <v/>
      </c>
      <c r="AK248" s="9" t="n"/>
      <c r="AL248" s="7">
        <f>B248-AJ248</f>
        <v/>
      </c>
      <c r="AM248" s="42">
        <f>_xlfn.STDEV.S(AL248:AL267)</f>
        <v/>
      </c>
    </row>
    <row r="249">
      <c r="A249" s="1" t="n">
        <v>45895</v>
      </c>
      <c r="B249" s="7" t="n">
        <v>1667.63</v>
      </c>
      <c r="C249" s="3" t="n">
        <v>7212512.93</v>
      </c>
      <c r="E249" s="5" t="n">
        <v>45895</v>
      </c>
      <c r="F249" s="4" t="n">
        <v>135500</v>
      </c>
      <c r="G249" s="4" t="n">
        <v>3853015512</v>
      </c>
      <c r="H249" s="4" t="n">
        <v>105200</v>
      </c>
      <c r="I249" s="4" t="n">
        <v>4107412004</v>
      </c>
      <c r="J249" s="4" t="n">
        <v>31300</v>
      </c>
      <c r="K249" s="4" t="n">
        <v>2272318410</v>
      </c>
      <c r="L249" s="4" t="n">
        <v>80200</v>
      </c>
      <c r="M249" s="4" t="n">
        <v>1793300377</v>
      </c>
      <c r="N249" s="4" t="n">
        <v>144000</v>
      </c>
      <c r="O249" s="4" t="n">
        <v>591611334</v>
      </c>
      <c r="Q249" s="3" t="n"/>
      <c r="R249" s="3">
        <f>G249*F249-G250*F250</f>
        <v/>
      </c>
      <c r="S249" s="3">
        <f>I249*H249-I250*H250</f>
        <v/>
      </c>
      <c r="T249" s="3">
        <f>K249*J249-K250*J250</f>
        <v/>
      </c>
      <c r="U249" s="3">
        <f>M249*L249-M250*L250</f>
        <v/>
      </c>
      <c r="V249" s="3">
        <f>O249*N249-O250*N250</f>
        <v/>
      </c>
      <c r="X249" s="2">
        <f>R249/10^9</f>
        <v/>
      </c>
      <c r="Y249" s="2">
        <f>S249/10^9</f>
        <v/>
      </c>
      <c r="Z249" s="2">
        <f>T249/10^9</f>
        <v/>
      </c>
      <c r="AA249" s="2">
        <f>U249/10^9</f>
        <v/>
      </c>
      <c r="AB249" s="2">
        <f>V249/10^9</f>
        <v/>
      </c>
      <c r="AC249" s="2" t="n"/>
      <c r="AD249" s="8">
        <f>X249/$C250*$B250</f>
        <v/>
      </c>
      <c r="AE249" s="8">
        <f>Y249/$C250*$B250</f>
        <v/>
      </c>
      <c r="AF249" s="8">
        <f>Z249/$C250*$B250</f>
        <v/>
      </c>
      <c r="AG249" s="8">
        <f>AA249/$C250*$B250</f>
        <v/>
      </c>
      <c r="AH249" s="11">
        <f>AB249/$C250*$B250</f>
        <v/>
      </c>
      <c r="AI249" s="8">
        <f>SUM(AD249:AG249)</f>
        <v/>
      </c>
      <c r="AJ249" s="9">
        <f>AI249+AJ250</f>
        <v/>
      </c>
      <c r="AK249" s="9" t="n"/>
      <c r="AL249" s="7">
        <f>B249-AJ249</f>
        <v/>
      </c>
      <c r="AM249" s="42">
        <f>_xlfn.STDEV.S(AL249:AL268)</f>
        <v/>
      </c>
    </row>
    <row r="250">
      <c r="A250" s="1" t="n">
        <v>45894</v>
      </c>
      <c r="B250" s="7" t="n">
        <v>1614.03</v>
      </c>
      <c r="C250" s="3" t="n">
        <v>6980703.11</v>
      </c>
      <c r="E250" s="5" t="n">
        <v>45894</v>
      </c>
      <c r="F250" s="4" t="n">
        <v>131000</v>
      </c>
      <c r="G250" s="4" t="n">
        <v>3853015512</v>
      </c>
      <c r="H250" s="4" t="n">
        <v>98400</v>
      </c>
      <c r="I250" s="4" t="n">
        <v>4107412004</v>
      </c>
      <c r="J250" s="4" t="n">
        <v>30000</v>
      </c>
      <c r="K250" s="4" t="n">
        <v>2272318410</v>
      </c>
      <c r="L250" s="4" t="n">
        <v>80800</v>
      </c>
      <c r="M250" s="4" t="n">
        <v>1793300377</v>
      </c>
      <c r="N250" s="4" t="n">
        <v>142500</v>
      </c>
      <c r="O250" s="4" t="n">
        <v>591611334</v>
      </c>
      <c r="Q250" s="3" t="n"/>
      <c r="R250" s="3">
        <f>G250*F250-G251*F251</f>
        <v/>
      </c>
      <c r="S250" s="3">
        <f>I250*H250-I251*H251</f>
        <v/>
      </c>
      <c r="T250" s="3">
        <f>K250*J250-K251*J251</f>
        <v/>
      </c>
      <c r="U250" s="3">
        <f>M250*L250-M251*L251</f>
        <v/>
      </c>
      <c r="V250" s="3">
        <f>O250*N250-O251*N251</f>
        <v/>
      </c>
      <c r="X250" s="2">
        <f>R250/10^9</f>
        <v/>
      </c>
      <c r="Y250" s="2">
        <f>S250/10^9</f>
        <v/>
      </c>
      <c r="Z250" s="2">
        <f>T250/10^9</f>
        <v/>
      </c>
      <c r="AA250" s="2">
        <f>U250/10^9</f>
        <v/>
      </c>
      <c r="AB250" s="2">
        <f>V250/10^9</f>
        <v/>
      </c>
      <c r="AC250" s="2" t="n"/>
      <c r="AD250" s="8">
        <f>X250/$C251*$B251</f>
        <v/>
      </c>
      <c r="AE250" s="8">
        <f>Y250/$C251*$B251</f>
        <v/>
      </c>
      <c r="AF250" s="8">
        <f>Z250/$C251*$B251</f>
        <v/>
      </c>
      <c r="AG250" s="8">
        <f>AA250/$C251*$B251</f>
        <v/>
      </c>
      <c r="AH250" s="11">
        <f>AB250/$C251*$B251</f>
        <v/>
      </c>
      <c r="AI250" s="8">
        <f>SUM(AD250:AG250)</f>
        <v/>
      </c>
      <c r="AJ250" s="9">
        <f>AI250+AJ251</f>
        <v/>
      </c>
      <c r="AK250" s="9" t="n"/>
      <c r="AL250" s="7">
        <f>B250-AJ250</f>
        <v/>
      </c>
      <c r="AM250" s="42">
        <f>_xlfn.STDEV.S(AL250:AL269)</f>
        <v/>
      </c>
    </row>
    <row r="251">
      <c r="A251" s="1" t="n">
        <v>45891</v>
      </c>
      <c r="B251" s="7" t="n">
        <v>1645.47</v>
      </c>
      <c r="C251" s="3" t="n">
        <v>7116439.56</v>
      </c>
      <c r="E251" s="5" t="n">
        <v>45891</v>
      </c>
      <c r="F251" s="4" t="n">
        <v>124100</v>
      </c>
      <c r="G251" s="4" t="n">
        <v>3853015512</v>
      </c>
      <c r="H251" s="4" t="n">
        <v>98100</v>
      </c>
      <c r="I251" s="4" t="n">
        <v>4107412004</v>
      </c>
      <c r="J251" s="4" t="n">
        <v>30000</v>
      </c>
      <c r="K251" s="4" t="n">
        <v>2272318410</v>
      </c>
      <c r="L251" s="4" t="n">
        <v>80800</v>
      </c>
      <c r="M251" s="4" t="n">
        <v>1793300377</v>
      </c>
      <c r="N251" s="4" t="n">
        <v>140000</v>
      </c>
      <c r="O251" s="4" t="n">
        <v>591611334</v>
      </c>
      <c r="Q251" s="3" t="n"/>
      <c r="R251" s="3">
        <f>G251*F251-G252*F252</f>
        <v/>
      </c>
      <c r="S251" s="3">
        <f>I251*H251-I252*H252</f>
        <v/>
      </c>
      <c r="T251" s="3">
        <f>K251*J251-K252*J252</f>
        <v/>
      </c>
      <c r="U251" s="3">
        <f>M251*L251-M252*L252</f>
        <v/>
      </c>
      <c r="V251" s="3">
        <f>O251*N251-O252*N252</f>
        <v/>
      </c>
      <c r="X251" s="2">
        <f>R251/10^9</f>
        <v/>
      </c>
      <c r="Y251" s="2">
        <f>S251/10^9</f>
        <v/>
      </c>
      <c r="Z251" s="2">
        <f>T251/10^9</f>
        <v/>
      </c>
      <c r="AA251" s="2">
        <f>U251/10^9</f>
        <v/>
      </c>
      <c r="AB251" s="2">
        <f>V251/10^9</f>
        <v/>
      </c>
      <c r="AC251" s="2" t="n"/>
      <c r="AD251" s="8">
        <f>X251/$C252*$B252</f>
        <v/>
      </c>
      <c r="AE251" s="8">
        <f>Y251/$C252*$B252</f>
        <v/>
      </c>
      <c r="AF251" s="8">
        <f>Z251/$C252*$B252</f>
        <v/>
      </c>
      <c r="AG251" s="8">
        <f>AA251/$C252*$B252</f>
        <v/>
      </c>
      <c r="AH251" s="11">
        <f>AB251/$C252*$B252</f>
        <v/>
      </c>
      <c r="AI251" s="8">
        <f>SUM(AD251:AG251)</f>
        <v/>
      </c>
      <c r="AJ251" s="9">
        <f>AI251+AJ252</f>
        <v/>
      </c>
      <c r="AK251" s="9" t="n"/>
      <c r="AL251" s="7">
        <f>B251-AJ251</f>
        <v/>
      </c>
      <c r="AM251" s="42">
        <f>_xlfn.STDEV.S(AL251:AL270)</f>
        <v/>
      </c>
    </row>
    <row r="252">
      <c r="A252" s="1" t="n">
        <v>45890</v>
      </c>
      <c r="B252" s="7" t="n">
        <v>1688</v>
      </c>
      <c r="C252" s="3" t="n">
        <v>7300382.51</v>
      </c>
      <c r="E252" s="5" t="n">
        <v>45890</v>
      </c>
      <c r="F252" s="4" t="n">
        <v>125000</v>
      </c>
      <c r="G252" s="4" t="n">
        <v>3853015512</v>
      </c>
      <c r="H252" s="4" t="n">
        <v>99800</v>
      </c>
      <c r="I252" s="4" t="n">
        <v>4107412004</v>
      </c>
      <c r="J252" s="4" t="n">
        <v>30400</v>
      </c>
      <c r="K252" s="4" t="n">
        <v>2272318410</v>
      </c>
      <c r="L252" s="4" t="n">
        <v>80900</v>
      </c>
      <c r="M252" s="4" t="n">
        <v>1793300377</v>
      </c>
      <c r="N252" s="4" t="n">
        <v>145800</v>
      </c>
      <c r="O252" s="4" t="n">
        <v>591611334</v>
      </c>
      <c r="Q252" s="3" t="n"/>
      <c r="R252" s="3">
        <f>G253*F252-G253*F253</f>
        <v/>
      </c>
      <c r="S252" s="3">
        <f>I252*H252-I253*H253</f>
        <v/>
      </c>
      <c r="T252" s="3">
        <f>K252*J252-K253*J253</f>
        <v/>
      </c>
      <c r="U252" s="3">
        <f>M252*L252-M253*L253</f>
        <v/>
      </c>
      <c r="V252" s="3">
        <f>O252*N252-O253*N253</f>
        <v/>
      </c>
      <c r="X252" s="2">
        <f>R252/10^9</f>
        <v/>
      </c>
      <c r="Y252" s="2">
        <f>S252/10^9</f>
        <v/>
      </c>
      <c r="Z252" s="2">
        <f>T252/10^9</f>
        <v/>
      </c>
      <c r="AA252" s="2">
        <f>U252/10^9</f>
        <v/>
      </c>
      <c r="AB252" s="2">
        <f>V252/10^9</f>
        <v/>
      </c>
      <c r="AC252" s="2" t="n"/>
      <c r="AD252" s="8">
        <f>X252/$C253*$B253</f>
        <v/>
      </c>
      <c r="AE252" s="8">
        <f>Y252/$C253*$B253</f>
        <v/>
      </c>
      <c r="AF252" s="8">
        <f>Z252/$C253*$B253</f>
        <v/>
      </c>
      <c r="AG252" s="8">
        <f>AA252/$C253*$B253</f>
        <v/>
      </c>
      <c r="AH252" s="11">
        <f>AB252/$C253*$B253</f>
        <v/>
      </c>
      <c r="AI252" s="8">
        <f>SUM(AD252:AG252)</f>
        <v/>
      </c>
      <c r="AJ252" s="9">
        <f>AI252+AJ253</f>
        <v/>
      </c>
      <c r="AK252" s="9" t="n"/>
      <c r="AL252" s="7">
        <f>B252-AJ252</f>
        <v/>
      </c>
      <c r="AM252" s="42">
        <f>_xlfn.STDEV.S(AL252:AL271)</f>
        <v/>
      </c>
    </row>
    <row r="253">
      <c r="A253" s="1" t="n">
        <v>45889</v>
      </c>
      <c r="B253" s="7" t="n">
        <v>1664.36</v>
      </c>
      <c r="C253" s="3" t="n">
        <v>7197827.97</v>
      </c>
      <c r="E253" s="5" t="n">
        <v>45889</v>
      </c>
      <c r="F253" s="4" t="n">
        <v>124200</v>
      </c>
      <c r="G253" s="4" t="n">
        <v>3823661561</v>
      </c>
      <c r="H253" s="4" t="n">
        <v>99000</v>
      </c>
      <c r="I253" s="4" t="n">
        <v>4107412004</v>
      </c>
      <c r="J253" s="4" t="n">
        <v>30000</v>
      </c>
      <c r="K253" s="4" t="n">
        <v>2272318410</v>
      </c>
      <c r="L253" s="4" t="n">
        <v>81500</v>
      </c>
      <c r="M253" s="4" t="n">
        <v>1793300377</v>
      </c>
      <c r="N253" s="4" t="n">
        <v>143800</v>
      </c>
      <c r="O253" s="4" t="n">
        <v>591611334</v>
      </c>
      <c r="Q253" s="3" t="n"/>
      <c r="R253" s="3">
        <f>G253*F253-G254*F254</f>
        <v/>
      </c>
      <c r="S253" s="3">
        <f>I253*H253-I254*H254</f>
        <v/>
      </c>
      <c r="T253" s="3">
        <f>K253*J253-K254*J254</f>
        <v/>
      </c>
      <c r="U253" s="3">
        <f>M253*L253-M254*L254</f>
        <v/>
      </c>
      <c r="V253" s="3">
        <f>O253*N253-O254*N254</f>
        <v/>
      </c>
      <c r="X253" s="2">
        <f>R253/10^9</f>
        <v/>
      </c>
      <c r="Y253" s="2">
        <f>S253/10^9</f>
        <v/>
      </c>
      <c r="Z253" s="2">
        <f>T253/10^9</f>
        <v/>
      </c>
      <c r="AA253" s="2">
        <f>U253/10^9</f>
        <v/>
      </c>
      <c r="AB253" s="2">
        <f>V253/10^9</f>
        <v/>
      </c>
      <c r="AC253" s="2" t="n"/>
      <c r="AD253" s="8">
        <f>X253/$C254*$B254</f>
        <v/>
      </c>
      <c r="AE253" s="8">
        <f>Y253/$C254*$B254</f>
        <v/>
      </c>
      <c r="AF253" s="8">
        <f>Z253/$C254*$B254</f>
        <v/>
      </c>
      <c r="AG253" s="8">
        <f>AA253/$C254*$B254</f>
        <v/>
      </c>
      <c r="AH253" s="11">
        <f>AB253/$C254*$B254</f>
        <v/>
      </c>
      <c r="AI253" s="8">
        <f>SUM(AD253:AG253)</f>
        <v/>
      </c>
      <c r="AJ253" s="9">
        <f>AI253+AJ254</f>
        <v/>
      </c>
      <c r="AK253" s="9" t="n"/>
      <c r="AL253" s="7">
        <f>B253-AJ253</f>
        <v/>
      </c>
      <c r="AM253" s="42">
        <f>_xlfn.STDEV.S(AL253:AL272)</f>
        <v/>
      </c>
    </row>
    <row r="254">
      <c r="A254" s="1" t="n">
        <v>45888</v>
      </c>
      <c r="B254" s="7" t="n">
        <v>1654.2</v>
      </c>
      <c r="C254" s="3" t="n">
        <v>7151842.1</v>
      </c>
      <c r="E254" s="5" t="n">
        <v>45888</v>
      </c>
      <c r="F254" s="4" t="n">
        <v>118200</v>
      </c>
      <c r="G254" s="4" t="n">
        <v>3823661561</v>
      </c>
      <c r="H254" s="4" t="n">
        <v>93900</v>
      </c>
      <c r="I254" s="4" t="n">
        <v>4107412004</v>
      </c>
      <c r="J254" s="4" t="n">
        <v>29950</v>
      </c>
      <c r="K254" s="4" t="n">
        <v>2272318410</v>
      </c>
      <c r="L254" s="4" t="n">
        <v>81500</v>
      </c>
      <c r="M254" s="4" t="n">
        <v>1793300377</v>
      </c>
      <c r="N254" s="4" t="n">
        <v>146000</v>
      </c>
      <c r="O254" s="4" t="n">
        <v>591611334</v>
      </c>
      <c r="Q254" s="3" t="n"/>
      <c r="R254" s="3">
        <f>G254*F254-G255*F255</f>
        <v/>
      </c>
      <c r="S254" s="3">
        <f>I254*H254-I255*H255</f>
        <v/>
      </c>
      <c r="T254" s="3">
        <f>K254*J254-K255*J255</f>
        <v/>
      </c>
      <c r="U254" s="3">
        <f>M254*L254-M255*L255</f>
        <v/>
      </c>
      <c r="V254" s="3">
        <f>O254*N254-O255*N255</f>
        <v/>
      </c>
      <c r="X254" s="2">
        <f>R254/10^9</f>
        <v/>
      </c>
      <c r="Y254" s="2">
        <f>S254/10^9</f>
        <v/>
      </c>
      <c r="Z254" s="2">
        <f>T254/10^9</f>
        <v/>
      </c>
      <c r="AA254" s="2">
        <f>U254/10^9</f>
        <v/>
      </c>
      <c r="AB254" s="2">
        <f>V254/10^9</f>
        <v/>
      </c>
      <c r="AC254" s="2" t="n"/>
      <c r="AD254" s="8">
        <f>X254/$C255*$B255</f>
        <v/>
      </c>
      <c r="AE254" s="8">
        <f>Y254/$C255*$B255</f>
        <v/>
      </c>
      <c r="AF254" s="8">
        <f>Z254/$C255*$B255</f>
        <v/>
      </c>
      <c r="AG254" s="8">
        <f>AA254/$C255*$B255</f>
        <v/>
      </c>
      <c r="AH254" s="11">
        <f>AB254/$C255*$B255</f>
        <v/>
      </c>
      <c r="AI254" s="8">
        <f>SUM(AD254:AG254)</f>
        <v/>
      </c>
      <c r="AJ254" s="9">
        <f>AI254+AJ255</f>
        <v/>
      </c>
      <c r="AK254" s="9" t="n"/>
      <c r="AL254" s="7">
        <f>B254-AJ254</f>
        <v/>
      </c>
      <c r="AM254" s="42">
        <f>_xlfn.STDEV.S(AL254:AL273)</f>
        <v/>
      </c>
    </row>
    <row r="255">
      <c r="A255" s="1" t="n">
        <v>45887</v>
      </c>
      <c r="B255" s="7" t="n">
        <v>1636.37</v>
      </c>
      <c r="C255" s="3" t="n">
        <v>7074760.68</v>
      </c>
      <c r="E255" s="5" t="n">
        <v>45887</v>
      </c>
      <c r="F255" s="4" t="n">
        <v>118200</v>
      </c>
      <c r="G255" s="4" t="n">
        <v>3823661561</v>
      </c>
      <c r="H255" s="4" t="n">
        <v>93900</v>
      </c>
      <c r="I255" s="4" t="n">
        <v>4107412004</v>
      </c>
      <c r="J255" s="4" t="n">
        <v>29950</v>
      </c>
      <c r="K255" s="4" t="n">
        <v>2272318410</v>
      </c>
      <c r="L255" s="4" t="n">
        <v>81600</v>
      </c>
      <c r="M255" s="4" t="n">
        <v>1793300377</v>
      </c>
      <c r="N255" s="4" t="n">
        <v>142400</v>
      </c>
      <c r="O255" s="4" t="n">
        <v>591611334</v>
      </c>
      <c r="Q255" s="3" t="n"/>
      <c r="R255" s="3">
        <f>G255*F255-G256*F256</f>
        <v/>
      </c>
      <c r="S255" s="3">
        <f>I255*H255-I256*H256</f>
        <v/>
      </c>
      <c r="T255" s="3">
        <f>K255*J255-K256*J256</f>
        <v/>
      </c>
      <c r="U255" s="3">
        <f>M255*L255-M256*L256</f>
        <v/>
      </c>
      <c r="V255" s="3">
        <f>O255*N255-O256*N256</f>
        <v/>
      </c>
      <c r="X255" s="2">
        <f>R255/10^9</f>
        <v/>
      </c>
      <c r="Y255" s="2">
        <f>S255/10^9</f>
        <v/>
      </c>
      <c r="Z255" s="2">
        <f>T255/10^9</f>
        <v/>
      </c>
      <c r="AA255" s="2">
        <f>U255/10^9</f>
        <v/>
      </c>
      <c r="AB255" s="2">
        <f>V255/10^9</f>
        <v/>
      </c>
      <c r="AC255" s="2" t="n"/>
      <c r="AD255" s="8">
        <f>X255/$C256*$B256</f>
        <v/>
      </c>
      <c r="AE255" s="8">
        <f>Y255/$C256*$B256</f>
        <v/>
      </c>
      <c r="AF255" s="8">
        <f>Z255/$C256*$B256</f>
        <v/>
      </c>
      <c r="AG255" s="8">
        <f>AA255/$C256*$B256</f>
        <v/>
      </c>
      <c r="AH255" s="11">
        <f>AB255/$C256*$B256</f>
        <v/>
      </c>
      <c r="AI255" s="8">
        <f>SUM(AD255:AG255)</f>
        <v/>
      </c>
      <c r="AJ255" s="9">
        <f>AI255+AJ256</f>
        <v/>
      </c>
      <c r="AK255" s="9" t="n"/>
      <c r="AL255" s="7">
        <f>B255-AJ255</f>
        <v/>
      </c>
      <c r="AM255" s="42">
        <f>_xlfn.STDEV.S(AL255:AL274)</f>
        <v/>
      </c>
    </row>
    <row r="256">
      <c r="A256" s="1" t="n">
        <v>45884</v>
      </c>
      <c r="B256" s="7" t="n">
        <v>1630</v>
      </c>
      <c r="C256" s="3" t="n">
        <v>7047211.09</v>
      </c>
      <c r="E256" s="5" t="n">
        <v>45884</v>
      </c>
      <c r="F256" s="4" t="n">
        <v>118200</v>
      </c>
      <c r="G256" s="4" t="n">
        <v>3823661561</v>
      </c>
      <c r="H256" s="4" t="n">
        <v>94000</v>
      </c>
      <c r="I256" s="4" t="n">
        <v>4107412004</v>
      </c>
      <c r="J256" s="4" t="n">
        <v>30300</v>
      </c>
      <c r="K256" s="4" t="n">
        <v>2272318410</v>
      </c>
      <c r="L256" s="4" t="n">
        <v>82900</v>
      </c>
      <c r="M256" s="4" t="n">
        <v>1793300377</v>
      </c>
      <c r="N256" s="4" t="n">
        <v>145600</v>
      </c>
      <c r="O256" s="4" t="n">
        <v>591611334</v>
      </c>
      <c r="Q256" s="3" t="n"/>
      <c r="R256" s="3">
        <f>G256*F256-G257*F257</f>
        <v/>
      </c>
      <c r="S256" s="3">
        <f>I256*H256-I257*H257</f>
        <v/>
      </c>
      <c r="T256" s="3">
        <f>K256*J256-K257*J257</f>
        <v/>
      </c>
      <c r="U256" s="3">
        <f>M256*L256-M257*L257</f>
        <v/>
      </c>
      <c r="V256" s="3">
        <f>O256*N256-O257*N257</f>
        <v/>
      </c>
      <c r="X256" s="2">
        <f>R256/10^9</f>
        <v/>
      </c>
      <c r="Y256" s="2">
        <f>S256/10^9</f>
        <v/>
      </c>
      <c r="Z256" s="2">
        <f>T256/10^9</f>
        <v/>
      </c>
      <c r="AA256" s="2">
        <f>U256/10^9</f>
        <v/>
      </c>
      <c r="AB256" s="2">
        <f>V256/10^9</f>
        <v/>
      </c>
      <c r="AC256" s="2" t="n"/>
      <c r="AD256" s="8">
        <f>X256/$C257*$B257</f>
        <v/>
      </c>
      <c r="AE256" s="8">
        <f>Y256/$C257*$B257</f>
        <v/>
      </c>
      <c r="AF256" s="8">
        <f>Z256/$C257*$B257</f>
        <v/>
      </c>
      <c r="AG256" s="8">
        <f>AA256/$C257*$B257</f>
        <v/>
      </c>
      <c r="AH256" s="11">
        <f>AB256/$C257*$B257</f>
        <v/>
      </c>
      <c r="AI256" s="8">
        <f>SUM(AD256:AG256)</f>
        <v/>
      </c>
      <c r="AJ256" s="9">
        <f>AI256+AJ257</f>
        <v/>
      </c>
      <c r="AK256" s="9" t="n"/>
      <c r="AL256" s="7">
        <f>B256-AJ256</f>
        <v/>
      </c>
      <c r="AM256" s="42">
        <f>_xlfn.STDEV.S(AL256:AL275)</f>
        <v/>
      </c>
    </row>
    <row r="257">
      <c r="A257" s="1" t="n">
        <v>45883</v>
      </c>
      <c r="B257" s="7" t="n">
        <v>1640.69</v>
      </c>
      <c r="C257" s="3" t="n">
        <v>7092773.36</v>
      </c>
      <c r="E257" s="5" t="n">
        <v>45883</v>
      </c>
      <c r="F257" s="4" t="n">
        <v>118200</v>
      </c>
      <c r="G257" s="4" t="n">
        <v>3823661561</v>
      </c>
      <c r="H257" s="4" t="n">
        <v>93900</v>
      </c>
      <c r="I257" s="4" t="n">
        <v>4107412004</v>
      </c>
      <c r="J257" s="4" t="n">
        <v>30150</v>
      </c>
      <c r="K257" s="4" t="n">
        <v>2272318410</v>
      </c>
      <c r="L257" s="4" t="n">
        <v>82800</v>
      </c>
      <c r="M257" s="4" t="n">
        <v>1793300377</v>
      </c>
      <c r="N257" s="4" t="n">
        <v>136300</v>
      </c>
      <c r="O257" s="4" t="n">
        <v>591611334</v>
      </c>
      <c r="Q257" s="3" t="n"/>
      <c r="R257" s="3">
        <f>G257*F257-G258*F258</f>
        <v/>
      </c>
      <c r="S257" s="3">
        <f>I257*H257-I258*H258</f>
        <v/>
      </c>
      <c r="T257" s="3">
        <f>K257*J257-K258*J258</f>
        <v/>
      </c>
      <c r="U257" s="3">
        <f>M257*L257-M258*L258</f>
        <v/>
      </c>
      <c r="V257" s="3">
        <f>O257*N257-O258*N258</f>
        <v/>
      </c>
      <c r="X257" s="2">
        <f>R257/10^9</f>
        <v/>
      </c>
      <c r="Y257" s="2">
        <f>S257/10^9</f>
        <v/>
      </c>
      <c r="Z257" s="2">
        <f>T257/10^9</f>
        <v/>
      </c>
      <c r="AA257" s="2">
        <f>U257/10^9</f>
        <v/>
      </c>
      <c r="AB257" s="2">
        <f>V257/10^9</f>
        <v/>
      </c>
      <c r="AC257" s="2" t="n"/>
      <c r="AD257" s="8">
        <f>X257/$C258*$B258</f>
        <v/>
      </c>
      <c r="AE257" s="8">
        <f>Y257/$C258*$B258</f>
        <v/>
      </c>
      <c r="AF257" s="8">
        <f>Z257/$C258*$B258</f>
        <v/>
      </c>
      <c r="AG257" s="8">
        <f>AA257/$C258*$B258</f>
        <v/>
      </c>
      <c r="AH257" s="11">
        <f>AB257/$C258*$B258</f>
        <v/>
      </c>
      <c r="AI257" s="8">
        <f>SUM(AD257:AG257)</f>
        <v/>
      </c>
      <c r="AJ257" s="9">
        <f>AI257+AJ258</f>
        <v/>
      </c>
      <c r="AK257" s="9" t="n"/>
      <c r="AL257" s="7">
        <f>B257-AJ257</f>
        <v/>
      </c>
      <c r="AM257" s="42">
        <f>_xlfn.STDEV.S(AL257:AL276)</f>
        <v/>
      </c>
    </row>
    <row r="258">
      <c r="A258" s="1" t="n">
        <v>45882</v>
      </c>
      <c r="B258" s="7" t="n">
        <v>1611.6</v>
      </c>
      <c r="C258" s="3" t="n">
        <v>6966579.95</v>
      </c>
      <c r="E258" s="5" t="n">
        <v>45882</v>
      </c>
      <c r="F258" s="4" t="n">
        <v>116000</v>
      </c>
      <c r="G258" s="4" t="n">
        <v>3823661561</v>
      </c>
      <c r="H258" s="4" t="n">
        <v>93000</v>
      </c>
      <c r="I258" s="4" t="n">
        <v>4107412004</v>
      </c>
      <c r="J258" s="4" t="n">
        <v>29450</v>
      </c>
      <c r="K258" s="4" t="n">
        <v>2272318410</v>
      </c>
      <c r="L258" s="4" t="n">
        <v>83300</v>
      </c>
      <c r="M258" s="4" t="n">
        <v>1793300377</v>
      </c>
      <c r="N258" s="4" t="n">
        <v>127400</v>
      </c>
      <c r="O258" s="4" t="n">
        <v>591611334</v>
      </c>
      <c r="Q258" s="3" t="n"/>
      <c r="R258" s="3">
        <f>G258*F258-G259*F259</f>
        <v/>
      </c>
      <c r="S258" s="3">
        <f>I258*H258-I259*H259</f>
        <v/>
      </c>
      <c r="T258" s="3">
        <f>K258*J258-K259*J259</f>
        <v/>
      </c>
      <c r="U258" s="3">
        <f>M258*L258-M259*L259</f>
        <v/>
      </c>
      <c r="V258" s="3">
        <f>O258*N258-O259*N259</f>
        <v/>
      </c>
      <c r="X258" s="2">
        <f>R258/10^9</f>
        <v/>
      </c>
      <c r="Y258" s="2">
        <f>S258/10^9</f>
        <v/>
      </c>
      <c r="Z258" s="2">
        <f>T258/10^9</f>
        <v/>
      </c>
      <c r="AA258" s="2">
        <f>U258/10^9</f>
        <v/>
      </c>
      <c r="AB258" s="2">
        <f>V258/10^9</f>
        <v/>
      </c>
      <c r="AC258" s="2" t="n"/>
      <c r="AD258" s="8">
        <f>X258/$C259*$B259</f>
        <v/>
      </c>
      <c r="AE258" s="8">
        <f>Y258/$C259*$B259</f>
        <v/>
      </c>
      <c r="AF258" s="8">
        <f>Z258/$C259*$B259</f>
        <v/>
      </c>
      <c r="AG258" s="8">
        <f>AA258/$C259*$B259</f>
        <v/>
      </c>
      <c r="AH258" s="11">
        <f>AB258/$C259*$B259</f>
        <v/>
      </c>
      <c r="AI258" s="8">
        <f>SUM(AD258:AG258)</f>
        <v/>
      </c>
      <c r="AJ258" s="9">
        <f>AI258+AJ259</f>
        <v/>
      </c>
      <c r="AK258" s="9" t="n"/>
      <c r="AL258" s="7">
        <f>B258-AJ258</f>
        <v/>
      </c>
      <c r="AM258" s="42">
        <f>_xlfn.STDEV.S(AL258:AL277)</f>
        <v/>
      </c>
    </row>
    <row r="259">
      <c r="A259" s="1" t="n">
        <v>45881</v>
      </c>
      <c r="B259" s="7" t="n">
        <v>1608.22</v>
      </c>
      <c r="C259" s="3" t="n">
        <v>6951586.3</v>
      </c>
      <c r="E259" s="5" t="n">
        <v>45881</v>
      </c>
      <c r="F259" s="4" t="n">
        <v>115500</v>
      </c>
      <c r="G259" s="4" t="n">
        <v>3823661561</v>
      </c>
      <c r="H259" s="4" t="n">
        <v>93000</v>
      </c>
      <c r="I259" s="4" t="n">
        <v>4107412004</v>
      </c>
      <c r="J259" s="4" t="n">
        <v>29450</v>
      </c>
      <c r="K259" s="4" t="n">
        <v>2272318410</v>
      </c>
      <c r="L259" s="4" t="n">
        <v>84000</v>
      </c>
      <c r="M259" s="4" t="n">
        <v>1793300377</v>
      </c>
      <c r="N259" s="4" t="n">
        <v>127000</v>
      </c>
      <c r="O259" s="4" t="n">
        <v>591611334</v>
      </c>
      <c r="Q259" s="3" t="n"/>
      <c r="R259" s="3">
        <f>G259*F259-G260*F260</f>
        <v/>
      </c>
      <c r="S259" s="3">
        <f>I259*H259-I260*H260</f>
        <v/>
      </c>
      <c r="T259" s="3">
        <f>K259*J259-K260*J260</f>
        <v/>
      </c>
      <c r="U259" s="3">
        <f>M259*L259-M260*L260</f>
        <v/>
      </c>
      <c r="V259" s="3">
        <f>O259*N259-O260*N260</f>
        <v/>
      </c>
      <c r="X259" s="2">
        <f>R259/10^9</f>
        <v/>
      </c>
      <c r="Y259" s="2">
        <f>S259/10^9</f>
        <v/>
      </c>
      <c r="Z259" s="2">
        <f>T259/10^9</f>
        <v/>
      </c>
      <c r="AA259" s="2">
        <f>U259/10^9</f>
        <v/>
      </c>
      <c r="AB259" s="2">
        <f>V259/10^9</f>
        <v/>
      </c>
      <c r="AC259" s="2" t="n"/>
      <c r="AD259" s="8">
        <f>X259/$C260*$B260</f>
        <v/>
      </c>
      <c r="AE259" s="8">
        <f>Y259/$C260*$B260</f>
        <v/>
      </c>
      <c r="AF259" s="8">
        <f>Z259/$C260*$B260</f>
        <v/>
      </c>
      <c r="AG259" s="8">
        <f>AA259/$C260*$B260</f>
        <v/>
      </c>
      <c r="AH259" s="11">
        <f>AB259/$C260*$B260</f>
        <v/>
      </c>
      <c r="AI259" s="8">
        <f>SUM(AD259:AG259)</f>
        <v/>
      </c>
      <c r="AJ259" s="9">
        <f>AI259+AJ260</f>
        <v/>
      </c>
      <c r="AK259" s="9" t="n"/>
      <c r="AL259" s="7">
        <f>B259-AJ259</f>
        <v/>
      </c>
      <c r="AM259" s="42">
        <f>_xlfn.STDEV.S(AL259:AL278)</f>
        <v/>
      </c>
    </row>
    <row r="260">
      <c r="A260" s="1" t="n">
        <v>45880</v>
      </c>
      <c r="B260" s="7" t="n">
        <v>1596.86</v>
      </c>
      <c r="C260" s="3" t="n">
        <v>6902506.15</v>
      </c>
      <c r="E260" s="5" t="n">
        <v>45880</v>
      </c>
      <c r="F260" s="4" t="n">
        <v>115500</v>
      </c>
      <c r="G260" s="4" t="n">
        <v>3823661561</v>
      </c>
      <c r="H260" s="4" t="n">
        <v>93500</v>
      </c>
      <c r="I260" s="4" t="n">
        <v>4107412004</v>
      </c>
      <c r="J260" s="4" t="n">
        <v>29350</v>
      </c>
      <c r="K260" s="4" t="n">
        <v>2272318410</v>
      </c>
      <c r="L260" s="4" t="n">
        <v>84000</v>
      </c>
      <c r="M260" s="4" t="n">
        <v>1793300377</v>
      </c>
      <c r="N260" s="4" t="n">
        <v>124000</v>
      </c>
      <c r="O260" s="4" t="n">
        <v>591611334</v>
      </c>
      <c r="Q260" s="3" t="n"/>
      <c r="R260" s="3">
        <f>G260*F260-G261*F261</f>
        <v/>
      </c>
      <c r="S260" s="3">
        <f>I260*H260-I261*H261</f>
        <v/>
      </c>
      <c r="T260" s="3">
        <f>K260*J260-K261*J261</f>
        <v/>
      </c>
      <c r="U260" s="3">
        <f>M260*L260-M261*L261</f>
        <v/>
      </c>
      <c r="V260" s="3">
        <f>O260*N260-O261*N261</f>
        <v/>
      </c>
      <c r="X260" s="2">
        <f>R260/10^9</f>
        <v/>
      </c>
      <c r="Y260" s="2">
        <f>S260/10^9</f>
        <v/>
      </c>
      <c r="Z260" s="2">
        <f>T260/10^9</f>
        <v/>
      </c>
      <c r="AA260" s="2">
        <f>U260/10^9</f>
        <v/>
      </c>
      <c r="AB260" s="2">
        <f>V260/10^9</f>
        <v/>
      </c>
      <c r="AC260" s="2" t="n"/>
      <c r="AD260" s="8">
        <f>X260/$C261*$B261</f>
        <v/>
      </c>
      <c r="AE260" s="8">
        <f>Y260/$C261*$B261</f>
        <v/>
      </c>
      <c r="AF260" s="8">
        <f>Z260/$C261*$B261</f>
        <v/>
      </c>
      <c r="AG260" s="8">
        <f>AA260/$C261*$B261</f>
        <v/>
      </c>
      <c r="AH260" s="11">
        <f>AB260/$C261*$B261</f>
        <v/>
      </c>
      <c r="AI260" s="8">
        <f>SUM(AD260:AG260)</f>
        <v/>
      </c>
      <c r="AJ260" s="9">
        <f>AI260+AJ261</f>
        <v/>
      </c>
      <c r="AK260" s="9" t="n"/>
      <c r="AL260" s="7">
        <f>B260-AJ260</f>
        <v/>
      </c>
      <c r="AM260" s="42">
        <f>_xlfn.STDEV.S(AL260:AL279)</f>
        <v/>
      </c>
    </row>
    <row r="261">
      <c r="A261" s="1" t="n">
        <v>45877</v>
      </c>
      <c r="B261" s="7" t="n">
        <v>1584.95</v>
      </c>
      <c r="C261" s="3" t="n">
        <v>6851004.72</v>
      </c>
      <c r="E261" s="5" t="n">
        <v>45877</v>
      </c>
      <c r="F261" s="4" t="n">
        <v>117000</v>
      </c>
      <c r="G261" s="4" t="n">
        <v>3823661561</v>
      </c>
      <c r="H261" s="4" t="n">
        <v>94800</v>
      </c>
      <c r="I261" s="4" t="n">
        <v>4107412004</v>
      </c>
      <c r="J261" s="4" t="n">
        <v>30000</v>
      </c>
      <c r="K261" s="4" t="n">
        <v>2272318410</v>
      </c>
      <c r="L261" s="4" t="n">
        <v>84000</v>
      </c>
      <c r="M261" s="4" t="n">
        <v>1793300377</v>
      </c>
      <c r="N261" s="4" t="n">
        <v>121500</v>
      </c>
      <c r="O261" s="4" t="n">
        <v>591611334</v>
      </c>
      <c r="Q261" s="3" t="n"/>
      <c r="R261" s="3">
        <f>G261*F261-G262*F262</f>
        <v/>
      </c>
      <c r="S261" s="3">
        <f>I261*H261-I262*H262</f>
        <v/>
      </c>
      <c r="T261" s="3">
        <f>K261*J261-K262*J262</f>
        <v/>
      </c>
      <c r="U261" s="3">
        <f>M261*L261-M262*L262</f>
        <v/>
      </c>
      <c r="V261" s="3">
        <f>O261*N261-O262*N262</f>
        <v/>
      </c>
      <c r="X261" s="2">
        <f>R261/10^9</f>
        <v/>
      </c>
      <c r="Y261" s="2">
        <f>S261/10^9</f>
        <v/>
      </c>
      <c r="Z261" s="2">
        <f>T261/10^9</f>
        <v/>
      </c>
      <c r="AA261" s="2">
        <f>U261/10^9</f>
        <v/>
      </c>
      <c r="AB261" s="2">
        <f>V261/10^9</f>
        <v/>
      </c>
      <c r="AC261" s="2" t="n"/>
      <c r="AD261" s="8">
        <f>X261/$C262*$B262</f>
        <v/>
      </c>
      <c r="AE261" s="8">
        <f>Y261/$C262*$B262</f>
        <v/>
      </c>
      <c r="AF261" s="8">
        <f>Z261/$C262*$B262</f>
        <v/>
      </c>
      <c r="AG261" s="8">
        <f>AA261/$C262*$B262</f>
        <v/>
      </c>
      <c r="AH261" s="11">
        <f>AB261/$C262*$B262</f>
        <v/>
      </c>
      <c r="AI261" s="8">
        <f>SUM(AD261:AG261)</f>
        <v/>
      </c>
      <c r="AJ261" s="9">
        <f>AI261+AJ262</f>
        <v/>
      </c>
      <c r="AK261" s="9" t="n"/>
      <c r="AL261" s="7">
        <f>B261-AJ261</f>
        <v/>
      </c>
      <c r="AM261" s="42">
        <f>_xlfn.STDEV.S(AL261:AL280)</f>
        <v/>
      </c>
    </row>
    <row r="262">
      <c r="A262" s="1" t="n">
        <v>45876</v>
      </c>
      <c r="B262" s="7" t="n">
        <v>1581.81</v>
      </c>
      <c r="C262" s="3" t="n">
        <v>6837437.18</v>
      </c>
      <c r="E262" s="5" t="n">
        <v>45876</v>
      </c>
      <c r="F262" s="4" t="n">
        <v>115000</v>
      </c>
      <c r="G262" s="4" t="n">
        <v>3823661561</v>
      </c>
      <c r="H262" s="4" t="n">
        <v>95000</v>
      </c>
      <c r="I262" s="4" t="n">
        <v>4107412004</v>
      </c>
      <c r="J262" s="4" t="n">
        <v>30500</v>
      </c>
      <c r="K262" s="4" t="n">
        <v>2272318410</v>
      </c>
      <c r="L262" s="4" t="n">
        <v>84900</v>
      </c>
      <c r="M262" s="4" t="n">
        <v>1793300377</v>
      </c>
      <c r="N262" s="4" t="n">
        <v>127700</v>
      </c>
      <c r="O262" s="4" t="n">
        <v>591611334</v>
      </c>
      <c r="Q262" s="3" t="n"/>
      <c r="R262" s="3">
        <f>G262*F262-G263*F263</f>
        <v/>
      </c>
      <c r="S262" s="3">
        <f>I262*H262-I263*H263</f>
        <v/>
      </c>
      <c r="T262" s="3">
        <f>K262*J262-K263*J263</f>
        <v/>
      </c>
      <c r="U262" s="3">
        <f>M262*L262-M263*L263</f>
        <v/>
      </c>
      <c r="V262" s="3">
        <f>O262*N262-O263*N263</f>
        <v/>
      </c>
      <c r="X262" s="2">
        <f>R262/10^9</f>
        <v/>
      </c>
      <c r="Y262" s="2">
        <f>S262/10^9</f>
        <v/>
      </c>
      <c r="Z262" s="2">
        <f>T262/10^9</f>
        <v/>
      </c>
      <c r="AA262" s="2">
        <f>U262/10^9</f>
        <v/>
      </c>
      <c r="AB262" s="2">
        <f>V262/10^9</f>
        <v/>
      </c>
      <c r="AC262" s="2" t="n"/>
      <c r="AD262" s="8">
        <f>X262/$C263*$B263</f>
        <v/>
      </c>
      <c r="AE262" s="8">
        <f>Y262/$C263*$B263</f>
        <v/>
      </c>
      <c r="AF262" s="8">
        <f>Z262/$C263*$B263</f>
        <v/>
      </c>
      <c r="AG262" s="8">
        <f>AA262/$C263*$B263</f>
        <v/>
      </c>
      <c r="AH262" s="11">
        <f>AB262/$C263*$B263</f>
        <v/>
      </c>
      <c r="AI262" s="8">
        <f>SUM(AD262:AG262)</f>
        <v/>
      </c>
      <c r="AJ262" s="9">
        <f>AI262+AJ263</f>
        <v/>
      </c>
      <c r="AK262" s="9" t="n"/>
      <c r="AL262" s="7">
        <f>B262-AJ262</f>
        <v/>
      </c>
      <c r="AM262" s="42">
        <f>_xlfn.STDEV.S(AL262:AL281)</f>
        <v/>
      </c>
    </row>
    <row r="263">
      <c r="A263" s="1" t="n">
        <v>45875</v>
      </c>
      <c r="B263" s="7" t="n">
        <v>1573.71</v>
      </c>
      <c r="C263" s="3" t="n">
        <v>6802415.07</v>
      </c>
      <c r="E263" s="5" t="n">
        <v>45875</v>
      </c>
      <c r="F263" s="4" t="n">
        <v>118500</v>
      </c>
      <c r="G263" s="4" t="n">
        <v>3823661561</v>
      </c>
      <c r="H263" s="4" t="n">
        <v>97500</v>
      </c>
      <c r="I263" s="4" t="n">
        <v>4107412004</v>
      </c>
      <c r="J263" s="4" t="n">
        <v>30100</v>
      </c>
      <c r="K263" s="4" t="n">
        <v>2272318410</v>
      </c>
      <c r="L263" s="4" t="n">
        <v>84900</v>
      </c>
      <c r="M263" s="4" t="n">
        <v>1793300377</v>
      </c>
      <c r="N263" s="4" t="n">
        <v>129000</v>
      </c>
      <c r="O263" s="4" t="n">
        <v>591611334</v>
      </c>
      <c r="Q263" s="3" t="n"/>
      <c r="R263" s="3">
        <f>G263*F263-G264*F264</f>
        <v/>
      </c>
      <c r="S263" s="3">
        <f>I263*H263-I264*H264</f>
        <v/>
      </c>
      <c r="T263" s="3">
        <f>K263*J263-K264*J264</f>
        <v/>
      </c>
      <c r="U263" s="3">
        <f>M263*L263-M264*L264</f>
        <v/>
      </c>
      <c r="V263" s="3">
        <f>O263*N263-O264*N264</f>
        <v/>
      </c>
      <c r="X263" s="2">
        <f>R263/10^9</f>
        <v/>
      </c>
      <c r="Y263" s="2">
        <f>S263/10^9</f>
        <v/>
      </c>
      <c r="Z263" s="2">
        <f>T263/10^9</f>
        <v/>
      </c>
      <c r="AA263" s="2">
        <f>U263/10^9</f>
        <v/>
      </c>
      <c r="AB263" s="2">
        <f>V263/10^9</f>
        <v/>
      </c>
      <c r="AC263" s="2" t="n"/>
      <c r="AD263" s="8">
        <f>X263/$C264*$B264</f>
        <v/>
      </c>
      <c r="AE263" s="8">
        <f>Y263/$C264*$B264</f>
        <v/>
      </c>
      <c r="AF263" s="8">
        <f>Z263/$C264*$B264</f>
        <v/>
      </c>
      <c r="AG263" s="8">
        <f>AA263/$C264*$B264</f>
        <v/>
      </c>
      <c r="AH263" s="11">
        <f>AB263/$C264*$B264</f>
        <v/>
      </c>
      <c r="AI263" s="8">
        <f>SUM(AD263:AG263)</f>
        <v/>
      </c>
      <c r="AJ263" s="9">
        <f>AI263+AJ264</f>
        <v/>
      </c>
      <c r="AK263" s="9" t="n"/>
      <c r="AL263" s="7">
        <f>B263-AJ263</f>
        <v/>
      </c>
      <c r="AM263" s="42">
        <f>_xlfn.STDEV.S(AL263:AL282)</f>
        <v/>
      </c>
    </row>
    <row r="264">
      <c r="A264" s="1" t="n">
        <v>45874</v>
      </c>
      <c r="B264" s="7" t="n">
        <v>1547.15</v>
      </c>
      <c r="C264" s="3" t="n">
        <v>6687580.99</v>
      </c>
      <c r="E264" s="5" t="n">
        <v>45874</v>
      </c>
      <c r="F264" s="4" t="n">
        <v>117500</v>
      </c>
      <c r="G264" s="4" t="n">
        <v>3823661561</v>
      </c>
      <c r="H264" s="4" t="n">
        <v>96000</v>
      </c>
      <c r="I264" s="4" t="n">
        <v>4107412004</v>
      </c>
      <c r="J264" s="4" t="n">
        <v>30950</v>
      </c>
      <c r="K264" s="4" t="n">
        <v>2272318410</v>
      </c>
      <c r="L264" s="4" t="n">
        <v>84000</v>
      </c>
      <c r="M264" s="4" t="n">
        <v>1793300377</v>
      </c>
      <c r="N264" s="4" t="n">
        <v>127300</v>
      </c>
      <c r="O264" s="4" t="n">
        <v>591611334</v>
      </c>
      <c r="Q264" s="3" t="n"/>
      <c r="R264" s="3">
        <f>G264*F264-G265*F265</f>
        <v/>
      </c>
      <c r="S264" s="3">
        <f>I264*H264-I265*H265</f>
        <v/>
      </c>
      <c r="T264" s="3">
        <f>K264*J264-K265*J265</f>
        <v/>
      </c>
      <c r="U264" s="3">
        <f>M264*L264-M265*L265</f>
        <v/>
      </c>
      <c r="V264" s="3">
        <f>O264*N264-O265*N265</f>
        <v/>
      </c>
      <c r="X264" s="2">
        <f>R264/10^9</f>
        <v/>
      </c>
      <c r="Y264" s="2">
        <f>S264/10^9</f>
        <v/>
      </c>
      <c r="Z264" s="2">
        <f>T264/10^9</f>
        <v/>
      </c>
      <c r="AA264" s="2">
        <f>U264/10^9</f>
        <v/>
      </c>
      <c r="AB264" s="2">
        <f>V264/10^9</f>
        <v/>
      </c>
      <c r="AC264" s="2" t="n"/>
      <c r="AD264" s="8">
        <f>X264/$C265*$B265</f>
        <v/>
      </c>
      <c r="AE264" s="8">
        <f>Y264/$C265*$B265</f>
        <v/>
      </c>
      <c r="AF264" s="8">
        <f>Z264/$C265*$B265</f>
        <v/>
      </c>
      <c r="AG264" s="8">
        <f>AA264/$C265*$B265</f>
        <v/>
      </c>
      <c r="AH264" s="11">
        <f>AB264/$C265*$B265</f>
        <v/>
      </c>
      <c r="AI264" s="8">
        <f>SUM(AD264:AG264)</f>
        <v/>
      </c>
      <c r="AJ264" s="9">
        <f>AI264+AJ265</f>
        <v/>
      </c>
      <c r="AK264" s="9" t="n"/>
      <c r="AL264" s="7">
        <f>B264-AJ264</f>
        <v/>
      </c>
      <c r="AM264" s="42">
        <f>_xlfn.STDEV.S(AL264:AL283)</f>
        <v/>
      </c>
    </row>
    <row r="265">
      <c r="A265" s="1" t="n">
        <v>45873</v>
      </c>
      <c r="B265" s="7" t="n">
        <v>1528.19</v>
      </c>
      <c r="C265" s="3" t="n">
        <v>6605561.35</v>
      </c>
      <c r="E265" s="5" t="n">
        <v>45873</v>
      </c>
      <c r="F265" s="4" t="n">
        <v>111200</v>
      </c>
      <c r="G265" s="4" t="n">
        <v>3823661561</v>
      </c>
      <c r="H265" s="4" t="n">
        <v>92200</v>
      </c>
      <c r="I265" s="4" t="n">
        <v>4107412004</v>
      </c>
      <c r="J265" s="4" t="n">
        <v>29100</v>
      </c>
      <c r="K265" s="4" t="n">
        <v>2272318410</v>
      </c>
      <c r="L265" s="4" t="n">
        <v>85000</v>
      </c>
      <c r="M265" s="4" t="n">
        <v>1793300377</v>
      </c>
      <c r="N265" s="4" t="n">
        <v>127300</v>
      </c>
      <c r="O265" s="4" t="n">
        <v>591611334</v>
      </c>
      <c r="Q265" s="3" t="n"/>
      <c r="R265" s="3">
        <f>G265*F265-G266*F266</f>
        <v/>
      </c>
      <c r="S265" s="3">
        <f>I265*H265-I266*H266</f>
        <v/>
      </c>
      <c r="T265" s="3">
        <f>K265*J265-K266*J266</f>
        <v/>
      </c>
      <c r="U265" s="3">
        <f>M265*L265-M266*L266</f>
        <v/>
      </c>
      <c r="V265" s="3">
        <f>O265*N265-O266*N266</f>
        <v/>
      </c>
      <c r="X265" s="2">
        <f>R265/10^9</f>
        <v/>
      </c>
      <c r="Y265" s="2">
        <f>S265/10^9</f>
        <v/>
      </c>
      <c r="Z265" s="2">
        <f>T265/10^9</f>
        <v/>
      </c>
      <c r="AA265" s="2">
        <f>U265/10^9</f>
        <v/>
      </c>
      <c r="AB265" s="2">
        <f>V265/10^9</f>
        <v/>
      </c>
      <c r="AC265" s="2" t="n"/>
      <c r="AD265" s="8">
        <f>X265/$C266*$B266</f>
        <v/>
      </c>
      <c r="AE265" s="8">
        <f>Y265/$C266*$B266</f>
        <v/>
      </c>
      <c r="AF265" s="8">
        <f>Z265/$C266*$B266</f>
        <v/>
      </c>
      <c r="AG265" s="8">
        <f>AA265/$C266*$B266</f>
        <v/>
      </c>
      <c r="AH265" s="11">
        <f>AB265/$C266*$B266</f>
        <v/>
      </c>
      <c r="AI265" s="8">
        <f>SUM(AD265:AG265)</f>
        <v/>
      </c>
      <c r="AJ265" s="9">
        <f>AI265+AJ266</f>
        <v/>
      </c>
      <c r="AK265" s="9" t="n"/>
      <c r="AL265" s="7">
        <f>B265-AJ265</f>
        <v/>
      </c>
      <c r="AM265" s="42">
        <f>_xlfn.STDEV.S(AL265:AL284)</f>
        <v/>
      </c>
    </row>
    <row r="266">
      <c r="A266" s="1" t="n">
        <v>45870</v>
      </c>
      <c r="B266" s="7" t="n">
        <v>1495.21</v>
      </c>
      <c r="C266" s="3" t="n">
        <v>6453537.71</v>
      </c>
      <c r="E266" s="5" t="n">
        <v>45870</v>
      </c>
      <c r="F266" s="4" t="n">
        <v>104000</v>
      </c>
      <c r="G266" s="4" t="n">
        <v>3823661561</v>
      </c>
      <c r="H266" s="4" t="n">
        <v>89900</v>
      </c>
      <c r="I266" s="4" t="n">
        <v>4107412004</v>
      </c>
      <c r="J266" s="4" t="n">
        <v>28450</v>
      </c>
      <c r="K266" s="4" t="n">
        <v>2272318410</v>
      </c>
      <c r="L266" s="4" t="n">
        <v>81900</v>
      </c>
      <c r="M266" s="4" t="n">
        <v>1793300377</v>
      </c>
      <c r="N266" s="4" t="n">
        <v>119000</v>
      </c>
      <c r="O266" s="4" t="n">
        <v>591611334</v>
      </c>
      <c r="Q266" s="3" t="n"/>
      <c r="R266" s="3">
        <f>G266*F266-G267*F267</f>
        <v/>
      </c>
      <c r="S266" s="3">
        <f>I266*H266-I267*H267</f>
        <v/>
      </c>
      <c r="T266" s="3">
        <f>K266*J266-K267*J267</f>
        <v/>
      </c>
      <c r="U266" s="3">
        <f>M266*L266-M267*L267</f>
        <v/>
      </c>
      <c r="V266" s="3">
        <f>O266*N266-O267*N267</f>
        <v/>
      </c>
      <c r="X266" s="2">
        <f>R266/10^9</f>
        <v/>
      </c>
      <c r="Y266" s="2">
        <f>S266/10^9</f>
        <v/>
      </c>
      <c r="Z266" s="2">
        <f>T266/10^9</f>
        <v/>
      </c>
      <c r="AA266" s="2">
        <f>U266/10^9</f>
        <v/>
      </c>
      <c r="AB266" s="2">
        <f>V266/10^9</f>
        <v/>
      </c>
      <c r="AC266" s="2" t="n"/>
      <c r="AD266" s="8">
        <f>X266/$C267*$B267</f>
        <v/>
      </c>
      <c r="AE266" s="8">
        <f>Y266/$C267*$B267</f>
        <v/>
      </c>
      <c r="AF266" s="8">
        <f>Z266/$C267*$B267</f>
        <v/>
      </c>
      <c r="AG266" s="8">
        <f>AA266/$C267*$B267</f>
        <v/>
      </c>
      <c r="AH266" s="11">
        <f>AB266/$C267*$B267</f>
        <v/>
      </c>
      <c r="AI266" s="8">
        <f>SUM(AD266:AG266)</f>
        <v/>
      </c>
      <c r="AJ266" s="9">
        <f>AI266+AJ267</f>
        <v/>
      </c>
      <c r="AK266" s="9" t="n"/>
      <c r="AL266" s="7">
        <f>B266-AJ266</f>
        <v/>
      </c>
      <c r="AM266" s="42">
        <f>_xlfn.STDEV.S(AL266:AL285)</f>
        <v/>
      </c>
    </row>
    <row r="267">
      <c r="A267" s="1" t="n">
        <v>45869</v>
      </c>
      <c r="B267" s="7" t="n">
        <v>1502.52</v>
      </c>
      <c r="C267" s="3" t="n">
        <v>6484917.33</v>
      </c>
      <c r="E267" s="5" t="n">
        <v>45869</v>
      </c>
      <c r="F267" s="4" t="n">
        <v>105500</v>
      </c>
      <c r="G267" s="4" t="n">
        <v>3823661561</v>
      </c>
      <c r="H267" s="4" t="n">
        <v>90000</v>
      </c>
      <c r="I267" s="4" t="n">
        <v>4107412004</v>
      </c>
      <c r="J267" s="4" t="n">
        <v>28100</v>
      </c>
      <c r="K267" s="4" t="n">
        <v>2272318410</v>
      </c>
      <c r="L267" s="4" t="n">
        <v>82700</v>
      </c>
      <c r="M267" s="4" t="n">
        <v>1793300377</v>
      </c>
      <c r="N267" s="4" t="n">
        <v>121200</v>
      </c>
      <c r="O267" s="4" t="n">
        <v>591611334</v>
      </c>
      <c r="Q267" s="3" t="n"/>
      <c r="R267" s="3">
        <f>G267*F267-G268*F268</f>
        <v/>
      </c>
      <c r="S267" s="3">
        <f>I267*H267-I268*H268</f>
        <v/>
      </c>
      <c r="T267" s="3">
        <f>K267*J267-K268*J268</f>
        <v/>
      </c>
      <c r="U267" s="3">
        <f>M267*L267-M268*L268</f>
        <v/>
      </c>
      <c r="V267" s="3">
        <f>O267*N267-O268*N268</f>
        <v/>
      </c>
      <c r="X267" s="2">
        <f>R267/10^9</f>
        <v/>
      </c>
      <c r="Y267" s="2">
        <f>S267/10^9</f>
        <v/>
      </c>
      <c r="Z267" s="2">
        <f>T267/10^9</f>
        <v/>
      </c>
      <c r="AA267" s="2">
        <f>U267/10^9</f>
        <v/>
      </c>
      <c r="AB267" s="2">
        <f>V267/10^9</f>
        <v/>
      </c>
      <c r="AC267" s="2" t="n"/>
      <c r="AD267" s="8">
        <f>X267/$C268*$B268</f>
        <v/>
      </c>
      <c r="AE267" s="8">
        <f>Y267/$C268*$B268</f>
        <v/>
      </c>
      <c r="AF267" s="8">
        <f>Z267/$C268*$B268</f>
        <v/>
      </c>
      <c r="AG267" s="8">
        <f>AA267/$C268*$B268</f>
        <v/>
      </c>
      <c r="AH267" s="11">
        <f>AB267/$C268*$B268</f>
        <v/>
      </c>
      <c r="AI267" s="8">
        <f>SUM(AD267:AG267)</f>
        <v/>
      </c>
      <c r="AJ267" s="9">
        <f>AI267+AJ268</f>
        <v/>
      </c>
      <c r="AK267" s="9" t="n"/>
      <c r="AL267" s="7">
        <f>B267-AJ267</f>
        <v/>
      </c>
      <c r="AM267" s="42">
        <f>_xlfn.STDEV.S(AL267:AL286)</f>
        <v/>
      </c>
    </row>
    <row r="268">
      <c r="A268" s="1" t="n">
        <v>45868</v>
      </c>
      <c r="B268" s="7" t="n">
        <v>1507.63</v>
      </c>
      <c r="C268" s="3" t="n">
        <v>6506959.8</v>
      </c>
      <c r="E268" s="5" t="n">
        <v>45868</v>
      </c>
      <c r="F268" s="4" t="n">
        <v>109500</v>
      </c>
      <c r="G268" s="4" t="n">
        <v>3823661561</v>
      </c>
      <c r="H268" s="4" t="n">
        <v>91500</v>
      </c>
      <c r="I268" s="4" t="n">
        <v>4107412004</v>
      </c>
      <c r="J268" s="4" t="n">
        <v>28100</v>
      </c>
      <c r="K268" s="4" t="n">
        <v>2272318410</v>
      </c>
      <c r="L268" s="4" t="n">
        <v>85300</v>
      </c>
      <c r="M268" s="4" t="n">
        <v>1793300377</v>
      </c>
      <c r="N268" s="4" t="n">
        <v>118700</v>
      </c>
      <c r="O268" s="4" t="n">
        <v>591611334</v>
      </c>
      <c r="Q268" s="3" t="n"/>
      <c r="R268" s="3">
        <f>G268*F268-G269*F269</f>
        <v/>
      </c>
      <c r="S268" s="3">
        <f>I268*H268-I269*H269</f>
        <v/>
      </c>
      <c r="T268" s="3">
        <f>K268*J268-K269*J269</f>
        <v/>
      </c>
      <c r="U268" s="3">
        <f>M268*L268-M269*L269</f>
        <v/>
      </c>
      <c r="V268" s="3">
        <f>O268*N268-O269*N269</f>
        <v/>
      </c>
      <c r="X268" s="2">
        <f>R268/10^9</f>
        <v/>
      </c>
      <c r="Y268" s="2">
        <f>S268/10^9</f>
        <v/>
      </c>
      <c r="Z268" s="2">
        <f>T268/10^9</f>
        <v/>
      </c>
      <c r="AA268" s="2">
        <f>U268/10^9</f>
        <v/>
      </c>
      <c r="AB268" s="2">
        <f>V268/10^9</f>
        <v/>
      </c>
      <c r="AC268" s="2" t="n"/>
      <c r="AD268" s="8">
        <f>X268/$C269*$B269</f>
        <v/>
      </c>
      <c r="AE268" s="8">
        <f>Y268/$C269*$B269</f>
        <v/>
      </c>
      <c r="AF268" s="8">
        <f>Z268/$C269*$B269</f>
        <v/>
      </c>
      <c r="AG268" s="8">
        <f>AA268/$C269*$B269</f>
        <v/>
      </c>
      <c r="AH268" s="11">
        <f>AB268/$C269*$B269</f>
        <v/>
      </c>
      <c r="AI268" s="8">
        <f>SUM(AD268:AG268)</f>
        <v/>
      </c>
      <c r="AJ268" s="9">
        <f>AI268+AJ269</f>
        <v/>
      </c>
      <c r="AK268" s="9" t="n"/>
      <c r="AL268" s="7">
        <f>B268-AJ268</f>
        <v/>
      </c>
      <c r="AM268" s="42">
        <f>_xlfn.STDEV.S(AL268:AL287)</f>
        <v/>
      </c>
    </row>
    <row r="269">
      <c r="A269" s="1" t="n">
        <v>45867</v>
      </c>
      <c r="B269" s="7" t="n">
        <v>1493.41</v>
      </c>
      <c r="C269" s="3" t="n">
        <v>6445561.23</v>
      </c>
      <c r="E269" s="5" t="n">
        <v>45867</v>
      </c>
      <c r="F269" s="4" t="n">
        <v>113200</v>
      </c>
      <c r="G269" s="4" t="n">
        <v>3823661561</v>
      </c>
      <c r="H269" s="4" t="n">
        <v>92100</v>
      </c>
      <c r="I269" s="4" t="n">
        <v>4107412004</v>
      </c>
      <c r="J269" s="4" t="n">
        <v>28000</v>
      </c>
      <c r="K269" s="4" t="n">
        <v>2272318410</v>
      </c>
      <c r="L269" s="4" t="n">
        <v>86000</v>
      </c>
      <c r="M269" s="4" t="n">
        <v>1793300377</v>
      </c>
      <c r="N269" s="4" t="n">
        <v>118300</v>
      </c>
      <c r="O269" s="4" t="n">
        <v>591611334</v>
      </c>
      <c r="Q269" s="3" t="n"/>
      <c r="R269" s="3">
        <f>G269*F269-G270*F270</f>
        <v/>
      </c>
      <c r="S269" s="3">
        <f>I269*H269-I270*H270</f>
        <v/>
      </c>
      <c r="T269" s="3">
        <f>K269*J269-K270*J270</f>
        <v/>
      </c>
      <c r="U269" s="3">
        <f>M269*L269-M270*L270</f>
        <v/>
      </c>
      <c r="V269" s="3">
        <f>O269*N269-O270*N270</f>
        <v/>
      </c>
      <c r="X269" s="2">
        <f>R269/10^9</f>
        <v/>
      </c>
      <c r="Y269" s="2">
        <f>S269/10^9</f>
        <v/>
      </c>
      <c r="Z269" s="2">
        <f>T269/10^9</f>
        <v/>
      </c>
      <c r="AA269" s="2">
        <f>U269/10^9</f>
        <v/>
      </c>
      <c r="AB269" s="2">
        <f>V269/10^9</f>
        <v/>
      </c>
      <c r="AC269" s="2" t="n"/>
      <c r="AD269" s="8">
        <f>X269/$C270*$B270</f>
        <v/>
      </c>
      <c r="AE269" s="8">
        <f>Y269/$C270*$B270</f>
        <v/>
      </c>
      <c r="AF269" s="8">
        <f>Z269/$C270*$B270</f>
        <v/>
      </c>
      <c r="AG269" s="8">
        <f>AA269/$C270*$B270</f>
        <v/>
      </c>
      <c r="AH269" s="11">
        <f>AB269/$C270*$B270</f>
        <v/>
      </c>
      <c r="AI269" s="8">
        <f>SUM(AD269:AG269)</f>
        <v/>
      </c>
      <c r="AJ269" s="9">
        <f>AI269+AJ270</f>
        <v/>
      </c>
      <c r="AK269" s="9" t="n"/>
      <c r="AL269" s="7">
        <f>B269-AJ269</f>
        <v/>
      </c>
      <c r="AM269" s="42">
        <f>_xlfn.STDEV.S(AL269:AL288)</f>
        <v/>
      </c>
    </row>
    <row r="270">
      <c r="A270" s="1" t="n">
        <v>45866</v>
      </c>
      <c r="B270" s="7" t="n">
        <v>1557.42</v>
      </c>
      <c r="C270" s="3" t="n">
        <v>6721866.68</v>
      </c>
      <c r="E270" s="5" t="n">
        <v>45866</v>
      </c>
      <c r="F270" s="4" t="n">
        <v>115600</v>
      </c>
      <c r="G270" s="4" t="n">
        <v>3823661561</v>
      </c>
      <c r="H270" s="4" t="n">
        <v>95600</v>
      </c>
      <c r="I270" s="4" t="n">
        <v>4107412004</v>
      </c>
      <c r="J270" s="4" t="n">
        <v>29350</v>
      </c>
      <c r="K270" s="4" t="n">
        <v>2272318410</v>
      </c>
      <c r="L270" s="4" t="n">
        <v>87900</v>
      </c>
      <c r="M270" s="4" t="n">
        <v>1793300377</v>
      </c>
      <c r="N270" s="4" t="n">
        <v>127000</v>
      </c>
      <c r="O270" s="4" t="n">
        <v>591611334</v>
      </c>
      <c r="Q270" s="3" t="n"/>
      <c r="R270" s="3">
        <f>G270*F270-G271*F271</f>
        <v/>
      </c>
      <c r="S270" s="3">
        <f>I270*H270-I271*H271</f>
        <v/>
      </c>
      <c r="T270" s="3">
        <f>K270*J270-K271*J271</f>
        <v/>
      </c>
      <c r="U270" s="3">
        <f>M270*L270-M271*L271</f>
        <v/>
      </c>
      <c r="V270" s="3">
        <f>O270*N270-O271*N271</f>
        <v/>
      </c>
      <c r="X270" s="2">
        <f>R270/10^9</f>
        <v/>
      </c>
      <c r="Y270" s="2">
        <f>S270/10^9</f>
        <v/>
      </c>
      <c r="Z270" s="2">
        <f>T270/10^9</f>
        <v/>
      </c>
      <c r="AA270" s="2">
        <f>U270/10^9</f>
        <v/>
      </c>
      <c r="AB270" s="2">
        <f>V270/10^9</f>
        <v/>
      </c>
      <c r="AC270" s="2" t="n"/>
      <c r="AD270" s="8">
        <f>X270/$C271*$B271</f>
        <v/>
      </c>
      <c r="AE270" s="8">
        <f>Y270/$C271*$B271</f>
        <v/>
      </c>
      <c r="AF270" s="8">
        <f>Z270/$C271*$B271</f>
        <v/>
      </c>
      <c r="AG270" s="8">
        <f>AA270/$C271*$B271</f>
        <v/>
      </c>
      <c r="AH270" s="11">
        <f>AB270/$C271*$B271</f>
        <v/>
      </c>
      <c r="AI270" s="8">
        <f>SUM(AD270:AG270)</f>
        <v/>
      </c>
      <c r="AJ270" s="9">
        <f>AI270+AJ271</f>
        <v/>
      </c>
      <c r="AK270" s="9" t="n"/>
      <c r="AL270" s="7">
        <f>B270-AJ270</f>
        <v/>
      </c>
      <c r="AM270" s="42">
        <f>_xlfn.STDEV.S(AL270:AL289)</f>
        <v/>
      </c>
    </row>
    <row r="271">
      <c r="A271" s="1" t="n">
        <v>45863</v>
      </c>
      <c r="B271" s="7" t="n">
        <v>1531.13</v>
      </c>
      <c r="C271" s="3" t="n">
        <v>6603278.65</v>
      </c>
      <c r="E271" s="5" t="n">
        <v>45863</v>
      </c>
      <c r="F271" s="4" t="n">
        <v>114100</v>
      </c>
      <c r="G271" s="4" t="n">
        <v>3823661561</v>
      </c>
      <c r="H271" s="4" t="n">
        <v>93700</v>
      </c>
      <c r="I271" s="4" t="n">
        <v>4107412004</v>
      </c>
      <c r="J271" s="4" t="n">
        <v>29500</v>
      </c>
      <c r="K271" s="4" t="n">
        <v>2272318410</v>
      </c>
      <c r="L271" s="4" t="n">
        <v>87600</v>
      </c>
      <c r="M271" s="4" t="n">
        <v>1793300377</v>
      </c>
      <c r="N271" s="4" t="n">
        <v>121900</v>
      </c>
      <c r="O271" s="4" t="n">
        <v>591611334</v>
      </c>
      <c r="Q271" s="3" t="n"/>
      <c r="R271" s="3">
        <f>G271*F271-G272*F272</f>
        <v/>
      </c>
      <c r="S271" s="3">
        <f>I271*H271-I272*H272</f>
        <v/>
      </c>
      <c r="T271" s="3">
        <f>K271*J271-K272*J272</f>
        <v/>
      </c>
      <c r="U271" s="3">
        <f>M271*L271-M272*L272</f>
        <v/>
      </c>
      <c r="V271" s="3">
        <f>O271*N271-O272*N272</f>
        <v/>
      </c>
      <c r="X271" s="2">
        <f>R271/10^9</f>
        <v/>
      </c>
      <c r="Y271" s="2">
        <f>S271/10^9</f>
        <v/>
      </c>
      <c r="Z271" s="2">
        <f>T271/10^9</f>
        <v/>
      </c>
      <c r="AA271" s="2">
        <f>U271/10^9</f>
        <v/>
      </c>
      <c r="AB271" s="2">
        <f>V271/10^9</f>
        <v/>
      </c>
      <c r="AC271" s="2" t="n"/>
      <c r="AD271" s="8">
        <f>X271/$C272*$B272</f>
        <v/>
      </c>
      <c r="AE271" s="8">
        <f>Y271/$C272*$B272</f>
        <v/>
      </c>
      <c r="AF271" s="8">
        <f>Z271/$C272*$B272</f>
        <v/>
      </c>
      <c r="AG271" s="8">
        <f>AA271/$C272*$B272</f>
        <v/>
      </c>
      <c r="AH271" s="11">
        <f>AB271/$C272*$B272</f>
        <v/>
      </c>
      <c r="AI271" s="8">
        <f>SUM(AD271:AG271)</f>
        <v/>
      </c>
      <c r="AJ271" s="9">
        <f>AI271+AJ272</f>
        <v/>
      </c>
      <c r="AK271" s="9" t="n"/>
      <c r="AL271" s="7">
        <f>B271-AJ271</f>
        <v/>
      </c>
      <c r="AM271" s="42">
        <f>_xlfn.STDEV.S(AL271:AL290)</f>
        <v/>
      </c>
    </row>
    <row r="272">
      <c r="A272" s="1" t="n">
        <v>45862</v>
      </c>
      <c r="B272" s="7" t="n">
        <v>1521.02</v>
      </c>
      <c r="C272" s="3" t="n">
        <v>6559659.66</v>
      </c>
      <c r="E272" s="5" t="n">
        <v>45862</v>
      </c>
      <c r="F272" s="4" t="n">
        <v>116000</v>
      </c>
      <c r="G272" s="4" t="n">
        <v>3823661561</v>
      </c>
      <c r="H272" s="4" t="n">
        <v>92000</v>
      </c>
      <c r="I272" s="4" t="n">
        <v>4107412004</v>
      </c>
      <c r="J272" s="4" t="n">
        <v>29800</v>
      </c>
      <c r="K272" s="4" t="n">
        <v>2272318410</v>
      </c>
      <c r="L272" s="4" t="n">
        <v>88000</v>
      </c>
      <c r="M272" s="4" t="n">
        <v>1793300377</v>
      </c>
      <c r="N272" s="4" t="n">
        <v>114000</v>
      </c>
      <c r="O272" s="4" t="n">
        <v>591611334</v>
      </c>
      <c r="Q272" s="3" t="n"/>
      <c r="R272" s="3">
        <f>G272*F272-G273*F273</f>
        <v/>
      </c>
      <c r="S272" s="3">
        <f>I272*H272-I273*H273</f>
        <v/>
      </c>
      <c r="T272" s="3">
        <f>K272*J272-K273*J273</f>
        <v/>
      </c>
      <c r="U272" s="3">
        <f>M272*L272-M273*L273</f>
        <v/>
      </c>
      <c r="V272" s="3">
        <f>O272*N272-O273*N273</f>
        <v/>
      </c>
      <c r="X272" s="2">
        <f>R272/10^9</f>
        <v/>
      </c>
      <c r="Y272" s="2">
        <f>S272/10^9</f>
        <v/>
      </c>
      <c r="Z272" s="2">
        <f>T272/10^9</f>
        <v/>
      </c>
      <c r="AA272" s="2">
        <f>U272/10^9</f>
        <v/>
      </c>
      <c r="AB272" s="2">
        <f>V272/10^9</f>
        <v/>
      </c>
      <c r="AC272" s="2" t="n"/>
      <c r="AD272" s="8">
        <f>X272/$C273*$B273</f>
        <v/>
      </c>
      <c r="AE272" s="8">
        <f>Y272/$C273*$B273</f>
        <v/>
      </c>
      <c r="AF272" s="8">
        <f>Z272/$C273*$B273</f>
        <v/>
      </c>
      <c r="AG272" s="8">
        <f>AA272/$C273*$B273</f>
        <v/>
      </c>
      <c r="AH272" s="11">
        <f>AB272/$C273*$B273</f>
        <v/>
      </c>
      <c r="AI272" s="8">
        <f>SUM(AD272:AG272)</f>
        <v/>
      </c>
      <c r="AJ272" s="9">
        <f>AI272+AJ273</f>
        <v/>
      </c>
      <c r="AK272" s="9" t="n"/>
      <c r="AL272" s="7">
        <f>B272-AJ272</f>
        <v/>
      </c>
      <c r="AM272" s="42">
        <f>_xlfn.STDEV.S(AL272:AL291)</f>
        <v/>
      </c>
    </row>
    <row r="273">
      <c r="A273" s="1" t="n">
        <v>45861</v>
      </c>
      <c r="B273" s="7" t="n">
        <v>1512.31</v>
      </c>
      <c r="C273" s="3" t="n">
        <v>6522085.8</v>
      </c>
      <c r="E273" s="5" t="n">
        <v>45861</v>
      </c>
      <c r="F273" s="4" t="n">
        <v>115000</v>
      </c>
      <c r="G273" s="4" t="n">
        <v>3823661561</v>
      </c>
      <c r="H273" s="4" t="n">
        <v>92200</v>
      </c>
      <c r="I273" s="4" t="n">
        <v>4107412004</v>
      </c>
      <c r="J273" s="4" t="n">
        <v>29250</v>
      </c>
      <c r="K273" s="4" t="n">
        <v>2272318410</v>
      </c>
      <c r="L273" s="4" t="n">
        <v>88200</v>
      </c>
      <c r="M273" s="4" t="n">
        <v>1793300377</v>
      </c>
      <c r="N273" s="4" t="n">
        <v>108800</v>
      </c>
      <c r="O273" s="4" t="n">
        <v>591611334</v>
      </c>
      <c r="Q273" s="3" t="n"/>
      <c r="R273" s="3">
        <f>G273*F273-G274*F274</f>
        <v/>
      </c>
      <c r="S273" s="3">
        <f>I273*H273-I274*H274</f>
        <v/>
      </c>
      <c r="T273" s="3">
        <f>K273*J273-K274*J274</f>
        <v/>
      </c>
      <c r="U273" s="3">
        <f>M273*L273-M274*L274</f>
        <v/>
      </c>
      <c r="V273" s="3">
        <f>O273*N273-O274*N274</f>
        <v/>
      </c>
      <c r="X273" s="2">
        <f>R273/10^9</f>
        <v/>
      </c>
      <c r="Y273" s="2">
        <f>S273/10^9</f>
        <v/>
      </c>
      <c r="Z273" s="2">
        <f>T273/10^9</f>
        <v/>
      </c>
      <c r="AA273" s="2">
        <f>U273/10^9</f>
        <v/>
      </c>
      <c r="AB273" s="2">
        <f>V273/10^9</f>
        <v/>
      </c>
      <c r="AC273" s="2" t="n"/>
      <c r="AD273" s="8">
        <f>X273/$C274*$B274</f>
        <v/>
      </c>
      <c r="AE273" s="8">
        <f>Y273/$C274*$B274</f>
        <v/>
      </c>
      <c r="AF273" s="8">
        <f>Z273/$C274*$B274</f>
        <v/>
      </c>
      <c r="AG273" s="8">
        <f>AA273/$C274*$B274</f>
        <v/>
      </c>
      <c r="AH273" s="11">
        <f>AB273/$C274*$B274</f>
        <v/>
      </c>
      <c r="AI273" s="8">
        <f>SUM(AD273:AG273)</f>
        <v/>
      </c>
      <c r="AJ273" s="9">
        <f>AI273+AJ274</f>
        <v/>
      </c>
      <c r="AK273" s="9" t="n"/>
      <c r="AL273" s="7">
        <f>B273-AJ273</f>
        <v/>
      </c>
      <c r="AM273" s="42">
        <f>_xlfn.STDEV.S(AL273:AL292)</f>
        <v/>
      </c>
    </row>
    <row r="274">
      <c r="A274" s="1" t="n">
        <v>45860</v>
      </c>
      <c r="B274" s="7" t="n">
        <v>1509.54</v>
      </c>
      <c r="C274" s="3" t="n">
        <v>6501898.09</v>
      </c>
      <c r="E274" s="5" t="n">
        <v>45860</v>
      </c>
      <c r="F274" s="4" t="n">
        <v>117500</v>
      </c>
      <c r="G274" s="4" t="n">
        <v>3823661561</v>
      </c>
      <c r="H274" s="4" t="n">
        <v>95500</v>
      </c>
      <c r="I274" s="4" t="n">
        <v>4107412004</v>
      </c>
      <c r="J274" s="4" t="n">
        <v>30000</v>
      </c>
      <c r="K274" s="4" t="n">
        <v>2272318410</v>
      </c>
      <c r="L274" s="4" t="n">
        <v>88400</v>
      </c>
      <c r="M274" s="4" t="n">
        <v>1793300377</v>
      </c>
      <c r="N274" s="4" t="n">
        <v>101700</v>
      </c>
      <c r="O274" s="4" t="n">
        <v>591611334</v>
      </c>
      <c r="Q274" s="3" t="n"/>
      <c r="R274" s="3">
        <f>G274*F274-G275*F275</f>
        <v/>
      </c>
      <c r="S274" s="3">
        <f>I274*H274-I275*H275</f>
        <v/>
      </c>
      <c r="T274" s="3">
        <f>K274*J274-K275*J275</f>
        <v/>
      </c>
      <c r="U274" s="3">
        <f>M274*L274-M275*L275</f>
        <v/>
      </c>
      <c r="V274" s="3">
        <f>O274*N274-O275*N275</f>
        <v/>
      </c>
      <c r="X274" s="2">
        <f>R274/10^9</f>
        <v/>
      </c>
      <c r="Y274" s="2">
        <f>S274/10^9</f>
        <v/>
      </c>
      <c r="Z274" s="2">
        <f>T274/10^9</f>
        <v/>
      </c>
      <c r="AA274" s="2">
        <f>U274/10^9</f>
        <v/>
      </c>
      <c r="AB274" s="2">
        <f>V274/10^9</f>
        <v/>
      </c>
      <c r="AC274" s="2" t="n"/>
      <c r="AD274" s="8">
        <f>X274/$C275*$B275</f>
        <v/>
      </c>
      <c r="AE274" s="8">
        <f>Y274/$C275*$B275</f>
        <v/>
      </c>
      <c r="AF274" s="8">
        <f>Z274/$C275*$B275</f>
        <v/>
      </c>
      <c r="AG274" s="8">
        <f>AA274/$C275*$B275</f>
        <v/>
      </c>
      <c r="AH274" s="11">
        <f>AB274/$C275*$B275</f>
        <v/>
      </c>
      <c r="AI274" s="8">
        <f>SUM(AD274:AG274)</f>
        <v/>
      </c>
      <c r="AJ274" s="9">
        <f>AI274+AJ275</f>
        <v/>
      </c>
      <c r="AK274" s="9" t="n"/>
      <c r="AL274" s="7">
        <f>B274-AJ274</f>
        <v/>
      </c>
      <c r="AM274" s="42">
        <f>_xlfn.STDEV.S(AL274:AL293)</f>
        <v/>
      </c>
    </row>
    <row r="275">
      <c r="A275" s="1" t="n">
        <v>45859</v>
      </c>
      <c r="B275" s="7" t="n">
        <v>1485.05</v>
      </c>
      <c r="C275" s="3" t="n">
        <v>6396425.33</v>
      </c>
      <c r="E275" s="5" t="n">
        <v>45859</v>
      </c>
      <c r="F275" s="4" t="n">
        <v>112000</v>
      </c>
      <c r="G275" s="4" t="n">
        <v>3823661561</v>
      </c>
      <c r="H275" s="4" t="n">
        <v>92000</v>
      </c>
      <c r="I275" s="4" t="n">
        <v>4107412004</v>
      </c>
      <c r="J275" s="4" t="n">
        <v>29000</v>
      </c>
      <c r="K275" s="4" t="n">
        <v>2272318410</v>
      </c>
      <c r="L275" s="4" t="n">
        <v>88900</v>
      </c>
      <c r="M275" s="4" t="n">
        <v>1793300377</v>
      </c>
      <c r="N275" s="4" t="n">
        <v>95100</v>
      </c>
      <c r="O275" s="4" t="n">
        <v>591611334</v>
      </c>
      <c r="Q275" s="3" t="n"/>
      <c r="R275" s="3">
        <f>G275*F275-G276*F276</f>
        <v/>
      </c>
      <c r="S275" s="3">
        <f>I275*H275-I276*H276</f>
        <v/>
      </c>
      <c r="T275" s="3">
        <f>K275*J275-K276*J276</f>
        <v/>
      </c>
      <c r="U275" s="3">
        <f>M275*L275-M276*L276</f>
        <v/>
      </c>
      <c r="V275" s="3">
        <f>O275*N275-O276*N276</f>
        <v/>
      </c>
      <c r="X275" s="2">
        <f>R275/10^9</f>
        <v/>
      </c>
      <c r="Y275" s="2">
        <f>S275/10^9</f>
        <v/>
      </c>
      <c r="Z275" s="2">
        <f>T275/10^9</f>
        <v/>
      </c>
      <c r="AA275" s="2">
        <f>U275/10^9</f>
        <v/>
      </c>
      <c r="AB275" s="2">
        <f>V275/10^9</f>
        <v/>
      </c>
      <c r="AC275" s="2" t="n"/>
      <c r="AD275" s="8">
        <f>X275/$C276*$B276</f>
        <v/>
      </c>
      <c r="AE275" s="8">
        <f>Y275/$C276*$B276</f>
        <v/>
      </c>
      <c r="AF275" s="8">
        <f>Z275/$C276*$B276</f>
        <v/>
      </c>
      <c r="AG275" s="8">
        <f>AA275/$C276*$B276</f>
        <v/>
      </c>
      <c r="AH275" s="11">
        <f>AB275/$C276*$B276</f>
        <v/>
      </c>
      <c r="AI275" s="8">
        <f>SUM(AD275:AG275)</f>
        <v/>
      </c>
      <c r="AJ275" s="9">
        <f>AI275+AJ276</f>
        <v/>
      </c>
      <c r="AK275" s="9" t="n"/>
      <c r="AL275" s="7">
        <f>B275-AJ275</f>
        <v/>
      </c>
      <c r="AM275" s="42">
        <f>_xlfn.STDEV.S(AL275:AL294)</f>
        <v/>
      </c>
    </row>
    <row r="276">
      <c r="A276" s="1" t="n">
        <v>45856</v>
      </c>
      <c r="B276" s="7" t="n">
        <v>1497.28</v>
      </c>
      <c r="C276" s="3" t="n">
        <v>6440035.8</v>
      </c>
      <c r="E276" s="5" t="n">
        <v>45856</v>
      </c>
      <c r="F276" s="4" t="n">
        <v>119000</v>
      </c>
      <c r="G276" s="4" t="n">
        <v>3823661561</v>
      </c>
      <c r="H276" s="4" t="n">
        <v>96000</v>
      </c>
      <c r="I276" s="4" t="n">
        <v>4107412004</v>
      </c>
      <c r="J276" s="4" t="n">
        <v>29450</v>
      </c>
      <c r="K276" s="4" t="n">
        <v>2272318410</v>
      </c>
      <c r="L276" s="4" t="n">
        <v>90100</v>
      </c>
      <c r="M276" s="4" t="n">
        <v>1793300377</v>
      </c>
      <c r="N276" s="4" t="n">
        <v>93300</v>
      </c>
      <c r="O276" s="4" t="n">
        <v>591611334</v>
      </c>
      <c r="Q276" s="3" t="n"/>
      <c r="R276" s="3">
        <f>G276*F276-G277*F277</f>
        <v/>
      </c>
      <c r="S276" s="3">
        <f>I276*H276-I277*H277</f>
        <v/>
      </c>
      <c r="T276" s="3">
        <f>K276*J276-K277*J277</f>
        <v/>
      </c>
      <c r="U276" s="3">
        <f>M276*L276-M277*L277</f>
        <v/>
      </c>
      <c r="V276" s="3">
        <f>O276*N276-O277*N277</f>
        <v/>
      </c>
      <c r="X276" s="2">
        <f>R276/10^9</f>
        <v/>
      </c>
      <c r="Y276" s="2">
        <f>S276/10^9</f>
        <v/>
      </c>
      <c r="Z276" s="2">
        <f>T276/10^9</f>
        <v/>
      </c>
      <c r="AA276" s="2">
        <f>U276/10^9</f>
        <v/>
      </c>
      <c r="AB276" s="2">
        <f>V276/10^9</f>
        <v/>
      </c>
      <c r="AC276" s="2" t="n"/>
      <c r="AD276" s="8">
        <f>X276/$C277*$B277</f>
        <v/>
      </c>
      <c r="AE276" s="8">
        <f>Y276/$C277*$B277</f>
        <v/>
      </c>
      <c r="AF276" s="8">
        <f>Z276/$C277*$B277</f>
        <v/>
      </c>
      <c r="AG276" s="8">
        <f>AA276/$C277*$B277</f>
        <v/>
      </c>
      <c r="AH276" s="11">
        <f>AB276/$C277*$B277</f>
        <v/>
      </c>
      <c r="AI276" s="8">
        <f>SUM(AD276:AG276)</f>
        <v/>
      </c>
      <c r="AJ276" s="9">
        <f>AI276+AJ277</f>
        <v/>
      </c>
      <c r="AK276" s="9" t="n"/>
      <c r="AL276" s="7">
        <f>B276-AJ276</f>
        <v/>
      </c>
      <c r="AM276" s="42">
        <f>_xlfn.STDEV.S(AL276:AL295)</f>
        <v/>
      </c>
    </row>
    <row r="277">
      <c r="A277" s="1" t="n">
        <v>45855</v>
      </c>
      <c r="B277" s="7" t="n">
        <v>1490.01</v>
      </c>
      <c r="C277" s="3" t="n">
        <v>6408770.35</v>
      </c>
      <c r="E277" s="5" t="n">
        <v>45855</v>
      </c>
      <c r="F277" s="4" t="n">
        <v>122000</v>
      </c>
      <c r="G277" s="4" t="n">
        <v>3823661561</v>
      </c>
      <c r="H277" s="4" t="n">
        <v>94100</v>
      </c>
      <c r="I277" s="4" t="n">
        <v>4107412004</v>
      </c>
      <c r="J277" s="4" t="n">
        <v>29750</v>
      </c>
      <c r="K277" s="4" t="n">
        <v>2272318410</v>
      </c>
      <c r="L277" s="4" t="n">
        <v>90300</v>
      </c>
      <c r="M277" s="4" t="n">
        <v>1793300377</v>
      </c>
      <c r="N277" s="4" t="n">
        <v>94300</v>
      </c>
      <c r="O277" s="4" t="n">
        <v>591611334</v>
      </c>
      <c r="Q277" s="3" t="n"/>
      <c r="R277" s="3">
        <f>G277*F277-G278*F278</f>
        <v/>
      </c>
      <c r="S277" s="3">
        <f>I277*H277-I278*H278</f>
        <v/>
      </c>
      <c r="T277" s="3">
        <f>K277*J277-K278*J278</f>
        <v/>
      </c>
      <c r="U277" s="3">
        <f>M277*L277-M278*L278</f>
        <v/>
      </c>
      <c r="V277" s="3">
        <f>O277*N277-O278*N278</f>
        <v/>
      </c>
      <c r="X277" s="2">
        <f>R277/10^9</f>
        <v/>
      </c>
      <c r="Y277" s="2">
        <f>S277/10^9</f>
        <v/>
      </c>
      <c r="Z277" s="2">
        <f>T277/10^9</f>
        <v/>
      </c>
      <c r="AA277" s="2">
        <f>U277/10^9</f>
        <v/>
      </c>
      <c r="AB277" s="2">
        <f>V277/10^9</f>
        <v/>
      </c>
      <c r="AC277" s="2" t="n"/>
      <c r="AD277" s="8">
        <f>X277/$C278*$B278</f>
        <v/>
      </c>
      <c r="AE277" s="8">
        <f>Y277/$C278*$B278</f>
        <v/>
      </c>
      <c r="AF277" s="8">
        <f>Z277/$C278*$B278</f>
        <v/>
      </c>
      <c r="AG277" s="8">
        <f>AA277/$C278*$B278</f>
        <v/>
      </c>
      <c r="AH277" s="11">
        <f>AB277/$C278*$B278</f>
        <v/>
      </c>
      <c r="AI277" s="8">
        <f>SUM(AD277:AG277)</f>
        <v/>
      </c>
      <c r="AJ277" s="9">
        <f>AI277+AJ278</f>
        <v/>
      </c>
      <c r="AK277" s="9" t="n"/>
      <c r="AL277" s="7">
        <f>B277-AJ277</f>
        <v/>
      </c>
      <c r="AM277" s="42">
        <f>_xlfn.STDEV.S(AL277:AL296)</f>
        <v/>
      </c>
    </row>
    <row r="278">
      <c r="A278" s="1" t="n">
        <v>45854</v>
      </c>
      <c r="B278" s="7" t="n">
        <v>1475.47</v>
      </c>
      <c r="C278" s="3" t="n">
        <v>6346204.25</v>
      </c>
      <c r="E278" s="5" t="n">
        <v>45854</v>
      </c>
      <c r="F278" s="4" t="n">
        <v>117400</v>
      </c>
      <c r="G278" s="4" t="n">
        <v>3823661561</v>
      </c>
      <c r="H278" s="4" t="n">
        <v>88000</v>
      </c>
      <c r="I278" s="4" t="n">
        <v>4107412004</v>
      </c>
      <c r="J278" s="4" t="n">
        <v>28800</v>
      </c>
      <c r="K278" s="4" t="n">
        <v>2272318410</v>
      </c>
      <c r="L278" s="4" t="n">
        <v>91300</v>
      </c>
      <c r="M278" s="4" t="n">
        <v>1793300377</v>
      </c>
      <c r="N278" s="4" t="n">
        <v>96000</v>
      </c>
      <c r="O278" s="4" t="n">
        <v>591611334</v>
      </c>
      <c r="Q278" s="3" t="n"/>
      <c r="R278" s="3">
        <f>G278*F278-G279*F279</f>
        <v/>
      </c>
      <c r="S278" s="3">
        <f>I278*H278-I279*H279</f>
        <v/>
      </c>
      <c r="T278" s="3">
        <f>K278*J278-K279*J279</f>
        <v/>
      </c>
      <c r="U278" s="3">
        <f>M278*L278-M279*L279</f>
        <v/>
      </c>
      <c r="V278" s="3">
        <f>O278*N278-O279*N279</f>
        <v/>
      </c>
      <c r="X278" s="2">
        <f>R278/10^9</f>
        <v/>
      </c>
      <c r="Y278" s="2">
        <f>S278/10^9</f>
        <v/>
      </c>
      <c r="Z278" s="2">
        <f>T278/10^9</f>
        <v/>
      </c>
      <c r="AA278" s="2">
        <f>U278/10^9</f>
        <v/>
      </c>
      <c r="AB278" s="2">
        <f>V278/10^9</f>
        <v/>
      </c>
      <c r="AC278" s="2" t="n"/>
      <c r="AD278" s="8">
        <f>X278/$C279*$B279</f>
        <v/>
      </c>
      <c r="AE278" s="8">
        <f>Y278/$C279*$B279</f>
        <v/>
      </c>
      <c r="AF278" s="8">
        <f>Z278/$C279*$B279</f>
        <v/>
      </c>
      <c r="AG278" s="8">
        <f>AA278/$C279*$B279</f>
        <v/>
      </c>
      <c r="AH278" s="11">
        <f>AB278/$C279*$B279</f>
        <v/>
      </c>
      <c r="AI278" s="8">
        <f>SUM(AD278:AG278)</f>
        <v/>
      </c>
      <c r="AJ278" s="9">
        <f>AI278+AJ279</f>
        <v/>
      </c>
      <c r="AK278" s="9" t="n"/>
      <c r="AL278" s="7">
        <f>B278-AJ278</f>
        <v/>
      </c>
      <c r="AM278" s="42">
        <f>_xlfn.STDEV.S(AL278:AL297)</f>
        <v/>
      </c>
    </row>
    <row r="279">
      <c r="A279" s="1" t="n">
        <v>45853</v>
      </c>
      <c r="B279" s="7" t="n">
        <v>1460.65</v>
      </c>
      <c r="C279" s="3" t="n">
        <v>6282442.71</v>
      </c>
      <c r="E279" s="5" t="n">
        <v>45853</v>
      </c>
      <c r="F279" s="4" t="n">
        <v>111600</v>
      </c>
      <c r="G279" s="4" t="n">
        <v>3823661561</v>
      </c>
      <c r="H279" s="4" t="n">
        <v>87400</v>
      </c>
      <c r="I279" s="4" t="n">
        <v>4107412004</v>
      </c>
      <c r="J279" s="4" t="n">
        <v>28150</v>
      </c>
      <c r="K279" s="4" t="n">
        <v>2272318410</v>
      </c>
      <c r="L279" s="4" t="n">
        <v>92000</v>
      </c>
      <c r="M279" s="4" t="n">
        <v>1793300377</v>
      </c>
      <c r="N279" s="4" t="n">
        <v>97500</v>
      </c>
      <c r="O279" s="4" t="n">
        <v>591611334</v>
      </c>
      <c r="Q279" s="3" t="n"/>
      <c r="R279" s="3">
        <f>G279*F279-G280*F280</f>
        <v/>
      </c>
      <c r="S279" s="3">
        <f>I279*H279-I280*H280</f>
        <v/>
      </c>
      <c r="T279" s="3">
        <f>K279*J279-K280*J280</f>
        <v/>
      </c>
      <c r="U279" s="3">
        <f>M279*L279-M280*L280</f>
        <v/>
      </c>
      <c r="V279" s="3">
        <f>O279*N279-O280*N280</f>
        <v/>
      </c>
      <c r="X279" s="2">
        <f>R279/10^9</f>
        <v/>
      </c>
      <c r="Y279" s="2">
        <f>S279/10^9</f>
        <v/>
      </c>
      <c r="Z279" s="2">
        <f>T279/10^9</f>
        <v/>
      </c>
      <c r="AA279" s="2">
        <f>U279/10^9</f>
        <v/>
      </c>
      <c r="AB279" s="2">
        <f>V279/10^9</f>
        <v/>
      </c>
      <c r="AC279" s="2" t="n"/>
      <c r="AD279" s="8">
        <f>X279/$C280*$B280</f>
        <v/>
      </c>
      <c r="AE279" s="8">
        <f>Y279/$C280*$B280</f>
        <v/>
      </c>
      <c r="AF279" s="8">
        <f>Z279/$C280*$B280</f>
        <v/>
      </c>
      <c r="AG279" s="8">
        <f>AA279/$C280*$B280</f>
        <v/>
      </c>
      <c r="AH279" s="11">
        <f>AB279/$C280*$B280</f>
        <v/>
      </c>
      <c r="AI279" s="8">
        <f>SUM(AD279:AG279)</f>
        <v/>
      </c>
      <c r="AJ279" s="9">
        <f>AI279+AJ280</f>
        <v/>
      </c>
      <c r="AK279" s="9" t="n"/>
      <c r="AL279" s="7">
        <f>B279-AJ279</f>
        <v/>
      </c>
      <c r="AM279" s="42">
        <f>_xlfn.STDEV.S(AL279:AL298)</f>
        <v/>
      </c>
    </row>
    <row r="280">
      <c r="A280" s="1" t="n">
        <v>45852</v>
      </c>
      <c r="B280" s="7" t="n">
        <v>1470.42</v>
      </c>
      <c r="C280" s="3" t="n">
        <v>6324475.89</v>
      </c>
      <c r="E280" s="5" t="n">
        <v>45852</v>
      </c>
      <c r="F280" s="4" t="n">
        <v>113000</v>
      </c>
      <c r="G280" s="4" t="n">
        <v>3823661561</v>
      </c>
      <c r="H280" s="4" t="n">
        <v>88800</v>
      </c>
      <c r="I280" s="4" t="n">
        <v>4107412004</v>
      </c>
      <c r="J280" s="4" t="n">
        <v>28650</v>
      </c>
      <c r="K280" s="4" t="n">
        <v>2272318410</v>
      </c>
      <c r="L280" s="4" t="n">
        <v>92400</v>
      </c>
      <c r="M280" s="4" t="n">
        <v>1793300377</v>
      </c>
      <c r="N280" s="4" t="n">
        <v>99000</v>
      </c>
      <c r="O280" s="4" t="n">
        <v>591611334</v>
      </c>
      <c r="Q280" s="3" t="n"/>
      <c r="R280" s="3">
        <f>G280*F280-G281*F281</f>
        <v/>
      </c>
      <c r="S280" s="3">
        <f>I280*H280-I281*H281</f>
        <v/>
      </c>
      <c r="T280" s="3">
        <f>K280*J280-K281*J281</f>
        <v/>
      </c>
      <c r="U280" s="3">
        <f>M280*L280-M281*L281</f>
        <v/>
      </c>
      <c r="V280" s="3">
        <f>O280*N280-O281*N281</f>
        <v/>
      </c>
      <c r="X280" s="2">
        <f>R280/10^9</f>
        <v/>
      </c>
      <c r="Y280" s="2">
        <f>S280/10^9</f>
        <v/>
      </c>
      <c r="Z280" s="2">
        <f>T280/10^9</f>
        <v/>
      </c>
      <c r="AA280" s="2">
        <f>U280/10^9</f>
        <v/>
      </c>
      <c r="AB280" s="2">
        <f>V280/10^9</f>
        <v/>
      </c>
      <c r="AC280" s="2" t="n"/>
      <c r="AD280" s="8">
        <f>X280/$C281*$B281</f>
        <v/>
      </c>
      <c r="AE280" s="8">
        <f>Y280/$C281*$B281</f>
        <v/>
      </c>
      <c r="AF280" s="8">
        <f>Z280/$C281*$B281</f>
        <v/>
      </c>
      <c r="AG280" s="8">
        <f>AA280/$C281*$B281</f>
        <v/>
      </c>
      <c r="AH280" s="11">
        <f>AB280/$C281*$B281</f>
        <v/>
      </c>
      <c r="AI280" s="8">
        <f>SUM(AD280:AG280)</f>
        <v/>
      </c>
      <c r="AJ280" s="9">
        <f>AI280+AJ281</f>
        <v/>
      </c>
      <c r="AK280" s="9" t="n"/>
      <c r="AL280" s="7">
        <f>B280-AJ280</f>
        <v/>
      </c>
      <c r="AM280" s="42">
        <f>_xlfn.STDEV.S(AL280:AL299)</f>
        <v/>
      </c>
    </row>
    <row r="281">
      <c r="A281" s="1" t="n">
        <v>45849</v>
      </c>
      <c r="B281" s="7" t="n">
        <v>1457.76</v>
      </c>
      <c r="C281" s="3" t="n">
        <v>6270029.46</v>
      </c>
      <c r="E281" s="5" t="n">
        <v>45849</v>
      </c>
      <c r="F281" s="4" t="n">
        <v>108000</v>
      </c>
      <c r="G281" s="4" t="n">
        <v>3823661561</v>
      </c>
      <c r="H281" s="4" t="n">
        <v>87900</v>
      </c>
      <c r="I281" s="4" t="n">
        <v>4107412004</v>
      </c>
      <c r="J281" s="4" t="n">
        <v>28600</v>
      </c>
      <c r="K281" s="4" t="n">
        <v>2272318410</v>
      </c>
      <c r="L281" s="4" t="n">
        <v>92300</v>
      </c>
      <c r="M281" s="4" t="n">
        <v>1793300377</v>
      </c>
      <c r="N281" s="4" t="n">
        <v>100000</v>
      </c>
      <c r="O281" s="4" t="n">
        <v>591611334</v>
      </c>
      <c r="Q281" s="3" t="n"/>
      <c r="R281" s="3">
        <f>G281*F281-G282*F282</f>
        <v/>
      </c>
      <c r="S281" s="3">
        <f>I281*H281-I282*H282</f>
        <v/>
      </c>
      <c r="T281" s="3">
        <f>K281*J281-K282*J282</f>
        <v/>
      </c>
      <c r="U281" s="3">
        <f>M281*L281-M282*L282</f>
        <v/>
      </c>
      <c r="V281" s="3">
        <f>O281*N281-O282*N282</f>
        <v/>
      </c>
      <c r="X281" s="2">
        <f>R281/10^9</f>
        <v/>
      </c>
      <c r="Y281" s="2">
        <f>S281/10^9</f>
        <v/>
      </c>
      <c r="Z281" s="2">
        <f>T281/10^9</f>
        <v/>
      </c>
      <c r="AA281" s="2">
        <f>U281/10^9</f>
        <v/>
      </c>
      <c r="AB281" s="2">
        <f>V281/10^9</f>
        <v/>
      </c>
      <c r="AC281" s="2" t="n"/>
      <c r="AD281" s="8">
        <f>X281/$C282*$B282</f>
        <v/>
      </c>
      <c r="AE281" s="8">
        <f>Y281/$C282*$B282</f>
        <v/>
      </c>
      <c r="AF281" s="8">
        <f>Z281/$C282*$B282</f>
        <v/>
      </c>
      <c r="AG281" s="8">
        <f>AA281/$C282*$B282</f>
        <v/>
      </c>
      <c r="AH281" s="11">
        <f>AB281/$C282*$B282</f>
        <v/>
      </c>
      <c r="AI281" s="8">
        <f>SUM(AD281:AG281)</f>
        <v/>
      </c>
      <c r="AJ281" s="9">
        <f>AI281+AJ282</f>
        <v/>
      </c>
      <c r="AK281" s="9" t="n"/>
      <c r="AL281" s="7">
        <f>B281-AJ281</f>
        <v/>
      </c>
      <c r="AM281" s="42">
        <f>_xlfn.STDEV.S(AL281:AL300)</f>
        <v/>
      </c>
    </row>
    <row r="282">
      <c r="A282" s="1" t="n">
        <v>45848</v>
      </c>
      <c r="B282" s="7" t="n">
        <v>1445.64</v>
      </c>
      <c r="C282" s="3" t="n">
        <v>6217902.3</v>
      </c>
      <c r="E282" s="5" t="n">
        <v>45848</v>
      </c>
      <c r="F282" s="4" t="n">
        <v>101600</v>
      </c>
      <c r="G282" s="4" t="n">
        <v>3823661561</v>
      </c>
      <c r="H282" s="4" t="n">
        <v>86000</v>
      </c>
      <c r="I282" s="4" t="n">
        <v>4107412004</v>
      </c>
      <c r="J282" s="4" t="n">
        <v>28450</v>
      </c>
      <c r="K282" s="4" t="n">
        <v>2272318410</v>
      </c>
      <c r="L282" s="4" t="n">
        <v>93700</v>
      </c>
      <c r="M282" s="4" t="n">
        <v>1793300377</v>
      </c>
      <c r="N282" s="4" t="n">
        <v>96000</v>
      </c>
      <c r="O282" s="4" t="n">
        <v>591611334</v>
      </c>
      <c r="Q282" s="3" t="n"/>
      <c r="R282" s="3">
        <f>G282*F282-G283*F283</f>
        <v/>
      </c>
      <c r="S282" s="3">
        <f>I282*H282-I283*H283</f>
        <v/>
      </c>
      <c r="T282" s="3">
        <f>K282*J282-K283*J283</f>
        <v/>
      </c>
      <c r="U282" s="3">
        <f>M282*L282-M283*L283</f>
        <v/>
      </c>
      <c r="V282" s="3">
        <f>O282*N282-O283*N283</f>
        <v/>
      </c>
      <c r="X282" s="2">
        <f>R282/10^9</f>
        <v/>
      </c>
      <c r="Y282" s="2">
        <f>S282/10^9</f>
        <v/>
      </c>
      <c r="Z282" s="2">
        <f>T282/10^9</f>
        <v/>
      </c>
      <c r="AA282" s="2">
        <f>U282/10^9</f>
        <v/>
      </c>
      <c r="AB282" s="2">
        <f>V282/10^9</f>
        <v/>
      </c>
      <c r="AC282" s="2" t="n"/>
      <c r="AD282" s="8">
        <f>X282/$C283*$B283</f>
        <v/>
      </c>
      <c r="AE282" s="8">
        <f>Y282/$C283*$B283</f>
        <v/>
      </c>
      <c r="AF282" s="8">
        <f>Z282/$C283*$B283</f>
        <v/>
      </c>
      <c r="AG282" s="8">
        <f>AA282/$C283*$B283</f>
        <v/>
      </c>
      <c r="AH282" s="11">
        <f>AB282/$C283*$B283</f>
        <v/>
      </c>
      <c r="AI282" s="8">
        <f>SUM(AD282:AG282)</f>
        <v/>
      </c>
      <c r="AJ282" s="9">
        <f>AI282+AJ283</f>
        <v/>
      </c>
      <c r="AK282" s="9" t="n"/>
      <c r="AL282" s="7">
        <f>B282-AJ282</f>
        <v/>
      </c>
      <c r="AM282" s="42">
        <f>_xlfn.STDEV.S(AL282:AL301)</f>
        <v/>
      </c>
    </row>
    <row r="283">
      <c r="A283" s="1" t="n">
        <v>45847</v>
      </c>
      <c r="B283" s="7" t="n">
        <v>1431.32</v>
      </c>
      <c r="C283" s="3" t="n">
        <v>6156308.18</v>
      </c>
      <c r="E283" s="5" t="n">
        <v>45847</v>
      </c>
      <c r="F283" s="4" t="n">
        <v>95000</v>
      </c>
      <c r="G283" s="4" t="n">
        <v>3823661561</v>
      </c>
      <c r="H283" s="4" t="n">
        <v>81800</v>
      </c>
      <c r="I283" s="4" t="n">
        <v>4107412004</v>
      </c>
      <c r="J283" s="4" t="n">
        <v>26800</v>
      </c>
      <c r="K283" s="4" t="n">
        <v>2272318410</v>
      </c>
      <c r="L283" s="4" t="n">
        <v>94100</v>
      </c>
      <c r="M283" s="4" t="n">
        <v>1793300377</v>
      </c>
      <c r="N283" s="4" t="n">
        <v>94000</v>
      </c>
      <c r="O283" s="4" t="n">
        <v>591611334</v>
      </c>
      <c r="Q283" s="3" t="n"/>
      <c r="R283" s="3">
        <f>G283*F283-G284*F284</f>
        <v/>
      </c>
      <c r="S283" s="3">
        <f>I283*H283-I284*H284</f>
        <v/>
      </c>
      <c r="T283" s="3">
        <f>K283*J283-K284*J284</f>
        <v/>
      </c>
      <c r="U283" s="3">
        <f>M283*L283-M284*L284</f>
        <v/>
      </c>
      <c r="V283" s="3">
        <f>O283*N283-O284*N284</f>
        <v/>
      </c>
      <c r="X283" s="2">
        <f>R283/10^9</f>
        <v/>
      </c>
      <c r="Y283" s="2">
        <f>S283/10^9</f>
        <v/>
      </c>
      <c r="Z283" s="2">
        <f>T283/10^9</f>
        <v/>
      </c>
      <c r="AA283" s="2">
        <f>U283/10^9</f>
        <v/>
      </c>
      <c r="AB283" s="2">
        <f>V283/10^9</f>
        <v/>
      </c>
      <c r="AC283" s="2" t="n"/>
      <c r="AD283" s="8">
        <f>X283/$C284*$B284</f>
        <v/>
      </c>
      <c r="AE283" s="8">
        <f>Y283/$C284*$B284</f>
        <v/>
      </c>
      <c r="AF283" s="8">
        <f>Z283/$C284*$B284</f>
        <v/>
      </c>
      <c r="AG283" s="8">
        <f>AA283/$C284*$B284</f>
        <v/>
      </c>
      <c r="AH283" s="11">
        <f>AB283/$C284*$B284</f>
        <v/>
      </c>
      <c r="AI283" s="8">
        <f>SUM(AD283:AG283)</f>
        <v/>
      </c>
      <c r="AJ283" s="9">
        <f>AI283+AJ284</f>
        <v/>
      </c>
      <c r="AK283" s="9" t="n"/>
      <c r="AL283" s="7">
        <f>B283-AJ283</f>
        <v/>
      </c>
      <c r="AM283" s="42">
        <f>_xlfn.STDEV.S(AL283:AL302)</f>
        <v/>
      </c>
    </row>
    <row r="284">
      <c r="A284" s="1" t="n">
        <v>45846</v>
      </c>
      <c r="B284" s="7" t="n">
        <v>1415.46</v>
      </c>
      <c r="C284" s="3" t="n">
        <v>6087826.36</v>
      </c>
      <c r="E284" s="5" t="n">
        <v>45846</v>
      </c>
      <c r="F284" s="4" t="n">
        <v>93300</v>
      </c>
      <c r="G284" s="4" t="n">
        <v>3823661561</v>
      </c>
      <c r="H284" s="4" t="n">
        <v>79200</v>
      </c>
      <c r="I284" s="4" t="n">
        <v>4107412004</v>
      </c>
      <c r="J284" s="4" t="n">
        <v>25800</v>
      </c>
      <c r="K284" s="4" t="n">
        <v>2272318410</v>
      </c>
      <c r="L284" s="4" t="n">
        <v>94100</v>
      </c>
      <c r="M284" s="4" t="n">
        <v>1793300377</v>
      </c>
      <c r="N284" s="4" t="n">
        <v>95000</v>
      </c>
      <c r="O284" s="4" t="n">
        <v>591611334</v>
      </c>
      <c r="Q284" s="3" t="n"/>
      <c r="R284" s="3">
        <f>G284*F284-G285*F285</f>
        <v/>
      </c>
      <c r="S284" s="3">
        <f>I284*H284-I285*H285</f>
        <v/>
      </c>
      <c r="T284" s="3">
        <f>K284*J284-K285*J285</f>
        <v/>
      </c>
      <c r="U284" s="3">
        <f>M284*L284-M285*L285</f>
        <v/>
      </c>
      <c r="V284" s="3">
        <f>O284*N284-O285*N285</f>
        <v/>
      </c>
      <c r="X284" s="2">
        <f>R284/10^9</f>
        <v/>
      </c>
      <c r="Y284" s="2">
        <f>S284/10^9</f>
        <v/>
      </c>
      <c r="Z284" s="2">
        <f>T284/10^9</f>
        <v/>
      </c>
      <c r="AA284" s="2">
        <f>U284/10^9</f>
        <v/>
      </c>
      <c r="AB284" s="2">
        <f>V284/10^9</f>
        <v/>
      </c>
      <c r="AC284" s="2" t="n"/>
      <c r="AD284" s="8">
        <f>X284/$C285*$B285</f>
        <v/>
      </c>
      <c r="AE284" s="8">
        <f>Y284/$C285*$B285</f>
        <v/>
      </c>
      <c r="AF284" s="8">
        <f>Z284/$C285*$B285</f>
        <v/>
      </c>
      <c r="AG284" s="8">
        <f>AA284/$C285*$B285</f>
        <v/>
      </c>
      <c r="AH284" s="11">
        <f>AB284/$C285*$B285</f>
        <v/>
      </c>
      <c r="AI284" s="8">
        <f>SUM(AD284:AG284)</f>
        <v/>
      </c>
      <c r="AJ284" s="9">
        <f>AI284+AJ285</f>
        <v/>
      </c>
      <c r="AK284" s="9" t="n"/>
      <c r="AL284" s="7">
        <f>B284-AJ284</f>
        <v/>
      </c>
      <c r="AM284" s="42">
        <f>_xlfn.STDEV.S(AL284:AL303)</f>
        <v/>
      </c>
    </row>
    <row r="285">
      <c r="A285" s="1" t="n">
        <v>45845</v>
      </c>
      <c r="B285" s="7" t="n">
        <v>1402.06</v>
      </c>
      <c r="C285" s="3" t="n">
        <v>6029143.81</v>
      </c>
      <c r="E285" s="5" t="n">
        <v>45845</v>
      </c>
      <c r="F285" s="4" t="n">
        <v>93000</v>
      </c>
      <c r="G285" s="4" t="n">
        <v>3823661561</v>
      </c>
      <c r="H285" s="4" t="n">
        <v>76900</v>
      </c>
      <c r="I285" s="4" t="n">
        <v>4107412004</v>
      </c>
      <c r="J285" s="4" t="n">
        <v>25500</v>
      </c>
      <c r="K285" s="4" t="n">
        <v>2272318410</v>
      </c>
      <c r="L285" s="4" t="n">
        <v>94100</v>
      </c>
      <c r="M285" s="4" t="n">
        <v>1793300377</v>
      </c>
      <c r="N285" s="4" t="n">
        <v>90000</v>
      </c>
      <c r="O285" s="4" t="n">
        <v>591611334</v>
      </c>
      <c r="Q285" s="3" t="n"/>
      <c r="R285" s="3">
        <f>G285*F285-G286*F286</f>
        <v/>
      </c>
      <c r="S285" s="3">
        <f>I285*H285-I286*H286</f>
        <v/>
      </c>
      <c r="T285" s="3">
        <f>K285*J285-K286*J286</f>
        <v/>
      </c>
      <c r="U285" s="3">
        <f>M285*L285-M286*L286</f>
        <v/>
      </c>
      <c r="V285" s="3">
        <f>O285*N285-O286*N286</f>
        <v/>
      </c>
      <c r="X285" s="2">
        <f>R285/10^9</f>
        <v/>
      </c>
      <c r="Y285" s="2">
        <f>S285/10^9</f>
        <v/>
      </c>
      <c r="Z285" s="2">
        <f>T285/10^9</f>
        <v/>
      </c>
      <c r="AA285" s="2">
        <f>U285/10^9</f>
        <v/>
      </c>
      <c r="AB285" s="2">
        <f>V285/10^9</f>
        <v/>
      </c>
      <c r="AC285" s="2" t="n"/>
      <c r="AD285" s="8">
        <f>X285/$C286*$B286</f>
        <v/>
      </c>
      <c r="AE285" s="8">
        <f>Y285/$C286*$B286</f>
        <v/>
      </c>
      <c r="AF285" s="8">
        <f>Z285/$C286*$B286</f>
        <v/>
      </c>
      <c r="AG285" s="8">
        <f>AA285/$C286*$B286</f>
        <v/>
      </c>
      <c r="AH285" s="11">
        <f>AB285/$C286*$B286</f>
        <v/>
      </c>
      <c r="AI285" s="8">
        <f>SUM(AD285:AG285)</f>
        <v/>
      </c>
      <c r="AJ285" s="9">
        <f>AI285+AJ286</f>
        <v/>
      </c>
      <c r="AK285" s="9" t="n"/>
      <c r="AL285" s="7">
        <f>B285-AJ285</f>
        <v/>
      </c>
      <c r="AM285" s="42">
        <f>_xlfn.STDEV.S(AL285:AL304)</f>
        <v/>
      </c>
    </row>
    <row r="286">
      <c r="A286" s="1" t="n">
        <v>45842</v>
      </c>
      <c r="B286" s="7" t="n">
        <v>1386.97</v>
      </c>
      <c r="C286" s="3" t="n">
        <v>5964260.15</v>
      </c>
      <c r="E286" s="5" t="n">
        <v>45842</v>
      </c>
      <c r="F286" s="4" t="n">
        <v>91900</v>
      </c>
      <c r="G286" s="4" t="n">
        <v>3823661561</v>
      </c>
      <c r="H286" s="4" t="n">
        <v>76000</v>
      </c>
      <c r="I286" s="4" t="n">
        <v>4107412004</v>
      </c>
      <c r="J286" s="4" t="n">
        <v>25150</v>
      </c>
      <c r="K286" s="4" t="n">
        <v>2272318410</v>
      </c>
      <c r="L286" s="4" t="n">
        <v>94100</v>
      </c>
      <c r="M286" s="4" t="n">
        <v>1793300377</v>
      </c>
      <c r="N286" s="4" t="n">
        <v>89800</v>
      </c>
      <c r="O286" s="4" t="n">
        <v>591611334</v>
      </c>
      <c r="Q286" s="3" t="n"/>
      <c r="R286" s="3">
        <f>G286*F286-G287*F287</f>
        <v/>
      </c>
      <c r="S286" s="3">
        <f>I286*H286-I287*H287</f>
        <v/>
      </c>
      <c r="T286" s="3">
        <f>K286*J286-K287*J287</f>
        <v/>
      </c>
      <c r="U286" s="3">
        <f>M286*L286-M287*L287</f>
        <v/>
      </c>
      <c r="V286" s="3">
        <f>O286*N286-O287*N287</f>
        <v/>
      </c>
      <c r="X286" s="2">
        <f>R286/10^9</f>
        <v/>
      </c>
      <c r="Y286" s="2">
        <f>S286/10^9</f>
        <v/>
      </c>
      <c r="Z286" s="2">
        <f>T286/10^9</f>
        <v/>
      </c>
      <c r="AA286" s="2">
        <f>U286/10^9</f>
        <v/>
      </c>
      <c r="AB286" s="2">
        <f>V286/10^9</f>
        <v/>
      </c>
      <c r="AC286" s="2" t="n"/>
      <c r="AD286" s="8">
        <f>X286/$C287*$B287</f>
        <v/>
      </c>
      <c r="AE286" s="8">
        <f>Y286/$C287*$B287</f>
        <v/>
      </c>
      <c r="AF286" s="8">
        <f>Z286/$C287*$B287</f>
        <v/>
      </c>
      <c r="AG286" s="8">
        <f>AA286/$C287*$B287</f>
        <v/>
      </c>
      <c r="AH286" s="11">
        <f>AB286/$C287*$B287</f>
        <v/>
      </c>
      <c r="AI286" s="8">
        <f>SUM(AD286:AG286)</f>
        <v/>
      </c>
      <c r="AJ286" s="9">
        <f>AI286+AJ287</f>
        <v/>
      </c>
      <c r="AK286" s="9" t="n"/>
      <c r="AL286" s="7">
        <f>B286-AJ286</f>
        <v/>
      </c>
      <c r="AM286" s="42">
        <f>_xlfn.STDEV.S(AL286:AL305)</f>
        <v/>
      </c>
    </row>
    <row r="287">
      <c r="A287" s="1" t="n">
        <v>45841</v>
      </c>
      <c r="B287" s="7" t="n">
        <v>1381.96</v>
      </c>
      <c r="C287" s="3" t="n">
        <v>5942700.48</v>
      </c>
      <c r="E287" s="5" t="n">
        <v>45841</v>
      </c>
      <c r="F287" s="4" t="n">
        <v>94500</v>
      </c>
      <c r="G287" s="4" t="n">
        <v>3823661561</v>
      </c>
      <c r="H287" s="4" t="n">
        <v>76300</v>
      </c>
      <c r="I287" s="4" t="n">
        <v>4107412004</v>
      </c>
      <c r="J287" s="4" t="n">
        <v>25050</v>
      </c>
      <c r="K287" s="4" t="n">
        <v>2272318410</v>
      </c>
      <c r="L287" s="4" t="n">
        <v>94100</v>
      </c>
      <c r="M287" s="4" t="n">
        <v>1793300377</v>
      </c>
      <c r="N287" s="4" t="n">
        <v>89000</v>
      </c>
      <c r="O287" s="4" t="n">
        <v>591611334</v>
      </c>
      <c r="Q287" s="3" t="n"/>
      <c r="R287" s="3">
        <f>G287*F287-G288*F288</f>
        <v/>
      </c>
      <c r="S287" s="3">
        <f>I287*H287-I288*H288</f>
        <v/>
      </c>
      <c r="T287" s="3">
        <f>K287*J287-K288*J288</f>
        <v/>
      </c>
      <c r="U287" s="3">
        <f>M287*L287-M288*L288</f>
        <v/>
      </c>
      <c r="V287" s="3">
        <f>O287*N287-O288*N288</f>
        <v/>
      </c>
      <c r="X287" s="2">
        <f>R287/10^9</f>
        <v/>
      </c>
      <c r="Y287" s="2">
        <f>S287/10^9</f>
        <v/>
      </c>
      <c r="Z287" s="2">
        <f>T287/10^9</f>
        <v/>
      </c>
      <c r="AA287" s="2">
        <f>U287/10^9</f>
        <v/>
      </c>
      <c r="AB287" s="2">
        <f>V287/10^9</f>
        <v/>
      </c>
      <c r="AC287" s="2" t="n"/>
      <c r="AD287" s="8">
        <f>X287/$C288*$B288</f>
        <v/>
      </c>
      <c r="AE287" s="8">
        <f>Y287/$C288*$B288</f>
        <v/>
      </c>
      <c r="AF287" s="8">
        <f>Z287/$C288*$B288</f>
        <v/>
      </c>
      <c r="AG287" s="8">
        <f>AA287/$C288*$B288</f>
        <v/>
      </c>
      <c r="AH287" s="11">
        <f>AB287/$C288*$B288</f>
        <v/>
      </c>
      <c r="AI287" s="8">
        <f>SUM(AD287:AG287)</f>
        <v/>
      </c>
      <c r="AJ287" s="9">
        <f>AI287+AJ288</f>
        <v/>
      </c>
      <c r="AK287" s="9" t="n"/>
      <c r="AL287" s="7">
        <f>B287-AJ287</f>
        <v/>
      </c>
      <c r="AM287" s="42">
        <f>_xlfn.STDEV.S(AL287:AL306)</f>
        <v/>
      </c>
    </row>
    <row r="288">
      <c r="A288" s="1" t="n">
        <v>45840</v>
      </c>
      <c r="B288" s="7" t="n">
        <v>1384.59</v>
      </c>
      <c r="C288" s="3" t="n">
        <v>5954043.31</v>
      </c>
      <c r="E288" s="5" t="n">
        <v>45840</v>
      </c>
      <c r="F288" s="4" t="n">
        <v>95400</v>
      </c>
      <c r="G288" s="4" t="n">
        <v>3823661561</v>
      </c>
      <c r="H288" s="4" t="n">
        <v>76000</v>
      </c>
      <c r="I288" s="4" t="n">
        <v>4107412004</v>
      </c>
      <c r="J288" s="4" t="n">
        <v>25200</v>
      </c>
      <c r="K288" s="4" t="n">
        <v>2272318410</v>
      </c>
      <c r="L288" s="4" t="n">
        <v>94600</v>
      </c>
      <c r="M288" s="4" t="n">
        <v>1793300377</v>
      </c>
      <c r="N288" s="4" t="n">
        <v>90200</v>
      </c>
      <c r="O288" s="4" t="n">
        <v>591611334</v>
      </c>
      <c r="Q288" s="3" t="n"/>
      <c r="R288" s="3">
        <f>G288*F288-G289*F289</f>
        <v/>
      </c>
      <c r="S288" s="3">
        <f>I288*H288-I289*H289</f>
        <v/>
      </c>
      <c r="T288" s="3">
        <f>K288*J288-K289*J289</f>
        <v/>
      </c>
      <c r="U288" s="3">
        <f>M288*L288-M289*L289</f>
        <v/>
      </c>
      <c r="V288" s="3">
        <f>O288*N288-O289*N289</f>
        <v/>
      </c>
      <c r="X288" s="2">
        <f>R288/10^9</f>
        <v/>
      </c>
      <c r="Y288" s="2">
        <f>S288/10^9</f>
        <v/>
      </c>
      <c r="Z288" s="2">
        <f>T288/10^9</f>
        <v/>
      </c>
      <c r="AA288" s="2">
        <f>U288/10^9</f>
        <v/>
      </c>
      <c r="AB288" s="2">
        <f>V288/10^9</f>
        <v/>
      </c>
      <c r="AC288" s="2" t="n"/>
      <c r="AD288" s="8">
        <f>X288/$C289*$B289</f>
        <v/>
      </c>
      <c r="AE288" s="8">
        <f>Y288/$C289*$B289</f>
        <v/>
      </c>
      <c r="AF288" s="8">
        <f>Z288/$C289*$B289</f>
        <v/>
      </c>
      <c r="AG288" s="8">
        <f>AA288/$C289*$B289</f>
        <v/>
      </c>
      <c r="AH288" s="11">
        <f>AB288/$C289*$B289</f>
        <v/>
      </c>
      <c r="AI288" s="8">
        <f>SUM(AD288:AG288)</f>
        <v/>
      </c>
      <c r="AJ288" s="9">
        <f>AI288+AJ289</f>
        <v/>
      </c>
      <c r="AK288" s="9" t="n"/>
      <c r="AL288" s="7">
        <f>B288-AJ288</f>
        <v/>
      </c>
      <c r="AM288" s="42">
        <f>_xlfn.STDEV.S(AL288:AL307)</f>
        <v/>
      </c>
    </row>
    <row r="289">
      <c r="A289" s="1" t="n">
        <v>45839</v>
      </c>
      <c r="B289" s="7" t="n">
        <v>1377.84</v>
      </c>
      <c r="C289" s="3" t="n">
        <v>5924975.84</v>
      </c>
      <c r="E289" s="5" t="n">
        <v>45839</v>
      </c>
      <c r="F289" s="4" t="n">
        <v>95600</v>
      </c>
      <c r="G289" s="4" t="n">
        <v>3823661561</v>
      </c>
      <c r="H289" s="4" t="n">
        <v>76300</v>
      </c>
      <c r="I289" s="4" t="n">
        <v>4107412004</v>
      </c>
      <c r="J289" s="4" t="n">
        <v>24800</v>
      </c>
      <c r="K289" s="4" t="n">
        <v>2272318410</v>
      </c>
      <c r="L289" s="4" t="n">
        <v>94600</v>
      </c>
      <c r="M289" s="4" t="n">
        <v>1793300377</v>
      </c>
      <c r="N289" s="4" t="n">
        <v>90500</v>
      </c>
      <c r="O289" s="4" t="n">
        <v>591611334</v>
      </c>
      <c r="Q289" s="3" t="n"/>
      <c r="R289" s="3">
        <f>G289*F289-G290*F290</f>
        <v/>
      </c>
      <c r="S289" s="3">
        <f>I289*H289-I290*H290</f>
        <v/>
      </c>
      <c r="T289" s="3">
        <f>K289*J289-K290*J290</f>
        <v/>
      </c>
      <c r="U289" s="3">
        <f>M289*L289-M290*L290</f>
        <v/>
      </c>
      <c r="V289" s="3">
        <f>O289*N289-O290*N290</f>
        <v/>
      </c>
      <c r="X289" s="2">
        <f>R289/10^9</f>
        <v/>
      </c>
      <c r="Y289" s="2">
        <f>S289/10^9</f>
        <v/>
      </c>
      <c r="Z289" s="2">
        <f>T289/10^9</f>
        <v/>
      </c>
      <c r="AA289" s="2">
        <f>U289/10^9</f>
        <v/>
      </c>
      <c r="AB289" s="2">
        <f>V289/10^9</f>
        <v/>
      </c>
      <c r="AC289" s="2" t="n"/>
      <c r="AD289" s="8">
        <f>X289/$C290*$B290</f>
        <v/>
      </c>
      <c r="AE289" s="8">
        <f>Y289/$C290*$B290</f>
        <v/>
      </c>
      <c r="AF289" s="8">
        <f>Z289/$C290*$B290</f>
        <v/>
      </c>
      <c r="AG289" s="8">
        <f>AA289/$C290*$B290</f>
        <v/>
      </c>
      <c r="AH289" s="11">
        <f>AB289/$C290*$B290</f>
        <v/>
      </c>
      <c r="AI289" s="8">
        <f>SUM(AD289:AG289)</f>
        <v/>
      </c>
      <c r="AJ289" s="9">
        <f>AI289+AJ290</f>
        <v/>
      </c>
      <c r="AK289" s="9" t="n"/>
      <c r="AL289" s="7">
        <f>B289-AJ289</f>
        <v/>
      </c>
      <c r="AM289" s="42">
        <f>_xlfn.STDEV.S(AL289:AL308)</f>
        <v/>
      </c>
    </row>
    <row r="290">
      <c r="A290" s="1" t="n">
        <v>45838</v>
      </c>
      <c r="B290" s="7" t="n">
        <v>1376.07</v>
      </c>
      <c r="C290" s="3" t="n">
        <v>5917395.34</v>
      </c>
      <c r="E290" s="5" t="n">
        <v>45838</v>
      </c>
      <c r="F290" s="4" t="n">
        <v>95600</v>
      </c>
      <c r="G290" s="4" t="n">
        <v>3823661561</v>
      </c>
      <c r="H290" s="4" t="n">
        <v>76700</v>
      </c>
      <c r="I290" s="4" t="n">
        <v>4107412004</v>
      </c>
      <c r="J290" s="4" t="n">
        <v>24650</v>
      </c>
      <c r="K290" s="4" t="n">
        <v>2272318410</v>
      </c>
      <c r="L290" s="4" t="n">
        <v>94600</v>
      </c>
      <c r="M290" s="4" t="n">
        <v>1793300377</v>
      </c>
      <c r="N290" s="4" t="n">
        <v>88100</v>
      </c>
      <c r="O290" s="4" t="n">
        <v>591611334</v>
      </c>
      <c r="Q290" s="3" t="n"/>
      <c r="R290" s="3">
        <f>G290*F290-G291*F291</f>
        <v/>
      </c>
      <c r="S290" s="3">
        <f>I290*H290-I291*H291</f>
        <v/>
      </c>
      <c r="T290" s="3">
        <f>K290*J290-K291*J291</f>
        <v/>
      </c>
      <c r="U290" s="3">
        <f>M290*L290-M291*L291</f>
        <v/>
      </c>
      <c r="V290" s="3">
        <f>O290*N290-O291*N291</f>
        <v/>
      </c>
      <c r="X290" s="2">
        <f>R290/10^9</f>
        <v/>
      </c>
      <c r="Y290" s="2">
        <f>S290/10^9</f>
        <v/>
      </c>
      <c r="Z290" s="2">
        <f>T290/10^9</f>
        <v/>
      </c>
      <c r="AA290" s="2">
        <f>U290/10^9</f>
        <v/>
      </c>
      <c r="AB290" s="2">
        <f>V290/10^9</f>
        <v/>
      </c>
      <c r="AC290" s="2" t="n"/>
      <c r="AD290" s="8">
        <f>X290/$C291*$B291</f>
        <v/>
      </c>
      <c r="AE290" s="8">
        <f>Y290/$C291*$B291</f>
        <v/>
      </c>
      <c r="AF290" s="8">
        <f>Z290/$C291*$B291</f>
        <v/>
      </c>
      <c r="AG290" s="8">
        <f>AA290/$C291*$B291</f>
        <v/>
      </c>
      <c r="AH290" s="11">
        <f>AB290/$C291*$B291</f>
        <v/>
      </c>
      <c r="AI290" s="8">
        <f>SUM(AD290:AG290)</f>
        <v/>
      </c>
      <c r="AJ290" s="9">
        <f>AI290+AJ291</f>
        <v/>
      </c>
      <c r="AK290" s="9" t="n"/>
      <c r="AL290" s="7">
        <f>B290-AJ290</f>
        <v/>
      </c>
      <c r="AM290" s="42">
        <f>_xlfn.STDEV.S(AL290:AL309)</f>
        <v/>
      </c>
    </row>
    <row r="291">
      <c r="A291" s="1" t="n">
        <v>45835</v>
      </c>
      <c r="B291" s="7" t="n">
        <v>1371.44</v>
      </c>
      <c r="C291" s="3" t="n">
        <v>5897495.37</v>
      </c>
      <c r="E291" s="5" t="n">
        <v>45835</v>
      </c>
      <c r="F291" s="4" t="n">
        <v>95500</v>
      </c>
      <c r="G291" s="4" t="n">
        <v>3823661561</v>
      </c>
      <c r="H291" s="4" t="n">
        <v>77000</v>
      </c>
      <c r="I291" s="4" t="n">
        <v>4107412004</v>
      </c>
      <c r="J291" s="4" t="n">
        <v>24800</v>
      </c>
      <c r="K291" s="4" t="n">
        <v>2272318410</v>
      </c>
      <c r="L291" s="4" t="n">
        <v>94600</v>
      </c>
      <c r="M291" s="4" t="n">
        <v>1793300377</v>
      </c>
      <c r="N291" s="4" t="n">
        <v>87200</v>
      </c>
      <c r="O291" s="4" t="n">
        <v>591611334</v>
      </c>
      <c r="Q291" s="3" t="n"/>
      <c r="R291" s="3">
        <f>G291*F291-G292*F292</f>
        <v/>
      </c>
      <c r="S291" s="3">
        <f>I291*H291-I292*H292</f>
        <v/>
      </c>
      <c r="T291" s="3">
        <f>K291*J291-K292*J292</f>
        <v/>
      </c>
      <c r="U291" s="3">
        <f>M291*L291-M292*L292</f>
        <v/>
      </c>
      <c r="V291" s="3">
        <f>O291*N291-O292*N292</f>
        <v/>
      </c>
      <c r="X291" s="2">
        <f>R291/10^9</f>
        <v/>
      </c>
      <c r="Y291" s="2">
        <f>S291/10^9</f>
        <v/>
      </c>
      <c r="Z291" s="2">
        <f>T291/10^9</f>
        <v/>
      </c>
      <c r="AA291" s="2">
        <f>U291/10^9</f>
        <v/>
      </c>
      <c r="AB291" s="2">
        <f>V291/10^9</f>
        <v/>
      </c>
      <c r="AC291" s="2" t="n"/>
      <c r="AD291" s="8">
        <f>X291/$C292*$B292</f>
        <v/>
      </c>
      <c r="AE291" s="8">
        <f>Y291/$C292*$B292</f>
        <v/>
      </c>
      <c r="AF291" s="8">
        <f>Z291/$C292*$B292</f>
        <v/>
      </c>
      <c r="AG291" s="8">
        <f>AA291/$C292*$B292</f>
        <v/>
      </c>
      <c r="AH291" s="11">
        <f>AB291/$C292*$B292</f>
        <v/>
      </c>
      <c r="AI291" s="8">
        <f>SUM(AD291:AG291)</f>
        <v/>
      </c>
      <c r="AJ291" s="9">
        <f>AI291+AJ292</f>
        <v/>
      </c>
      <c r="AK291" s="9" t="n"/>
      <c r="AL291" s="7">
        <f>B291-AJ291</f>
        <v/>
      </c>
      <c r="AM291" s="42">
        <f>_xlfn.STDEV.S(AL291:AL310)</f>
        <v/>
      </c>
    </row>
    <row r="292">
      <c r="A292" s="1" t="n">
        <v>45834</v>
      </c>
      <c r="B292" s="7" t="n">
        <v>1365.67</v>
      </c>
      <c r="C292" s="3" t="n">
        <v>5872675.4</v>
      </c>
      <c r="E292" s="5" t="n">
        <v>45834</v>
      </c>
      <c r="F292" s="4" t="n">
        <v>95000</v>
      </c>
      <c r="G292" s="4" t="n">
        <v>3823661561</v>
      </c>
      <c r="H292" s="4" t="n">
        <v>76000</v>
      </c>
      <c r="I292" s="4" t="n">
        <v>4107412004</v>
      </c>
      <c r="J292" s="4" t="n">
        <v>24500</v>
      </c>
      <c r="K292" s="4" t="n">
        <v>2272318410</v>
      </c>
      <c r="L292" s="4" t="n">
        <v>94600</v>
      </c>
      <c r="M292" s="4" t="n">
        <v>1793300377</v>
      </c>
      <c r="N292" s="4" t="n">
        <v>87100</v>
      </c>
      <c r="O292" s="4" t="n">
        <v>591611334</v>
      </c>
      <c r="Q292" s="3" t="n"/>
      <c r="R292" s="3">
        <f>G292*F292-G293*F293</f>
        <v/>
      </c>
      <c r="S292" s="3">
        <f>I292*H292-I293*H293</f>
        <v/>
      </c>
      <c r="T292" s="3">
        <f>K292*J292-K293*J293</f>
        <v/>
      </c>
      <c r="U292" s="3">
        <f>M292*L292-M293*L293</f>
        <v/>
      </c>
      <c r="V292" s="3">
        <f>O292*N292-O293*N293</f>
        <v/>
      </c>
      <c r="X292" s="2">
        <f>R292/10^9</f>
        <v/>
      </c>
      <c r="Y292" s="2">
        <f>S292/10^9</f>
        <v/>
      </c>
      <c r="Z292" s="2">
        <f>T292/10^9</f>
        <v/>
      </c>
      <c r="AA292" s="2">
        <f>U292/10^9</f>
        <v/>
      </c>
      <c r="AB292" s="2">
        <f>V292/10^9</f>
        <v/>
      </c>
      <c r="AC292" s="2" t="n"/>
      <c r="AD292" s="8">
        <f>X292/$C293*$B293</f>
        <v/>
      </c>
      <c r="AE292" s="8">
        <f>Y292/$C293*$B293</f>
        <v/>
      </c>
      <c r="AF292" s="8">
        <f>Z292/$C293*$B293</f>
        <v/>
      </c>
      <c r="AG292" s="8">
        <f>AA292/$C293*$B293</f>
        <v/>
      </c>
      <c r="AH292" s="11">
        <f>AB292/$C293*$B293</f>
        <v/>
      </c>
      <c r="AI292" s="8">
        <f>SUM(AD292:AG292)</f>
        <v/>
      </c>
      <c r="AJ292" s="9">
        <f>AI292+AJ293</f>
        <v/>
      </c>
      <c r="AK292" s="9" t="n"/>
      <c r="AL292" s="7">
        <f>B292-AJ292</f>
        <v/>
      </c>
      <c r="AM292" s="42">
        <f>_xlfn.STDEV.S(AL292:AL311)</f>
        <v/>
      </c>
    </row>
    <row r="293">
      <c r="A293" s="1" t="n">
        <v>45833</v>
      </c>
      <c r="B293" s="7" t="n">
        <v>1366.75</v>
      </c>
      <c r="C293" s="3" t="n">
        <v>5877228.7</v>
      </c>
      <c r="E293" s="5" t="n">
        <v>45833</v>
      </c>
      <c r="F293" s="4" t="n">
        <v>95800</v>
      </c>
      <c r="G293" s="4" t="n">
        <v>3823661561</v>
      </c>
      <c r="H293" s="4" t="n">
        <v>77900</v>
      </c>
      <c r="I293" s="4" t="n">
        <v>4107412004</v>
      </c>
      <c r="J293" s="4" t="n">
        <v>24650</v>
      </c>
      <c r="K293" s="4" t="n">
        <v>2272318410</v>
      </c>
      <c r="L293" s="4" t="n">
        <v>94600</v>
      </c>
      <c r="M293" s="4" t="n">
        <v>1793300377</v>
      </c>
      <c r="N293" s="4" t="n">
        <v>87100</v>
      </c>
      <c r="O293" s="4" t="n">
        <v>591611334</v>
      </c>
      <c r="Q293" s="3" t="n"/>
      <c r="R293" s="3">
        <f>G293*F293-G294*F294</f>
        <v/>
      </c>
      <c r="S293" s="3">
        <f>I293*H293-I294*H294</f>
        <v/>
      </c>
      <c r="T293" s="3">
        <f>K293*J293-K294*J294</f>
        <v/>
      </c>
      <c r="U293" s="3">
        <f>M293*L293-M294*L294</f>
        <v/>
      </c>
      <c r="V293" s="3">
        <f>O293*N293-O294*N294</f>
        <v/>
      </c>
      <c r="X293" s="2">
        <f>R293/10^9</f>
        <v/>
      </c>
      <c r="Y293" s="2">
        <f>S293/10^9</f>
        <v/>
      </c>
      <c r="Z293" s="2">
        <f>T293/10^9</f>
        <v/>
      </c>
      <c r="AA293" s="2">
        <f>U293/10^9</f>
        <v/>
      </c>
      <c r="AB293" s="2">
        <f>V293/10^9</f>
        <v/>
      </c>
      <c r="AC293" s="2" t="n"/>
      <c r="AD293" s="8">
        <f>X293/$C294*$B294</f>
        <v/>
      </c>
      <c r="AE293" s="8">
        <f>Y293/$C294*$B294</f>
        <v/>
      </c>
      <c r="AF293" s="8">
        <f>Z293/$C294*$B294</f>
        <v/>
      </c>
      <c r="AG293" s="8">
        <f>AA293/$C294*$B294</f>
        <v/>
      </c>
      <c r="AH293" s="11">
        <f>AB293/$C294*$B294</f>
        <v/>
      </c>
      <c r="AI293" s="8">
        <f>SUM(AD293:AG293)</f>
        <v/>
      </c>
      <c r="AJ293" s="9">
        <f>AI293+AJ294</f>
        <v/>
      </c>
      <c r="AK293" s="9" t="n"/>
      <c r="AL293" s="7">
        <f>B293-AJ293</f>
        <v/>
      </c>
      <c r="AM293" s="42">
        <f>_xlfn.STDEV.S(AL293:AL312)</f>
        <v/>
      </c>
    </row>
    <row r="294">
      <c r="A294" s="1" t="n">
        <v>45832</v>
      </c>
      <c r="B294" s="7" t="n">
        <v>1366.77</v>
      </c>
      <c r="C294" s="3" t="n">
        <v>5877502.99</v>
      </c>
      <c r="E294" s="5" t="n">
        <v>45832</v>
      </c>
      <c r="F294" s="4" t="n">
        <v>95800</v>
      </c>
      <c r="G294" s="4" t="n">
        <v>3823661561</v>
      </c>
      <c r="H294" s="4" t="n">
        <v>77300</v>
      </c>
      <c r="I294" s="4" t="n">
        <v>4107412004</v>
      </c>
      <c r="J294" s="4" t="n">
        <v>24900</v>
      </c>
      <c r="K294" s="4" t="n">
        <v>2272318410</v>
      </c>
      <c r="L294" s="4" t="n">
        <v>94600</v>
      </c>
      <c r="M294" s="4" t="n">
        <v>1793300377</v>
      </c>
      <c r="N294" s="4" t="n">
        <v>88100</v>
      </c>
      <c r="O294" s="4" t="n">
        <v>591611334</v>
      </c>
      <c r="Q294" s="3" t="n"/>
      <c r="R294" s="3">
        <f>G294*F294-G295*F295</f>
        <v/>
      </c>
      <c r="S294" s="3">
        <f>I294*H294-I295*H295</f>
        <v/>
      </c>
      <c r="T294" s="3">
        <f>K294*J294-K295*J295</f>
        <v/>
      </c>
      <c r="U294" s="3">
        <f>M294*L294-M295*L295</f>
        <v/>
      </c>
      <c r="V294" s="3">
        <f>O294*N294-O295*N295</f>
        <v/>
      </c>
      <c r="X294" s="2">
        <f>R294/10^9</f>
        <v/>
      </c>
      <c r="Y294" s="2">
        <f>S294/10^9</f>
        <v/>
      </c>
      <c r="Z294" s="2">
        <f>T294/10^9</f>
        <v/>
      </c>
      <c r="AA294" s="2">
        <f>U294/10^9</f>
        <v/>
      </c>
      <c r="AB294" s="2">
        <f>V294/10^9</f>
        <v/>
      </c>
      <c r="AC294" s="2" t="n"/>
      <c r="AD294" s="8">
        <f>X294/$C295*$B295</f>
        <v/>
      </c>
      <c r="AE294" s="8">
        <f>Y294/$C295*$B295</f>
        <v/>
      </c>
      <c r="AF294" s="8">
        <f>Z294/$C295*$B295</f>
        <v/>
      </c>
      <c r="AG294" s="8">
        <f>AA294/$C295*$B295</f>
        <v/>
      </c>
      <c r="AH294" s="11">
        <f>AB294/$C295*$B295</f>
        <v/>
      </c>
      <c r="AI294" s="8">
        <f>SUM(AD294:AG294)</f>
        <v/>
      </c>
      <c r="AJ294" s="9">
        <f>AI294+AJ295</f>
        <v/>
      </c>
      <c r="AK294" s="9" t="n"/>
      <c r="AL294" s="7">
        <f>B294-AJ294</f>
        <v/>
      </c>
      <c r="AM294" s="42">
        <f>_xlfn.STDEV.S(AL294:AL313)</f>
        <v/>
      </c>
    </row>
    <row r="295">
      <c r="A295" s="1" t="n">
        <v>45831</v>
      </c>
      <c r="B295" s="7" t="n">
        <v>1358.18</v>
      </c>
      <c r="C295" s="3" t="n">
        <v>5836979.92</v>
      </c>
      <c r="E295" s="5" t="n">
        <v>45831</v>
      </c>
      <c r="F295" s="4" t="n">
        <v>92800</v>
      </c>
      <c r="G295" s="4" t="n">
        <v>3823661561</v>
      </c>
      <c r="H295" s="4" t="n">
        <v>74000</v>
      </c>
      <c r="I295" s="4" t="n">
        <v>4107412004</v>
      </c>
      <c r="J295" s="4" t="n">
        <v>24750</v>
      </c>
      <c r="K295" s="4" t="n">
        <v>2272318410</v>
      </c>
      <c r="L295" s="4" t="n">
        <v>94500</v>
      </c>
      <c r="M295" s="4" t="n">
        <v>1793300377</v>
      </c>
      <c r="N295" s="4" t="n">
        <v>87500</v>
      </c>
      <c r="O295" s="4" t="n">
        <v>591611334</v>
      </c>
      <c r="Q295" s="3" t="n"/>
      <c r="R295" s="3">
        <f>G295*F295-G296*F296</f>
        <v/>
      </c>
      <c r="S295" s="3">
        <f>I295*H295-I296*H296</f>
        <v/>
      </c>
      <c r="T295" s="3">
        <f>K295*J295-K296*J296</f>
        <v/>
      </c>
      <c r="U295" s="3">
        <f>M295*L295-M296*L296</f>
        <v/>
      </c>
      <c r="V295" s="3">
        <f>O295*N295-O296*N296</f>
        <v/>
      </c>
      <c r="X295" s="2">
        <f>R295/10^9</f>
        <v/>
      </c>
      <c r="Y295" s="2">
        <f>S295/10^9</f>
        <v/>
      </c>
      <c r="Z295" s="2">
        <f>T295/10^9</f>
        <v/>
      </c>
      <c r="AA295" s="2">
        <f>U295/10^9</f>
        <v/>
      </c>
      <c r="AB295" s="2">
        <f>V295/10^9</f>
        <v/>
      </c>
      <c r="AC295" s="2" t="n"/>
      <c r="AD295" s="8">
        <f>X295/$C296*$B296</f>
        <v/>
      </c>
      <c r="AE295" s="8">
        <f>Y295/$C296*$B296</f>
        <v/>
      </c>
      <c r="AF295" s="8">
        <f>Z295/$C296*$B296</f>
        <v/>
      </c>
      <c r="AG295" s="8">
        <f>AA295/$C296*$B296</f>
        <v/>
      </c>
      <c r="AH295" s="11">
        <f>AB295/$C296*$B296</f>
        <v/>
      </c>
      <c r="AI295" s="8">
        <f>SUM(AD295:AG295)</f>
        <v/>
      </c>
      <c r="AJ295" s="9">
        <f>AI295+AJ296</f>
        <v/>
      </c>
      <c r="AK295" s="9" t="n"/>
      <c r="AL295" s="7">
        <f>B295-AJ295</f>
        <v/>
      </c>
      <c r="AM295" s="42">
        <f>_xlfn.STDEV.S(AL295:AL314)</f>
        <v/>
      </c>
    </row>
    <row r="296">
      <c r="A296" s="1" t="n">
        <v>45828</v>
      </c>
      <c r="B296" s="7" t="n">
        <v>1349.35</v>
      </c>
      <c r="C296" s="3" t="n">
        <v>5799009.9</v>
      </c>
      <c r="E296" s="5" t="n">
        <v>45828</v>
      </c>
      <c r="F296" s="4" t="n">
        <v>86800</v>
      </c>
      <c r="G296" s="4" t="n">
        <v>3823661561</v>
      </c>
      <c r="H296" s="4" t="n">
        <v>70200</v>
      </c>
      <c r="I296" s="4" t="n">
        <v>4107412004</v>
      </c>
      <c r="J296" s="4" t="n">
        <v>24600</v>
      </c>
      <c r="K296" s="4" t="n">
        <v>2272318410</v>
      </c>
      <c r="L296" s="4" t="n">
        <v>93500</v>
      </c>
      <c r="M296" s="4" t="n">
        <v>1793300377</v>
      </c>
      <c r="N296" s="4" t="n">
        <v>88700</v>
      </c>
      <c r="O296" s="4" t="n">
        <v>591611334</v>
      </c>
      <c r="Q296" s="3" t="n"/>
      <c r="R296" s="3">
        <f>G296*F296-G297*F297</f>
        <v/>
      </c>
      <c r="S296" s="3">
        <f>I296*H296-I297*H297</f>
        <v/>
      </c>
      <c r="T296" s="3">
        <f>K296*J296-K297*J297</f>
        <v/>
      </c>
      <c r="U296" s="3">
        <f>M296*L296-M297*L297</f>
        <v/>
      </c>
      <c r="V296" s="3">
        <f>O296*N296-O297*N297</f>
        <v/>
      </c>
      <c r="X296" s="2">
        <f>R296/10^9</f>
        <v/>
      </c>
      <c r="Y296" s="2">
        <f>S296/10^9</f>
        <v/>
      </c>
      <c r="Z296" s="2">
        <f>T296/10^9</f>
        <v/>
      </c>
      <c r="AA296" s="2">
        <f>U296/10^9</f>
        <v/>
      </c>
      <c r="AB296" s="2">
        <f>V296/10^9</f>
        <v/>
      </c>
      <c r="AC296" s="2" t="n"/>
      <c r="AD296" s="8">
        <f>X296/$C297*$B297</f>
        <v/>
      </c>
      <c r="AE296" s="8">
        <f>Y296/$C297*$B297</f>
        <v/>
      </c>
      <c r="AF296" s="8">
        <f>Z296/$C297*$B297</f>
        <v/>
      </c>
      <c r="AG296" s="8">
        <f>AA296/$C297*$B297</f>
        <v/>
      </c>
      <c r="AH296" s="11">
        <f>AB296/$C297*$B297</f>
        <v/>
      </c>
      <c r="AI296" s="8">
        <f>SUM(AD296:AG296)</f>
        <v/>
      </c>
      <c r="AJ296" s="9">
        <f>AI296+AJ297</f>
        <v/>
      </c>
      <c r="AK296" s="9" t="n"/>
      <c r="AL296" s="7">
        <f>B296-AJ296</f>
        <v/>
      </c>
      <c r="AM296" s="42">
        <f>_xlfn.STDEV.S(AL296:AL315)</f>
        <v/>
      </c>
    </row>
    <row r="297">
      <c r="A297" s="1" t="n">
        <v>45827</v>
      </c>
      <c r="B297" s="7" t="n">
        <v>1352.04</v>
      </c>
      <c r="C297" s="3" t="n">
        <v>5810567.27</v>
      </c>
      <c r="E297" s="5" t="n">
        <v>45827</v>
      </c>
      <c r="F297" s="4" t="n">
        <v>89400</v>
      </c>
      <c r="G297" s="4" t="n">
        <v>3823661561</v>
      </c>
      <c r="H297" s="4" t="n">
        <v>71700</v>
      </c>
      <c r="I297" s="4" t="n">
        <v>4107412004</v>
      </c>
      <c r="J297" s="4" t="n">
        <v>24700</v>
      </c>
      <c r="K297" s="4" t="n">
        <v>2272318410</v>
      </c>
      <c r="L297" s="4" t="n">
        <v>94200</v>
      </c>
      <c r="M297" s="4" t="n">
        <v>1793300377</v>
      </c>
      <c r="N297" s="4" t="n">
        <v>88500</v>
      </c>
      <c r="O297" s="4" t="n">
        <v>591611334</v>
      </c>
      <c r="Q297" s="3" t="n"/>
      <c r="R297" s="3">
        <f>G297*F297-G298*F298</f>
        <v/>
      </c>
      <c r="S297" s="3">
        <f>I297*H297-I298*H298</f>
        <v/>
      </c>
      <c r="T297" s="3">
        <f>K297*J297-K298*J298</f>
        <v/>
      </c>
      <c r="U297" s="3">
        <f>M297*L297-M298*L298</f>
        <v/>
      </c>
      <c r="V297" s="3">
        <f>O297*N297-O298*N298</f>
        <v/>
      </c>
      <c r="X297" s="2">
        <f>R297/10^9</f>
        <v/>
      </c>
      <c r="Y297" s="2">
        <f>S297/10^9</f>
        <v/>
      </c>
      <c r="Z297" s="2">
        <f>T297/10^9</f>
        <v/>
      </c>
      <c r="AA297" s="2">
        <f>U297/10^9</f>
        <v/>
      </c>
      <c r="AB297" s="2">
        <f>V297/10^9</f>
        <v/>
      </c>
      <c r="AC297" s="2" t="n"/>
      <c r="AD297" s="8">
        <f>X297/$C298*$B298</f>
        <v/>
      </c>
      <c r="AE297" s="8">
        <f>Y297/$C298*$B298</f>
        <v/>
      </c>
      <c r="AF297" s="8">
        <f>Z297/$C298*$B298</f>
        <v/>
      </c>
      <c r="AG297" s="8">
        <f>AA297/$C298*$B298</f>
        <v/>
      </c>
      <c r="AH297" s="11">
        <f>AB297/$C298*$B298</f>
        <v/>
      </c>
      <c r="AI297" s="8">
        <f>SUM(AD297:AG297)</f>
        <v/>
      </c>
      <c r="AJ297" s="9">
        <f>AI297+AJ298</f>
        <v/>
      </c>
      <c r="AK297" s="9" t="n"/>
      <c r="AL297" s="7">
        <f>B297-AJ297</f>
        <v/>
      </c>
      <c r="AM297" s="42">
        <f>_xlfn.STDEV.S(AL297:AL316)</f>
        <v/>
      </c>
    </row>
    <row r="298">
      <c r="A298" s="1" t="n">
        <v>45826</v>
      </c>
      <c r="B298" s="7" t="n">
        <v>1346.83</v>
      </c>
      <c r="C298" s="3" t="n">
        <v>5786974.36</v>
      </c>
      <c r="E298" s="5" t="n">
        <v>45826</v>
      </c>
      <c r="F298" s="4" t="n">
        <v>88000</v>
      </c>
      <c r="G298" s="4" t="n">
        <v>3823661561</v>
      </c>
      <c r="H298" s="4" t="n">
        <v>71400</v>
      </c>
      <c r="I298" s="4" t="n">
        <v>4107412004</v>
      </c>
      <c r="J298" s="4" t="n">
        <v>24650</v>
      </c>
      <c r="K298" s="4" t="n">
        <v>2272318410</v>
      </c>
      <c r="L298" s="4" t="n">
        <v>94300</v>
      </c>
      <c r="M298" s="4" t="n">
        <v>1793300377</v>
      </c>
      <c r="N298" s="4" t="n">
        <v>87700</v>
      </c>
      <c r="O298" s="4" t="n">
        <v>591611334</v>
      </c>
      <c r="Q298" s="3" t="n"/>
      <c r="R298" s="3">
        <f>G298*F298-G299*F299</f>
        <v/>
      </c>
      <c r="S298" s="3">
        <f>I298*H298-I299*H299</f>
        <v/>
      </c>
      <c r="T298" s="3">
        <f>K298*J298-K299*J299</f>
        <v/>
      </c>
      <c r="U298" s="3">
        <f>M298*L298-M299*L299</f>
        <v/>
      </c>
      <c r="V298" s="3">
        <f>O298*N298-O299*N299</f>
        <v/>
      </c>
      <c r="X298" s="2">
        <f>R298/10^9</f>
        <v/>
      </c>
      <c r="Y298" s="2">
        <f>S298/10^9</f>
        <v/>
      </c>
      <c r="Z298" s="2">
        <f>T298/10^9</f>
        <v/>
      </c>
      <c r="AA298" s="2">
        <f>U298/10^9</f>
        <v/>
      </c>
      <c r="AB298" s="2">
        <f>V298/10^9</f>
        <v/>
      </c>
      <c r="AC298" s="2" t="n"/>
      <c r="AD298" s="8">
        <f>X298/$C299*$B299</f>
        <v/>
      </c>
      <c r="AE298" s="8">
        <f>Y298/$C299*$B299</f>
        <v/>
      </c>
      <c r="AF298" s="8">
        <f>Z298/$C299*$B299</f>
        <v/>
      </c>
      <c r="AG298" s="8">
        <f>AA298/$C299*$B299</f>
        <v/>
      </c>
      <c r="AH298" s="11">
        <f>AB298/$C299*$B299</f>
        <v/>
      </c>
      <c r="AI298" s="8">
        <f>SUM(AD298:AG298)</f>
        <v/>
      </c>
      <c r="AJ298" s="9">
        <f>AI298+AJ299</f>
        <v/>
      </c>
      <c r="AK298" s="9" t="n"/>
      <c r="AL298" s="7">
        <f>B298-AJ298</f>
        <v/>
      </c>
      <c r="AM298" s="42">
        <f>_xlfn.STDEV.S(AL298:AL317)</f>
        <v/>
      </c>
    </row>
    <row r="299">
      <c r="A299" s="1" t="n">
        <v>45825</v>
      </c>
      <c r="B299" s="7" t="n">
        <v>1347.69</v>
      </c>
      <c r="C299" s="3" t="n">
        <v>5790682.11</v>
      </c>
      <c r="E299" s="5" t="n">
        <v>45825</v>
      </c>
      <c r="F299" s="4" t="n">
        <v>87700</v>
      </c>
      <c r="G299" s="4" t="n">
        <v>3823661561</v>
      </c>
      <c r="H299" s="4" t="n">
        <v>69600</v>
      </c>
      <c r="I299" s="4" t="n">
        <v>4107412004</v>
      </c>
      <c r="J299" s="4" t="n">
        <v>24550</v>
      </c>
      <c r="K299" s="4" t="n">
        <v>2272318410</v>
      </c>
      <c r="L299" s="4" t="n">
        <v>95400</v>
      </c>
      <c r="M299" s="4" t="n">
        <v>1793300377</v>
      </c>
      <c r="N299" s="4" t="n">
        <v>87700</v>
      </c>
      <c r="O299" s="4" t="n">
        <v>591611334</v>
      </c>
      <c r="Q299" s="3" t="n"/>
      <c r="R299" s="3">
        <f>G299*F299-G300*F300</f>
        <v/>
      </c>
      <c r="S299" s="3">
        <f>I299*H299-I300*H300</f>
        <v/>
      </c>
      <c r="T299" s="3">
        <f>K299*J299-K300*J300</f>
        <v/>
      </c>
      <c r="U299" s="3">
        <f>M299*L299-M300*L300</f>
        <v/>
      </c>
      <c r="V299" s="3">
        <f>O299*N299-O300*N300</f>
        <v/>
      </c>
      <c r="X299" s="2">
        <f>R299/10^9</f>
        <v/>
      </c>
      <c r="Y299" s="2">
        <f>S299/10^9</f>
        <v/>
      </c>
      <c r="Z299" s="2">
        <f>T299/10^9</f>
        <v/>
      </c>
      <c r="AA299" s="2">
        <f>U299/10^9</f>
        <v/>
      </c>
      <c r="AB299" s="2">
        <f>V299/10^9</f>
        <v/>
      </c>
      <c r="AC299" s="2" t="n"/>
      <c r="AD299" s="8">
        <f>X299/$C300*$B300</f>
        <v/>
      </c>
      <c r="AE299" s="8">
        <f>Y299/$C300*$B300</f>
        <v/>
      </c>
      <c r="AF299" s="8">
        <f>Z299/$C300*$B300</f>
        <v/>
      </c>
      <c r="AG299" s="8">
        <f>AA299/$C300*$B300</f>
        <v/>
      </c>
      <c r="AH299" s="11">
        <f>AB299/$C300*$B300</f>
        <v/>
      </c>
      <c r="AI299" s="8">
        <f>SUM(AD299:AG299)</f>
        <v/>
      </c>
      <c r="AJ299" s="9">
        <f>AI299+AJ300</f>
        <v/>
      </c>
      <c r="AK299" s="9" t="n"/>
      <c r="AL299" s="7">
        <f>B299-AJ299</f>
        <v/>
      </c>
      <c r="AM299" s="42">
        <f>_xlfn.STDEV.S(AL299:AL318)</f>
        <v/>
      </c>
    </row>
    <row r="300">
      <c r="A300" s="1" t="n">
        <v>45824</v>
      </c>
      <c r="B300" s="7" t="n">
        <v>1338.11</v>
      </c>
      <c r="C300" s="3" t="n">
        <v>5749531.61</v>
      </c>
      <c r="E300" s="5" t="n">
        <v>45824</v>
      </c>
      <c r="F300" s="4" t="n">
        <v>85400</v>
      </c>
      <c r="G300" s="4" t="n">
        <v>3823661561</v>
      </c>
      <c r="H300" s="4" t="n">
        <v>67400</v>
      </c>
      <c r="I300" s="4" t="n">
        <v>4107412004</v>
      </c>
      <c r="J300" s="4" t="n">
        <v>24500</v>
      </c>
      <c r="K300" s="4" t="n">
        <v>2272318410</v>
      </c>
      <c r="L300" s="4" t="n">
        <v>94000</v>
      </c>
      <c r="M300" s="4" t="n">
        <v>1793300377</v>
      </c>
      <c r="N300" s="4" t="n">
        <v>87800</v>
      </c>
      <c r="O300" s="4" t="n">
        <v>591611334</v>
      </c>
      <c r="Q300" s="3" t="n"/>
      <c r="R300" s="3">
        <f>G300*F300-G301*F301</f>
        <v/>
      </c>
      <c r="S300" s="3">
        <f>I300*H300-I301*H301</f>
        <v/>
      </c>
      <c r="T300" s="3">
        <f>K300*J300-K301*J301</f>
        <v/>
      </c>
      <c r="U300" s="3">
        <f>M300*L300-M301*L301</f>
        <v/>
      </c>
      <c r="V300" s="3">
        <f>O300*N300-O301*N301</f>
        <v/>
      </c>
      <c r="X300" s="2">
        <f>R300/10^9</f>
        <v/>
      </c>
      <c r="Y300" s="2">
        <f>S300/10^9</f>
        <v/>
      </c>
      <c r="Z300" s="2">
        <f>T300/10^9</f>
        <v/>
      </c>
      <c r="AA300" s="2">
        <f>U300/10^9</f>
        <v/>
      </c>
      <c r="AB300" s="2">
        <f>V300/10^9</f>
        <v/>
      </c>
      <c r="AC300" s="2" t="n"/>
      <c r="AD300" s="8">
        <f>X300/$C301*$B301</f>
        <v/>
      </c>
      <c r="AE300" s="8">
        <f>Y300/$C301*$B301</f>
        <v/>
      </c>
      <c r="AF300" s="8">
        <f>Z300/$C301*$B301</f>
        <v/>
      </c>
      <c r="AG300" s="8">
        <f>AA300/$C301*$B301</f>
        <v/>
      </c>
      <c r="AH300" s="11">
        <f>AB300/$C301*$B301</f>
        <v/>
      </c>
      <c r="AI300" s="8">
        <f>SUM(AD300:AG300)</f>
        <v/>
      </c>
      <c r="AJ300" s="9">
        <f>AI300+AJ301</f>
        <v/>
      </c>
      <c r="AK300" s="9" t="n"/>
      <c r="AL300" s="7">
        <f>B300-AJ300</f>
        <v/>
      </c>
      <c r="AM300" s="42">
        <f>_xlfn.STDEV.S(AL300:AL319)</f>
        <v/>
      </c>
    </row>
    <row r="301">
      <c r="A301" s="1" t="n">
        <v>45821</v>
      </c>
      <c r="B301" s="7" t="n">
        <v>1315.49</v>
      </c>
      <c r="C301" s="3" t="n">
        <v>5652350.53</v>
      </c>
      <c r="E301" s="5" t="n">
        <v>45821</v>
      </c>
      <c r="F301" s="4" t="n">
        <v>85500</v>
      </c>
      <c r="G301" s="4" t="n">
        <v>3823661561</v>
      </c>
      <c r="H301" s="4" t="n">
        <v>68400</v>
      </c>
      <c r="I301" s="4" t="n">
        <v>4107412004</v>
      </c>
      <c r="J301" s="4" t="n">
        <v>24550</v>
      </c>
      <c r="K301" s="4" t="n">
        <v>2272318410</v>
      </c>
      <c r="L301" s="4" t="n">
        <v>88200</v>
      </c>
      <c r="M301" s="4" t="n">
        <v>1793300377</v>
      </c>
      <c r="N301" s="4" t="n">
        <v>88000</v>
      </c>
      <c r="O301" s="4" t="n">
        <v>541611334</v>
      </c>
      <c r="Q301" s="3" t="n"/>
      <c r="R301" s="3">
        <f>G301*F301-G302*F302</f>
        <v/>
      </c>
      <c r="S301" s="3">
        <f>I301*H301-I302*H302</f>
        <v/>
      </c>
      <c r="T301" s="3">
        <f>K301*J301-K302*J302</f>
        <v/>
      </c>
      <c r="U301" s="3">
        <f>M301*L301-M302*L302</f>
        <v/>
      </c>
      <c r="V301" s="3">
        <f>O301*N301-O302*N302</f>
        <v/>
      </c>
      <c r="X301" s="2">
        <f>R301/10^9</f>
        <v/>
      </c>
      <c r="Y301" s="2">
        <f>S301/10^9</f>
        <v/>
      </c>
      <c r="Z301" s="2">
        <f>T301/10^9</f>
        <v/>
      </c>
      <c r="AA301" s="2">
        <f>U301/10^9</f>
        <v/>
      </c>
      <c r="AB301" s="2">
        <f>V301/10^9</f>
        <v/>
      </c>
      <c r="AC301" s="2" t="n"/>
      <c r="AD301" s="8">
        <f>X301/$C302*$B302</f>
        <v/>
      </c>
      <c r="AE301" s="8">
        <f>Y301/$C302*$B302</f>
        <v/>
      </c>
      <c r="AF301" s="8">
        <f>Z301/$C302*$B302</f>
        <v/>
      </c>
      <c r="AG301" s="8">
        <f>AA301/$C302*$B302</f>
        <v/>
      </c>
      <c r="AH301" s="11">
        <f>AB301/$C302*$B302</f>
        <v/>
      </c>
      <c r="AI301" s="8">
        <f>SUM(AD301:AG301)</f>
        <v/>
      </c>
      <c r="AJ301" s="9">
        <f>AI301+AJ302</f>
        <v/>
      </c>
      <c r="AK301" s="9" t="n"/>
      <c r="AL301" s="7">
        <f>B301-AJ301</f>
        <v/>
      </c>
      <c r="AM301" s="42">
        <f>_xlfn.STDEV.S(AL301:AL320)</f>
        <v/>
      </c>
    </row>
    <row r="302">
      <c r="A302" s="1" t="n">
        <v>45820</v>
      </c>
      <c r="B302" s="7" t="n">
        <v>1322.99</v>
      </c>
      <c r="C302" s="3" t="n">
        <v>5684563.43</v>
      </c>
      <c r="E302" s="5" t="n">
        <v>45820</v>
      </c>
      <c r="F302" s="4" t="n">
        <v>86800</v>
      </c>
      <c r="G302" s="4" t="n">
        <v>3823661561</v>
      </c>
      <c r="H302" s="4" t="n">
        <v>70000</v>
      </c>
      <c r="I302" s="4" t="n">
        <v>4107412004</v>
      </c>
      <c r="J302" s="4" t="n">
        <v>25200</v>
      </c>
      <c r="K302" s="4" t="n">
        <v>2272318410</v>
      </c>
      <c r="L302" s="4" t="n">
        <v>88200</v>
      </c>
      <c r="M302" s="4" t="n">
        <v>1793300377</v>
      </c>
      <c r="N302" s="4" t="n">
        <v>88900</v>
      </c>
      <c r="O302" s="4" t="n">
        <v>541611334</v>
      </c>
      <c r="Q302" s="3" t="n"/>
      <c r="R302" s="3">
        <f>G302*F302-G303*F303</f>
        <v/>
      </c>
      <c r="S302" s="3">
        <f>I302*H302-I303*H303</f>
        <v/>
      </c>
      <c r="T302" s="3">
        <f>K302*J302-K303*J303</f>
        <v/>
      </c>
      <c r="U302" s="3">
        <f>M302*L302-M303*L303</f>
        <v/>
      </c>
      <c r="V302" s="3">
        <f>O302*N302-O303*N303</f>
        <v/>
      </c>
      <c r="X302" s="2">
        <f>R302/10^9</f>
        <v/>
      </c>
      <c r="Y302" s="2">
        <f>S302/10^9</f>
        <v/>
      </c>
      <c r="Z302" s="2">
        <f>T302/10^9</f>
        <v/>
      </c>
      <c r="AA302" s="2">
        <f>U302/10^9</f>
        <v/>
      </c>
      <c r="AB302" s="2">
        <f>V302/10^9</f>
        <v/>
      </c>
      <c r="AC302" s="2" t="n"/>
      <c r="AD302" s="8">
        <f>X302/$C303*$B303</f>
        <v/>
      </c>
      <c r="AE302" s="8">
        <f>Y302/$C303*$B303</f>
        <v/>
      </c>
      <c r="AF302" s="8">
        <f>Z302/$C303*$B303</f>
        <v/>
      </c>
      <c r="AG302" s="8">
        <f>AA302/$C303*$B303</f>
        <v/>
      </c>
      <c r="AH302" s="11">
        <f>AB302/$C303*$B303</f>
        <v/>
      </c>
      <c r="AI302" s="8">
        <f>SUM(AD302:AG302)</f>
        <v/>
      </c>
      <c r="AJ302" s="9">
        <f>AI302+AJ303</f>
        <v/>
      </c>
      <c r="AK302" s="9" t="n"/>
      <c r="AL302" s="7">
        <f>B302-AJ302</f>
        <v/>
      </c>
      <c r="AM302" s="42">
        <f>_xlfn.STDEV.S(AL302:AL321)</f>
        <v/>
      </c>
    </row>
    <row r="303">
      <c r="A303" s="1" t="n">
        <v>45819</v>
      </c>
      <c r="B303" s="7" t="n">
        <v>1315.2</v>
      </c>
      <c r="C303" s="3" t="n">
        <v>5651088.86</v>
      </c>
      <c r="E303" s="5" t="n">
        <v>45819</v>
      </c>
      <c r="F303" s="4" t="n">
        <v>90200</v>
      </c>
      <c r="G303" s="4" t="n">
        <v>3823661561</v>
      </c>
      <c r="H303" s="4" t="n">
        <v>72100</v>
      </c>
      <c r="I303" s="4" t="n">
        <v>4107412004</v>
      </c>
      <c r="J303" s="4" t="n">
        <v>26100</v>
      </c>
      <c r="K303" s="4" t="n">
        <v>2272318410</v>
      </c>
      <c r="L303" s="4" t="n">
        <v>88200</v>
      </c>
      <c r="M303" s="4" t="n">
        <v>1793300377</v>
      </c>
      <c r="N303" s="4" t="n">
        <v>87600</v>
      </c>
      <c r="O303" s="4" t="n">
        <v>541611334</v>
      </c>
      <c r="Q303" s="3" t="n"/>
      <c r="R303" s="3">
        <f>G303*F303-G304*F304</f>
        <v/>
      </c>
      <c r="S303" s="3">
        <f>I303*H303-I304*H304</f>
        <v/>
      </c>
      <c r="T303" s="3">
        <f>K303*J303-K304*J304</f>
        <v/>
      </c>
      <c r="U303" s="3">
        <f>M303*L303-M304*L304</f>
        <v/>
      </c>
      <c r="V303" s="3">
        <f>O303*N303-O304*N304</f>
        <v/>
      </c>
      <c r="X303" s="2">
        <f>R303/10^9</f>
        <v/>
      </c>
      <c r="Y303" s="2">
        <f>S303/10^9</f>
        <v/>
      </c>
      <c r="Z303" s="2">
        <f>T303/10^9</f>
        <v/>
      </c>
      <c r="AA303" s="2">
        <f>U303/10^9</f>
        <v/>
      </c>
      <c r="AB303" s="2">
        <f>V303/10^9</f>
        <v/>
      </c>
      <c r="AC303" s="2" t="n"/>
      <c r="AD303" s="8">
        <f>X303/$C304*$B304</f>
        <v/>
      </c>
      <c r="AE303" s="8">
        <f>Y303/$C304*$B304</f>
        <v/>
      </c>
      <c r="AF303" s="8">
        <f>Z303/$C304*$B304</f>
        <v/>
      </c>
      <c r="AG303" s="8">
        <f>AA303/$C304*$B304</f>
        <v/>
      </c>
      <c r="AH303" s="11">
        <f>AB303/$C304*$B304</f>
        <v/>
      </c>
      <c r="AI303" s="8">
        <f>SUM(AD303:AG303)</f>
        <v/>
      </c>
      <c r="AJ303" s="9">
        <f>AI303+AJ304</f>
        <v/>
      </c>
      <c r="AK303" s="9" t="n"/>
      <c r="AL303" s="7">
        <f>B303-AJ303</f>
        <v/>
      </c>
      <c r="AM303" s="42">
        <f>_xlfn.STDEV.S(AL303:AL322)</f>
        <v/>
      </c>
    </row>
    <row r="304">
      <c r="A304" s="1" t="n">
        <v>45818</v>
      </c>
      <c r="B304" s="7" t="n">
        <v>1316.23</v>
      </c>
      <c r="C304" s="3" t="n">
        <v>5655532.48</v>
      </c>
      <c r="E304" s="5" t="n">
        <v>45818</v>
      </c>
      <c r="F304" s="4" t="n">
        <v>90600</v>
      </c>
      <c r="G304" s="4" t="n">
        <v>3823661561</v>
      </c>
      <c r="H304" s="4" t="n">
        <v>72600</v>
      </c>
      <c r="I304" s="4" t="n">
        <v>4107412004</v>
      </c>
      <c r="J304" s="4" t="n">
        <v>26500</v>
      </c>
      <c r="K304" s="4" t="n">
        <v>2272318410</v>
      </c>
      <c r="L304" s="4" t="n">
        <v>88200</v>
      </c>
      <c r="M304" s="4" t="n">
        <v>1793300377</v>
      </c>
      <c r="N304" s="4" t="n">
        <v>89000</v>
      </c>
      <c r="O304" s="4" t="n">
        <v>541611334</v>
      </c>
      <c r="Q304" s="3" t="n"/>
      <c r="R304" s="3">
        <f>G304*F304-G305*F305</f>
        <v/>
      </c>
      <c r="S304" s="3">
        <f>I304*H304-I305*H305</f>
        <v/>
      </c>
      <c r="T304" s="3">
        <f>K304*J304-K305*J305</f>
        <v/>
      </c>
      <c r="U304" s="3">
        <f>M304*L304-M305*L305</f>
        <v/>
      </c>
      <c r="V304" s="3">
        <f>O304*N304-O305*N305</f>
        <v/>
      </c>
      <c r="X304" s="2">
        <f>R304/10^9</f>
        <v/>
      </c>
      <c r="Y304" s="2">
        <f>S304/10^9</f>
        <v/>
      </c>
      <c r="Z304" s="2">
        <f>T304/10^9</f>
        <v/>
      </c>
      <c r="AA304" s="2">
        <f>U304/10^9</f>
        <v/>
      </c>
      <c r="AB304" s="2">
        <f>V304/10^9</f>
        <v/>
      </c>
      <c r="AC304" s="2" t="n"/>
      <c r="AD304" s="8">
        <f>X304/$C305*$B305</f>
        <v/>
      </c>
      <c r="AE304" s="8">
        <f>Y304/$C305*$B305</f>
        <v/>
      </c>
      <c r="AF304" s="8">
        <f>Z304/$C305*$B305</f>
        <v/>
      </c>
      <c r="AG304" s="8">
        <f>AA304/$C305*$B305</f>
        <v/>
      </c>
      <c r="AH304" s="11">
        <f>AB304/$C305*$B305</f>
        <v/>
      </c>
      <c r="AI304" s="8">
        <f>SUM(AD304:AG304)</f>
        <v/>
      </c>
      <c r="AJ304" s="9">
        <f>AI304+AJ305</f>
        <v/>
      </c>
      <c r="AK304" s="9" t="n"/>
      <c r="AL304" s="7">
        <f>B304-AJ304</f>
        <v/>
      </c>
      <c r="AM304" s="42">
        <f>_xlfn.STDEV.S(AL304:AL323)</f>
        <v/>
      </c>
    </row>
    <row r="305">
      <c r="A305" s="1" t="n">
        <v>45817</v>
      </c>
      <c r="B305" s="7" t="n">
        <v>1310.57</v>
      </c>
      <c r="C305" s="3" t="n">
        <v>5630443.64</v>
      </c>
      <c r="E305" s="5" t="n">
        <v>45817</v>
      </c>
      <c r="F305" s="4" t="n">
        <v>90300</v>
      </c>
      <c r="G305" s="4" t="n">
        <v>3823661561</v>
      </c>
      <c r="H305" s="4" t="n">
        <v>70700</v>
      </c>
      <c r="I305" s="4" t="n">
        <v>4107412004</v>
      </c>
      <c r="J305" s="4" t="n">
        <v>25550</v>
      </c>
      <c r="K305" s="4" t="n">
        <v>2272318410</v>
      </c>
      <c r="L305" s="4" t="n">
        <v>88200</v>
      </c>
      <c r="M305" s="4" t="n">
        <v>1793300377</v>
      </c>
      <c r="N305" s="4" t="n">
        <v>88800</v>
      </c>
      <c r="O305" s="4" t="n">
        <v>541611334</v>
      </c>
      <c r="Q305" s="3" t="n"/>
      <c r="R305" s="3">
        <f>G305*F305-G306*F306</f>
        <v/>
      </c>
      <c r="S305" s="3">
        <f>I305*H305-I306*H306</f>
        <v/>
      </c>
      <c r="T305" s="3">
        <f>K305*J305-K306*J306</f>
        <v/>
      </c>
      <c r="U305" s="3">
        <f>M305*L305-M306*L306</f>
        <v/>
      </c>
      <c r="V305" s="3">
        <f>O305*N305-O306*N306</f>
        <v/>
      </c>
      <c r="X305" s="2">
        <f>R305/10^9</f>
        <v/>
      </c>
      <c r="Y305" s="2">
        <f>S305/10^9</f>
        <v/>
      </c>
      <c r="Z305" s="2">
        <f>T305/10^9</f>
        <v/>
      </c>
      <c r="AA305" s="2">
        <f>U305/10^9</f>
        <v/>
      </c>
      <c r="AB305" s="2">
        <f>V305/10^9</f>
        <v/>
      </c>
      <c r="AC305" s="2" t="n"/>
      <c r="AD305" s="8">
        <f>X305/$C306*$B306</f>
        <v/>
      </c>
      <c r="AE305" s="8">
        <f>Y305/$C306*$B306</f>
        <v/>
      </c>
      <c r="AF305" s="8">
        <f>Z305/$C306*$B306</f>
        <v/>
      </c>
      <c r="AG305" s="8">
        <f>AA305/$C306*$B306</f>
        <v/>
      </c>
      <c r="AH305" s="11">
        <f>AB305/$C306*$B306</f>
        <v/>
      </c>
      <c r="AI305" s="8">
        <f>SUM(AD305:AG305)</f>
        <v/>
      </c>
      <c r="AJ305" s="9">
        <f>AI305+AJ306</f>
        <v/>
      </c>
      <c r="AK305" s="9" t="n"/>
      <c r="AL305" s="7">
        <f>B305-AJ305</f>
        <v/>
      </c>
      <c r="AM305" s="42">
        <f>_xlfn.STDEV.S(AL305:AL324)</f>
        <v/>
      </c>
    </row>
    <row r="306">
      <c r="A306" s="1" t="n">
        <v>45814</v>
      </c>
      <c r="B306" s="7" t="n">
        <v>1329.89</v>
      </c>
      <c r="C306" s="3" t="n">
        <v>5713458.46</v>
      </c>
      <c r="E306" s="5" t="n">
        <v>45814</v>
      </c>
      <c r="F306" s="4" t="n">
        <v>97000</v>
      </c>
      <c r="G306" s="4" t="n">
        <v>3823661561</v>
      </c>
      <c r="H306" s="4" t="n">
        <v>76000</v>
      </c>
      <c r="I306" s="4" t="n">
        <v>4107412004</v>
      </c>
      <c r="J306" s="4" t="n">
        <v>26500</v>
      </c>
      <c r="K306" s="4" t="n">
        <v>2272318410</v>
      </c>
      <c r="L306" s="4" t="n">
        <v>88200</v>
      </c>
      <c r="M306" s="4" t="n">
        <v>1793300377</v>
      </c>
      <c r="N306" s="4" t="n">
        <v>90000</v>
      </c>
      <c r="O306" s="4" t="n">
        <v>541611334</v>
      </c>
      <c r="Q306" s="3" t="n"/>
      <c r="R306" s="3">
        <f>G306*F306-G307*F307</f>
        <v/>
      </c>
      <c r="S306" s="3">
        <f>I306*H306-I307*H307</f>
        <v/>
      </c>
      <c r="T306" s="3">
        <f>K306*J306-K307*J307</f>
        <v/>
      </c>
      <c r="U306" s="3">
        <f>M306*L306-M307*L307</f>
        <v/>
      </c>
      <c r="V306" s="3">
        <f>O306*N306-O307*N307</f>
        <v/>
      </c>
      <c r="X306" s="2">
        <f>R306/10^9</f>
        <v/>
      </c>
      <c r="Y306" s="2">
        <f>S306/10^9</f>
        <v/>
      </c>
      <c r="Z306" s="2">
        <f>T306/10^9</f>
        <v/>
      </c>
      <c r="AA306" s="2">
        <f>U306/10^9</f>
        <v/>
      </c>
      <c r="AB306" s="2">
        <f>V306/10^9</f>
        <v/>
      </c>
      <c r="AC306" s="2" t="n"/>
      <c r="AD306" s="8">
        <f>X306/$C307*$B307</f>
        <v/>
      </c>
      <c r="AE306" s="8">
        <f>Y306/$C307*$B307</f>
        <v/>
      </c>
      <c r="AF306" s="8">
        <f>Z306/$C307*$B307</f>
        <v/>
      </c>
      <c r="AG306" s="8">
        <f>AA306/$C307*$B307</f>
        <v/>
      </c>
      <c r="AH306" s="11">
        <f>AB306/$C307*$B307</f>
        <v/>
      </c>
      <c r="AI306" s="8">
        <f>SUM(AD306:AG306)</f>
        <v/>
      </c>
      <c r="AJ306" s="9">
        <f>AI306+AJ307</f>
        <v/>
      </c>
      <c r="AK306" s="9" t="n"/>
      <c r="AL306" s="7">
        <f>B306-AJ306</f>
        <v/>
      </c>
      <c r="AM306" s="42">
        <f>_xlfn.STDEV.S(AL306:AL325)</f>
        <v/>
      </c>
    </row>
    <row r="307">
      <c r="A307" s="1" t="n">
        <v>45813</v>
      </c>
      <c r="B307" s="7" t="n">
        <v>1342.09</v>
      </c>
      <c r="C307" s="3" t="n">
        <v>5765865.59</v>
      </c>
      <c r="E307" s="5" t="n">
        <v>45813</v>
      </c>
      <c r="F307" s="4" t="n">
        <v>98000</v>
      </c>
      <c r="G307" s="4" t="n">
        <v>3823661561</v>
      </c>
      <c r="H307" s="4" t="n">
        <v>76800</v>
      </c>
      <c r="I307" s="4" t="n">
        <v>4107412004</v>
      </c>
      <c r="J307" s="4" t="n">
        <v>27000</v>
      </c>
      <c r="K307" s="4" t="n">
        <v>2272318410</v>
      </c>
      <c r="L307" s="4" t="n">
        <v>88200</v>
      </c>
      <c r="M307" s="4" t="n">
        <v>1793300377</v>
      </c>
      <c r="N307" s="4" t="n">
        <v>91300</v>
      </c>
      <c r="O307" s="4" t="n">
        <v>541611334</v>
      </c>
      <c r="Q307" s="3" t="n"/>
      <c r="R307" s="3">
        <f>G307*F307-G308*F308</f>
        <v/>
      </c>
      <c r="S307" s="3">
        <f>I307*H307-I308*H308</f>
        <v/>
      </c>
      <c r="T307" s="3">
        <f>K307*J307-K308*J308</f>
        <v/>
      </c>
      <c r="U307" s="3">
        <f>M307*L307-M308*L308</f>
        <v/>
      </c>
      <c r="V307" s="3">
        <f>O307*N307-O308*N308</f>
        <v/>
      </c>
      <c r="X307" s="2">
        <f>R307/10^9</f>
        <v/>
      </c>
      <c r="Y307" s="2">
        <f>S307/10^9</f>
        <v/>
      </c>
      <c r="Z307" s="2">
        <f>T307/10^9</f>
        <v/>
      </c>
      <c r="AA307" s="2">
        <f>U307/10^9</f>
        <v/>
      </c>
      <c r="AB307" s="2">
        <f>V307/10^9</f>
        <v/>
      </c>
      <c r="AC307" s="2" t="n"/>
      <c r="AD307" s="8">
        <f>X307/$C308*$B308</f>
        <v/>
      </c>
      <c r="AE307" s="8">
        <f>Y307/$C308*$B308</f>
        <v/>
      </c>
      <c r="AF307" s="8">
        <f>Z307/$C308*$B308</f>
        <v/>
      </c>
      <c r="AG307" s="8">
        <f>AA307/$C308*$B308</f>
        <v/>
      </c>
      <c r="AH307" s="11">
        <f>AB307/$C308*$B308</f>
        <v/>
      </c>
      <c r="AI307" s="8">
        <f>SUM(AD307:AG307)</f>
        <v/>
      </c>
      <c r="AJ307" s="9">
        <f>AI307+AJ308</f>
        <v/>
      </c>
      <c r="AK307" s="9" t="n"/>
      <c r="AL307" s="7">
        <f>B307-AJ307</f>
        <v/>
      </c>
      <c r="AM307" s="42">
        <f>_xlfn.STDEV.S(AL307:AL326)</f>
        <v/>
      </c>
    </row>
    <row r="308">
      <c r="A308" s="1" t="n">
        <v>45812</v>
      </c>
      <c r="B308" s="7" t="n">
        <v>1345.74</v>
      </c>
      <c r="C308" s="3" t="n">
        <v>5781568.41</v>
      </c>
      <c r="E308" s="5" t="n">
        <v>45812</v>
      </c>
      <c r="F308" s="4" t="n">
        <v>98100</v>
      </c>
      <c r="G308" s="4" t="n">
        <v>3823661561</v>
      </c>
      <c r="H308" s="4" t="n">
        <v>77100</v>
      </c>
      <c r="I308" s="4" t="n">
        <v>4107412004</v>
      </c>
      <c r="J308" s="4" t="n">
        <v>26950</v>
      </c>
      <c r="K308" s="4" t="n">
        <v>2272318410</v>
      </c>
      <c r="L308" s="4" t="n">
        <v>88000</v>
      </c>
      <c r="M308" s="4" t="n">
        <v>1793300377</v>
      </c>
      <c r="N308" s="4" t="n">
        <v>91800</v>
      </c>
      <c r="O308" s="4" t="n">
        <v>541611334</v>
      </c>
      <c r="Q308" s="3" t="n"/>
      <c r="R308" s="3">
        <f>G308*F308-G309*F309</f>
        <v/>
      </c>
      <c r="S308" s="3">
        <f>I308*H308-I309*H309</f>
        <v/>
      </c>
      <c r="T308" s="3">
        <f>K308*J308-K309*J309</f>
        <v/>
      </c>
      <c r="U308" s="3">
        <f>M308*L308-M309*L309</f>
        <v/>
      </c>
      <c r="V308" s="3">
        <f>O308*N308-O309*N309</f>
        <v/>
      </c>
      <c r="X308" s="2">
        <f>R308/10^9</f>
        <v/>
      </c>
      <c r="Y308" s="2">
        <f>S308/10^9</f>
        <v/>
      </c>
      <c r="Z308" s="2">
        <f>T308/10^9</f>
        <v/>
      </c>
      <c r="AA308" s="2">
        <f>U308/10^9</f>
        <v/>
      </c>
      <c r="AB308" s="2">
        <f>V308/10^9</f>
        <v/>
      </c>
      <c r="AC308" s="2" t="n"/>
      <c r="AD308" s="8">
        <f>X308/$C309*$B309</f>
        <v/>
      </c>
      <c r="AE308" s="8">
        <f>Y308/$C309*$B309</f>
        <v/>
      </c>
      <c r="AF308" s="8">
        <f>Z308/$C309*$B309</f>
        <v/>
      </c>
      <c r="AG308" s="8">
        <f>AA308/$C309*$B309</f>
        <v/>
      </c>
      <c r="AH308" s="11">
        <f>AB308/$C309*$B309</f>
        <v/>
      </c>
      <c r="AI308" s="8">
        <f>SUM(AD308:AG308)</f>
        <v/>
      </c>
      <c r="AJ308" s="9">
        <f>AI308+AJ309</f>
        <v/>
      </c>
      <c r="AK308" s="9" t="n"/>
      <c r="AL308" s="7">
        <f>B308-AJ308</f>
        <v/>
      </c>
      <c r="AM308" s="42">
        <f>_xlfn.STDEV.S(AL308:AL327)</f>
        <v/>
      </c>
    </row>
    <row r="309">
      <c r="A309" s="1" t="n">
        <v>45811</v>
      </c>
      <c r="B309" s="7" t="n">
        <v>1347.25</v>
      </c>
      <c r="C309" s="3" t="n">
        <v>5788041.47</v>
      </c>
      <c r="E309" s="5" t="n">
        <v>45811</v>
      </c>
      <c r="F309" s="4" t="n">
        <v>98100</v>
      </c>
      <c r="G309" s="4" t="n">
        <v>3823661561</v>
      </c>
      <c r="H309" s="4" t="n">
        <v>77600</v>
      </c>
      <c r="I309" s="4" t="n">
        <v>4107412004</v>
      </c>
      <c r="J309" s="4" t="n">
        <v>26500</v>
      </c>
      <c r="K309" s="4" t="n">
        <v>2272318410</v>
      </c>
      <c r="L309" s="4" t="n">
        <v>87500</v>
      </c>
      <c r="M309" s="4" t="n">
        <v>1793300377</v>
      </c>
      <c r="N309" s="4" t="n">
        <v>89800</v>
      </c>
      <c r="O309" s="4" t="n">
        <v>541611334</v>
      </c>
      <c r="Q309" s="3" t="n"/>
      <c r="R309" s="3">
        <f>G309*F309-G310*F310</f>
        <v/>
      </c>
      <c r="S309" s="3">
        <f>I309*H309-I310*H310</f>
        <v/>
      </c>
      <c r="T309" s="3">
        <f>K309*J309-K310*J310</f>
        <v/>
      </c>
      <c r="U309" s="3">
        <f>M309*L309-M310*L310</f>
        <v/>
      </c>
      <c r="V309" s="3">
        <f>O309*N309-O310*N310</f>
        <v/>
      </c>
      <c r="X309" s="2">
        <f>R309/10^9</f>
        <v/>
      </c>
      <c r="Y309" s="2">
        <f>S309/10^9</f>
        <v/>
      </c>
      <c r="Z309" s="2">
        <f>T309/10^9</f>
        <v/>
      </c>
      <c r="AA309" s="2">
        <f>U309/10^9</f>
        <v/>
      </c>
      <c r="AB309" s="2">
        <f>V309/10^9</f>
        <v/>
      </c>
      <c r="AC309" s="2" t="n"/>
      <c r="AD309" s="8">
        <f>X309/$C310*$B310</f>
        <v/>
      </c>
      <c r="AE309" s="8">
        <f>Y309/$C310*$B310</f>
        <v/>
      </c>
      <c r="AF309" s="8">
        <f>Z309/$C310*$B310</f>
        <v/>
      </c>
      <c r="AG309" s="8">
        <f>AA309/$C310*$B310</f>
        <v/>
      </c>
      <c r="AH309" s="11">
        <f>AB309/$C310*$B310</f>
        <v/>
      </c>
      <c r="AI309" s="8">
        <f>SUM(AD309:AG309)</f>
        <v/>
      </c>
      <c r="AJ309" s="9">
        <f>AI309+AJ310</f>
        <v/>
      </c>
      <c r="AK309" s="9" t="n"/>
      <c r="AL309" s="7">
        <f>B309-AJ309</f>
        <v/>
      </c>
      <c r="AM309" s="42">
        <f>_xlfn.STDEV.S(AL309:AL328)</f>
        <v/>
      </c>
    </row>
    <row r="310">
      <c r="A310" s="1" t="n">
        <v>45810</v>
      </c>
      <c r="B310" s="7" t="n">
        <v>1336.3</v>
      </c>
      <c r="C310" s="3" t="n">
        <v>5740822.97</v>
      </c>
      <c r="E310" s="5" t="n">
        <v>45810</v>
      </c>
      <c r="F310" s="4" t="n">
        <v>98000</v>
      </c>
      <c r="G310" s="4" t="n">
        <v>3823661561</v>
      </c>
      <c r="H310" s="4" t="n">
        <v>77000</v>
      </c>
      <c r="I310" s="4" t="n">
        <v>4107412004</v>
      </c>
      <c r="J310" s="4" t="n">
        <v>26700</v>
      </c>
      <c r="K310" s="4" t="n">
        <v>2272318410</v>
      </c>
      <c r="L310" s="4" t="n">
        <v>87500</v>
      </c>
      <c r="M310" s="4" t="n">
        <v>1793300377</v>
      </c>
      <c r="N310" s="4" t="n">
        <v>89500</v>
      </c>
      <c r="O310" s="4" t="n">
        <v>541611334</v>
      </c>
      <c r="Q310" s="3" t="n"/>
      <c r="R310" s="3">
        <f>G310*F310-G311*F311</f>
        <v/>
      </c>
      <c r="S310" s="3">
        <f>I310*H310-I311*H311</f>
        <v/>
      </c>
      <c r="T310" s="3">
        <f>K310*J310-K311*J311</f>
        <v/>
      </c>
      <c r="U310" s="3">
        <f>M310*L310-M311*L311</f>
        <v/>
      </c>
      <c r="V310" s="3">
        <f>O310*N310-O311*N311</f>
        <v/>
      </c>
      <c r="X310" s="2">
        <f>R310/10^9</f>
        <v/>
      </c>
      <c r="Y310" s="2">
        <f>S310/10^9</f>
        <v/>
      </c>
      <c r="Z310" s="2">
        <f>T310/10^9</f>
        <v/>
      </c>
      <c r="AA310" s="2">
        <f>U310/10^9</f>
        <v/>
      </c>
      <c r="AB310" s="2">
        <f>V310/10^9</f>
        <v/>
      </c>
      <c r="AC310" s="2" t="n"/>
      <c r="AD310" s="8">
        <f>X310/$C311*$B311</f>
        <v/>
      </c>
      <c r="AE310" s="8">
        <f>Y310/$C311*$B311</f>
        <v/>
      </c>
      <c r="AF310" s="8">
        <f>Z310/$C311*$B311</f>
        <v/>
      </c>
      <c r="AG310" s="8">
        <f>AA310/$C311*$B311</f>
        <v/>
      </c>
      <c r="AH310" s="11">
        <f>AB310/$C311*$B311</f>
        <v/>
      </c>
      <c r="AI310" s="8">
        <f>SUM(AD310:AG310)</f>
        <v/>
      </c>
      <c r="AJ310" s="9">
        <f>AI310+AJ311</f>
        <v/>
      </c>
      <c r="AK310" s="9" t="n"/>
      <c r="AL310" s="7">
        <f>B310-AJ310</f>
        <v/>
      </c>
      <c r="AM310" s="42">
        <f>_xlfn.STDEV.S(AL310:AL329)</f>
        <v/>
      </c>
    </row>
    <row r="311">
      <c r="A311" s="1" t="n">
        <v>45807</v>
      </c>
      <c r="B311" s="7" t="n">
        <v>1332.6</v>
      </c>
      <c r="C311" s="3" t="n">
        <v>5724956.64</v>
      </c>
      <c r="E311" s="5" t="n">
        <v>45807</v>
      </c>
      <c r="F311" s="4" t="n">
        <v>98400</v>
      </c>
      <c r="G311" s="4" t="n">
        <v>3823661561</v>
      </c>
      <c r="H311" s="4" t="n">
        <v>77600</v>
      </c>
      <c r="I311" s="4" t="n">
        <v>4107412004</v>
      </c>
      <c r="J311" s="4" t="n">
        <v>27500</v>
      </c>
      <c r="K311" s="4" t="n">
        <v>2272318410</v>
      </c>
      <c r="L311" s="4" t="n">
        <v>89000</v>
      </c>
      <c r="M311" s="4" t="n">
        <v>1793300377</v>
      </c>
      <c r="N311" s="4" t="n">
        <v>87000</v>
      </c>
      <c r="O311" s="4" t="n">
        <v>541611334</v>
      </c>
      <c r="Q311" s="3" t="n"/>
      <c r="R311" s="3">
        <f>G311*F311-G312*F312</f>
        <v/>
      </c>
      <c r="S311" s="3">
        <f>I311*H311-I312*H312</f>
        <v/>
      </c>
      <c r="T311" s="3">
        <f>K311*J311-K312*J312</f>
        <v/>
      </c>
      <c r="U311" s="3">
        <f>M311*L311-M312*L312</f>
        <v/>
      </c>
      <c r="V311" s="3">
        <f>O311*N311-O312*N312</f>
        <v/>
      </c>
      <c r="X311" s="2">
        <f>R311/10^9</f>
        <v/>
      </c>
      <c r="Y311" s="2">
        <f>S311/10^9</f>
        <v/>
      </c>
      <c r="Z311" s="2">
        <f>T311/10^9</f>
        <v/>
      </c>
      <c r="AA311" s="2">
        <f>U311/10^9</f>
        <v/>
      </c>
      <c r="AB311" s="2">
        <f>V311/10^9</f>
        <v/>
      </c>
      <c r="AC311" s="2" t="n"/>
      <c r="AD311" s="8">
        <f>X311/$C312*$B312</f>
        <v/>
      </c>
      <c r="AE311" s="8">
        <f>Y311/$C312*$B312</f>
        <v/>
      </c>
      <c r="AF311" s="8">
        <f>Z311/$C312*$B312</f>
        <v/>
      </c>
      <c r="AG311" s="8">
        <f>AA311/$C312*$B312</f>
        <v/>
      </c>
      <c r="AH311" s="11">
        <f>AB311/$C312*$B312</f>
        <v/>
      </c>
      <c r="AI311" s="8">
        <f>SUM(AD311:AG311)</f>
        <v/>
      </c>
      <c r="AJ311" s="9">
        <f>AI311+AJ312</f>
        <v/>
      </c>
      <c r="AK311" s="9" t="n"/>
      <c r="AL311" s="7">
        <f>B311-AJ311</f>
        <v/>
      </c>
      <c r="AM311" s="42">
        <f>_xlfn.STDEV.S(AL311:AL330)</f>
        <v/>
      </c>
    </row>
    <row r="312">
      <c r="A312" s="1" t="n">
        <v>45806</v>
      </c>
      <c r="B312" s="7" t="n">
        <v>1341.86</v>
      </c>
      <c r="C312" s="3" t="n">
        <v>5764733.93</v>
      </c>
      <c r="E312" s="5" t="n">
        <v>45806</v>
      </c>
      <c r="F312" s="4" t="n">
        <v>97000</v>
      </c>
      <c r="G312" s="4" t="n">
        <v>3823661561</v>
      </c>
      <c r="H312" s="4" t="n">
        <v>76900</v>
      </c>
      <c r="I312" s="4" t="n">
        <v>4107412004</v>
      </c>
      <c r="J312" s="4" t="n">
        <v>27650</v>
      </c>
      <c r="K312" s="4" t="n">
        <v>2272318410</v>
      </c>
      <c r="L312" s="4" t="n">
        <v>88500</v>
      </c>
      <c r="M312" s="4" t="n">
        <v>1793300377</v>
      </c>
      <c r="N312" s="4" t="n">
        <v>87500</v>
      </c>
      <c r="O312" s="4" t="n">
        <v>541611334</v>
      </c>
      <c r="Q312" s="3" t="n"/>
      <c r="R312" s="3">
        <f>G312*F312-G313*F313</f>
        <v/>
      </c>
      <c r="S312" s="3">
        <f>I312*H312-I313*H313</f>
        <v/>
      </c>
      <c r="T312" s="3">
        <f>K312*J312-K313*J313</f>
        <v/>
      </c>
      <c r="U312" s="3">
        <f>M312*L312-M313*L313</f>
        <v/>
      </c>
      <c r="V312" s="3">
        <f>O312*N312-O313*N313</f>
        <v/>
      </c>
      <c r="X312" s="2">
        <f>R312/10^9</f>
        <v/>
      </c>
      <c r="Y312" s="2">
        <f>S312/10^9</f>
        <v/>
      </c>
      <c r="Z312" s="2">
        <f>T312/10^9</f>
        <v/>
      </c>
      <c r="AA312" s="2">
        <f>U312/10^9</f>
        <v/>
      </c>
      <c r="AB312" s="2">
        <f>V312/10^9</f>
        <v/>
      </c>
      <c r="AC312" s="2" t="n"/>
      <c r="AD312" s="8">
        <f>X312/$C313*$B313</f>
        <v/>
      </c>
      <c r="AE312" s="8">
        <f>Y312/$C313*$B313</f>
        <v/>
      </c>
      <c r="AF312" s="8">
        <f>Z312/$C313*$B313</f>
        <v/>
      </c>
      <c r="AG312" s="8">
        <f>AA312/$C313*$B313</f>
        <v/>
      </c>
      <c r="AH312" s="11">
        <f>AB312/$C313*$B313</f>
        <v/>
      </c>
      <c r="AI312" s="8">
        <f>SUM(AD312:AG312)</f>
        <v/>
      </c>
      <c r="AJ312" s="9">
        <f>AI312+AJ313</f>
        <v/>
      </c>
      <c r="AK312" s="9" t="n"/>
      <c r="AL312" s="7">
        <f>B312-AJ312</f>
        <v/>
      </c>
      <c r="AM312" s="42">
        <f>_xlfn.STDEV.S(AL312:AL331)</f>
        <v/>
      </c>
    </row>
    <row r="313">
      <c r="A313" s="1" t="n">
        <v>45805</v>
      </c>
      <c r="B313" s="7" t="n">
        <v>1341.87</v>
      </c>
      <c r="C313" s="3" t="n">
        <v>5764756.54</v>
      </c>
      <c r="E313" s="5" t="n">
        <v>45805</v>
      </c>
      <c r="F313" s="4" t="n">
        <v>97000</v>
      </c>
      <c r="G313" s="4" t="n">
        <v>3823661561</v>
      </c>
      <c r="H313" s="4" t="n">
        <v>75700</v>
      </c>
      <c r="I313" s="4" t="n">
        <v>4107412004</v>
      </c>
      <c r="J313" s="4" t="n">
        <v>26700</v>
      </c>
      <c r="K313" s="4" t="n">
        <v>2272318410</v>
      </c>
      <c r="L313" s="4" t="n">
        <v>88000</v>
      </c>
      <c r="M313" s="4" t="n">
        <v>1793300377</v>
      </c>
      <c r="N313" s="4" t="n">
        <v>88000</v>
      </c>
      <c r="O313" s="4" t="n">
        <v>541611334</v>
      </c>
      <c r="Q313" s="3" t="n"/>
      <c r="R313" s="3">
        <f>G313*F313-G314*F314</f>
        <v/>
      </c>
      <c r="S313" s="3">
        <f>I313*H313-I314*H314</f>
        <v/>
      </c>
      <c r="T313" s="3">
        <f>K313*J313-K314*J314</f>
        <v/>
      </c>
      <c r="U313" s="3">
        <f>M313*L313-M314*L314</f>
        <v/>
      </c>
      <c r="V313" s="3">
        <f>O313*N313-O314*N314</f>
        <v/>
      </c>
      <c r="X313" s="2">
        <f>R313/10^9</f>
        <v/>
      </c>
      <c r="Y313" s="2">
        <f>S313/10^9</f>
        <v/>
      </c>
      <c r="Z313" s="2">
        <f>T313/10^9</f>
        <v/>
      </c>
      <c r="AA313" s="2">
        <f>U313/10^9</f>
        <v/>
      </c>
      <c r="AB313" s="2">
        <f>V313/10^9</f>
        <v/>
      </c>
      <c r="AC313" s="2" t="n"/>
      <c r="AD313" s="8">
        <f>X313/$C314*$B314</f>
        <v/>
      </c>
      <c r="AE313" s="8">
        <f>Y313/$C314*$B314</f>
        <v/>
      </c>
      <c r="AF313" s="8">
        <f>Z313/$C314*$B314</f>
        <v/>
      </c>
      <c r="AG313" s="8">
        <f>AA313/$C314*$B314</f>
        <v/>
      </c>
      <c r="AH313" s="11">
        <f>AB313/$C314*$B314</f>
        <v/>
      </c>
      <c r="AI313" s="8">
        <f>SUM(AD313:AG313)</f>
        <v/>
      </c>
      <c r="AJ313" s="9">
        <f>AI313+AJ314</f>
        <v/>
      </c>
      <c r="AK313" s="9" t="n"/>
      <c r="AL313" s="7">
        <f>B313-AJ313</f>
        <v/>
      </c>
      <c r="AM313" s="42">
        <f>_xlfn.STDEV.S(AL313:AL332)</f>
        <v/>
      </c>
    </row>
    <row r="314">
      <c r="A314" s="1" t="n">
        <v>45804</v>
      </c>
      <c r="B314" s="7" t="n">
        <v>1339.81</v>
      </c>
      <c r="C314" s="3" t="n">
        <v>5755891.3</v>
      </c>
      <c r="E314" s="5" t="n">
        <v>45804</v>
      </c>
      <c r="F314" s="4" t="n">
        <v>94500</v>
      </c>
      <c r="G314" s="4" t="n">
        <v>3823661561</v>
      </c>
      <c r="H314" s="4" t="n">
        <v>74300</v>
      </c>
      <c r="I314" s="4" t="n">
        <v>4107412004</v>
      </c>
      <c r="J314" s="4" t="n">
        <v>25300</v>
      </c>
      <c r="K314" s="4" t="n">
        <v>2272318410</v>
      </c>
      <c r="L314" s="4" t="n">
        <v>87200</v>
      </c>
      <c r="M314" s="4" t="n">
        <v>1793300377</v>
      </c>
      <c r="N314" s="4" t="n">
        <v>88400</v>
      </c>
      <c r="O314" s="4" t="n">
        <v>541611334</v>
      </c>
      <c r="Q314" s="3" t="n"/>
      <c r="R314" s="3">
        <f>G314*F314-G315*F315</f>
        <v/>
      </c>
      <c r="S314" s="3">
        <f>I314*H314-I315*H315</f>
        <v/>
      </c>
      <c r="T314" s="3">
        <f>K314*J314-K315*J315</f>
        <v/>
      </c>
      <c r="U314" s="3">
        <f>M314*L314-M315*L315</f>
        <v/>
      </c>
      <c r="V314" s="3">
        <f>O314*N314-O315*N315</f>
        <v/>
      </c>
      <c r="X314" s="2">
        <f>R314/10^9</f>
        <v/>
      </c>
      <c r="Y314" s="2">
        <f>S314/10^9</f>
        <v/>
      </c>
      <c r="Z314" s="2">
        <f>T314/10^9</f>
        <v/>
      </c>
      <c r="AA314" s="2">
        <f>U314/10^9</f>
        <v/>
      </c>
      <c r="AB314" s="2">
        <f>V314/10^9</f>
        <v/>
      </c>
      <c r="AC314" s="2" t="n"/>
      <c r="AD314" s="8">
        <f>X314/$C315*$B315</f>
        <v/>
      </c>
      <c r="AE314" s="8">
        <f>Y314/$C315*$B315</f>
        <v/>
      </c>
      <c r="AF314" s="8">
        <f>Z314/$C315*$B315</f>
        <v/>
      </c>
      <c r="AG314" s="8">
        <f>AA314/$C315*$B315</f>
        <v/>
      </c>
      <c r="AH314" s="11">
        <f>AB314/$C315*$B315</f>
        <v/>
      </c>
      <c r="AI314" s="8">
        <f>SUM(AD314:AG314)</f>
        <v/>
      </c>
      <c r="AJ314" s="9">
        <f>AI314+AJ315</f>
        <v/>
      </c>
      <c r="AK314" s="9" t="n"/>
      <c r="AL314" s="7">
        <f>B314-AJ314</f>
        <v/>
      </c>
      <c r="AM314" s="42">
        <f>_xlfn.STDEV.S(AL314:AL333)</f>
        <v/>
      </c>
    </row>
    <row r="315">
      <c r="A315" s="1" t="n">
        <v>45803</v>
      </c>
      <c r="B315" s="7" t="n">
        <v>1332.51</v>
      </c>
      <c r="C315" s="3" t="n">
        <v>5724537.24</v>
      </c>
      <c r="E315" s="5" t="n">
        <v>45803</v>
      </c>
      <c r="F315" s="4" t="n">
        <v>94500</v>
      </c>
      <c r="G315" s="4" t="n">
        <v>3823661561</v>
      </c>
      <c r="H315" s="4" t="n">
        <v>73500</v>
      </c>
      <c r="I315" s="4" t="n">
        <v>4107412004</v>
      </c>
      <c r="J315" s="4" t="n">
        <v>25500</v>
      </c>
      <c r="K315" s="4" t="n">
        <v>2272318410</v>
      </c>
      <c r="L315" s="4" t="n">
        <v>90000</v>
      </c>
      <c r="M315" s="4" t="n">
        <v>1793300377</v>
      </c>
      <c r="N315" s="4" t="n">
        <v>87800</v>
      </c>
      <c r="O315" s="4" t="n">
        <v>541611334</v>
      </c>
      <c r="Q315" s="3" t="n"/>
      <c r="R315" s="3">
        <f>G315*F315-G316*F316</f>
        <v/>
      </c>
      <c r="S315" s="3">
        <f>I315*H315-I316*H316</f>
        <v/>
      </c>
      <c r="T315" s="3">
        <f>K315*J315-K316*J316</f>
        <v/>
      </c>
      <c r="U315" s="3">
        <f>M315*L315-M316*L316</f>
        <v/>
      </c>
      <c r="V315" s="3">
        <f>O315*N315-O316*N316</f>
        <v/>
      </c>
      <c r="X315" s="2">
        <f>R315/10^9</f>
        <v/>
      </c>
      <c r="Y315" s="2">
        <f>S315/10^9</f>
        <v/>
      </c>
      <c r="Z315" s="2">
        <f>T315/10^9</f>
        <v/>
      </c>
      <c r="AA315" s="2">
        <f>U315/10^9</f>
        <v/>
      </c>
      <c r="AB315" s="2">
        <f>V315/10^9</f>
        <v/>
      </c>
      <c r="AC315" s="2" t="n"/>
      <c r="AD315" s="8">
        <f>X315/$C316*$B316</f>
        <v/>
      </c>
      <c r="AE315" s="8">
        <f>Y315/$C316*$B316</f>
        <v/>
      </c>
      <c r="AF315" s="8">
        <f>Z315/$C316*$B316</f>
        <v/>
      </c>
      <c r="AG315" s="8">
        <f>AA315/$C316*$B316</f>
        <v/>
      </c>
      <c r="AH315" s="11">
        <f>AB315/$C316*$B316</f>
        <v/>
      </c>
      <c r="AI315" s="8">
        <f>SUM(AD315:AG315)</f>
        <v/>
      </c>
      <c r="AJ315" s="9">
        <f>AI315+AJ316</f>
        <v/>
      </c>
      <c r="AK315" s="9" t="n"/>
      <c r="AL315" s="7">
        <f>B315-AJ315</f>
        <v/>
      </c>
      <c r="AM315" s="42">
        <f>_xlfn.STDEV.S(AL315:AL334)</f>
        <v/>
      </c>
    </row>
    <row r="316">
      <c r="A316" s="1" t="n">
        <v>45800</v>
      </c>
      <c r="B316" s="7" t="n">
        <v>1314.46</v>
      </c>
      <c r="C316" s="3" t="n">
        <v>5646945.54</v>
      </c>
      <c r="E316" s="5" t="n">
        <v>45800</v>
      </c>
      <c r="F316" s="4" t="n">
        <v>93000</v>
      </c>
      <c r="G316" s="4" t="n">
        <v>3823661561</v>
      </c>
      <c r="H316" s="4" t="n">
        <v>68800</v>
      </c>
      <c r="I316" s="4" t="n">
        <v>4107412004</v>
      </c>
      <c r="J316" s="4" t="n">
        <v>25650</v>
      </c>
      <c r="K316" s="4" t="n">
        <v>2272318410</v>
      </c>
      <c r="L316" s="4" t="n">
        <v>90300</v>
      </c>
      <c r="M316" s="4" t="n">
        <v>1793300377</v>
      </c>
      <c r="N316" s="4" t="n">
        <v>87800</v>
      </c>
      <c r="O316" s="4" t="n">
        <v>541611334</v>
      </c>
      <c r="Q316" s="3" t="n"/>
      <c r="R316" s="3">
        <f>G316*F316-G317*F317</f>
        <v/>
      </c>
      <c r="S316" s="3">
        <f>I316*H316-I317*H317</f>
        <v/>
      </c>
      <c r="T316" s="3">
        <f>K316*J316-K317*J317</f>
        <v/>
      </c>
      <c r="U316" s="3">
        <f>M316*L316-M317*L317</f>
        <v/>
      </c>
      <c r="V316" s="3">
        <f>O316*N316-O317*N317</f>
        <v/>
      </c>
      <c r="X316" s="2">
        <f>R316/10^9</f>
        <v/>
      </c>
      <c r="Y316" s="2">
        <f>S316/10^9</f>
        <v/>
      </c>
      <c r="Z316" s="2">
        <f>T316/10^9</f>
        <v/>
      </c>
      <c r="AA316" s="2">
        <f>U316/10^9</f>
        <v/>
      </c>
      <c r="AB316" s="2">
        <f>V316/10^9</f>
        <v/>
      </c>
      <c r="AC316" s="2" t="n"/>
      <c r="AD316" s="8">
        <f>X316/$C317*$B317</f>
        <v/>
      </c>
      <c r="AE316" s="8">
        <f>Y316/$C317*$B317</f>
        <v/>
      </c>
      <c r="AF316" s="8">
        <f>Z316/$C317*$B317</f>
        <v/>
      </c>
      <c r="AG316" s="8">
        <f>AA316/$C317*$B317</f>
        <v/>
      </c>
      <c r="AH316" s="11">
        <f>AB316/$C317*$B317</f>
        <v/>
      </c>
      <c r="AI316" s="8">
        <f>SUM(AD316:AG316)</f>
        <v/>
      </c>
      <c r="AJ316" s="9">
        <f>AI316+AJ317</f>
        <v/>
      </c>
      <c r="AK316" s="9" t="n"/>
      <c r="AL316" s="7">
        <f>B316-AJ316</f>
        <v/>
      </c>
      <c r="AM316" s="42">
        <f>_xlfn.STDEV.S(AL316:AL335)</f>
        <v/>
      </c>
    </row>
    <row r="317">
      <c r="A317" s="1" t="n">
        <v>45799</v>
      </c>
      <c r="B317" s="7" t="n">
        <v>1313.84</v>
      </c>
      <c r="C317" s="3" t="n">
        <v>5643805.34</v>
      </c>
      <c r="E317" s="5" t="n">
        <v>45799</v>
      </c>
      <c r="F317" s="4" t="n">
        <v>92500</v>
      </c>
      <c r="G317" s="4" t="n">
        <v>3823661561</v>
      </c>
      <c r="H317" s="4" t="n">
        <v>68100</v>
      </c>
      <c r="I317" s="4" t="n">
        <v>4107412004</v>
      </c>
      <c r="J317" s="4" t="n">
        <v>25350</v>
      </c>
      <c r="K317" s="4" t="n">
        <v>2272318410</v>
      </c>
      <c r="L317" s="4" t="n">
        <v>92000</v>
      </c>
      <c r="M317" s="4" t="n">
        <v>1793300377</v>
      </c>
      <c r="N317" s="4" t="n">
        <v>87200</v>
      </c>
      <c r="O317" s="4" t="n">
        <v>541611334</v>
      </c>
      <c r="Q317" s="3" t="n"/>
      <c r="R317" s="3">
        <f>G317*F317-G318*F318</f>
        <v/>
      </c>
      <c r="S317" s="3">
        <f>I317*H317-I318*H318</f>
        <v/>
      </c>
      <c r="T317" s="3">
        <f>K317*J317-K318*J318</f>
        <v/>
      </c>
      <c r="U317" s="3">
        <f>M317*L317-M318*L318</f>
        <v/>
      </c>
      <c r="V317" s="3">
        <f>O317*N317-O318*N318</f>
        <v/>
      </c>
      <c r="X317" s="2">
        <f>R317/10^9</f>
        <v/>
      </c>
      <c r="Y317" s="2">
        <f>S317/10^9</f>
        <v/>
      </c>
      <c r="Z317" s="2">
        <f>T317/10^9</f>
        <v/>
      </c>
      <c r="AA317" s="2">
        <f>U317/10^9</f>
        <v/>
      </c>
      <c r="AB317" s="2">
        <f>V317/10^9</f>
        <v/>
      </c>
      <c r="AC317" s="2" t="n"/>
      <c r="AD317" s="8">
        <f>X317/$C318*$B318</f>
        <v/>
      </c>
      <c r="AE317" s="8">
        <f>Y317/$C318*$B318</f>
        <v/>
      </c>
      <c r="AF317" s="8">
        <f>Z317/$C318*$B318</f>
        <v/>
      </c>
      <c r="AG317" s="8">
        <f>AA317/$C318*$B318</f>
        <v/>
      </c>
      <c r="AH317" s="11">
        <f>AB317/$C318*$B318</f>
        <v/>
      </c>
      <c r="AI317" s="8">
        <f>SUM(AD317:AG317)</f>
        <v/>
      </c>
      <c r="AJ317" s="9">
        <f>AI317+AJ318</f>
        <v/>
      </c>
      <c r="AK317" s="9" t="n"/>
      <c r="AL317" s="7">
        <f>B317-AJ317</f>
        <v/>
      </c>
      <c r="AM317" s="42">
        <f>_xlfn.STDEV.S(AL317:AL336)</f>
        <v/>
      </c>
    </row>
    <row r="318">
      <c r="A318" s="1" t="n">
        <v>45798</v>
      </c>
      <c r="B318" s="7" t="n">
        <v>1323.05</v>
      </c>
      <c r="C318" s="3" t="n">
        <v>5683639.16</v>
      </c>
      <c r="E318" s="5" t="n">
        <v>45798</v>
      </c>
      <c r="F318" s="4" t="n">
        <v>93500</v>
      </c>
      <c r="G318" s="4" t="n">
        <v>3823661561</v>
      </c>
      <c r="H318" s="4" t="n">
        <v>67300</v>
      </c>
      <c r="I318" s="4" t="n">
        <v>4107412004</v>
      </c>
      <c r="J318" s="4" t="n">
        <v>25750</v>
      </c>
      <c r="K318" s="4" t="n">
        <v>2272318410</v>
      </c>
      <c r="L318" s="4" t="n">
        <v>98000</v>
      </c>
      <c r="M318" s="4" t="n">
        <v>1793300377</v>
      </c>
      <c r="N318" s="4" t="n">
        <v>88300</v>
      </c>
      <c r="O318" s="4" t="n">
        <v>541611334</v>
      </c>
      <c r="Q318" s="3" t="n"/>
      <c r="R318" s="3">
        <f>G318*F318-G319*F319</f>
        <v/>
      </c>
      <c r="S318" s="3">
        <f>I318*H318-I319*H319</f>
        <v/>
      </c>
      <c r="T318" s="3">
        <f>K318*J318-K319*J319</f>
        <v/>
      </c>
      <c r="U318" s="3">
        <f>M318*L318-M319*L319</f>
        <v/>
      </c>
      <c r="V318" s="3">
        <f>O318*N318-O319*N319</f>
        <v/>
      </c>
      <c r="X318" s="2">
        <f>R318/10^9</f>
        <v/>
      </c>
      <c r="Y318" s="2">
        <f>S318/10^9</f>
        <v/>
      </c>
      <c r="Z318" s="2">
        <f>T318/10^9</f>
        <v/>
      </c>
      <c r="AA318" s="2">
        <f>U318/10^9</f>
        <v/>
      </c>
      <c r="AB318" s="2">
        <f>V318/10^9</f>
        <v/>
      </c>
      <c r="AC318" s="2" t="n"/>
      <c r="AD318" s="8">
        <f>X318/$C319*$B319</f>
        <v/>
      </c>
      <c r="AE318" s="8">
        <f>Y318/$C319*$B319</f>
        <v/>
      </c>
      <c r="AF318" s="8">
        <f>Z318/$C319*$B319</f>
        <v/>
      </c>
      <c r="AG318" s="8">
        <f>AA318/$C319*$B319</f>
        <v/>
      </c>
      <c r="AH318" s="11">
        <f>AB318/$C319*$B319</f>
        <v/>
      </c>
      <c r="AI318" s="8">
        <f>SUM(AD318:AG318)</f>
        <v/>
      </c>
      <c r="AJ318" s="9">
        <f>AI318+AJ319</f>
        <v/>
      </c>
      <c r="AK318" s="9" t="n"/>
      <c r="AL318" s="7">
        <f>B318-AJ318</f>
        <v/>
      </c>
      <c r="AM318" s="42">
        <f>_xlfn.STDEV.S(AL318:AL337)</f>
        <v/>
      </c>
    </row>
    <row r="319">
      <c r="A319" s="1" t="n">
        <v>45797</v>
      </c>
      <c r="B319" s="7" t="n">
        <v>1315.15</v>
      </c>
      <c r="C319" s="3" t="n">
        <v>5649332.92</v>
      </c>
      <c r="E319" s="5" t="n">
        <v>45797</v>
      </c>
      <c r="F319" s="4" t="n">
        <v>91500</v>
      </c>
      <c r="G319" s="4" t="n">
        <v>3823661561</v>
      </c>
      <c r="H319" s="4" t="n">
        <v>62900</v>
      </c>
      <c r="I319" s="4" t="n">
        <v>4107412004</v>
      </c>
      <c r="J319" s="4" t="n">
        <v>25800</v>
      </c>
      <c r="K319" s="4" t="n">
        <v>2272318410</v>
      </c>
      <c r="L319" s="4" t="n">
        <v>99500</v>
      </c>
      <c r="M319" s="4" t="n">
        <v>1793300377</v>
      </c>
      <c r="N319" s="4" t="n">
        <v>88300</v>
      </c>
      <c r="O319" s="4" t="n">
        <v>541611334</v>
      </c>
      <c r="Q319" s="3" t="n"/>
      <c r="R319" s="3">
        <f>G319*F319-G320*F320</f>
        <v/>
      </c>
      <c r="S319" s="3">
        <f>I319*H319-I320*H320</f>
        <v/>
      </c>
      <c r="T319" s="3">
        <f>K319*J319-K320*J320</f>
        <v/>
      </c>
      <c r="U319" s="3">
        <f>M319*L319-M320*L320</f>
        <v/>
      </c>
      <c r="V319" s="3">
        <f>O319*N319-O320*N320</f>
        <v/>
      </c>
      <c r="X319" s="2">
        <f>R319/10^9</f>
        <v/>
      </c>
      <c r="Y319" s="2">
        <f>S319/10^9</f>
        <v/>
      </c>
      <c r="Z319" s="2">
        <f>T319/10^9</f>
        <v/>
      </c>
      <c r="AA319" s="2">
        <f>U319/10^9</f>
        <v/>
      </c>
      <c r="AB319" s="2">
        <f>V319/10^9</f>
        <v/>
      </c>
      <c r="AC319" s="2" t="n"/>
      <c r="AD319" s="8">
        <f>X319/$C320*$B320</f>
        <v/>
      </c>
      <c r="AE319" s="8">
        <f>Y319/$C320*$B320</f>
        <v/>
      </c>
      <c r="AF319" s="8">
        <f>Z319/$C320*$B320</f>
        <v/>
      </c>
      <c r="AG319" s="8">
        <f>AA319/$C320*$B320</f>
        <v/>
      </c>
      <c r="AH319" s="11">
        <f>AB319/$C320*$B320</f>
        <v/>
      </c>
      <c r="AI319" s="8">
        <f>SUM(AD319:AG319)</f>
        <v/>
      </c>
      <c r="AJ319" s="9">
        <f>AI319+AJ320</f>
        <v/>
      </c>
      <c r="AK319" s="9" t="n"/>
      <c r="AL319" s="7">
        <f>B319-AJ319</f>
        <v/>
      </c>
      <c r="AM319" s="42">
        <f>_xlfn.STDEV.S(AL319:AL338)</f>
        <v/>
      </c>
    </row>
    <row r="320">
      <c r="A320" s="1" t="n">
        <v>45796</v>
      </c>
      <c r="B320" s="7" t="n">
        <v>1296.29</v>
      </c>
      <c r="C320" s="3" t="n">
        <v>5568320.19</v>
      </c>
      <c r="E320" s="5" t="n">
        <v>45796</v>
      </c>
      <c r="F320" s="4" t="n">
        <v>85600</v>
      </c>
      <c r="G320" s="4" t="n">
        <v>3823661561</v>
      </c>
      <c r="H320" s="4" t="n">
        <v>58800</v>
      </c>
      <c r="I320" s="4" t="n">
        <v>4107412004</v>
      </c>
      <c r="J320" s="4" t="n">
        <v>24750</v>
      </c>
      <c r="K320" s="4" t="n">
        <v>2272318410</v>
      </c>
      <c r="L320" s="4" t="n">
        <v>98200</v>
      </c>
      <c r="M320" s="4" t="n">
        <v>1793300377</v>
      </c>
      <c r="N320" s="4" t="n">
        <v>88000</v>
      </c>
      <c r="O320" s="4" t="n">
        <v>541611334</v>
      </c>
      <c r="Q320" s="3" t="n"/>
      <c r="R320" s="3">
        <f>G320*F320-G321*F321</f>
        <v/>
      </c>
      <c r="S320" s="3">
        <f>I320*H320-I321*H321</f>
        <v/>
      </c>
      <c r="T320" s="3">
        <f>K320*J320-K321*J321</f>
        <v/>
      </c>
      <c r="U320" s="3">
        <f>M320*L320-M321*L321</f>
        <v/>
      </c>
      <c r="V320" s="3">
        <f>O320*N320-O321*N321</f>
        <v/>
      </c>
      <c r="X320" s="2">
        <f>R320/10^9</f>
        <v/>
      </c>
      <c r="Y320" s="2">
        <f>S320/10^9</f>
        <v/>
      </c>
      <c r="Z320" s="2">
        <f>T320/10^9</f>
        <v/>
      </c>
      <c r="AA320" s="2">
        <f>U320/10^9</f>
        <v/>
      </c>
      <c r="AB320" s="2">
        <f>V320/10^9</f>
        <v/>
      </c>
      <c r="AC320" s="2" t="n"/>
      <c r="AD320" s="8">
        <f>X320/$C321*$B321</f>
        <v/>
      </c>
      <c r="AE320" s="8">
        <f>Y320/$C321*$B321</f>
        <v/>
      </c>
      <c r="AF320" s="8">
        <f>Z320/$C321*$B321</f>
        <v/>
      </c>
      <c r="AG320" s="8">
        <f>AA320/$C321*$B321</f>
        <v/>
      </c>
      <c r="AH320" s="11">
        <f>AB320/$C321*$B321</f>
        <v/>
      </c>
      <c r="AI320" s="8">
        <f>SUM(AD320:AG320)</f>
        <v/>
      </c>
      <c r="AJ320" s="9">
        <f>AI320+AJ321</f>
        <v/>
      </c>
      <c r="AK320" s="9" t="n"/>
      <c r="AL320" s="7">
        <f>B320-AJ320</f>
        <v/>
      </c>
      <c r="AM320" s="42">
        <f>_xlfn.STDEV.S(AL320:AL339)</f>
        <v/>
      </c>
    </row>
    <row r="321">
      <c r="A321" s="1" t="n">
        <v>45793</v>
      </c>
      <c r="B321" s="7" t="n">
        <v>1301.39</v>
      </c>
      <c r="C321" s="3" t="n">
        <v>5590257.51</v>
      </c>
      <c r="E321" s="5" t="n">
        <v>45793</v>
      </c>
      <c r="F321" s="4" t="n">
        <v>80000</v>
      </c>
      <c r="G321" s="4" t="n">
        <v>3823661561</v>
      </c>
      <c r="H321" s="4" t="n">
        <v>58000</v>
      </c>
      <c r="I321" s="4" t="n">
        <v>4107412004</v>
      </c>
      <c r="J321" s="4" t="n">
        <v>24500</v>
      </c>
      <c r="K321" s="4" t="n">
        <v>2272318410</v>
      </c>
      <c r="L321" s="4" t="n">
        <v>101000</v>
      </c>
      <c r="M321" s="4" t="n">
        <v>1793300377</v>
      </c>
      <c r="N321" s="4" t="n">
        <v>90000</v>
      </c>
      <c r="O321" s="4" t="n">
        <v>541611334</v>
      </c>
      <c r="Q321" s="3" t="n"/>
      <c r="R321" s="3">
        <f>G321*F321-G322*F322</f>
        <v/>
      </c>
      <c r="S321" s="3">
        <f>I321*H321-I322*H322</f>
        <v/>
      </c>
      <c r="T321" s="3">
        <f>K321*J321-K322*J322</f>
        <v/>
      </c>
      <c r="U321" s="3">
        <f>M321*L321-M322*L322</f>
        <v/>
      </c>
      <c r="V321" s="3">
        <f>O321*N321-O322*N322</f>
        <v/>
      </c>
      <c r="X321" s="2">
        <f>R321/10^9</f>
        <v/>
      </c>
      <c r="Y321" s="2">
        <f>S321/10^9</f>
        <v/>
      </c>
      <c r="Z321" s="2">
        <f>T321/10^9</f>
        <v/>
      </c>
      <c r="AA321" s="2">
        <f>U321/10^9</f>
        <v/>
      </c>
      <c r="AB321" s="2">
        <f>V321/10^9</f>
        <v/>
      </c>
      <c r="AC321" s="2" t="n"/>
      <c r="AD321" s="8">
        <f>X321/$C322*$B322</f>
        <v/>
      </c>
      <c r="AE321" s="8">
        <f>Y321/$C322*$B322</f>
        <v/>
      </c>
      <c r="AF321" s="8">
        <f>Z321/$C322*$B322</f>
        <v/>
      </c>
      <c r="AG321" s="8">
        <f>AA321/$C322*$B322</f>
        <v/>
      </c>
      <c r="AH321" s="11">
        <f>AB321/$C322*$B322</f>
        <v/>
      </c>
      <c r="AI321" s="8">
        <f>SUM(AD321:AG321)</f>
        <v/>
      </c>
      <c r="AJ321" s="9">
        <f>AI321+AJ322</f>
        <v/>
      </c>
      <c r="AK321" s="9" t="n"/>
      <c r="AL321" s="7">
        <f>B321-AJ321</f>
        <v/>
      </c>
      <c r="AM321" s="42">
        <f>_xlfn.STDEV.S(AL321:AL340)</f>
        <v/>
      </c>
    </row>
    <row r="322">
      <c r="A322" s="1" t="n">
        <v>45792</v>
      </c>
      <c r="B322" s="7" t="n">
        <v>1313.2</v>
      </c>
      <c r="C322" s="3" t="n">
        <v>5640994.54</v>
      </c>
      <c r="E322" s="5" t="n">
        <v>45792</v>
      </c>
      <c r="F322" s="4" t="n">
        <v>79800</v>
      </c>
      <c r="G322" s="4" t="n">
        <v>3823661561</v>
      </c>
      <c r="H322" s="4" t="n">
        <v>58000</v>
      </c>
      <c r="I322" s="4" t="n">
        <v>4107412004</v>
      </c>
      <c r="J322" s="4" t="n">
        <v>24150</v>
      </c>
      <c r="K322" s="4" t="n">
        <v>2272318410</v>
      </c>
      <c r="L322" s="4" t="n">
        <v>97700</v>
      </c>
      <c r="M322" s="4" t="n">
        <v>1793300377</v>
      </c>
      <c r="N322" s="4" t="n">
        <v>91000</v>
      </c>
      <c r="O322" s="4" t="n">
        <v>541611334</v>
      </c>
      <c r="Q322" s="3" t="n"/>
      <c r="R322" s="3">
        <f>G322*F322-G323*F323</f>
        <v/>
      </c>
      <c r="S322" s="3">
        <f>I322*H322-I323*H323</f>
        <v/>
      </c>
      <c r="T322" s="3">
        <f>K322*J322-K323*J323</f>
        <v/>
      </c>
      <c r="U322" s="3">
        <f>M322*L322-M323*L323</f>
        <v/>
      </c>
      <c r="V322" s="3">
        <f>O322*N322-O323*N323</f>
        <v/>
      </c>
      <c r="X322" s="2">
        <f>R322/10^9</f>
        <v/>
      </c>
      <c r="Y322" s="2">
        <f>S322/10^9</f>
        <v/>
      </c>
      <c r="Z322" s="2">
        <f>T322/10^9</f>
        <v/>
      </c>
      <c r="AA322" s="2">
        <f>U322/10^9</f>
        <v/>
      </c>
      <c r="AB322" s="2">
        <f>V322/10^9</f>
        <v/>
      </c>
      <c r="AC322" s="2" t="n"/>
      <c r="AD322" s="8">
        <f>X322/$C323*$B323</f>
        <v/>
      </c>
      <c r="AE322" s="8">
        <f>Y322/$C323*$B323</f>
        <v/>
      </c>
      <c r="AF322" s="8">
        <f>Z322/$C323*$B323</f>
        <v/>
      </c>
      <c r="AG322" s="8">
        <f>AA322/$C323*$B323</f>
        <v/>
      </c>
      <c r="AH322" s="11">
        <f>AB322/$C323*$B323</f>
        <v/>
      </c>
      <c r="AI322" s="8">
        <f>SUM(AD322:AG322)</f>
        <v/>
      </c>
      <c r="AJ322" s="9">
        <f>AI322+AJ323</f>
        <v/>
      </c>
      <c r="AK322" s="9" t="n"/>
      <c r="AL322" s="7">
        <f>B322-AJ322</f>
        <v/>
      </c>
      <c r="AM322" s="42">
        <f>_xlfn.STDEV.S(AL322:AL341)</f>
        <v/>
      </c>
    </row>
    <row r="323">
      <c r="A323" s="1" t="n">
        <v>45791</v>
      </c>
      <c r="B323" s="7" t="n">
        <v>1309.73</v>
      </c>
      <c r="C323" s="3" t="n">
        <v>5625513.28</v>
      </c>
      <c r="E323" s="5" t="n">
        <v>45791</v>
      </c>
      <c r="F323" s="4" t="n">
        <v>79800</v>
      </c>
      <c r="G323" s="4" t="n">
        <v>3823661561</v>
      </c>
      <c r="H323" s="4" t="n">
        <v>60400</v>
      </c>
      <c r="I323" s="4" t="n">
        <v>4107412004</v>
      </c>
      <c r="J323" s="4" t="n">
        <v>24700</v>
      </c>
      <c r="K323" s="4" t="n">
        <v>2272318410</v>
      </c>
      <c r="L323" s="4" t="n">
        <v>91400</v>
      </c>
      <c r="M323" s="4" t="n">
        <v>1793300377</v>
      </c>
      <c r="N323" s="4" t="n">
        <v>93000</v>
      </c>
      <c r="O323" s="4" t="n">
        <v>541611334</v>
      </c>
      <c r="Q323" s="3" t="n"/>
      <c r="R323" s="3">
        <f>G323*F323-G324*F324</f>
        <v/>
      </c>
      <c r="S323" s="3">
        <f>I323*H323-I324*H324</f>
        <v/>
      </c>
      <c r="T323" s="3">
        <f>K323*J323-K324*J324</f>
        <v/>
      </c>
      <c r="U323" s="3">
        <f>M323*L323-M324*L324</f>
        <v/>
      </c>
      <c r="V323" s="3">
        <f>O323*N323-O324*N324</f>
        <v/>
      </c>
      <c r="X323" s="2">
        <f>R323/10^9</f>
        <v/>
      </c>
      <c r="Y323" s="2">
        <f>S323/10^9</f>
        <v/>
      </c>
      <c r="Z323" s="2">
        <f>T323/10^9</f>
        <v/>
      </c>
      <c r="AA323" s="2">
        <f>U323/10^9</f>
        <v/>
      </c>
      <c r="AB323" s="2">
        <f>V323/10^9</f>
        <v/>
      </c>
      <c r="AC323" s="2" t="n"/>
      <c r="AD323" s="8">
        <f>X323/$C324*$B324</f>
        <v/>
      </c>
      <c r="AE323" s="8">
        <f>Y323/$C324*$B324</f>
        <v/>
      </c>
      <c r="AF323" s="8">
        <f>Z323/$C324*$B324</f>
        <v/>
      </c>
      <c r="AG323" s="8">
        <f>AA323/$C324*$B324</f>
        <v/>
      </c>
      <c r="AH323" s="11">
        <f>AB323/$C324*$B324</f>
        <v/>
      </c>
      <c r="AI323" s="8">
        <f>SUM(AD323:AG323)</f>
        <v/>
      </c>
      <c r="AJ323" s="9">
        <f>AI323+AJ324</f>
        <v/>
      </c>
      <c r="AK323" s="9" t="n"/>
      <c r="AL323" s="7">
        <f>B323-AJ323</f>
        <v/>
      </c>
      <c r="AM323" s="42">
        <f>_xlfn.STDEV.S(AL323:AL342)</f>
        <v/>
      </c>
    </row>
    <row r="324">
      <c r="A324" s="1" t="n">
        <v>45790</v>
      </c>
      <c r="B324" s="7" t="n">
        <v>1293.43</v>
      </c>
      <c r="C324" s="3" t="n">
        <v>5400206.67</v>
      </c>
      <c r="E324" s="5" t="n">
        <v>45790</v>
      </c>
      <c r="F324" s="4" t="n">
        <v>79600</v>
      </c>
      <c r="G324" s="4" t="n">
        <v>3823661561</v>
      </c>
      <c r="H324" s="4" t="n">
        <v>62000</v>
      </c>
      <c r="I324" s="4" t="n">
        <v>4107412004</v>
      </c>
      <c r="J324" s="4" t="n">
        <v>25400</v>
      </c>
      <c r="K324" s="4" t="n">
        <v>2272318410</v>
      </c>
      <c r="L324" s="4" t="n">
        <v>85500</v>
      </c>
      <c r="M324" s="4" t="n">
        <v>1793300377</v>
      </c>
      <c r="N324" s="4" t="n">
        <v>90500</v>
      </c>
      <c r="O324" s="4" t="n">
        <v>541611334</v>
      </c>
      <c r="Q324" s="3" t="n"/>
      <c r="R324" s="3">
        <f>G324*F324-G325*F325</f>
        <v/>
      </c>
      <c r="S324" s="3">
        <f>I324*H324-I325*H325</f>
        <v/>
      </c>
      <c r="T324" s="3">
        <f>K324*J324-K325*J325</f>
        <v/>
      </c>
      <c r="V324" s="3">
        <f>O324*N324-O325*N325</f>
        <v/>
      </c>
      <c r="X324" s="2">
        <f>R324/10^9</f>
        <v/>
      </c>
      <c r="Y324" s="2">
        <f>S324/10^9</f>
        <v/>
      </c>
      <c r="Z324" s="2">
        <f>T324/10^9</f>
        <v/>
      </c>
      <c r="AA324" s="2">
        <f>U324/10^9</f>
        <v/>
      </c>
      <c r="AB324" s="2">
        <f>V324/10^9</f>
        <v/>
      </c>
      <c r="AC324" s="2" t="n"/>
      <c r="AD324" s="8">
        <f>X324/$C325*$B325</f>
        <v/>
      </c>
      <c r="AE324" s="8">
        <f>Y324/$C325*$B325</f>
        <v/>
      </c>
      <c r="AF324" s="8">
        <f>Z324/$C325*$B325</f>
        <v/>
      </c>
      <c r="AG324" s="8">
        <f>AA324/$C325*$B325</f>
        <v/>
      </c>
      <c r="AH324" s="11">
        <f>AB324/$C325*$B325</f>
        <v/>
      </c>
      <c r="AI324" s="8">
        <f>SUM(AD324:AG324)</f>
        <v/>
      </c>
      <c r="AJ324" s="9">
        <f>AI324+AJ325</f>
        <v/>
      </c>
      <c r="AK324" s="9" t="n"/>
      <c r="AL324" s="7">
        <f>B324-AJ324</f>
        <v/>
      </c>
      <c r="AM324" s="42">
        <f>_xlfn.STDEV.S(AL324:AL343)</f>
        <v/>
      </c>
    </row>
    <row r="325">
      <c r="A325" s="1" t="n">
        <v>45789</v>
      </c>
      <c r="B325" s="7" t="n">
        <v>1283.26</v>
      </c>
      <c r="C325" s="3" t="n">
        <v>5357756.45</v>
      </c>
      <c r="E325" s="5" t="n">
        <v>45789</v>
      </c>
      <c r="F325" s="4" t="n">
        <v>79400</v>
      </c>
      <c r="G325" s="4" t="n">
        <v>3823661561</v>
      </c>
      <c r="H325" s="4" t="n">
        <v>62300</v>
      </c>
      <c r="I325" s="4" t="n">
        <v>4107412004</v>
      </c>
      <c r="J325" s="4" t="n">
        <v>25500</v>
      </c>
      <c r="K325" s="4" t="n">
        <v>2272318410</v>
      </c>
      <c r="L325" s="4" t="n">
        <v>0</v>
      </c>
      <c r="M325" s="4" t="n">
        <v>1793300377</v>
      </c>
      <c r="N325" s="4" t="n">
        <v>90400</v>
      </c>
      <c r="O325" s="4" t="n">
        <v>541611334</v>
      </c>
      <c r="Q325" s="3" t="n"/>
      <c r="R325" s="3">
        <f>G325*F325-G326*F326</f>
        <v/>
      </c>
      <c r="S325" s="3">
        <f>I325*H325-I326*H326</f>
        <v/>
      </c>
      <c r="T325" s="3">
        <f>K325*J325-K326*J326</f>
        <v/>
      </c>
      <c r="U325" s="3">
        <f>M325*L325-M326*L326</f>
        <v/>
      </c>
      <c r="V325" s="3">
        <f>O325*N325-O326*N326</f>
        <v/>
      </c>
      <c r="X325" s="2">
        <f>R325/10^9</f>
        <v/>
      </c>
      <c r="Y325" s="2">
        <f>S325/10^9</f>
        <v/>
      </c>
      <c r="Z325" s="2">
        <f>T325/10^9</f>
        <v/>
      </c>
      <c r="AA325" s="2">
        <f>U325/10^9</f>
        <v/>
      </c>
      <c r="AB325" s="2">
        <f>V325/10^9</f>
        <v/>
      </c>
      <c r="AC325" s="2" t="n"/>
      <c r="AD325" s="8">
        <f>X325/$C326*$B326</f>
        <v/>
      </c>
      <c r="AE325" s="8">
        <f>Y325/$C326*$B326</f>
        <v/>
      </c>
      <c r="AF325" s="8">
        <f>Z325/$C326*$B326</f>
        <v/>
      </c>
      <c r="AG325" s="8">
        <f>AA325/$C326*$B326</f>
        <v/>
      </c>
      <c r="AH325" s="11">
        <f>AB325/$C326*$B326</f>
        <v/>
      </c>
      <c r="AI325" s="8">
        <f>SUM(AD325:AG325)</f>
        <v/>
      </c>
      <c r="AJ325" s="9">
        <f>AI325+AJ326</f>
        <v/>
      </c>
      <c r="AK325" s="9" t="n"/>
      <c r="AL325" s="7">
        <f>B325-AJ325</f>
        <v/>
      </c>
      <c r="AM325" s="42">
        <f>_xlfn.STDEV.S(AL325:AL344)</f>
        <v/>
      </c>
    </row>
    <row r="326">
      <c r="A326" s="1" t="n">
        <v>45786</v>
      </c>
      <c r="B326" s="7" t="n">
        <v>1267.3</v>
      </c>
      <c r="C326" s="3" t="n">
        <v>5291118.35</v>
      </c>
      <c r="E326" s="5" t="n">
        <v>45786</v>
      </c>
      <c r="F326" s="4" t="n">
        <v>76500</v>
      </c>
      <c r="G326" s="4" t="n">
        <v>3823661561</v>
      </c>
      <c r="H326" s="4" t="n">
        <v>62200</v>
      </c>
      <c r="I326" s="4" t="n">
        <v>4107412004</v>
      </c>
      <c r="J326" s="4" t="n">
        <v>25000</v>
      </c>
      <c r="K326" s="4" t="n">
        <v>2272318410</v>
      </c>
      <c r="L326" s="4" t="n">
        <v>0</v>
      </c>
      <c r="M326" s="4" t="n">
        <v>1793300377</v>
      </c>
      <c r="N326" s="4" t="n">
        <v>89500</v>
      </c>
      <c r="O326" s="4" t="n">
        <v>541611334</v>
      </c>
      <c r="Q326" s="3" t="n"/>
      <c r="R326" s="3">
        <f>G326*F326-G327*F327</f>
        <v/>
      </c>
      <c r="S326" s="3">
        <f>I326*H326-I327*H327</f>
        <v/>
      </c>
      <c r="T326" s="3">
        <f>K326*J326-K327*J327</f>
        <v/>
      </c>
      <c r="U326" s="3">
        <f>M326*L326-M327*L327</f>
        <v/>
      </c>
      <c r="V326" s="3">
        <f>O326*N326-O327*N327</f>
        <v/>
      </c>
      <c r="X326" s="2">
        <f>R326/10^9</f>
        <v/>
      </c>
      <c r="Y326" s="2">
        <f>S326/10^9</f>
        <v/>
      </c>
      <c r="Z326" s="2">
        <f>T326/10^9</f>
        <v/>
      </c>
      <c r="AA326" s="2">
        <f>U326/10^9</f>
        <v/>
      </c>
      <c r="AB326" s="2">
        <f>V326/10^9</f>
        <v/>
      </c>
      <c r="AC326" s="2" t="n"/>
      <c r="AD326" s="8">
        <f>X326/$C327*$B327</f>
        <v/>
      </c>
      <c r="AE326" s="8">
        <f>Y326/$C327*$B327</f>
        <v/>
      </c>
      <c r="AF326" s="8">
        <f>Z326/$C327*$B327</f>
        <v/>
      </c>
      <c r="AG326" s="8">
        <f>AA326/$C327*$B327</f>
        <v/>
      </c>
      <c r="AH326" s="11">
        <f>AB326/$C327*$B327</f>
        <v/>
      </c>
      <c r="AI326" s="8">
        <f>SUM(AD326:AG326)</f>
        <v/>
      </c>
      <c r="AJ326" s="9">
        <f>AI326+AJ327</f>
        <v/>
      </c>
      <c r="AK326" s="9" t="n"/>
      <c r="AL326" s="7">
        <f>B326-AJ326</f>
        <v/>
      </c>
      <c r="AM326" s="42">
        <f>_xlfn.STDEV.S(AL326:AL345)</f>
        <v/>
      </c>
    </row>
    <row r="327">
      <c r="A327" s="1" t="n">
        <v>45785</v>
      </c>
      <c r="B327" s="7" t="n">
        <v>1269.8</v>
      </c>
      <c r="C327" s="3" t="n">
        <v>5299309.95</v>
      </c>
      <c r="E327" s="5" t="n">
        <v>45785</v>
      </c>
      <c r="F327" s="4" t="n">
        <v>78500</v>
      </c>
      <c r="G327" s="4" t="n">
        <v>3823661561</v>
      </c>
      <c r="H327" s="4" t="n">
        <v>62200</v>
      </c>
      <c r="I327" s="4" t="n">
        <v>4107412004</v>
      </c>
      <c r="J327" s="4" t="n">
        <v>25000</v>
      </c>
      <c r="K327" s="4" t="n">
        <v>2272318410</v>
      </c>
      <c r="L327" s="4" t="n">
        <v>0</v>
      </c>
      <c r="M327" s="4" t="n">
        <v>1793300377</v>
      </c>
      <c r="N327" s="4" t="n">
        <v>89800</v>
      </c>
      <c r="O327" s="4" t="n">
        <v>541611334</v>
      </c>
      <c r="Q327" s="3" t="n"/>
      <c r="R327" s="3">
        <f>G327*F327-G328*F328</f>
        <v/>
      </c>
      <c r="S327" s="3">
        <f>I327*H327-I328*H328</f>
        <v/>
      </c>
      <c r="T327" s="3">
        <f>K327*J327-K328*J328</f>
        <v/>
      </c>
      <c r="U327" s="3">
        <f>M327*L327-M328*L328</f>
        <v/>
      </c>
      <c r="V327" s="3">
        <f>O327*N327-O328*N328</f>
        <v/>
      </c>
      <c r="X327" s="2">
        <f>R327/10^9</f>
        <v/>
      </c>
      <c r="Y327" s="2">
        <f>S327/10^9</f>
        <v/>
      </c>
      <c r="Z327" s="2">
        <f>T327/10^9</f>
        <v/>
      </c>
      <c r="AA327" s="2">
        <f>U327/10^9</f>
        <v/>
      </c>
      <c r="AB327" s="2">
        <f>V327/10^9</f>
        <v/>
      </c>
      <c r="AC327" s="2" t="n"/>
      <c r="AD327" s="8">
        <f>X327/$C328*$B328</f>
        <v/>
      </c>
      <c r="AE327" s="8">
        <f>Y327/$C328*$B328</f>
        <v/>
      </c>
      <c r="AF327" s="8">
        <f>Z327/$C328*$B328</f>
        <v/>
      </c>
      <c r="AG327" s="8">
        <f>AA327/$C328*$B328</f>
        <v/>
      </c>
      <c r="AH327" s="11">
        <f>AB327/$C328*$B328</f>
        <v/>
      </c>
      <c r="AI327" s="8">
        <f>SUM(AD327:AG327)</f>
        <v/>
      </c>
      <c r="AJ327" s="9">
        <f>AI327+AJ328</f>
        <v/>
      </c>
      <c r="AK327" s="9" t="n"/>
      <c r="AL327" s="7">
        <f>B327-AJ327</f>
        <v/>
      </c>
      <c r="AM327" s="42">
        <f>_xlfn.STDEV.S(AL327:AL346)</f>
        <v/>
      </c>
    </row>
    <row r="328">
      <c r="A328" s="1" t="n">
        <v>45784</v>
      </c>
      <c r="B328" s="7" t="n">
        <v>1250.37</v>
      </c>
      <c r="C328" s="3" t="n">
        <v>5218219.91</v>
      </c>
      <c r="E328" s="5" t="n">
        <v>45784</v>
      </c>
      <c r="F328" s="4" t="n">
        <v>73400</v>
      </c>
      <c r="G328" s="4" t="n">
        <v>3823661561</v>
      </c>
      <c r="H328" s="4" t="n">
        <v>62000</v>
      </c>
      <c r="I328" s="4" t="n">
        <v>4107412004</v>
      </c>
      <c r="J328" s="4" t="n">
        <v>24900</v>
      </c>
      <c r="K328" s="4" t="n">
        <v>2272318410</v>
      </c>
      <c r="L328" s="4" t="n">
        <v>0</v>
      </c>
      <c r="M328" s="4" t="n">
        <v>1793300377</v>
      </c>
      <c r="N328" s="4" t="n">
        <v>88900</v>
      </c>
      <c r="O328" s="4" t="n">
        <v>541611334</v>
      </c>
      <c r="Q328" s="3" t="n"/>
      <c r="R328" s="3">
        <f>G328*F328-G329*F329</f>
        <v/>
      </c>
      <c r="S328" s="3">
        <f>I328*H328-I329*H329</f>
        <v/>
      </c>
      <c r="T328" s="3">
        <f>K328*J328-K329*J329</f>
        <v/>
      </c>
      <c r="U328" s="3">
        <f>M328*L328-M329*L329</f>
        <v/>
      </c>
      <c r="V328" s="3">
        <f>O328*N328-O329*N329</f>
        <v/>
      </c>
      <c r="X328" s="2">
        <f>R328/10^9</f>
        <v/>
      </c>
      <c r="Y328" s="2">
        <f>S328/10^9</f>
        <v/>
      </c>
      <c r="Z328" s="2">
        <f>T328/10^9</f>
        <v/>
      </c>
      <c r="AA328" s="2">
        <f>U328/10^9</f>
        <v/>
      </c>
      <c r="AB328" s="2">
        <f>V328/10^9</f>
        <v/>
      </c>
      <c r="AC328" s="2" t="n"/>
      <c r="AD328" s="8">
        <f>X328/$C329*$B329</f>
        <v/>
      </c>
      <c r="AE328" s="8">
        <f>Y328/$C329*$B329</f>
        <v/>
      </c>
      <c r="AF328" s="8">
        <f>Z328/$C329*$B329</f>
        <v/>
      </c>
      <c r="AG328" s="8">
        <f>AA328/$C329*$B329</f>
        <v/>
      </c>
      <c r="AH328" s="11">
        <f>AB328/$C329*$B329</f>
        <v/>
      </c>
      <c r="AI328" s="8">
        <f>SUM(AD328:AG328)</f>
        <v/>
      </c>
      <c r="AJ328" s="9">
        <f>AI328+AJ329</f>
        <v/>
      </c>
      <c r="AK328" s="9" t="n"/>
      <c r="AL328" s="7">
        <f>B328-AJ328</f>
        <v/>
      </c>
      <c r="AM328" s="42">
        <f>_xlfn.STDEV.S(AL328:AL347)</f>
        <v/>
      </c>
    </row>
    <row r="329">
      <c r="A329" s="1" t="n">
        <v>45783</v>
      </c>
      <c r="B329" s="7" t="n">
        <v>1241.95</v>
      </c>
      <c r="C329" s="3" t="n">
        <v>5178785.52</v>
      </c>
      <c r="E329" s="5" t="n">
        <v>45783</v>
      </c>
      <c r="F329" s="4" t="n">
        <v>70500</v>
      </c>
      <c r="G329" s="4" t="n">
        <v>3823661561</v>
      </c>
      <c r="H329" s="4" t="n">
        <v>60900</v>
      </c>
      <c r="I329" s="4" t="n">
        <v>4107412004</v>
      </c>
      <c r="J329" s="4" t="n">
        <v>24900</v>
      </c>
      <c r="K329" s="4" t="n">
        <v>2272318410</v>
      </c>
      <c r="L329" s="4" t="n">
        <v>0</v>
      </c>
      <c r="M329" s="4" t="n">
        <v>1793300377</v>
      </c>
      <c r="N329" s="4" t="n">
        <v>89000</v>
      </c>
      <c r="O329" s="4" t="n">
        <v>541611334</v>
      </c>
      <c r="Q329" s="3" t="n"/>
      <c r="R329" s="3">
        <f>G329*F329-G330*F330</f>
        <v/>
      </c>
      <c r="S329" s="3">
        <f>I329*H329-I330*H330</f>
        <v/>
      </c>
      <c r="T329" s="3">
        <f>K329*J329-K330*J330</f>
        <v/>
      </c>
      <c r="U329" s="3">
        <f>M329*L329-M330*L330</f>
        <v/>
      </c>
      <c r="V329" s="3">
        <f>O329*N329-O330*N330</f>
        <v/>
      </c>
      <c r="X329" s="2">
        <f>R329/10^9</f>
        <v/>
      </c>
      <c r="Y329" s="2">
        <f>S329/10^9</f>
        <v/>
      </c>
      <c r="Z329" s="2">
        <f>T329/10^9</f>
        <v/>
      </c>
      <c r="AA329" s="2">
        <f>U329/10^9</f>
        <v/>
      </c>
      <c r="AB329" s="2">
        <f>V329/10^9</f>
        <v/>
      </c>
      <c r="AC329" s="2" t="n"/>
      <c r="AD329" s="8">
        <f>X329/$C330*$B330</f>
        <v/>
      </c>
      <c r="AE329" s="8">
        <f>Y329/$C330*$B330</f>
        <v/>
      </c>
      <c r="AF329" s="8">
        <f>Z329/$C330*$B330</f>
        <v/>
      </c>
      <c r="AG329" s="8">
        <f>AA329/$C330*$B330</f>
        <v/>
      </c>
      <c r="AH329" s="11">
        <f>AB329/$C330*$B330</f>
        <v/>
      </c>
      <c r="AI329" s="8">
        <f>SUM(AD329:AG329)</f>
        <v/>
      </c>
      <c r="AJ329" s="9">
        <f>AI329+AJ330</f>
        <v/>
      </c>
      <c r="AK329" s="9" t="n"/>
      <c r="AL329" s="7">
        <f>B329-AJ329</f>
        <v/>
      </c>
      <c r="AM329" s="42">
        <f>_xlfn.STDEV.S(AL329:AL348)</f>
        <v/>
      </c>
    </row>
    <row r="330">
      <c r="A330" s="1" t="n">
        <v>45782</v>
      </c>
      <c r="B330" s="7" t="n">
        <v>1240.05</v>
      </c>
      <c r="C330" s="3" t="n">
        <v>5170854.18</v>
      </c>
      <c r="E330" s="5" t="n">
        <v>45782</v>
      </c>
      <c r="F330" s="4" t="n">
        <v>70000</v>
      </c>
      <c r="G330" s="4" t="n">
        <v>3823661561</v>
      </c>
      <c r="H330" s="4" t="n">
        <v>60900</v>
      </c>
      <c r="I330" s="4" t="n">
        <v>4107412004</v>
      </c>
      <c r="J330" s="4" t="n">
        <v>24900</v>
      </c>
      <c r="K330" s="4" t="n">
        <v>2272318410</v>
      </c>
      <c r="L330" s="4" t="n">
        <v>0</v>
      </c>
      <c r="M330" s="4" t="n">
        <v>1793300377</v>
      </c>
      <c r="N330" s="4" t="n">
        <v>89600</v>
      </c>
      <c r="O330" s="4" t="n">
        <v>541611334</v>
      </c>
      <c r="Q330" s="3" t="n"/>
      <c r="R330" s="3">
        <f>G330*F330-G331*F331</f>
        <v/>
      </c>
      <c r="S330" s="3">
        <f>I330*H330-I331*H331</f>
        <v/>
      </c>
      <c r="T330" s="3">
        <f>K330*J330-K331*J331</f>
        <v/>
      </c>
      <c r="U330" s="3">
        <f>M330*L330-M331*L331</f>
        <v/>
      </c>
      <c r="V330" s="3">
        <f>O330*N330-O331*N331</f>
        <v/>
      </c>
      <c r="X330" s="2">
        <f>R330/10^9</f>
        <v/>
      </c>
      <c r="Y330" s="2">
        <f>S330/10^9</f>
        <v/>
      </c>
      <c r="Z330" s="2">
        <f>T330/10^9</f>
        <v/>
      </c>
      <c r="AA330" s="2">
        <f>U330/10^9</f>
        <v/>
      </c>
      <c r="AB330" s="2">
        <f>V330/10^9</f>
        <v/>
      </c>
      <c r="AC330" s="2" t="n"/>
      <c r="AD330" s="8">
        <f>X330/$C331*$B331</f>
        <v/>
      </c>
      <c r="AE330" s="8">
        <f>Y330/$C331*$B331</f>
        <v/>
      </c>
      <c r="AF330" s="8">
        <f>Z330/$C331*$B331</f>
        <v/>
      </c>
      <c r="AG330" s="8">
        <f>AA330/$C331*$B331</f>
        <v/>
      </c>
      <c r="AH330" s="11">
        <f>AB330/$C331*$B331</f>
        <v/>
      </c>
      <c r="AI330" s="8">
        <f>SUM(AD330:AG330)</f>
        <v/>
      </c>
      <c r="AJ330" s="9">
        <f>AI330+AJ331</f>
        <v/>
      </c>
      <c r="AK330" s="9" t="n"/>
      <c r="AL330" s="7">
        <f>B330-AJ330</f>
        <v/>
      </c>
      <c r="AM330" s="42">
        <f>_xlfn.STDEV.S(AL330:AL349)</f>
        <v/>
      </c>
    </row>
    <row r="331">
      <c r="A331" s="1" t="n">
        <v>45776</v>
      </c>
      <c r="B331" s="7" t="n">
        <v>1226.3</v>
      </c>
      <c r="C331" s="3" t="n">
        <v>5122632</v>
      </c>
      <c r="E331" s="5" t="n">
        <v>45776</v>
      </c>
      <c r="F331" s="4" t="n">
        <v>68000</v>
      </c>
      <c r="G331" s="4" t="n">
        <v>3823661561</v>
      </c>
      <c r="H331" s="4" t="n">
        <v>58400</v>
      </c>
      <c r="I331" s="4" t="n">
        <v>4107412004</v>
      </c>
      <c r="J331" s="4" t="n">
        <v>23650</v>
      </c>
      <c r="K331" s="4" t="n">
        <v>2272318410</v>
      </c>
      <c r="L331" s="4" t="n">
        <v>0</v>
      </c>
      <c r="M331" s="4" t="n">
        <v>1793300377</v>
      </c>
      <c r="N331" s="4" t="n">
        <v>86000</v>
      </c>
      <c r="O331" s="4" t="n">
        <v>541611334</v>
      </c>
      <c r="Q331" s="3" t="n"/>
      <c r="R331" s="3">
        <f>G331*F331-G332*F332</f>
        <v/>
      </c>
      <c r="S331" s="3">
        <f>I331*H331-I332*H332</f>
        <v/>
      </c>
      <c r="T331" s="3">
        <f>K331*J331-K332*J332</f>
        <v/>
      </c>
      <c r="U331" s="3">
        <f>M331*L331-M332*L332</f>
        <v/>
      </c>
      <c r="V331" s="3">
        <f>O331*N331-O332*N332</f>
        <v/>
      </c>
      <c r="X331" s="2">
        <f>R331/10^9</f>
        <v/>
      </c>
      <c r="Y331" s="2">
        <f>S331/10^9</f>
        <v/>
      </c>
      <c r="Z331" s="2">
        <f>T331/10^9</f>
        <v/>
      </c>
      <c r="AA331" s="2">
        <f>U331/10^9</f>
        <v/>
      </c>
      <c r="AB331" s="2">
        <f>V331/10^9</f>
        <v/>
      </c>
      <c r="AC331" s="2" t="n"/>
      <c r="AD331" s="8">
        <f>X331/$C332*$B332</f>
        <v/>
      </c>
      <c r="AE331" s="8">
        <f>Y331/$C332*$B332</f>
        <v/>
      </c>
      <c r="AF331" s="8">
        <f>Z331/$C332*$B332</f>
        <v/>
      </c>
      <c r="AG331" s="8">
        <f>AA331/$C332*$B332</f>
        <v/>
      </c>
      <c r="AH331" s="11">
        <f>AB331/$C332*$B332</f>
        <v/>
      </c>
      <c r="AI331" s="8">
        <f>SUM(AD331:AG331)</f>
        <v/>
      </c>
      <c r="AJ331" s="9">
        <f>AI331+AJ332</f>
        <v/>
      </c>
      <c r="AK331" s="9" t="n"/>
      <c r="AL331" s="7">
        <f>B331-AJ331</f>
        <v/>
      </c>
      <c r="AM331" s="42">
        <f>_xlfn.STDEV.S(AL331:AL350)</f>
        <v/>
      </c>
    </row>
    <row r="332">
      <c r="A332" s="1" t="n">
        <v>45775</v>
      </c>
      <c r="B332" s="7" t="n">
        <v>1226.8</v>
      </c>
      <c r="C332" s="3" t="n">
        <v>5124861</v>
      </c>
      <c r="E332" s="5" t="n">
        <v>45775</v>
      </c>
      <c r="F332" s="4" t="n">
        <v>68000</v>
      </c>
      <c r="G332" s="4" t="n">
        <v>3823661561</v>
      </c>
      <c r="H332" s="4" t="n">
        <v>58500</v>
      </c>
      <c r="I332" s="4" t="n">
        <v>4107412004</v>
      </c>
      <c r="J332" s="4" t="n">
        <v>23100</v>
      </c>
      <c r="K332" s="4" t="n">
        <v>2272318410</v>
      </c>
      <c r="L332" s="4" t="n">
        <v>0</v>
      </c>
      <c r="M332" s="4" t="n">
        <v>1793300377</v>
      </c>
      <c r="N332" s="4" t="n">
        <v>89100</v>
      </c>
      <c r="O332" s="4" t="n">
        <v>541611334</v>
      </c>
      <c r="Q332" s="3" t="n"/>
      <c r="R332" s="3">
        <f>G332*F332-G333*F333</f>
        <v/>
      </c>
      <c r="S332" s="3">
        <f>I332*H332-I333*H333</f>
        <v/>
      </c>
      <c r="T332" s="3">
        <f>K332*J332-K333*J333</f>
        <v/>
      </c>
      <c r="U332" s="3">
        <f>M332*L332-M333*L333</f>
        <v/>
      </c>
      <c r="V332" s="3">
        <f>O332*N332-O333*N333</f>
        <v/>
      </c>
      <c r="X332" s="2">
        <f>R332/10^9</f>
        <v/>
      </c>
      <c r="Y332" s="2">
        <f>S332/10^9</f>
        <v/>
      </c>
      <c r="Z332" s="2">
        <f>T332/10^9</f>
        <v/>
      </c>
      <c r="AA332" s="2">
        <f>U332/10^9</f>
        <v/>
      </c>
      <c r="AB332" s="2">
        <f>V332/10^9</f>
        <v/>
      </c>
      <c r="AC332" s="2" t="n"/>
      <c r="AD332" s="8">
        <f>X332/$C333*$B333</f>
        <v/>
      </c>
      <c r="AE332" s="8">
        <f>Y332/$C333*$B333</f>
        <v/>
      </c>
      <c r="AF332" s="8">
        <f>Z332/$C333*$B333</f>
        <v/>
      </c>
      <c r="AG332" s="8">
        <f>AA332/$C333*$B333</f>
        <v/>
      </c>
      <c r="AH332" s="11">
        <f>AB332/$C333*$B333</f>
        <v/>
      </c>
      <c r="AI332" s="8">
        <f>SUM(AD332:AG332)</f>
        <v/>
      </c>
      <c r="AJ332" s="9">
        <f>AI332+AJ333</f>
        <v/>
      </c>
      <c r="AK332" s="9" t="n"/>
      <c r="AL332" s="7">
        <f>B332-AJ332</f>
        <v/>
      </c>
      <c r="AM332" s="42">
        <f>_xlfn.STDEV.S(AL332:AL351)</f>
        <v/>
      </c>
    </row>
    <row r="333">
      <c r="A333" s="1" t="n">
        <v>45772</v>
      </c>
      <c r="B333" s="7" t="n">
        <v>1229.23</v>
      </c>
      <c r="C333" s="3" t="n">
        <v>5135133</v>
      </c>
      <c r="E333" s="5" t="n">
        <v>45772</v>
      </c>
      <c r="F333" s="4" t="n">
        <v>67000</v>
      </c>
      <c r="G333" s="4" t="n">
        <v>3823661561</v>
      </c>
      <c r="H333" s="4" t="n">
        <v>62300</v>
      </c>
      <c r="I333" s="4" t="n">
        <v>4107412004</v>
      </c>
      <c r="J333" s="4" t="n">
        <v>22800</v>
      </c>
      <c r="K333" s="4" t="n">
        <v>2272318410</v>
      </c>
      <c r="L333" s="4" t="n">
        <v>0</v>
      </c>
      <c r="M333" s="4" t="n">
        <v>1793300377</v>
      </c>
      <c r="N333" s="4" t="n">
        <v>91000</v>
      </c>
      <c r="O333" s="4" t="n">
        <v>541611334</v>
      </c>
      <c r="Q333" s="3" t="n"/>
      <c r="R333" s="3">
        <f>G333*F333-G334*F334</f>
        <v/>
      </c>
      <c r="S333" s="3">
        <f>I333*H333-I334*H334</f>
        <v/>
      </c>
      <c r="T333" s="3">
        <f>K333*J333-K334*J334</f>
        <v/>
      </c>
      <c r="U333" s="3">
        <f>M333*L333-M334*L334</f>
        <v/>
      </c>
      <c r="V333" s="3">
        <f>O333*N333-O334*N334</f>
        <v/>
      </c>
      <c r="X333" s="2">
        <f>R333/10^9</f>
        <v/>
      </c>
      <c r="Y333" s="2">
        <f>S333/10^9</f>
        <v/>
      </c>
      <c r="Z333" s="2">
        <f>T333/10^9</f>
        <v/>
      </c>
      <c r="AA333" s="2">
        <f>U333/10^9</f>
        <v/>
      </c>
      <c r="AB333" s="2">
        <f>V333/10^9</f>
        <v/>
      </c>
      <c r="AC333" s="2" t="n"/>
      <c r="AD333" s="8">
        <f>X333/$C334*$B334</f>
        <v/>
      </c>
      <c r="AE333" s="8">
        <f>Y333/$C334*$B334</f>
        <v/>
      </c>
      <c r="AF333" s="8">
        <f>Z333/$C334*$B334</f>
        <v/>
      </c>
      <c r="AG333" s="8">
        <f>AA333/$C334*$B334</f>
        <v/>
      </c>
      <c r="AH333" s="11">
        <f>AB333/$C334*$B334</f>
        <v/>
      </c>
      <c r="AI333" s="8">
        <f>SUM(AD333:AG333)</f>
        <v/>
      </c>
      <c r="AJ333" s="9">
        <f>AI333+AJ334</f>
        <v/>
      </c>
      <c r="AK333" s="9" t="n"/>
      <c r="AL333" s="7">
        <f>B333-AJ333</f>
        <v/>
      </c>
      <c r="AM333" s="42">
        <f>_xlfn.STDEV.S(AL333:AL352)</f>
        <v/>
      </c>
    </row>
    <row r="334">
      <c r="A334" s="1" t="n">
        <v>45771</v>
      </c>
      <c r="B334" s="7" t="n">
        <v>1223.35</v>
      </c>
      <c r="C334" s="3" t="n">
        <v>5110666</v>
      </c>
      <c r="E334" s="5" t="n">
        <v>45771</v>
      </c>
      <c r="F334" s="4" t="n">
        <v>62700</v>
      </c>
      <c r="G334" s="4" t="n">
        <v>3823661561</v>
      </c>
      <c r="H334" s="4" t="n">
        <v>61200</v>
      </c>
      <c r="I334" s="4" t="n">
        <v>4107412004</v>
      </c>
      <c r="J334" s="4" t="n">
        <v>22800</v>
      </c>
      <c r="K334" s="4" t="n">
        <v>2272318410</v>
      </c>
      <c r="L334" s="4" t="n">
        <v>0</v>
      </c>
      <c r="M334" s="4" t="n">
        <v>1793300377</v>
      </c>
      <c r="N334" s="4" t="n">
        <v>85700</v>
      </c>
      <c r="O334" s="4" t="n">
        <v>541611334</v>
      </c>
      <c r="Q334" s="3" t="n"/>
      <c r="R334" s="3">
        <f>G334*F334-G335*F335</f>
        <v/>
      </c>
      <c r="S334" s="3">
        <f>I334*H334-I335*H335</f>
        <v/>
      </c>
      <c r="T334" s="3">
        <f>K334*J334-K335*J335</f>
        <v/>
      </c>
      <c r="U334" s="3">
        <f>M334*L334-M335*L335</f>
        <v/>
      </c>
      <c r="V334" s="3">
        <f>O334*N334-O335*N335</f>
        <v/>
      </c>
      <c r="X334" s="2">
        <f>R334/10^9</f>
        <v/>
      </c>
      <c r="Y334" s="2">
        <f>S334/10^9</f>
        <v/>
      </c>
      <c r="Z334" s="2">
        <f>T334/10^9</f>
        <v/>
      </c>
      <c r="AA334" s="2">
        <f>U334/10^9</f>
        <v/>
      </c>
      <c r="AB334" s="2">
        <f>V334/10^9</f>
        <v/>
      </c>
      <c r="AC334" s="2" t="n"/>
      <c r="AD334" s="8">
        <f>X334/$C335*$B335</f>
        <v/>
      </c>
      <c r="AE334" s="8">
        <f>Y334/$C335*$B335</f>
        <v/>
      </c>
      <c r="AF334" s="8">
        <f>Z334/$C335*$B335</f>
        <v/>
      </c>
      <c r="AG334" s="8">
        <f>AA334/$C335*$B335</f>
        <v/>
      </c>
      <c r="AH334" s="11">
        <f>AB334/$C335*$B335</f>
        <v/>
      </c>
      <c r="AI334" s="8">
        <f>SUM(AD334:AG334)</f>
        <v/>
      </c>
      <c r="AJ334" s="9">
        <f>AI334+AJ335</f>
        <v/>
      </c>
      <c r="AK334" s="9" t="n"/>
      <c r="AL334" s="7">
        <f>B334-AJ334</f>
        <v/>
      </c>
      <c r="AM334" s="42">
        <f>_xlfn.STDEV.S(AL334:AL353)</f>
        <v/>
      </c>
    </row>
    <row r="335">
      <c r="A335" s="1" t="n">
        <v>45770</v>
      </c>
      <c r="B335" s="7" t="n">
        <v>1211</v>
      </c>
      <c r="C335" s="3" t="n">
        <v>5059174</v>
      </c>
      <c r="E335" s="5" t="n">
        <v>45770</v>
      </c>
      <c r="F335" s="4" t="n">
        <v>58600</v>
      </c>
      <c r="G335" s="4" t="n">
        <v>3823661561</v>
      </c>
      <c r="H335" s="4" t="n">
        <v>58500</v>
      </c>
      <c r="I335" s="4" t="n">
        <v>4107412004</v>
      </c>
      <c r="J335" s="4" t="n">
        <v>21950</v>
      </c>
      <c r="K335" s="4" t="n">
        <v>2272318410</v>
      </c>
      <c r="L335" s="4" t="n">
        <v>0</v>
      </c>
      <c r="M335" s="4" t="n">
        <v>1793300377</v>
      </c>
      <c r="N335" s="4" t="n">
        <v>85700</v>
      </c>
      <c r="O335" s="4" t="n">
        <v>541611334</v>
      </c>
      <c r="Q335" s="3" t="n"/>
      <c r="R335" s="3">
        <f>G335*F335-G336*F336</f>
        <v/>
      </c>
      <c r="S335" s="3">
        <f>I335*H335-I336*H336</f>
        <v/>
      </c>
      <c r="T335" s="3">
        <f>K335*J335-K336*J336</f>
        <v/>
      </c>
      <c r="U335" s="3">
        <f>M335*L335-M336*L336</f>
        <v/>
      </c>
      <c r="V335" s="3">
        <f>O335*N335-O336*N336</f>
        <v/>
      </c>
      <c r="X335" s="2">
        <f>R335/10^9</f>
        <v/>
      </c>
      <c r="Y335" s="2">
        <f>S335/10^9</f>
        <v/>
      </c>
      <c r="Z335" s="2">
        <f>T335/10^9</f>
        <v/>
      </c>
      <c r="AA335" s="2">
        <f>U335/10^9</f>
        <v/>
      </c>
      <c r="AB335" s="2">
        <f>V335/10^9</f>
        <v/>
      </c>
      <c r="AC335" s="2" t="n"/>
      <c r="AD335" s="8">
        <f>X335/$C336*$B336</f>
        <v/>
      </c>
      <c r="AE335" s="8">
        <f>Y335/$C336*$B336</f>
        <v/>
      </c>
      <c r="AF335" s="8">
        <f>Z335/$C336*$B336</f>
        <v/>
      </c>
      <c r="AG335" s="8">
        <f>AA335/$C336*$B336</f>
        <v/>
      </c>
      <c r="AH335" s="11">
        <f>AB335/$C336*$B336</f>
        <v/>
      </c>
      <c r="AI335" s="8">
        <f>SUM(AD335:AG335)</f>
        <v/>
      </c>
      <c r="AJ335" s="9">
        <f>AI335+AJ336</f>
        <v/>
      </c>
      <c r="AK335" s="9" t="n"/>
      <c r="AL335" s="7">
        <f>B335-AJ335</f>
        <v/>
      </c>
      <c r="AM335" s="42">
        <f>_xlfn.STDEV.S(AL335:AL354)</f>
        <v/>
      </c>
    </row>
    <row r="336">
      <c r="A336" s="1" t="n">
        <v>45769</v>
      </c>
      <c r="B336" s="7" t="n">
        <v>1197.13</v>
      </c>
      <c r="C336" s="3" t="n">
        <v>5001110</v>
      </c>
      <c r="E336" s="5" t="n">
        <v>45769</v>
      </c>
      <c r="F336" s="4" t="n">
        <v>59000</v>
      </c>
      <c r="G336" s="4" t="n">
        <v>3823661561</v>
      </c>
      <c r="H336" s="4" t="n">
        <v>57500</v>
      </c>
      <c r="I336" s="4" t="n">
        <v>4107412004</v>
      </c>
      <c r="J336" s="4" t="n">
        <v>20600</v>
      </c>
      <c r="K336" s="4" t="n">
        <v>2272318410</v>
      </c>
      <c r="L336" s="4" t="n">
        <v>0</v>
      </c>
      <c r="M336" s="4" t="n">
        <v>1793300377</v>
      </c>
      <c r="N336" s="4" t="n">
        <v>83500</v>
      </c>
      <c r="O336" s="4" t="n">
        <v>541611334</v>
      </c>
      <c r="Q336" s="3" t="n"/>
      <c r="R336" s="3">
        <f>G336*F336-G337*F337</f>
        <v/>
      </c>
      <c r="S336" s="3">
        <f>I336*H336-I337*H337</f>
        <v/>
      </c>
      <c r="T336" s="3">
        <f>K336*J336-K337*J337</f>
        <v/>
      </c>
      <c r="U336" s="3">
        <f>M336*L336-M337*L337</f>
        <v/>
      </c>
      <c r="V336" s="3">
        <f>O336*N336-O337*N337</f>
        <v/>
      </c>
      <c r="X336" s="2">
        <f>R336/10^9</f>
        <v/>
      </c>
      <c r="Y336" s="2">
        <f>S336/10^9</f>
        <v/>
      </c>
      <c r="Z336" s="2">
        <f>T336/10^9</f>
        <v/>
      </c>
      <c r="AA336" s="2">
        <f>U336/10^9</f>
        <v/>
      </c>
      <c r="AB336" s="2">
        <f>V336/10^9</f>
        <v/>
      </c>
      <c r="AC336" s="2" t="n"/>
      <c r="AD336" s="8">
        <f>X336/$C337*$B337</f>
        <v/>
      </c>
      <c r="AE336" s="8">
        <f>Y336/$C337*$B337</f>
        <v/>
      </c>
      <c r="AF336" s="8">
        <f>Z336/$C337*$B337</f>
        <v/>
      </c>
      <c r="AG336" s="8">
        <f>AA336/$C337*$B337</f>
        <v/>
      </c>
      <c r="AH336" s="11">
        <f>AB336/$C337*$B337</f>
        <v/>
      </c>
      <c r="AI336" s="8">
        <f>SUM(AD336:AG336)</f>
        <v/>
      </c>
      <c r="AJ336" s="9">
        <f>AI336+AJ337</f>
        <v/>
      </c>
      <c r="AK336" s="9" t="n"/>
      <c r="AL336" s="7">
        <f>B336-AJ336</f>
        <v/>
      </c>
      <c r="AM336" s="42">
        <f>_xlfn.STDEV.S(AL336:AL355)</f>
        <v/>
      </c>
    </row>
    <row r="337">
      <c r="A337" s="1" t="n">
        <v>45768</v>
      </c>
      <c r="B337" s="7" t="n">
        <v>1207.07</v>
      </c>
      <c r="C337" s="3" t="n">
        <v>5041074</v>
      </c>
      <c r="E337" s="5" t="n">
        <v>45768</v>
      </c>
      <c r="F337" s="4" t="n">
        <v>61500</v>
      </c>
      <c r="G337" s="4" t="n">
        <v>3823661561</v>
      </c>
      <c r="H337" s="4" t="n">
        <v>55000</v>
      </c>
      <c r="I337" s="4" t="n">
        <v>4107412004</v>
      </c>
      <c r="J337" s="4" t="n">
        <v>20400</v>
      </c>
      <c r="K337" s="4" t="n">
        <v>2272318410</v>
      </c>
      <c r="L337" s="4" t="n">
        <v>0</v>
      </c>
      <c r="M337" s="4" t="n">
        <v>1793300377</v>
      </c>
      <c r="N337" s="4" t="n">
        <v>84000</v>
      </c>
      <c r="O337" s="4" t="n">
        <v>541611334</v>
      </c>
      <c r="Q337" s="3" t="n"/>
      <c r="R337" s="3">
        <f>G337*F337-G338*F338</f>
        <v/>
      </c>
      <c r="S337" s="3">
        <f>I337*H337-I338*H338</f>
        <v/>
      </c>
      <c r="T337" s="3">
        <f>K337*J337-K338*J338</f>
        <v/>
      </c>
      <c r="U337" s="3">
        <f>M337*L337-M338*L338</f>
        <v/>
      </c>
      <c r="V337" s="3">
        <f>O337*N337-O338*N338</f>
        <v/>
      </c>
      <c r="X337" s="2">
        <f>R337/10^9</f>
        <v/>
      </c>
      <c r="Y337" s="2">
        <f>S337/10^9</f>
        <v/>
      </c>
      <c r="Z337" s="2">
        <f>T337/10^9</f>
        <v/>
      </c>
      <c r="AA337" s="2">
        <f>U337/10^9</f>
        <v/>
      </c>
      <c r="AB337" s="2">
        <f>V337/10^9</f>
        <v/>
      </c>
      <c r="AC337" s="2" t="n"/>
      <c r="AD337" s="8">
        <f>X337/$C338*$B338</f>
        <v/>
      </c>
      <c r="AE337" s="8">
        <f>Y337/$C338*$B338</f>
        <v/>
      </c>
      <c r="AF337" s="8">
        <f>Z337/$C338*$B338</f>
        <v/>
      </c>
      <c r="AG337" s="8">
        <f>AA337/$C338*$B338</f>
        <v/>
      </c>
      <c r="AH337" s="11">
        <f>AB337/$C338*$B338</f>
        <v/>
      </c>
      <c r="AI337" s="8">
        <f>SUM(AD337:AG337)</f>
        <v/>
      </c>
      <c r="AJ337" s="9">
        <f>AI337+AJ338</f>
        <v/>
      </c>
      <c r="AK337" s="9" t="n"/>
      <c r="AL337" s="7">
        <f>B337-AJ337</f>
        <v/>
      </c>
      <c r="AM337" s="42">
        <f>_xlfn.STDEV.S(AL337:AL356)</f>
        <v/>
      </c>
    </row>
    <row r="338">
      <c r="A338" s="1" t="n">
        <v>45765</v>
      </c>
      <c r="B338" s="7" t="n">
        <v>1219.12</v>
      </c>
      <c r="C338" s="3" t="n">
        <v>5090529</v>
      </c>
      <c r="E338" s="5" t="n">
        <v>45765</v>
      </c>
      <c r="F338" s="4" t="n">
        <v>66100</v>
      </c>
      <c r="G338" s="4" t="n">
        <v>3823661561</v>
      </c>
      <c r="H338" s="4" t="n">
        <v>55000</v>
      </c>
      <c r="I338" s="4" t="n">
        <v>4107412004</v>
      </c>
      <c r="J338" s="4" t="n">
        <v>20400</v>
      </c>
      <c r="K338" s="4" t="n">
        <v>2272318410</v>
      </c>
      <c r="L338" s="4" t="n">
        <v>0</v>
      </c>
      <c r="M338" s="4" t="n">
        <v>1793300377</v>
      </c>
      <c r="N338" s="4" t="n">
        <v>86500</v>
      </c>
      <c r="O338" s="4" t="n">
        <v>541611334</v>
      </c>
      <c r="Q338" s="3" t="n"/>
      <c r="R338" s="3">
        <f>G338*F338-G339*F339</f>
        <v/>
      </c>
      <c r="S338" s="3">
        <f>I338*H338-I339*H339</f>
        <v/>
      </c>
      <c r="T338" s="3">
        <f>K338*J338-K339*J339</f>
        <v/>
      </c>
      <c r="U338" s="3">
        <f>M338*L338-M339*L339</f>
        <v/>
      </c>
      <c r="V338" s="3">
        <f>O338*N338-O339*N339</f>
        <v/>
      </c>
      <c r="X338" s="2">
        <f>R338/10^9</f>
        <v/>
      </c>
      <c r="Y338" s="2">
        <f>S338/10^9</f>
        <v/>
      </c>
      <c r="Z338" s="2">
        <f>T338/10^9</f>
        <v/>
      </c>
      <c r="AA338" s="2">
        <f>U338/10^9</f>
        <v/>
      </c>
      <c r="AB338" s="2">
        <f>V338/10^9</f>
        <v/>
      </c>
      <c r="AC338" s="2" t="n"/>
      <c r="AD338" s="8">
        <f>X338/$C339*$B339</f>
        <v/>
      </c>
      <c r="AE338" s="8">
        <f>Y338/$C339*$B339</f>
        <v/>
      </c>
      <c r="AF338" s="8">
        <f>Z338/$C339*$B339</f>
        <v/>
      </c>
      <c r="AG338" s="8">
        <f>AA338/$C339*$B339</f>
        <v/>
      </c>
      <c r="AH338" s="11">
        <f>AB338/$C339*$B339</f>
        <v/>
      </c>
      <c r="AI338" s="8">
        <f>SUM(AD338:AG338)</f>
        <v/>
      </c>
      <c r="AJ338" s="9">
        <f>AI338+AJ339</f>
        <v/>
      </c>
      <c r="AK338" s="9" t="n"/>
      <c r="AL338" s="7">
        <f>B338-AJ338</f>
        <v/>
      </c>
      <c r="AM338" s="42">
        <f>_xlfn.STDEV.S(AL338:AL357)</f>
        <v/>
      </c>
    </row>
    <row r="339">
      <c r="A339" s="1" t="n">
        <v>45764</v>
      </c>
      <c r="B339" s="7" t="n">
        <v>1217.25</v>
      </c>
      <c r="C339" s="3" t="n">
        <v>5082615</v>
      </c>
      <c r="E339" s="5" t="n">
        <v>45764</v>
      </c>
      <c r="F339" s="4" t="n">
        <v>71000</v>
      </c>
      <c r="G339" s="4" t="n">
        <v>3823661561</v>
      </c>
      <c r="H339" s="4" t="n">
        <v>56800</v>
      </c>
      <c r="I339" s="4" t="n">
        <v>4107412004</v>
      </c>
      <c r="J339" s="4" t="n">
        <v>20400</v>
      </c>
      <c r="K339" s="4" t="n">
        <v>2272318410</v>
      </c>
      <c r="L339" s="4" t="n">
        <v>0</v>
      </c>
      <c r="M339" s="4" t="n">
        <v>1793300377</v>
      </c>
      <c r="N339" s="4" t="n">
        <v>88000</v>
      </c>
      <c r="O339" s="4" t="n">
        <v>541611334</v>
      </c>
      <c r="Q339" s="3" t="n"/>
      <c r="R339" s="3">
        <f>G339*F339-G340*F340</f>
        <v/>
      </c>
      <c r="S339" s="3">
        <f>I339*H339-I340*H340</f>
        <v/>
      </c>
      <c r="T339" s="3">
        <f>K339*J339-K340*J340</f>
        <v/>
      </c>
      <c r="U339" s="3">
        <f>M339*L339-M340*L340</f>
        <v/>
      </c>
      <c r="V339" s="3">
        <f>O339*N339-O340*N340</f>
        <v/>
      </c>
      <c r="X339" s="2">
        <f>R339/10^9</f>
        <v/>
      </c>
      <c r="Y339" s="2">
        <f>S339/10^9</f>
        <v/>
      </c>
      <c r="Z339" s="2">
        <f>T339/10^9</f>
        <v/>
      </c>
      <c r="AA339" s="2">
        <f>U339/10^9</f>
        <v/>
      </c>
      <c r="AB339" s="2">
        <f>V339/10^9</f>
        <v/>
      </c>
      <c r="AC339" s="2" t="n"/>
      <c r="AD339" s="8">
        <f>X339/$C340*$B340</f>
        <v/>
      </c>
      <c r="AE339" s="8">
        <f>Y339/$C340*$B340</f>
        <v/>
      </c>
      <c r="AF339" s="8">
        <f>Z339/$C340*$B340</f>
        <v/>
      </c>
      <c r="AG339" s="8">
        <f>AA339/$C340*$B340</f>
        <v/>
      </c>
      <c r="AH339" s="11">
        <f>AB339/$C340*$B340</f>
        <v/>
      </c>
      <c r="AI339" s="8">
        <f>SUM(AD339:AG339)</f>
        <v/>
      </c>
      <c r="AJ339" s="9">
        <f>AI339+AJ340</f>
        <v/>
      </c>
      <c r="AK339" s="9" t="n"/>
      <c r="AL339" s="7">
        <f>B339-AJ339</f>
        <v/>
      </c>
      <c r="AM339" s="42">
        <f>_xlfn.STDEV.S(AL339:AL358)</f>
        <v/>
      </c>
    </row>
    <row r="340">
      <c r="A340" s="1" t="n">
        <v>45763</v>
      </c>
      <c r="B340" s="7" t="n">
        <v>1210.3</v>
      </c>
      <c r="C340" s="3" t="n">
        <v>5053632</v>
      </c>
      <c r="E340" s="5" t="n">
        <v>45763</v>
      </c>
      <c r="F340" s="4" t="n">
        <v>67900</v>
      </c>
      <c r="G340" s="4" t="n">
        <v>3823661561</v>
      </c>
      <c r="H340" s="4" t="n">
        <v>56500</v>
      </c>
      <c r="I340" s="4" t="n">
        <v>4107412004</v>
      </c>
      <c r="J340" s="4" t="n">
        <v>20400</v>
      </c>
      <c r="K340" s="4" t="n">
        <v>2272318410</v>
      </c>
      <c r="L340" s="4" t="n">
        <v>0</v>
      </c>
      <c r="M340" s="4" t="n">
        <v>1793300377</v>
      </c>
      <c r="N340" s="4" t="n">
        <v>85400</v>
      </c>
      <c r="O340" s="4" t="n">
        <v>541611334</v>
      </c>
      <c r="Q340" s="3" t="n"/>
      <c r="R340" s="3">
        <f>G340*F340-G341*F341</f>
        <v/>
      </c>
      <c r="S340" s="3">
        <f>I340*H340-I341*H341</f>
        <v/>
      </c>
      <c r="T340" s="3">
        <f>K340*J340-K341*J341</f>
        <v/>
      </c>
      <c r="U340" s="3">
        <f>M340*L340-M341*L341</f>
        <v/>
      </c>
      <c r="V340" s="3">
        <f>O340*N340-O341*N341</f>
        <v/>
      </c>
      <c r="X340" s="2">
        <f>R340/10^9</f>
        <v/>
      </c>
      <c r="Y340" s="2">
        <f>S340/10^9</f>
        <v/>
      </c>
      <c r="Z340" s="2">
        <f>T340/10^9</f>
        <v/>
      </c>
      <c r="AA340" s="2">
        <f>U340/10^9</f>
        <v/>
      </c>
      <c r="AB340" s="2">
        <f>V340/10^9</f>
        <v/>
      </c>
      <c r="AC340" s="2" t="n"/>
      <c r="AD340" s="8">
        <f>X340/$C341*$B341</f>
        <v/>
      </c>
      <c r="AE340" s="8">
        <f>Y340/$C341*$B341</f>
        <v/>
      </c>
      <c r="AF340" s="8">
        <f>Z340/$C341*$B341</f>
        <v/>
      </c>
      <c r="AG340" s="8">
        <f>AA340/$C341*$B341</f>
        <v/>
      </c>
      <c r="AH340" s="11">
        <f>AB340/$C341*$B341</f>
        <v/>
      </c>
      <c r="AI340" s="8">
        <f>SUM(AD340:AG340)</f>
        <v/>
      </c>
      <c r="AJ340" s="9">
        <f>AI340+AJ341</f>
        <v/>
      </c>
      <c r="AK340" s="9" t="n"/>
      <c r="AL340" s="7">
        <f>B340-AJ340</f>
        <v/>
      </c>
      <c r="AM340" s="42">
        <f>_xlfn.STDEV.S(AL340:AL359)</f>
        <v/>
      </c>
    </row>
    <row r="341">
      <c r="A341" s="1" t="n">
        <v>45762</v>
      </c>
      <c r="B341" s="7" t="n">
        <v>1227.79</v>
      </c>
      <c r="C341" s="3" t="n">
        <v>5126602</v>
      </c>
      <c r="E341" s="5" t="n">
        <v>45762</v>
      </c>
      <c r="F341" s="4" t="n">
        <v>70500</v>
      </c>
      <c r="G341" s="4" t="n">
        <v>3823661561</v>
      </c>
      <c r="H341" s="4" t="n">
        <v>57500</v>
      </c>
      <c r="I341" s="4" t="n">
        <v>4107412004</v>
      </c>
      <c r="J341" s="4" t="n">
        <v>20300</v>
      </c>
      <c r="K341" s="4" t="n">
        <v>2272318410</v>
      </c>
      <c r="L341" s="4" t="n">
        <v>0</v>
      </c>
      <c r="M341" s="4" t="n">
        <v>1793300377</v>
      </c>
      <c r="N341" s="4" t="n">
        <v>83300</v>
      </c>
      <c r="O341" s="4" t="n">
        <v>541611334</v>
      </c>
      <c r="Q341" s="3" t="n"/>
      <c r="R341" s="3">
        <f>G341*F341-G342*F342</f>
        <v/>
      </c>
      <c r="S341" s="3">
        <f>I341*H341-I342*H342</f>
        <v/>
      </c>
      <c r="T341" s="3">
        <f>K341*J341-K342*J342</f>
        <v/>
      </c>
      <c r="U341" s="3">
        <f>M341*L341-M342*L342</f>
        <v/>
      </c>
      <c r="V341" s="3">
        <f>O341*N341-O342*N342</f>
        <v/>
      </c>
      <c r="X341" s="2">
        <f>R341/10^9</f>
        <v/>
      </c>
      <c r="Y341" s="2">
        <f>S341/10^9</f>
        <v/>
      </c>
      <c r="Z341" s="2">
        <f>T341/10^9</f>
        <v/>
      </c>
      <c r="AA341" s="2">
        <f>U341/10^9</f>
        <v/>
      </c>
      <c r="AB341" s="2">
        <f>V341/10^9</f>
        <v/>
      </c>
      <c r="AC341" s="2" t="n"/>
      <c r="AD341" s="8">
        <f>X341/$C342*$B342</f>
        <v/>
      </c>
      <c r="AE341" s="8">
        <f>Y341/$C342*$B342</f>
        <v/>
      </c>
      <c r="AF341" s="8">
        <f>Z341/$C342*$B342</f>
        <v/>
      </c>
      <c r="AG341" s="8">
        <f>AA341/$C342*$B342</f>
        <v/>
      </c>
      <c r="AH341" s="11">
        <f>AB341/$C342*$B342</f>
        <v/>
      </c>
      <c r="AI341" s="8">
        <f>SUM(AD341:AG341)</f>
        <v/>
      </c>
      <c r="AJ341" s="9">
        <f>AI341+AJ342</f>
        <v/>
      </c>
      <c r="AK341" s="9" t="n"/>
      <c r="AL341" s="7">
        <f>B341-AJ341</f>
        <v/>
      </c>
      <c r="AM341" s="42">
        <f>_xlfn.STDEV.S(AL341:AL360)</f>
        <v/>
      </c>
    </row>
    <row r="342">
      <c r="A342" s="1" t="n">
        <v>45761</v>
      </c>
      <c r="B342" s="7" t="n">
        <v>1241.44</v>
      </c>
      <c r="C342" s="3" t="n">
        <v>5183599</v>
      </c>
      <c r="E342" s="5" t="n">
        <v>45761</v>
      </c>
      <c r="F342" s="4" t="n">
        <v>69600</v>
      </c>
      <c r="G342" s="4" t="n">
        <v>3823661561</v>
      </c>
      <c r="H342" s="4" t="n">
        <v>57200</v>
      </c>
      <c r="I342" s="4" t="n">
        <v>4107412004</v>
      </c>
      <c r="J342" s="4" t="n">
        <v>20300</v>
      </c>
      <c r="K342" s="4" t="n">
        <v>2272318410</v>
      </c>
      <c r="L342" s="4" t="n">
        <v>0</v>
      </c>
      <c r="M342" s="4" t="n">
        <v>1793300377</v>
      </c>
      <c r="N342" s="4" t="n">
        <v>85500</v>
      </c>
      <c r="O342" s="4" t="n">
        <v>541611334</v>
      </c>
      <c r="Q342" s="3" t="n"/>
      <c r="R342" s="3">
        <f>G342*F342-G343*F343</f>
        <v/>
      </c>
      <c r="S342" s="3">
        <f>I342*H342-I343*H343</f>
        <v/>
      </c>
      <c r="T342" s="3">
        <f>K342*J342-K343*J343</f>
        <v/>
      </c>
      <c r="U342" s="3">
        <f>M342*L342-M343*L343</f>
        <v/>
      </c>
      <c r="V342" s="3">
        <f>O342*N342-O343*N343</f>
        <v/>
      </c>
      <c r="X342" s="2">
        <f>R342/10^9</f>
        <v/>
      </c>
      <c r="Y342" s="2">
        <f>S342/10^9</f>
        <v/>
      </c>
      <c r="Z342" s="2">
        <f>T342/10^9</f>
        <v/>
      </c>
      <c r="AA342" s="2">
        <f>U342/10^9</f>
        <v/>
      </c>
      <c r="AB342" s="2">
        <f>V342/10^9</f>
        <v/>
      </c>
      <c r="AC342" s="2" t="n"/>
      <c r="AD342" s="8">
        <f>X342/$C343*$B343</f>
        <v/>
      </c>
      <c r="AE342" s="8">
        <f>Y342/$C343*$B343</f>
        <v/>
      </c>
      <c r="AF342" s="8">
        <f>Z342/$C343*$B343</f>
        <v/>
      </c>
      <c r="AG342" s="8">
        <f>AA342/$C343*$B343</f>
        <v/>
      </c>
      <c r="AH342" s="11">
        <f>AB342/$C343*$B343</f>
        <v/>
      </c>
      <c r="AI342" s="8">
        <f>SUM(AD342:AG342)</f>
        <v/>
      </c>
      <c r="AJ342" s="9">
        <f>AI342+AJ343</f>
        <v/>
      </c>
      <c r="AK342" s="9" t="n"/>
      <c r="AL342" s="7">
        <f>B342-AJ342</f>
        <v/>
      </c>
      <c r="AM342" s="42">
        <f>_xlfn.STDEV.S(AL342:AL361)</f>
        <v/>
      </c>
    </row>
    <row r="343">
      <c r="A343" s="1" t="n">
        <v>45758</v>
      </c>
      <c r="B343" s="7" t="n">
        <v>1222.46</v>
      </c>
      <c r="C343" s="3" t="n">
        <v>5104420</v>
      </c>
      <c r="E343" s="5" t="n">
        <v>45758</v>
      </c>
      <c r="F343" s="4" t="n">
        <v>65100</v>
      </c>
      <c r="G343" s="4" t="n">
        <v>3823661561</v>
      </c>
      <c r="H343" s="4" t="n">
        <v>53500</v>
      </c>
      <c r="I343" s="4" t="n">
        <v>4107412004</v>
      </c>
      <c r="J343" s="4" t="n">
        <v>19400</v>
      </c>
      <c r="K343" s="4" t="n">
        <v>2272318410</v>
      </c>
      <c r="L343" s="4" t="n">
        <v>0</v>
      </c>
      <c r="M343" s="4" t="n">
        <v>1793300377</v>
      </c>
      <c r="N343" s="4" t="n">
        <v>85400</v>
      </c>
      <c r="O343" s="4" t="n">
        <v>541611334</v>
      </c>
      <c r="Q343" s="3" t="n"/>
      <c r="R343" s="3">
        <f>G343*F343-G344*F344</f>
        <v/>
      </c>
      <c r="S343" s="3">
        <f>I343*H343-I344*H344</f>
        <v/>
      </c>
      <c r="T343" s="3">
        <f>K343*J343-K344*J344</f>
        <v/>
      </c>
      <c r="U343" s="3">
        <f>M343*L343-M344*L344</f>
        <v/>
      </c>
      <c r="V343" s="3">
        <f>O343*N343-O344*N344</f>
        <v/>
      </c>
      <c r="X343" s="2">
        <f>R343/10^9</f>
        <v/>
      </c>
      <c r="Y343" s="2">
        <f>S343/10^9</f>
        <v/>
      </c>
      <c r="Z343" s="2">
        <f>T343/10^9</f>
        <v/>
      </c>
      <c r="AA343" s="2">
        <f>U343/10^9</f>
        <v/>
      </c>
      <c r="AB343" s="2">
        <f>V343/10^9</f>
        <v/>
      </c>
      <c r="AC343" s="2" t="n"/>
      <c r="AD343" s="8">
        <f>X343/$C344*$B344</f>
        <v/>
      </c>
      <c r="AE343" s="8">
        <f>Y343/$C344*$B344</f>
        <v/>
      </c>
      <c r="AF343" s="8">
        <f>Z343/$C344*$B344</f>
        <v/>
      </c>
      <c r="AG343" s="8">
        <f>AA343/$C344*$B344</f>
        <v/>
      </c>
      <c r="AH343" s="11">
        <f>AB343/$C344*$B344</f>
        <v/>
      </c>
      <c r="AI343" s="8">
        <f>SUM(AD343:AG343)</f>
        <v/>
      </c>
      <c r="AJ343" s="9">
        <f>AI343+AJ344</f>
        <v/>
      </c>
      <c r="AK343" s="9" t="n"/>
      <c r="AL343" s="7">
        <f>B343-AJ343</f>
        <v/>
      </c>
      <c r="AM343" s="42">
        <f>_xlfn.STDEV.S(AL343:AL362)</f>
        <v/>
      </c>
    </row>
    <row r="344">
      <c r="A344" s="1" t="n">
        <v>45757</v>
      </c>
      <c r="B344" s="7" t="n">
        <v>1168.34</v>
      </c>
      <c r="C344" s="3" t="n">
        <v>4878410</v>
      </c>
      <c r="E344" s="5" t="n">
        <v>45757</v>
      </c>
      <c r="F344" s="4" t="n">
        <v>60900</v>
      </c>
      <c r="G344" s="4" t="n">
        <v>3823661561</v>
      </c>
      <c r="H344" s="4" t="n">
        <v>51800</v>
      </c>
      <c r="I344" s="4" t="n">
        <v>4107412004</v>
      </c>
      <c r="J344" s="4" t="n">
        <v>19250</v>
      </c>
      <c r="K344" s="4" t="n">
        <v>2272318410</v>
      </c>
      <c r="L344" s="4" t="n">
        <v>0</v>
      </c>
      <c r="M344" s="4" t="n">
        <v>1793300377</v>
      </c>
      <c r="N344" s="4" t="n">
        <v>84600</v>
      </c>
      <c r="O344" s="4" t="n">
        <v>541611334</v>
      </c>
      <c r="Q344" s="3" t="n"/>
      <c r="R344" s="3">
        <f>G344*F344-G345*F345</f>
        <v/>
      </c>
      <c r="S344" s="3">
        <f>I344*H344-I345*H345</f>
        <v/>
      </c>
      <c r="T344" s="3">
        <f>K344*J344-K345*J345</f>
        <v/>
      </c>
      <c r="U344" s="3">
        <f>M344*L344-M345*L345</f>
        <v/>
      </c>
      <c r="V344" s="3">
        <f>O344*N344-O345*N345</f>
        <v/>
      </c>
      <c r="X344" s="2">
        <f>R344/10^9</f>
        <v/>
      </c>
      <c r="Y344" s="2">
        <f>S344/10^9</f>
        <v/>
      </c>
      <c r="Z344" s="2">
        <f>T344/10^9</f>
        <v/>
      </c>
      <c r="AA344" s="2">
        <f>U344/10^9</f>
        <v/>
      </c>
      <c r="AB344" s="2">
        <f>V344/10^9</f>
        <v/>
      </c>
      <c r="AC344" s="2" t="n"/>
      <c r="AD344" s="8">
        <f>X344/$C345*$B345</f>
        <v/>
      </c>
      <c r="AE344" s="8">
        <f>Y344/$C345*$B345</f>
        <v/>
      </c>
      <c r="AF344" s="8">
        <f>Z344/$C345*$B345</f>
        <v/>
      </c>
      <c r="AG344" s="8">
        <f>AA344/$C345*$B345</f>
        <v/>
      </c>
      <c r="AH344" s="11">
        <f>AB344/$C345*$B345</f>
        <v/>
      </c>
      <c r="AI344" s="8">
        <f>SUM(AD344:AG344)</f>
        <v/>
      </c>
      <c r="AJ344" s="9">
        <f>AI344+AJ345</f>
        <v/>
      </c>
      <c r="AK344" s="9" t="n"/>
      <c r="AL344" s="7">
        <f>B344-AJ344</f>
        <v/>
      </c>
      <c r="AM344" s="42">
        <f>_xlfn.STDEV.S(AL344:AL363)</f>
        <v/>
      </c>
    </row>
    <row r="345">
      <c r="A345" s="1" t="n">
        <v>45756</v>
      </c>
      <c r="B345" s="7" t="n">
        <v>1094.3</v>
      </c>
      <c r="C345" s="3" t="n">
        <v>4569241</v>
      </c>
      <c r="E345" s="5" t="n">
        <v>45756</v>
      </c>
      <c r="F345" s="4" t="n">
        <v>57000</v>
      </c>
      <c r="G345" s="4" t="n">
        <v>3823661561</v>
      </c>
      <c r="H345" s="4" t="n">
        <v>48500</v>
      </c>
      <c r="I345" s="4" t="n">
        <v>4107412004</v>
      </c>
      <c r="J345" s="4" t="n">
        <v>18000</v>
      </c>
      <c r="K345" s="4" t="n">
        <v>2272318410</v>
      </c>
      <c r="L345" s="4" t="n">
        <v>0</v>
      </c>
      <c r="M345" s="4" t="n">
        <v>1793300377</v>
      </c>
      <c r="N345" s="4" t="n">
        <v>79100</v>
      </c>
      <c r="O345" s="4" t="n">
        <v>541611334</v>
      </c>
      <c r="Q345" s="3" t="n"/>
      <c r="R345" s="3">
        <f>G345*F345-G346*F346</f>
        <v/>
      </c>
      <c r="S345" s="3">
        <f>I345*H345-I346*H346</f>
        <v/>
      </c>
      <c r="T345" s="3">
        <f>K345*J345-K346*J346</f>
        <v/>
      </c>
      <c r="U345" s="3">
        <f>M345*L345-M346*L346</f>
        <v/>
      </c>
      <c r="V345" s="3">
        <f>O345*N345-O346*N346</f>
        <v/>
      </c>
      <c r="X345" s="2">
        <f>R345/10^9</f>
        <v/>
      </c>
      <c r="Y345" s="2">
        <f>S345/10^9</f>
        <v/>
      </c>
      <c r="Z345" s="2">
        <f>T345/10^9</f>
        <v/>
      </c>
      <c r="AA345" s="2">
        <f>U345/10^9</f>
        <v/>
      </c>
      <c r="AB345" s="2">
        <f>V345/10^9</f>
        <v/>
      </c>
      <c r="AC345" s="2" t="n"/>
      <c r="AD345" s="8">
        <f>X345/$C346*$B346</f>
        <v/>
      </c>
      <c r="AE345" s="8">
        <f>Y345/$C346*$B346</f>
        <v/>
      </c>
      <c r="AF345" s="8">
        <f>Z345/$C346*$B346</f>
        <v/>
      </c>
      <c r="AG345" s="8">
        <f>AA345/$C346*$B346</f>
        <v/>
      </c>
      <c r="AH345" s="11">
        <f>AB345/$C346*$B346</f>
        <v/>
      </c>
      <c r="AI345" s="8">
        <f>SUM(AD345:AG345)</f>
        <v/>
      </c>
      <c r="AJ345" s="9">
        <f>AI345+AJ346</f>
        <v/>
      </c>
      <c r="AK345" s="9" t="n"/>
      <c r="AL345" s="7">
        <f>B345-AJ345</f>
        <v/>
      </c>
      <c r="AM345" s="42">
        <f>_xlfn.STDEV.S(AL345:AL364)</f>
        <v/>
      </c>
    </row>
    <row r="346">
      <c r="A346" s="1" t="n">
        <v>45755</v>
      </c>
      <c r="B346" s="7" t="n">
        <v>1132.79</v>
      </c>
      <c r="C346" s="3" t="n">
        <v>4729857</v>
      </c>
      <c r="E346" s="5" t="n">
        <v>45755</v>
      </c>
      <c r="F346" s="4" t="n">
        <v>55100</v>
      </c>
      <c r="G346" s="4" t="n">
        <v>3823661561</v>
      </c>
      <c r="H346" s="4" t="n">
        <v>47000</v>
      </c>
      <c r="I346" s="4" t="n">
        <v>4107412004</v>
      </c>
      <c r="J346" s="4" t="n">
        <v>17500</v>
      </c>
      <c r="K346" s="4" t="n">
        <v>2272318410</v>
      </c>
      <c r="L346" s="4" t="n">
        <v>0</v>
      </c>
      <c r="M346" s="4" t="n">
        <v>1793300377</v>
      </c>
      <c r="N346" s="4" t="n">
        <v>82600</v>
      </c>
      <c r="O346" s="4" t="n">
        <v>541611334</v>
      </c>
      <c r="Q346" s="3" t="n"/>
      <c r="R346" s="3">
        <f>G346*F346-G347*F347</f>
        <v/>
      </c>
      <c r="S346" s="3">
        <f>I346*H346-I347*H347</f>
        <v/>
      </c>
      <c r="T346" s="3">
        <f>K346*J346-K347*J347</f>
        <v/>
      </c>
      <c r="U346" s="3">
        <f>M346*L346-M347*L347</f>
        <v/>
      </c>
      <c r="V346" s="3">
        <f>O346*N346-O347*N347</f>
        <v/>
      </c>
      <c r="X346" s="2">
        <f>R346/10^9</f>
        <v/>
      </c>
      <c r="Y346" s="2">
        <f>S346/10^9</f>
        <v/>
      </c>
      <c r="Z346" s="2">
        <f>T346/10^9</f>
        <v/>
      </c>
      <c r="AA346" s="2">
        <f>U346/10^9</f>
        <v/>
      </c>
      <c r="AB346" s="2">
        <f>V346/10^9</f>
        <v/>
      </c>
      <c r="AC346" s="2" t="n"/>
      <c r="AD346" s="8">
        <f>X346/$C347*$B347</f>
        <v/>
      </c>
      <c r="AE346" s="8">
        <f>Y346/$C347*$B347</f>
        <v/>
      </c>
      <c r="AF346" s="8">
        <f>Z346/$C347*$B347</f>
        <v/>
      </c>
      <c r="AG346" s="8">
        <f>AA346/$C347*$B347</f>
        <v/>
      </c>
      <c r="AH346" s="11">
        <f>AB346/$C347*$B347</f>
        <v/>
      </c>
      <c r="AI346" s="8">
        <f>SUM(AD346:AG346)</f>
        <v/>
      </c>
      <c r="AJ346" s="9">
        <f>AI346+AJ347</f>
        <v/>
      </c>
      <c r="AK346" s="9" t="n"/>
      <c r="AL346" s="7">
        <f>B346-AJ346</f>
        <v/>
      </c>
      <c r="AM346" s="42">
        <f>_xlfn.STDEV.S(AL346:AL365)</f>
        <v/>
      </c>
    </row>
    <row r="347">
      <c r="A347" s="1" t="n">
        <v>45751</v>
      </c>
      <c r="B347" s="7" t="n">
        <v>1210.67</v>
      </c>
      <c r="C347" s="3" t="n">
        <v>5055063</v>
      </c>
      <c r="E347" s="5" t="n">
        <v>45751</v>
      </c>
      <c r="F347" s="4" t="n">
        <v>58300</v>
      </c>
      <c r="G347" s="4" t="n">
        <v>3823661561</v>
      </c>
      <c r="H347" s="4" t="n">
        <v>50300</v>
      </c>
      <c r="I347" s="4" t="n">
        <v>4107412004</v>
      </c>
      <c r="J347" s="4" t="n">
        <v>18800</v>
      </c>
      <c r="K347" s="4" t="n">
        <v>2272318410</v>
      </c>
      <c r="L347" s="4" t="n">
        <v>0</v>
      </c>
      <c r="M347" s="4" t="n">
        <v>1793300377</v>
      </c>
      <c r="N347" s="4" t="n">
        <v>86300</v>
      </c>
      <c r="O347" s="4" t="n">
        <v>541611334</v>
      </c>
      <c r="Q347" s="3" t="n"/>
      <c r="R347" s="3">
        <f>G347*F347-G348*F348</f>
        <v/>
      </c>
      <c r="S347" s="3">
        <f>I347*H347-I348*H348</f>
        <v/>
      </c>
      <c r="T347" s="3">
        <f>K347*J347-K348*J348</f>
        <v/>
      </c>
      <c r="U347" s="3">
        <f>M347*L347-M348*L348</f>
        <v/>
      </c>
      <c r="V347" s="3">
        <f>O347*N347-O348*N348</f>
        <v/>
      </c>
      <c r="X347" s="2">
        <f>R347/10^9</f>
        <v/>
      </c>
      <c r="Y347" s="2">
        <f>S347/10^9</f>
        <v/>
      </c>
      <c r="Z347" s="2">
        <f>T347/10^9</f>
        <v/>
      </c>
      <c r="AA347" s="2">
        <f>U347/10^9</f>
        <v/>
      </c>
      <c r="AB347" s="2">
        <f>V347/10^9</f>
        <v/>
      </c>
      <c r="AC347" s="2" t="n"/>
      <c r="AD347" s="8">
        <f>X347/$C348*$B348</f>
        <v/>
      </c>
      <c r="AE347" s="8">
        <f>Y347/$C348*$B348</f>
        <v/>
      </c>
      <c r="AF347" s="8">
        <f>Z347/$C348*$B348</f>
        <v/>
      </c>
      <c r="AG347" s="8">
        <f>AA347/$C348*$B348</f>
        <v/>
      </c>
      <c r="AH347" s="11">
        <f>AB347/$C348*$B348</f>
        <v/>
      </c>
      <c r="AI347" s="8">
        <f>SUM(AD347:AG347)</f>
        <v/>
      </c>
      <c r="AJ347" s="9">
        <f>AI347+AJ348</f>
        <v/>
      </c>
      <c r="AK347" s="9" t="n"/>
      <c r="AL347" s="7">
        <f>B347-AJ347</f>
        <v/>
      </c>
      <c r="AM347" s="42">
        <f>_xlfn.STDEV.S(AL347:AL366)</f>
        <v/>
      </c>
    </row>
    <row r="348">
      <c r="A348" s="1" t="n">
        <v>45750</v>
      </c>
      <c r="B348" s="7" t="n">
        <v>1229.84</v>
      </c>
      <c r="C348" s="3" t="n">
        <v>5134919</v>
      </c>
      <c r="E348" s="5" t="n">
        <v>45750</v>
      </c>
      <c r="F348" s="4" t="n">
        <v>56200</v>
      </c>
      <c r="G348" s="4" t="n">
        <v>3823661561</v>
      </c>
      <c r="H348" s="4" t="n">
        <v>49300</v>
      </c>
      <c r="I348" s="4" t="n">
        <v>4107412004</v>
      </c>
      <c r="J348" s="4" t="n">
        <v>18750</v>
      </c>
      <c r="K348" s="4" t="n">
        <v>2272318410</v>
      </c>
      <c r="L348" s="4" t="n">
        <v>0</v>
      </c>
      <c r="M348" s="4" t="n">
        <v>1793300377</v>
      </c>
      <c r="N348" s="4" t="n">
        <v>88400</v>
      </c>
      <c r="O348" s="4" t="n">
        <v>541611334</v>
      </c>
      <c r="Q348" s="3" t="n"/>
      <c r="R348" s="3">
        <f>G348*F348-G349*F349</f>
        <v/>
      </c>
      <c r="S348" s="3">
        <f>I348*H348-I349*H349</f>
        <v/>
      </c>
      <c r="T348" s="3">
        <f>K348*J348-K349*J349</f>
        <v/>
      </c>
      <c r="U348" s="3">
        <f>M348*L348-M349*L349</f>
        <v/>
      </c>
      <c r="V348" s="3">
        <f>O348*N348-O349*N349</f>
        <v/>
      </c>
      <c r="X348" s="2">
        <f>R348/10^9</f>
        <v/>
      </c>
      <c r="Y348" s="2">
        <f>S348/10^9</f>
        <v/>
      </c>
      <c r="Z348" s="2">
        <f>T348/10^9</f>
        <v/>
      </c>
      <c r="AA348" s="2">
        <f>U348/10^9</f>
        <v/>
      </c>
      <c r="AB348" s="2">
        <f>V348/10^9</f>
        <v/>
      </c>
      <c r="AC348" s="2" t="n"/>
      <c r="AD348" s="8">
        <f>X348/$C349*$B349</f>
        <v/>
      </c>
      <c r="AE348" s="8">
        <f>Y348/$C349*$B349</f>
        <v/>
      </c>
      <c r="AF348" s="8">
        <f>Z348/$C349*$B349</f>
        <v/>
      </c>
      <c r="AG348" s="8">
        <f>AA348/$C349*$B349</f>
        <v/>
      </c>
      <c r="AH348" s="11">
        <f>AB348/$C349*$B349</f>
        <v/>
      </c>
      <c r="AI348" s="8">
        <f>SUM(AD348:AG348)</f>
        <v/>
      </c>
      <c r="AJ348" s="9">
        <f>AI348+AJ349</f>
        <v/>
      </c>
      <c r="AK348" s="9" t="n"/>
      <c r="AL348" s="7">
        <f>B348-AJ348</f>
        <v/>
      </c>
      <c r="AM348" s="42">
        <f>_xlfn.STDEV.S(AL348:AL367)</f>
        <v/>
      </c>
    </row>
    <row r="349">
      <c r="A349" s="1" t="n">
        <v>45749</v>
      </c>
      <c r="B349" s="7" t="n">
        <v>1317.83</v>
      </c>
      <c r="C349" s="3" t="n">
        <v>5502315</v>
      </c>
      <c r="E349" s="5" t="n">
        <v>45749</v>
      </c>
      <c r="F349" s="4" t="n">
        <v>60400</v>
      </c>
      <c r="G349" s="4" t="n">
        <v>3823661561</v>
      </c>
      <c r="H349" s="4" t="n">
        <v>53000</v>
      </c>
      <c r="I349" s="4" t="n">
        <v>4107412004</v>
      </c>
      <c r="J349" s="4" t="n">
        <v>20150</v>
      </c>
      <c r="K349" s="4" t="n">
        <v>2272318410</v>
      </c>
      <c r="L349" s="4" t="n">
        <v>0</v>
      </c>
      <c r="M349" s="4" t="n">
        <v>1793300377</v>
      </c>
      <c r="N349" s="4" t="n">
        <v>95000</v>
      </c>
      <c r="O349" s="4" t="n">
        <v>541611334</v>
      </c>
      <c r="Q349" s="3" t="n"/>
      <c r="R349" s="3">
        <f>G349*F349-G350*F350</f>
        <v/>
      </c>
      <c r="S349" s="3">
        <f>I349*H349-I350*H350</f>
        <v/>
      </c>
      <c r="T349" s="3">
        <f>K349*J349-K350*J350</f>
        <v/>
      </c>
      <c r="U349" s="3">
        <f>M349*L349-M350*L350</f>
        <v/>
      </c>
      <c r="V349" s="3">
        <f>O349*N349-O350*N350</f>
        <v/>
      </c>
      <c r="X349" s="2">
        <f>R349/10^9</f>
        <v/>
      </c>
      <c r="Y349" s="2">
        <f>S349/10^9</f>
        <v/>
      </c>
      <c r="Z349" s="2">
        <f>T349/10^9</f>
        <v/>
      </c>
      <c r="AA349" s="2">
        <f>U349/10^9</f>
        <v/>
      </c>
      <c r="AB349" s="2">
        <f>V349/10^9</f>
        <v/>
      </c>
      <c r="AC349" s="2" t="n"/>
      <c r="AD349" s="8">
        <f>X349/$C350*$B350</f>
        <v/>
      </c>
      <c r="AE349" s="8">
        <f>Y349/$C350*$B350</f>
        <v/>
      </c>
      <c r="AF349" s="8">
        <f>Z349/$C350*$B350</f>
        <v/>
      </c>
      <c r="AG349" s="8">
        <f>AA349/$C350*$B350</f>
        <v/>
      </c>
      <c r="AH349" s="11">
        <f>AB349/$C350*$B350</f>
        <v/>
      </c>
      <c r="AI349" s="8">
        <f>SUM(AD349:AG349)</f>
        <v/>
      </c>
      <c r="AJ349" s="9">
        <f>AI349+AJ350</f>
        <v/>
      </c>
      <c r="AK349" s="9" t="n"/>
      <c r="AL349" s="7">
        <f>B349-AJ349</f>
        <v/>
      </c>
      <c r="AM349" s="42">
        <f>_xlfn.STDEV.S(AL349:AL368)</f>
        <v/>
      </c>
    </row>
    <row r="350">
      <c r="A350" s="1" t="n">
        <v>45748</v>
      </c>
      <c r="B350" s="7" t="n">
        <v>1317.33</v>
      </c>
      <c r="C350" s="3" t="n">
        <v>5500261</v>
      </c>
      <c r="E350" s="5" t="n">
        <v>45748</v>
      </c>
      <c r="F350" s="4" t="n">
        <v>59700</v>
      </c>
      <c r="G350" s="4" t="n">
        <v>3823661561</v>
      </c>
      <c r="H350" s="4" t="n">
        <v>53000</v>
      </c>
      <c r="I350" s="4" t="n">
        <v>4107412004</v>
      </c>
      <c r="J350" s="4" t="n">
        <v>20000</v>
      </c>
      <c r="K350" s="4" t="n">
        <v>2272318410</v>
      </c>
      <c r="L350" s="4" t="n">
        <v>0</v>
      </c>
      <c r="M350" s="4" t="n">
        <v>1793300377</v>
      </c>
      <c r="N350" s="4" t="n">
        <v>95200</v>
      </c>
      <c r="O350" s="4" t="n">
        <v>541611334</v>
      </c>
      <c r="Q350" s="3" t="n"/>
      <c r="R350" s="3">
        <f>G350*F350-G351*F351</f>
        <v/>
      </c>
      <c r="S350" s="3">
        <f>I350*H350-I351*H351</f>
        <v/>
      </c>
      <c r="T350" s="3">
        <f>K350*J350-K351*J351</f>
        <v/>
      </c>
      <c r="U350" s="3">
        <f>M350*L350-M351*L351</f>
        <v/>
      </c>
      <c r="V350" s="3">
        <f>O350*N350-O351*N351</f>
        <v/>
      </c>
      <c r="X350" s="2">
        <f>R350/10^9</f>
        <v/>
      </c>
      <c r="Y350" s="2">
        <f>S350/10^9</f>
        <v/>
      </c>
      <c r="Z350" s="2">
        <f>T350/10^9</f>
        <v/>
      </c>
      <c r="AA350" s="2">
        <f>U350/10^9</f>
        <v/>
      </c>
      <c r="AB350" s="2">
        <f>V350/10^9</f>
        <v/>
      </c>
      <c r="AC350" s="2" t="n"/>
      <c r="AD350" s="8">
        <f>X350/$C351*$B351</f>
        <v/>
      </c>
      <c r="AE350" s="8">
        <f>Y350/$C351*$B351</f>
        <v/>
      </c>
      <c r="AF350" s="8">
        <f>Z350/$C351*$B351</f>
        <v/>
      </c>
      <c r="AG350" s="8">
        <f>AA350/$C351*$B351</f>
        <v/>
      </c>
      <c r="AH350" s="11">
        <f>AB350/$C351*$B351</f>
        <v/>
      </c>
      <c r="AI350" s="8">
        <f>SUM(AD350:AG350)</f>
        <v/>
      </c>
      <c r="AJ350" s="9">
        <f>AI350+AJ351</f>
        <v/>
      </c>
      <c r="AK350" s="9" t="n"/>
      <c r="AL350" s="7">
        <f>B350-AJ350</f>
        <v/>
      </c>
      <c r="AM350" s="42">
        <f>_xlfn.STDEV.S(AL350:AL369)</f>
        <v/>
      </c>
    </row>
    <row r="351">
      <c r="A351" s="1" t="n">
        <v>45747</v>
      </c>
      <c r="B351" s="7" t="n">
        <v>1306.86</v>
      </c>
      <c r="C351" s="3" t="n">
        <v>5456546</v>
      </c>
      <c r="E351" s="5" t="n">
        <v>45747</v>
      </c>
      <c r="F351" s="4" t="n">
        <v>58000</v>
      </c>
      <c r="G351" s="4" t="n">
        <v>3823661561</v>
      </c>
      <c r="H351" s="4" t="n">
        <v>51300</v>
      </c>
      <c r="I351" s="4" t="n">
        <v>4107412004</v>
      </c>
      <c r="J351" s="4" t="n">
        <v>19150</v>
      </c>
      <c r="K351" s="4" t="n">
        <v>2272318410</v>
      </c>
      <c r="L351" s="4" t="n">
        <v>0</v>
      </c>
      <c r="M351" s="4" t="n">
        <v>1793300377</v>
      </c>
      <c r="N351" s="4" t="n">
        <v>95000</v>
      </c>
      <c r="O351" s="4" t="n">
        <v>541611334</v>
      </c>
      <c r="Q351" s="3" t="n"/>
      <c r="R351" s="3">
        <f>G351*F351-G352*F352</f>
        <v/>
      </c>
      <c r="S351" s="3">
        <f>I351*H351-I352*H352</f>
        <v/>
      </c>
      <c r="T351" s="3">
        <f>K351*J351-K352*J352</f>
        <v/>
      </c>
      <c r="U351" s="3">
        <f>M351*L351-M352*L352</f>
        <v/>
      </c>
      <c r="V351" s="3">
        <f>O351*N351-O352*N352</f>
        <v/>
      </c>
      <c r="X351" s="2">
        <f>R351/10^9</f>
        <v/>
      </c>
      <c r="Y351" s="2">
        <f>S351/10^9</f>
        <v/>
      </c>
      <c r="Z351" s="2">
        <f>T351/10^9</f>
        <v/>
      </c>
      <c r="AA351" s="2">
        <f>U351/10^9</f>
        <v/>
      </c>
      <c r="AB351" s="2">
        <f>V351/10^9</f>
        <v/>
      </c>
      <c r="AC351" s="2" t="n"/>
      <c r="AD351" s="8">
        <f>X351/$C352*$B352</f>
        <v/>
      </c>
      <c r="AE351" s="8">
        <f>Y351/$C352*$B352</f>
        <v/>
      </c>
      <c r="AF351" s="8">
        <f>Z351/$C352*$B352</f>
        <v/>
      </c>
      <c r="AG351" s="8">
        <f>AA351/$C352*$B352</f>
        <v/>
      </c>
      <c r="AH351" s="11">
        <f>AB351/$C352*$B352</f>
        <v/>
      </c>
      <c r="AI351" s="8">
        <f>SUM(AD351:AG351)</f>
        <v/>
      </c>
      <c r="AJ351" s="9">
        <f>AI351+AJ352</f>
        <v/>
      </c>
      <c r="AK351" s="9" t="n"/>
      <c r="AL351" s="7">
        <f>B351-AJ351</f>
        <v/>
      </c>
      <c r="AM351" s="42">
        <f>_xlfn.STDEV.S(AL351:AL370)</f>
        <v/>
      </c>
    </row>
    <row r="352">
      <c r="A352" s="1" t="n">
        <v>45744</v>
      </c>
      <c r="B352" s="7" t="n">
        <v>1317.46</v>
      </c>
      <c r="C352" s="3" t="n">
        <v>5498737</v>
      </c>
      <c r="E352" s="5" t="n">
        <v>45744</v>
      </c>
      <c r="F352" s="4" t="n">
        <v>58000</v>
      </c>
      <c r="G352" s="4" t="n">
        <v>3823661561</v>
      </c>
      <c r="H352" s="4" t="n">
        <v>51200</v>
      </c>
      <c r="I352" s="4" t="n">
        <v>4107412004</v>
      </c>
      <c r="J352" s="4" t="n">
        <v>19500</v>
      </c>
      <c r="K352" s="4" t="n">
        <v>2272318410</v>
      </c>
      <c r="L352" s="4" t="n">
        <v>0</v>
      </c>
      <c r="M352" s="4" t="n">
        <v>1793300377</v>
      </c>
      <c r="N352" s="4" t="n">
        <v>96000</v>
      </c>
      <c r="O352" s="4" t="n">
        <v>541611334</v>
      </c>
      <c r="Q352" s="3" t="n"/>
      <c r="R352" s="3">
        <f>G352*F352-G353*F353</f>
        <v/>
      </c>
      <c r="S352" s="3">
        <f>I352*H352-I353*H353</f>
        <v/>
      </c>
      <c r="T352" s="3">
        <f>K352*J352-K353*J353</f>
        <v/>
      </c>
      <c r="U352" s="3">
        <f>M352*L352-M353*L353</f>
        <v/>
      </c>
      <c r="V352" s="3">
        <f>O352*N352-O353*N353</f>
        <v/>
      </c>
      <c r="X352" s="2">
        <f>R352/10^9</f>
        <v/>
      </c>
      <c r="Y352" s="2">
        <f>S352/10^9</f>
        <v/>
      </c>
      <c r="Z352" s="2">
        <f>T352/10^9</f>
        <v/>
      </c>
      <c r="AA352" s="2">
        <f>U352/10^9</f>
        <v/>
      </c>
      <c r="AB352" s="2">
        <f>V352/10^9</f>
        <v/>
      </c>
      <c r="AC352" s="2" t="n"/>
      <c r="AD352" s="8">
        <f>X352/$C353*$B353</f>
        <v/>
      </c>
      <c r="AE352" s="8">
        <f>Y352/$C353*$B353</f>
        <v/>
      </c>
      <c r="AF352" s="8">
        <f>Z352/$C353*$B353</f>
        <v/>
      </c>
      <c r="AG352" s="8">
        <f>AA352/$C353*$B353</f>
        <v/>
      </c>
      <c r="AH352" s="11">
        <f>AB352/$C353*$B353</f>
        <v/>
      </c>
      <c r="AI352" s="8">
        <f>SUM(AD352:AG352)</f>
        <v/>
      </c>
      <c r="AJ352" s="9">
        <f>AI352+AJ353</f>
        <v/>
      </c>
      <c r="AK352" s="9" t="n"/>
      <c r="AL352" s="7">
        <f>B352-AJ352</f>
        <v/>
      </c>
      <c r="AM352" s="42">
        <f>_xlfn.STDEV.S(AL352:AL371)</f>
        <v/>
      </c>
    </row>
    <row r="353">
      <c r="A353" s="1" t="n">
        <v>45743</v>
      </c>
      <c r="B353" s="7" t="n">
        <v>1323.81</v>
      </c>
      <c r="C353" s="3" t="n">
        <v>5524942</v>
      </c>
      <c r="E353" s="5" t="n">
        <v>45743</v>
      </c>
      <c r="F353" s="4" t="n">
        <v>57100</v>
      </c>
      <c r="G353" s="4" t="n">
        <v>3823661561</v>
      </c>
      <c r="H353" s="4" t="n">
        <v>51200</v>
      </c>
      <c r="I353" s="4" t="n">
        <v>4107412004</v>
      </c>
      <c r="J353" s="4" t="n">
        <v>19650</v>
      </c>
      <c r="K353" s="4" t="n">
        <v>2272318410</v>
      </c>
      <c r="L353" s="4" t="n">
        <v>0</v>
      </c>
      <c r="M353" s="4" t="n">
        <v>1793300377</v>
      </c>
      <c r="N353" s="4" t="n">
        <v>96500</v>
      </c>
      <c r="O353" s="4" t="n">
        <v>541611334</v>
      </c>
      <c r="Q353" s="3" t="n"/>
      <c r="R353" s="3">
        <f>G353*F353-G354*F354</f>
        <v/>
      </c>
      <c r="S353" s="3">
        <f>I353*H353-I354*H354</f>
        <v/>
      </c>
      <c r="T353" s="3">
        <f>K353*J353-K354*J354</f>
        <v/>
      </c>
      <c r="U353" s="3">
        <f>M353*L353-M354*L354</f>
        <v/>
      </c>
      <c r="V353" s="3">
        <f>O353*N353-O354*N354</f>
        <v/>
      </c>
      <c r="X353" s="2">
        <f>R353/10^9</f>
        <v/>
      </c>
      <c r="Y353" s="2">
        <f>S353/10^9</f>
        <v/>
      </c>
      <c r="Z353" s="2">
        <f>T353/10^9</f>
        <v/>
      </c>
      <c r="AA353" s="2">
        <f>U353/10^9</f>
        <v/>
      </c>
      <c r="AB353" s="2">
        <f>V353/10^9</f>
        <v/>
      </c>
      <c r="AC353" s="2" t="n"/>
      <c r="AD353" s="8">
        <f>X353/$C354*$B354</f>
        <v/>
      </c>
      <c r="AE353" s="8">
        <f>Y353/$C354*$B354</f>
        <v/>
      </c>
      <c r="AF353" s="8">
        <f>Z353/$C354*$B354</f>
        <v/>
      </c>
      <c r="AG353" s="8">
        <f>AA353/$C354*$B354</f>
        <v/>
      </c>
      <c r="AH353" s="11">
        <f>AB353/$C354*$B354</f>
        <v/>
      </c>
      <c r="AI353" s="8">
        <f>SUM(AD353:AG353)</f>
        <v/>
      </c>
      <c r="AJ353" s="9">
        <f>AI353+AJ354</f>
        <v/>
      </c>
      <c r="AK353" s="9" t="n"/>
      <c r="AL353" s="7">
        <f>B353-AJ353</f>
        <v/>
      </c>
      <c r="AM353" s="42">
        <f>_xlfn.STDEV.S(AL353:AL372)</f>
        <v/>
      </c>
    </row>
    <row r="354">
      <c r="A354" s="1" t="n">
        <v>45742</v>
      </c>
      <c r="B354" s="7" t="n">
        <v>1326.09</v>
      </c>
      <c r="C354" s="3" t="n">
        <v>5534506</v>
      </c>
      <c r="E354" s="5" t="n">
        <v>45742</v>
      </c>
      <c r="F354" s="4" t="n">
        <v>57000</v>
      </c>
      <c r="G354" s="4" t="n">
        <v>3823661561</v>
      </c>
      <c r="H354" s="4" t="n">
        <v>51500</v>
      </c>
      <c r="I354" s="4" t="n">
        <v>4107412004</v>
      </c>
      <c r="J354" s="4" t="n">
        <v>19950</v>
      </c>
      <c r="K354" s="4" t="n">
        <v>2272318410</v>
      </c>
      <c r="L354" s="4" t="n">
        <v>0</v>
      </c>
      <c r="M354" s="4" t="n">
        <v>1793300377</v>
      </c>
      <c r="N354" s="4" t="n">
        <v>96700</v>
      </c>
      <c r="O354" s="4" t="n">
        <v>541611334</v>
      </c>
      <c r="Q354" s="3" t="n"/>
      <c r="R354" s="3">
        <f>G354*F354-G355*F355</f>
        <v/>
      </c>
      <c r="S354" s="3">
        <f>I354*H354-I355*H355</f>
        <v/>
      </c>
      <c r="T354" s="3">
        <f>K354*J354-K355*J355</f>
        <v/>
      </c>
      <c r="U354" s="3">
        <f>M354*L354-M355*L355</f>
        <v/>
      </c>
      <c r="V354" s="3">
        <f>O354*N354-O355*N355</f>
        <v/>
      </c>
      <c r="X354" s="2">
        <f>R354/10^9</f>
        <v/>
      </c>
      <c r="Y354" s="2">
        <f>S354/10^9</f>
        <v/>
      </c>
      <c r="Z354" s="2">
        <f>T354/10^9</f>
        <v/>
      </c>
      <c r="AA354" s="2">
        <f>U354/10^9</f>
        <v/>
      </c>
      <c r="AB354" s="2">
        <f>V354/10^9</f>
        <v/>
      </c>
      <c r="AC354" s="2" t="n"/>
      <c r="AD354" s="8">
        <f>X354/$C355*$B355</f>
        <v/>
      </c>
      <c r="AE354" s="8">
        <f>Y354/$C355*$B355</f>
        <v/>
      </c>
      <c r="AF354" s="8">
        <f>Z354/$C355*$B355</f>
        <v/>
      </c>
      <c r="AG354" s="8">
        <f>AA354/$C355*$B355</f>
        <v/>
      </c>
      <c r="AH354" s="11">
        <f>AB354/$C355*$B355</f>
        <v/>
      </c>
      <c r="AI354" s="8">
        <f>SUM(AD354:AG354)</f>
        <v/>
      </c>
      <c r="AJ354" s="9">
        <f>AI354+AJ355</f>
        <v/>
      </c>
      <c r="AK354" s="9" t="n"/>
      <c r="AL354" s="7">
        <f>B354-AJ354</f>
        <v/>
      </c>
      <c r="AM354" s="42">
        <f>_xlfn.STDEV.S(AL354:AL373)</f>
        <v/>
      </c>
    </row>
    <row r="355">
      <c r="A355" s="1" t="n">
        <v>45741</v>
      </c>
      <c r="B355" s="7" t="n">
        <v>1331.92</v>
      </c>
      <c r="C355" s="3" t="n">
        <v>5558853</v>
      </c>
      <c r="E355" s="5" t="n">
        <v>45741</v>
      </c>
      <c r="F355" s="4" t="n">
        <v>56900</v>
      </c>
      <c r="G355" s="4" t="n">
        <v>3823661561</v>
      </c>
      <c r="H355" s="4" t="n">
        <v>51500</v>
      </c>
      <c r="I355" s="4" t="n">
        <v>4107412004</v>
      </c>
      <c r="J355" s="4" t="n">
        <v>19800</v>
      </c>
      <c r="K355" s="4" t="n">
        <v>2272318410</v>
      </c>
      <c r="L355" s="4" t="n">
        <v>0</v>
      </c>
      <c r="M355" s="4" t="n">
        <v>1793300377</v>
      </c>
      <c r="N355" s="4" t="n">
        <v>96700</v>
      </c>
      <c r="O355" s="4" t="n">
        <v>541611334</v>
      </c>
      <c r="Q355" s="3" t="n"/>
      <c r="R355" s="3">
        <f>G355*F355-G356*F356</f>
        <v/>
      </c>
      <c r="S355" s="3">
        <f>I355*H355-I356*H356</f>
        <v/>
      </c>
      <c r="T355" s="3">
        <f>K355*J355-K356*J356</f>
        <v/>
      </c>
      <c r="U355" s="3">
        <f>M355*L355-M356*L356</f>
        <v/>
      </c>
      <c r="V355" s="3">
        <f>O355*N355-O356*N356</f>
        <v/>
      </c>
      <c r="X355" s="2">
        <f>R355/10^9</f>
        <v/>
      </c>
      <c r="Y355" s="2">
        <f>S355/10^9</f>
        <v/>
      </c>
      <c r="Z355" s="2">
        <f>T355/10^9</f>
        <v/>
      </c>
      <c r="AA355" s="2">
        <f>U355/10^9</f>
        <v/>
      </c>
      <c r="AB355" s="2">
        <f>V355/10^9</f>
        <v/>
      </c>
      <c r="AC355" s="2" t="n"/>
      <c r="AD355" s="8">
        <f>X355/$C356*$B356</f>
        <v/>
      </c>
      <c r="AE355" s="8">
        <f>Y355/$C356*$B356</f>
        <v/>
      </c>
      <c r="AF355" s="8">
        <f>Z355/$C356*$B356</f>
        <v/>
      </c>
      <c r="AG355" s="8">
        <f>AA355/$C356*$B356</f>
        <v/>
      </c>
      <c r="AH355" s="11">
        <f>AB355/$C356*$B356</f>
        <v/>
      </c>
      <c r="AI355" s="8">
        <f>SUM(AD355:AG355)</f>
        <v/>
      </c>
      <c r="AJ355" s="9">
        <f>AI355+AJ356</f>
        <v/>
      </c>
      <c r="AK355" s="9" t="n"/>
      <c r="AL355" s="7">
        <f>B355-AJ355</f>
        <v/>
      </c>
      <c r="AM355" s="42">
        <f>_xlfn.STDEV.S(AL355:AL374)</f>
        <v/>
      </c>
    </row>
    <row r="356">
      <c r="A356" s="1" t="n">
        <v>45740</v>
      </c>
      <c r="B356" s="7" t="n">
        <v>1330.32</v>
      </c>
      <c r="C356" s="3" t="n">
        <v>5551598</v>
      </c>
      <c r="E356" s="5" t="n">
        <v>45740</v>
      </c>
      <c r="F356" s="4" t="n">
        <v>56700</v>
      </c>
      <c r="G356" s="4" t="n">
        <v>3823661561</v>
      </c>
      <c r="H356" s="4" t="n">
        <v>51300</v>
      </c>
      <c r="I356" s="4" t="n">
        <v>4107412004</v>
      </c>
      <c r="J356" s="4" t="n">
        <v>19150</v>
      </c>
      <c r="K356" s="4" t="n">
        <v>2272318410</v>
      </c>
      <c r="L356" s="4" t="n">
        <v>0</v>
      </c>
      <c r="M356" s="4" t="n">
        <v>1793300377</v>
      </c>
      <c r="N356" s="4" t="n">
        <v>96600</v>
      </c>
      <c r="O356" s="4" t="n">
        <v>541611334</v>
      </c>
      <c r="Q356" s="3" t="n"/>
      <c r="R356" s="3">
        <f>G356*F356-G357*F357</f>
        <v/>
      </c>
      <c r="S356" s="3">
        <f>I356*H356-I357*H357</f>
        <v/>
      </c>
      <c r="T356" s="3">
        <f>K356*J356-K357*J357</f>
        <v/>
      </c>
      <c r="U356" s="3">
        <f>M356*L356-M357*L357</f>
        <v/>
      </c>
      <c r="V356" s="3">
        <f>O356*N356-O357*N357</f>
        <v/>
      </c>
      <c r="X356" s="2">
        <f>R356/10^9</f>
        <v/>
      </c>
      <c r="Y356" s="2">
        <f>S356/10^9</f>
        <v/>
      </c>
      <c r="Z356" s="2">
        <f>T356/10^9</f>
        <v/>
      </c>
      <c r="AA356" s="2">
        <f>U356/10^9</f>
        <v/>
      </c>
      <c r="AB356" s="2">
        <f>V356/10^9</f>
        <v/>
      </c>
      <c r="AC356" s="2" t="n"/>
      <c r="AD356" s="8">
        <f>X356/$C357*$B357</f>
        <v/>
      </c>
      <c r="AE356" s="8">
        <f>Y356/$C357*$B357</f>
        <v/>
      </c>
      <c r="AF356" s="8">
        <f>Z356/$C357*$B357</f>
        <v/>
      </c>
      <c r="AG356" s="8">
        <f>AA356/$C357*$B357</f>
        <v/>
      </c>
      <c r="AH356" s="11">
        <f>AB356/$C357*$B357</f>
        <v/>
      </c>
      <c r="AI356" s="8">
        <f>SUM(AD356:AG356)</f>
        <v/>
      </c>
      <c r="AJ356" s="9">
        <f>AI356+AJ357</f>
        <v/>
      </c>
      <c r="AK356" s="9" t="n"/>
      <c r="AL356" s="7">
        <f>B356-AJ356</f>
        <v/>
      </c>
      <c r="AM356" s="42">
        <f>_xlfn.STDEV.S(AL356:AL375)</f>
        <v/>
      </c>
    </row>
    <row r="357">
      <c r="A357" s="1" t="n">
        <v>45737</v>
      </c>
      <c r="B357" s="7" t="n">
        <v>1324.88</v>
      </c>
      <c r="C357" s="3" t="n">
        <v>5516449</v>
      </c>
      <c r="E357" s="5" t="n">
        <v>45737</v>
      </c>
      <c r="F357" s="4" t="n">
        <v>53000</v>
      </c>
      <c r="G357" s="4" t="n">
        <v>3823661561</v>
      </c>
      <c r="H357" s="4" t="n">
        <v>48250</v>
      </c>
      <c r="I357" s="4" t="n">
        <v>4107412004</v>
      </c>
      <c r="J357" s="4" t="n">
        <v>18450</v>
      </c>
      <c r="K357" s="4" t="n">
        <v>2272318410</v>
      </c>
      <c r="L357" s="4" t="n">
        <v>0</v>
      </c>
      <c r="M357" s="4" t="n">
        <v>1793300377</v>
      </c>
      <c r="N357" s="4" t="n">
        <v>96600</v>
      </c>
      <c r="O357" s="4" t="n">
        <v>541611334</v>
      </c>
      <c r="Q357" s="3" t="n"/>
      <c r="R357" s="3">
        <f>G357*F357-G358*F358</f>
        <v/>
      </c>
      <c r="S357" s="3">
        <f>I357*H357-I358*H358</f>
        <v/>
      </c>
      <c r="T357" s="3">
        <f>K357*J357-K358*J358</f>
        <v/>
      </c>
      <c r="U357" s="3">
        <f>M357*L357-M358*L358</f>
        <v/>
      </c>
      <c r="V357" s="3">
        <f>O357*N357-O358*N358</f>
        <v/>
      </c>
      <c r="X357" s="2">
        <f>R357/10^9</f>
        <v/>
      </c>
      <c r="Y357" s="2">
        <f>S357/10^9</f>
        <v/>
      </c>
      <c r="Z357" s="2">
        <f>T357/10^9</f>
        <v/>
      </c>
      <c r="AA357" s="2">
        <f>U357/10^9</f>
        <v/>
      </c>
      <c r="AB357" s="2">
        <f>V357/10^9</f>
        <v/>
      </c>
      <c r="AC357" s="2" t="n"/>
      <c r="AD357" s="8">
        <f>X357/$C358*$B358</f>
        <v/>
      </c>
      <c r="AE357" s="8">
        <f>Y357/$C358*$B358</f>
        <v/>
      </c>
      <c r="AF357" s="8">
        <f>Z357/$C358*$B358</f>
        <v/>
      </c>
      <c r="AG357" s="8">
        <f>AA357/$C358*$B358</f>
        <v/>
      </c>
      <c r="AH357" s="11">
        <f>AB357/$C358*$B358</f>
        <v/>
      </c>
      <c r="AI357" s="8">
        <f>SUM(AD357:AG357)</f>
        <v/>
      </c>
      <c r="AJ357" s="9">
        <f>AI357+AJ358</f>
        <v/>
      </c>
      <c r="AK357" s="9" t="n"/>
      <c r="AL357" s="7">
        <f>B357-AJ357</f>
        <v/>
      </c>
      <c r="AM357" s="42">
        <f>_xlfn.STDEV.S(AL357:AL376)</f>
        <v/>
      </c>
    </row>
    <row r="358">
      <c r="A358" s="1" t="n">
        <v>45736</v>
      </c>
      <c r="B358" s="7" t="n">
        <v>1323.93</v>
      </c>
      <c r="C358" s="3" t="n">
        <v>5525074</v>
      </c>
      <c r="E358" s="5" t="n">
        <v>45736</v>
      </c>
      <c r="F358" s="4" t="n">
        <v>51500</v>
      </c>
      <c r="G358" s="4" t="n">
        <v>3823661561</v>
      </c>
      <c r="H358" s="4" t="n">
        <v>47350</v>
      </c>
      <c r="I358" s="4" t="n">
        <v>4107412004</v>
      </c>
      <c r="J358" s="4" t="n">
        <v>18400</v>
      </c>
      <c r="K358" s="4" t="n">
        <v>2272318410</v>
      </c>
      <c r="L358" s="4" t="n">
        <v>0</v>
      </c>
      <c r="M358" s="4" t="n">
        <v>1793300377</v>
      </c>
      <c r="N358" s="4" t="n">
        <v>96200</v>
      </c>
      <c r="O358" s="4" t="n">
        <v>541611334</v>
      </c>
      <c r="Q358" s="3" t="n"/>
      <c r="R358" s="3">
        <f>G358*F358-G359*F359</f>
        <v/>
      </c>
      <c r="S358" s="3">
        <f>I358*H358-I359*H359</f>
        <v/>
      </c>
      <c r="T358" s="3">
        <f>K358*J358-K359*J359</f>
        <v/>
      </c>
      <c r="U358" s="3">
        <f>M358*L358-M359*L359</f>
        <v/>
      </c>
      <c r="V358" s="3">
        <f>O358*N358-O359*N359</f>
        <v/>
      </c>
      <c r="X358" s="2">
        <f>R358/10^9</f>
        <v/>
      </c>
      <c r="Y358" s="2">
        <f>S358/10^9</f>
        <v/>
      </c>
      <c r="Z358" s="2">
        <f>T358/10^9</f>
        <v/>
      </c>
      <c r="AA358" s="2">
        <f>U358/10^9</f>
        <v/>
      </c>
      <c r="AB358" s="2">
        <f>V358/10^9</f>
        <v/>
      </c>
      <c r="AC358" s="2" t="n"/>
      <c r="AD358" s="8">
        <f>X358/$C359*$B359</f>
        <v/>
      </c>
      <c r="AE358" s="8">
        <f>Y358/$C359*$B359</f>
        <v/>
      </c>
      <c r="AF358" s="8">
        <f>Z358/$C359*$B359</f>
        <v/>
      </c>
      <c r="AG358" s="8">
        <f>AA358/$C359*$B359</f>
        <v/>
      </c>
      <c r="AH358" s="11">
        <f>AB358/$C359*$B359</f>
        <v/>
      </c>
      <c r="AI358" s="8">
        <f>SUM(AD358:AG358)</f>
        <v/>
      </c>
      <c r="AJ358" s="9">
        <f>AI358+AJ359</f>
        <v/>
      </c>
      <c r="AK358" s="9" t="n"/>
      <c r="AL358" s="7">
        <f>B358-AJ358</f>
        <v/>
      </c>
      <c r="AM358" s="42">
        <f>_xlfn.STDEV.S(AL358:AL377)</f>
        <v/>
      </c>
    </row>
    <row r="359">
      <c r="A359" s="1" t="n">
        <v>45735</v>
      </c>
      <c r="B359" s="7" t="n">
        <v>1324.63</v>
      </c>
      <c r="C359" s="3" t="n">
        <v>5528002</v>
      </c>
      <c r="E359" s="5" t="n">
        <v>45735</v>
      </c>
      <c r="F359" s="4" t="n">
        <v>51900</v>
      </c>
      <c r="G359" s="4" t="n">
        <v>3823661561</v>
      </c>
      <c r="H359" s="4" t="n">
        <v>47350</v>
      </c>
      <c r="I359" s="4" t="n">
        <v>4107412004</v>
      </c>
      <c r="J359" s="4" t="n">
        <v>18450</v>
      </c>
      <c r="K359" s="4" t="n">
        <v>2272318410</v>
      </c>
      <c r="L359" s="4" t="n">
        <v>0</v>
      </c>
      <c r="M359" s="4" t="n">
        <v>1793300377</v>
      </c>
      <c r="N359" s="4" t="n">
        <v>97800</v>
      </c>
      <c r="O359" s="4" t="n">
        <v>541611334</v>
      </c>
      <c r="Q359" s="3" t="n"/>
      <c r="R359" s="3">
        <f>G359*F359-G360*F360</f>
        <v/>
      </c>
      <c r="S359" s="3">
        <f>I359*H359-I360*H360</f>
        <v/>
      </c>
      <c r="T359" s="3">
        <f>K359*J359-K360*J360</f>
        <v/>
      </c>
      <c r="U359" s="3">
        <f>M359*L359-M360*L360</f>
        <v/>
      </c>
      <c r="V359" s="3">
        <f>O359*N359-O360*N360</f>
        <v/>
      </c>
      <c r="X359" s="2">
        <f>R359/10^9</f>
        <v/>
      </c>
      <c r="Y359" s="2">
        <f>S359/10^9</f>
        <v/>
      </c>
      <c r="Z359" s="2">
        <f>T359/10^9</f>
        <v/>
      </c>
      <c r="AA359" s="2">
        <f>U359/10^9</f>
        <v/>
      </c>
      <c r="AB359" s="2">
        <f>V359/10^9</f>
        <v/>
      </c>
      <c r="AC359" s="2" t="n"/>
      <c r="AD359" s="8">
        <f>X359/$C360*$B360</f>
        <v/>
      </c>
      <c r="AE359" s="8">
        <f>Y359/$C360*$B360</f>
        <v/>
      </c>
      <c r="AF359" s="8">
        <f>Z359/$C360*$B360</f>
        <v/>
      </c>
      <c r="AG359" s="8">
        <f>AA359/$C360*$B360</f>
        <v/>
      </c>
      <c r="AH359" s="11">
        <f>AB359/$C360*$B360</f>
        <v/>
      </c>
      <c r="AI359" s="8">
        <f>SUM(AD359:AG359)</f>
        <v/>
      </c>
      <c r="AJ359" s="9">
        <f>AI359+AJ360</f>
        <v/>
      </c>
      <c r="AK359" s="9" t="n"/>
      <c r="AL359" s="7">
        <f>B359-AJ359</f>
        <v/>
      </c>
      <c r="AM359" s="42">
        <f>_xlfn.STDEV.S(AL359:AL378)</f>
        <v/>
      </c>
    </row>
    <row r="360">
      <c r="A360" s="1" t="n">
        <v>45734</v>
      </c>
      <c r="B360" s="7" t="n">
        <v>1330.97</v>
      </c>
      <c r="C360" s="3" t="n">
        <v>5553585</v>
      </c>
      <c r="E360" s="5" t="n">
        <v>45734</v>
      </c>
      <c r="F360" s="4" t="n">
        <v>51300</v>
      </c>
      <c r="G360" s="4" t="n">
        <v>3823661561</v>
      </c>
      <c r="H360" s="4" t="n">
        <v>47300</v>
      </c>
      <c r="I360" s="4" t="n">
        <v>4107412004</v>
      </c>
      <c r="J360" s="4" t="n">
        <v>18450</v>
      </c>
      <c r="K360" s="4" t="n">
        <v>2272318410</v>
      </c>
      <c r="L360" s="4" t="n">
        <v>0</v>
      </c>
      <c r="M360" s="4" t="n">
        <v>1793300377</v>
      </c>
      <c r="N360" s="4" t="n">
        <v>98400</v>
      </c>
      <c r="O360" s="4" t="n">
        <v>541611334</v>
      </c>
      <c r="Q360" s="3" t="n"/>
      <c r="R360" s="3">
        <f>G360*F360-G361*F361</f>
        <v/>
      </c>
      <c r="S360" s="3">
        <f>I360*H360-I361*H361</f>
        <v/>
      </c>
      <c r="T360" s="3">
        <f>K360*J360-K361*J361</f>
        <v/>
      </c>
      <c r="U360" s="3">
        <f>M360*L360-M361*L361</f>
        <v/>
      </c>
      <c r="V360" s="3">
        <f>O360*N360-O361*N361</f>
        <v/>
      </c>
      <c r="X360" s="2">
        <f>R360/10^9</f>
        <v/>
      </c>
      <c r="Y360" s="2">
        <f>S360/10^9</f>
        <v/>
      </c>
      <c r="Z360" s="2">
        <f>T360/10^9</f>
        <v/>
      </c>
      <c r="AA360" s="2">
        <f>U360/10^9</f>
        <v/>
      </c>
      <c r="AB360" s="2">
        <f>V360/10^9</f>
        <v/>
      </c>
      <c r="AC360" s="2" t="n"/>
      <c r="AD360" s="8">
        <f>X360/$C361*$B361</f>
        <v/>
      </c>
      <c r="AE360" s="8">
        <f>Y360/$C361*$B361</f>
        <v/>
      </c>
      <c r="AF360" s="8">
        <f>Z360/$C361*$B361</f>
        <v/>
      </c>
      <c r="AG360" s="8">
        <f>AA360/$C361*$B361</f>
        <v/>
      </c>
      <c r="AH360" s="11">
        <f>AB360/$C361*$B361</f>
        <v/>
      </c>
      <c r="AI360" s="8">
        <f>SUM(AD360:AG360)</f>
        <v/>
      </c>
      <c r="AJ360" s="9">
        <f>AI360+AJ361</f>
        <v/>
      </c>
      <c r="AK360" s="9" t="n"/>
      <c r="AL360" s="7">
        <f>B360-AJ360</f>
        <v/>
      </c>
      <c r="AM360" s="42">
        <f>_xlfn.STDEV.S(AL360:AL379)</f>
        <v/>
      </c>
    </row>
    <row r="361">
      <c r="A361" s="1" t="n">
        <v>45733</v>
      </c>
      <c r="B361" s="7" t="n">
        <v>1336.26</v>
      </c>
      <c r="C361" s="3" t="n">
        <v>5575660</v>
      </c>
      <c r="E361" s="5" t="n">
        <v>45733</v>
      </c>
      <c r="F361" s="4" t="n">
        <v>52100</v>
      </c>
      <c r="G361" s="4" t="n">
        <v>3823661561</v>
      </c>
      <c r="H361" s="4" t="n">
        <v>47800</v>
      </c>
      <c r="I361" s="4" t="n">
        <v>4107412004</v>
      </c>
      <c r="J361" s="4" t="n">
        <v>18700</v>
      </c>
      <c r="K361" s="4" t="n">
        <v>2272318410</v>
      </c>
      <c r="L361" s="4" t="n">
        <v>0</v>
      </c>
      <c r="M361" s="4" t="n">
        <v>1793300377</v>
      </c>
      <c r="N361" s="4" t="n">
        <v>99100</v>
      </c>
      <c r="O361" s="4" t="n">
        <v>541611334</v>
      </c>
      <c r="Q361" s="3" t="n"/>
      <c r="R361" s="3">
        <f>G361*F361-G362*F362</f>
        <v/>
      </c>
      <c r="S361" s="3">
        <f>I361*H361-I362*H362</f>
        <v/>
      </c>
      <c r="T361" s="3">
        <f>K361*J361-K362*J362</f>
        <v/>
      </c>
      <c r="U361" s="3">
        <f>M361*L361-M362*L362</f>
        <v/>
      </c>
      <c r="V361" s="3">
        <f>O361*N361-O362*N362</f>
        <v/>
      </c>
      <c r="X361" s="2">
        <f>R361/10^9</f>
        <v/>
      </c>
      <c r="Y361" s="2">
        <f>S361/10^9</f>
        <v/>
      </c>
      <c r="Z361" s="2">
        <f>T361/10^9</f>
        <v/>
      </c>
      <c r="AA361" s="2">
        <f>U361/10^9</f>
        <v/>
      </c>
      <c r="AB361" s="2">
        <f>V361/10^9</f>
        <v/>
      </c>
      <c r="AC361" s="2" t="n"/>
      <c r="AD361" s="8">
        <f>X361/$C362*$B362</f>
        <v/>
      </c>
      <c r="AE361" s="8">
        <f>Y361/$C362*$B362</f>
        <v/>
      </c>
      <c r="AF361" s="8">
        <f>Z361/$C362*$B362</f>
        <v/>
      </c>
      <c r="AG361" s="8">
        <f>AA361/$C362*$B362</f>
        <v/>
      </c>
      <c r="AH361" s="11">
        <f>AB361/$C362*$B362</f>
        <v/>
      </c>
      <c r="AI361" s="8">
        <f>SUM(AD361:AG361)</f>
        <v/>
      </c>
      <c r="AJ361" s="9">
        <f>AI361+AJ362</f>
        <v/>
      </c>
      <c r="AK361" s="9" t="n"/>
      <c r="AL361" s="7">
        <f>B361-AJ361</f>
        <v/>
      </c>
      <c r="AM361" s="42">
        <f>_xlfn.STDEV.S(AL361:AL380)</f>
        <v/>
      </c>
    </row>
    <row r="362">
      <c r="A362" s="1" t="n">
        <v>45730</v>
      </c>
      <c r="B362" s="7" t="n">
        <v>1326.15</v>
      </c>
      <c r="C362" s="3" t="n">
        <v>5533540</v>
      </c>
      <c r="E362" s="5" t="n">
        <v>45730</v>
      </c>
      <c r="F362" s="4" t="n">
        <v>52200</v>
      </c>
      <c r="G362" s="4" t="n">
        <v>3823661561</v>
      </c>
      <c r="H362" s="4" t="n">
        <v>47900</v>
      </c>
      <c r="I362" s="4" t="n">
        <v>4107412004</v>
      </c>
      <c r="J362" s="4" t="n">
        <v>18750</v>
      </c>
      <c r="K362" s="4" t="n">
        <v>2272318410</v>
      </c>
      <c r="L362" s="4" t="n">
        <v>0</v>
      </c>
      <c r="M362" s="4" t="n">
        <v>1793300377</v>
      </c>
      <c r="N362" s="4" t="n">
        <v>98600</v>
      </c>
      <c r="O362" s="4" t="n">
        <v>541611334</v>
      </c>
      <c r="Q362" s="3" t="n"/>
      <c r="R362" s="3">
        <f>G362*F362-G363*F363</f>
        <v/>
      </c>
      <c r="S362" s="3">
        <f>I362*H362-I363*H363</f>
        <v/>
      </c>
      <c r="T362" s="3">
        <f>K362*J362-K363*J363</f>
        <v/>
      </c>
      <c r="U362" s="3">
        <f>M362*L362-M363*L363</f>
        <v/>
      </c>
      <c r="V362" s="3">
        <f>O362*N362-O363*N363</f>
        <v/>
      </c>
      <c r="X362" s="2">
        <f>R362/10^9</f>
        <v/>
      </c>
      <c r="Y362" s="2">
        <f>S362/10^9</f>
        <v/>
      </c>
      <c r="Z362" s="2">
        <f>T362/10^9</f>
        <v/>
      </c>
      <c r="AA362" s="2">
        <f>U362/10^9</f>
        <v/>
      </c>
      <c r="AB362" s="2">
        <f>V362/10^9</f>
        <v/>
      </c>
      <c r="AC362" s="2" t="n"/>
      <c r="AD362" s="8">
        <f>X362/$C363*$B363</f>
        <v/>
      </c>
      <c r="AE362" s="8">
        <f>Y362/$C363*$B363</f>
        <v/>
      </c>
      <c r="AF362" s="8">
        <f>Z362/$C363*$B363</f>
        <v/>
      </c>
      <c r="AG362" s="8">
        <f>AA362/$C363*$B363</f>
        <v/>
      </c>
      <c r="AH362" s="11">
        <f>AB362/$C363*$B363</f>
        <v/>
      </c>
      <c r="AI362" s="8">
        <f>SUM(AD362:AG362)</f>
        <v/>
      </c>
      <c r="AJ362" s="9">
        <f>AI362+AJ363</f>
        <v/>
      </c>
      <c r="AK362" s="9" t="n"/>
      <c r="AL362" s="7">
        <f>B362-AJ362</f>
        <v/>
      </c>
      <c r="AM362" s="42">
        <f>_xlfn.STDEV.S(AL362:AL381)</f>
        <v/>
      </c>
    </row>
    <row r="363">
      <c r="A363" s="1" t="n">
        <v>45729</v>
      </c>
      <c r="B363" s="7" t="n">
        <v>1326.27</v>
      </c>
      <c r="C363" s="3" t="n">
        <v>5533990</v>
      </c>
      <c r="E363" s="5" t="n">
        <v>45729</v>
      </c>
      <c r="F363" s="4" t="n">
        <v>51400</v>
      </c>
      <c r="G363" s="4" t="n">
        <v>3823661561</v>
      </c>
      <c r="H363" s="4" t="n">
        <v>47800</v>
      </c>
      <c r="I363" s="4" t="n">
        <v>4107412004</v>
      </c>
      <c r="J363" s="4" t="n">
        <v>18800</v>
      </c>
      <c r="K363" s="4" t="n">
        <v>2272318410</v>
      </c>
      <c r="L363" s="4" t="n">
        <v>0</v>
      </c>
      <c r="M363" s="4" t="n">
        <v>1793300377</v>
      </c>
      <c r="N363" s="4" t="n">
        <v>97300</v>
      </c>
      <c r="O363" s="4" t="n">
        <v>541611334</v>
      </c>
      <c r="Q363" s="3" t="n"/>
      <c r="R363" s="3">
        <f>G363*F363-G364*F364</f>
        <v/>
      </c>
      <c r="S363" s="3">
        <f>I363*H363-I364*H364</f>
        <v/>
      </c>
      <c r="T363" s="3">
        <f>K363*J363-K364*J364</f>
        <v/>
      </c>
      <c r="U363" s="3">
        <f>M363*L363-M364*L364</f>
        <v/>
      </c>
      <c r="V363" s="3">
        <f>O363*N363-O364*N364</f>
        <v/>
      </c>
      <c r="X363" s="2">
        <f>R363/10^9</f>
        <v/>
      </c>
      <c r="Y363" s="2">
        <f>S363/10^9</f>
        <v/>
      </c>
      <c r="Z363" s="2">
        <f>T363/10^9</f>
        <v/>
      </c>
      <c r="AA363" s="2">
        <f>U363/10^9</f>
        <v/>
      </c>
      <c r="AB363" s="2">
        <f>V363/10^9</f>
        <v/>
      </c>
      <c r="AC363" s="2" t="n"/>
      <c r="AD363" s="8">
        <f>X363/$C364*$B364</f>
        <v/>
      </c>
      <c r="AE363" s="8">
        <f>Y363/$C364*$B364</f>
        <v/>
      </c>
      <c r="AF363" s="8">
        <f>Z363/$C364*$B364</f>
        <v/>
      </c>
      <c r="AG363" s="8">
        <f>AA363/$C364*$B364</f>
        <v/>
      </c>
      <c r="AH363" s="11">
        <f>AB363/$C364*$B364</f>
        <v/>
      </c>
      <c r="AI363" s="8">
        <f>SUM(AD363:AG363)</f>
        <v/>
      </c>
      <c r="AJ363" s="9">
        <f>AI363+AJ364</f>
        <v/>
      </c>
      <c r="AK363" s="9" t="n"/>
      <c r="AL363" s="7">
        <f>B363-AJ363</f>
        <v/>
      </c>
      <c r="AM363" s="42">
        <f>_xlfn.STDEV.S(AL363:AL382)</f>
        <v/>
      </c>
    </row>
    <row r="364">
      <c r="A364" s="1" t="n">
        <v>45728</v>
      </c>
      <c r="B364" s="7" t="n">
        <v>1334.41</v>
      </c>
      <c r="C364" s="3" t="n">
        <v>5568021</v>
      </c>
      <c r="E364" s="5" t="n">
        <v>45728</v>
      </c>
      <c r="F364" s="4" t="n">
        <v>48100</v>
      </c>
      <c r="G364" s="4" t="n">
        <v>3823661561</v>
      </c>
      <c r="H364" s="4" t="n">
        <v>46950</v>
      </c>
      <c r="I364" s="4" t="n">
        <v>4107412004</v>
      </c>
      <c r="J364" s="4" t="n">
        <v>18300</v>
      </c>
      <c r="K364" s="4" t="n">
        <v>2272318410</v>
      </c>
      <c r="L364" s="4" t="n">
        <v>0</v>
      </c>
      <c r="M364" s="4" t="n">
        <v>1793300377</v>
      </c>
      <c r="N364" s="4" t="n">
        <v>97400</v>
      </c>
      <c r="O364" s="4" t="n">
        <v>541611334</v>
      </c>
      <c r="Q364" s="3" t="n"/>
      <c r="R364" s="3">
        <f>G364*F364-G365*F365</f>
        <v/>
      </c>
      <c r="S364" s="3">
        <f>I364*H364-I365*H365</f>
        <v/>
      </c>
      <c r="T364" s="3">
        <f>K364*J364-K365*J365</f>
        <v/>
      </c>
      <c r="U364" s="3">
        <f>M364*L364-M365*L365</f>
        <v/>
      </c>
      <c r="V364" s="3">
        <f>O364*N364-O365*N365</f>
        <v/>
      </c>
      <c r="X364" s="2">
        <f>R364/10^9</f>
        <v/>
      </c>
      <c r="Y364" s="2">
        <f>S364/10^9</f>
        <v/>
      </c>
      <c r="Z364" s="2">
        <f>T364/10^9</f>
        <v/>
      </c>
      <c r="AA364" s="2">
        <f>U364/10^9</f>
        <v/>
      </c>
      <c r="AB364" s="2">
        <f>V364/10^9</f>
        <v/>
      </c>
      <c r="AC364" s="2" t="n"/>
      <c r="AD364" s="8">
        <f>X364/$C365*$B365</f>
        <v/>
      </c>
      <c r="AE364" s="8">
        <f>Y364/$C365*$B365</f>
        <v/>
      </c>
      <c r="AF364" s="8">
        <f>Z364/$C365*$B365</f>
        <v/>
      </c>
      <c r="AG364" s="8">
        <f>AA364/$C365*$B365</f>
        <v/>
      </c>
      <c r="AH364" s="11">
        <f>AB364/$C365*$B365</f>
        <v/>
      </c>
      <c r="AI364" s="8">
        <f>SUM(AD364:AG364)</f>
        <v/>
      </c>
      <c r="AJ364" s="9">
        <f>AI364+AJ365</f>
        <v/>
      </c>
      <c r="AK364" s="9" t="n"/>
      <c r="AL364" s="7">
        <f>B364-AJ364</f>
        <v/>
      </c>
      <c r="AM364" s="42">
        <f>_xlfn.STDEV.S(AL364:AL383)</f>
        <v/>
      </c>
    </row>
    <row r="365">
      <c r="A365" s="1" t="n">
        <v>45727</v>
      </c>
      <c r="B365" s="7" t="n">
        <v>1332.54</v>
      </c>
      <c r="C365" s="3" t="n">
        <v>5560287</v>
      </c>
      <c r="E365" s="5" t="n">
        <v>45727</v>
      </c>
      <c r="F365" s="4" t="n">
        <v>47300</v>
      </c>
      <c r="G365" s="4" t="n">
        <v>3823661561</v>
      </c>
      <c r="H365" s="4" t="n">
        <v>45500</v>
      </c>
      <c r="I365" s="4" t="n">
        <v>4107412004</v>
      </c>
      <c r="J365" s="4" t="n">
        <v>18200</v>
      </c>
      <c r="K365" s="4" t="n">
        <v>2272318410</v>
      </c>
      <c r="L365" s="4" t="n">
        <v>0</v>
      </c>
      <c r="M365" s="4" t="n">
        <v>1793300377</v>
      </c>
      <c r="N365" s="4" t="n">
        <v>97700</v>
      </c>
      <c r="O365" s="4" t="n">
        <v>541611334</v>
      </c>
      <c r="Q365" s="3" t="n"/>
      <c r="R365" s="3">
        <f>G365*F365-G366*F366</f>
        <v/>
      </c>
      <c r="S365" s="3">
        <f>I365*H365-I366*H366</f>
        <v/>
      </c>
      <c r="T365" s="3">
        <f>K365*J365-K366*J366</f>
        <v/>
      </c>
      <c r="U365" s="3">
        <f>M365*L365-M366*L366</f>
        <v/>
      </c>
      <c r="V365" s="3">
        <f>O365*N365-O366*N366</f>
        <v/>
      </c>
      <c r="X365" s="2">
        <f>R365/10^9</f>
        <v/>
      </c>
      <c r="Y365" s="2">
        <f>S365/10^9</f>
        <v/>
      </c>
      <c r="Z365" s="2">
        <f>T365/10^9</f>
        <v/>
      </c>
      <c r="AA365" s="2">
        <f>U365/10^9</f>
        <v/>
      </c>
      <c r="AB365" s="2">
        <f>V365/10^9</f>
        <v/>
      </c>
      <c r="AC365" s="2" t="n"/>
      <c r="AD365" s="8">
        <f>X365/$C366*$B366</f>
        <v/>
      </c>
      <c r="AE365" s="8">
        <f>Y365/$C366*$B366</f>
        <v/>
      </c>
      <c r="AF365" s="8">
        <f>Z365/$C366*$B366</f>
        <v/>
      </c>
      <c r="AG365" s="8">
        <f>AA365/$C366*$B366</f>
        <v/>
      </c>
      <c r="AH365" s="11">
        <f>AB365/$C366*$B366</f>
        <v/>
      </c>
      <c r="AI365" s="8">
        <f>SUM(AD365:AG365)</f>
        <v/>
      </c>
      <c r="AJ365" s="9">
        <f>AI365+AJ366</f>
        <v/>
      </c>
      <c r="AK365" s="9" t="n"/>
      <c r="AL365" s="7">
        <f>B365-AJ365</f>
        <v/>
      </c>
      <c r="AM365" s="42">
        <f>_xlfn.STDEV.S(AL365:AL384)</f>
        <v/>
      </c>
    </row>
    <row r="366">
      <c r="A366" s="1" t="n">
        <v>45726</v>
      </c>
      <c r="B366" s="7" t="n">
        <v>1330.28</v>
      </c>
      <c r="C366" s="3" t="n">
        <v>5550885</v>
      </c>
      <c r="E366" s="5" t="n">
        <v>45726</v>
      </c>
      <c r="F366" s="4" t="n">
        <v>47300</v>
      </c>
      <c r="G366" s="4" t="n">
        <v>3823661561</v>
      </c>
      <c r="H366" s="4" t="n">
        <v>45300</v>
      </c>
      <c r="I366" s="4" t="n">
        <v>4107412004</v>
      </c>
      <c r="J366" s="4" t="n">
        <v>18250</v>
      </c>
      <c r="K366" s="4" t="n">
        <v>2272318410</v>
      </c>
      <c r="L366" s="4" t="n">
        <v>0</v>
      </c>
      <c r="M366" s="4" t="n">
        <v>1793300377</v>
      </c>
      <c r="N366" s="4" t="n">
        <v>97700</v>
      </c>
      <c r="O366" s="4" t="n">
        <v>541611334</v>
      </c>
      <c r="Q366" s="3" t="n"/>
      <c r="R366" s="3">
        <f>G366*F366-G367*F367</f>
        <v/>
      </c>
      <c r="S366" s="3">
        <f>I366*H366-I367*H367</f>
        <v/>
      </c>
      <c r="T366" s="3">
        <f>K366*J366-K367*J367</f>
        <v/>
      </c>
      <c r="U366" s="3">
        <f>M366*L366-M367*L367</f>
        <v/>
      </c>
      <c r="V366" s="3">
        <f>O366*N366-O367*N367</f>
        <v/>
      </c>
      <c r="X366" s="2">
        <f>R366/10^9</f>
        <v/>
      </c>
      <c r="Y366" s="2">
        <f>S366/10^9</f>
        <v/>
      </c>
      <c r="Z366" s="2">
        <f>T366/10^9</f>
        <v/>
      </c>
      <c r="AA366" s="2">
        <f>U366/10^9</f>
        <v/>
      </c>
      <c r="AB366" s="2">
        <f>V366/10^9</f>
        <v/>
      </c>
      <c r="AC366" s="2" t="n"/>
      <c r="AD366" s="8">
        <f>X366/$C367*$B367</f>
        <v/>
      </c>
      <c r="AE366" s="8">
        <f>Y366/$C367*$B367</f>
        <v/>
      </c>
      <c r="AF366" s="8">
        <f>Z366/$C367*$B367</f>
        <v/>
      </c>
      <c r="AG366" s="8">
        <f>AA366/$C367*$B367</f>
        <v/>
      </c>
      <c r="AH366" s="11">
        <f>AB366/$C367*$B367</f>
        <v/>
      </c>
      <c r="AI366" s="8">
        <f>SUM(AD366:AG366)</f>
        <v/>
      </c>
      <c r="AJ366" s="9">
        <f>AI366+AJ367</f>
        <v/>
      </c>
      <c r="AK366" s="9" t="n"/>
      <c r="AL366" s="7">
        <f>B366-AJ366</f>
        <v/>
      </c>
      <c r="AM366" s="42">
        <f>_xlfn.STDEV.S(AL366:AL385)</f>
        <v/>
      </c>
    </row>
    <row r="367">
      <c r="A367" s="1" t="n">
        <v>45723</v>
      </c>
      <c r="B367" s="7" t="n">
        <v>1326.05</v>
      </c>
      <c r="C367" s="3" t="n">
        <v>5533217</v>
      </c>
      <c r="E367" s="5" t="n">
        <v>45723</v>
      </c>
      <c r="F367" s="4" t="n">
        <v>45300</v>
      </c>
      <c r="G367" s="4" t="n">
        <v>3823661561</v>
      </c>
      <c r="H367" s="4" t="n">
        <v>44950</v>
      </c>
      <c r="I367" s="4" t="n">
        <v>4107412004</v>
      </c>
      <c r="J367" s="4" t="n">
        <v>18200</v>
      </c>
      <c r="K367" s="4" t="n">
        <v>2272318410</v>
      </c>
      <c r="L367" s="4" t="n">
        <v>0</v>
      </c>
      <c r="M367" s="4" t="n">
        <v>1793300377</v>
      </c>
      <c r="N367" s="4" t="n">
        <v>97000</v>
      </c>
      <c r="O367" s="4" t="n">
        <v>541611334</v>
      </c>
      <c r="Q367" s="3" t="n"/>
      <c r="R367" s="3">
        <f>G367*F367-G368*F368</f>
        <v/>
      </c>
      <c r="S367" s="3">
        <f>I367*H367-I368*H368</f>
        <v/>
      </c>
      <c r="T367" s="3">
        <f>K367*J367-K368*J368</f>
        <v/>
      </c>
      <c r="U367" s="3">
        <f>M367*L367-M368*L368</f>
        <v/>
      </c>
      <c r="V367" s="3">
        <f>O367*N367-O368*N368</f>
        <v/>
      </c>
      <c r="X367" s="2">
        <f>R367/10^9</f>
        <v/>
      </c>
      <c r="Y367" s="2">
        <f>S367/10^9</f>
        <v/>
      </c>
      <c r="Z367" s="2">
        <f>T367/10^9</f>
        <v/>
      </c>
      <c r="AA367" s="2">
        <f>U367/10^9</f>
        <v/>
      </c>
      <c r="AB367" s="2">
        <f>V367/10^9</f>
        <v/>
      </c>
      <c r="AC367" s="2" t="n"/>
      <c r="AD367" s="8">
        <f>X367/$C368*$B368</f>
        <v/>
      </c>
      <c r="AE367" s="8">
        <f>Y367/$C368*$B368</f>
        <v/>
      </c>
      <c r="AF367" s="8">
        <f>Z367/$C368*$B368</f>
        <v/>
      </c>
      <c r="AG367" s="8">
        <f>AA367/$C368*$B368</f>
        <v/>
      </c>
      <c r="AH367" s="11">
        <f>AB367/$C368*$B368</f>
        <v/>
      </c>
      <c r="AI367" s="8">
        <f>SUM(AD367:AG367)</f>
        <v/>
      </c>
      <c r="AJ367" s="9">
        <f>AI367+AJ368</f>
        <v/>
      </c>
      <c r="AK367" s="9" t="n"/>
      <c r="AL367" s="7">
        <f>B367-AJ367</f>
        <v/>
      </c>
      <c r="AM367" s="42">
        <f>_xlfn.STDEV.S(AL367:AL386)</f>
        <v/>
      </c>
    </row>
    <row r="368">
      <c r="A368" s="1" t="n">
        <v>45722</v>
      </c>
      <c r="B368" s="7" t="n">
        <v>1318.22</v>
      </c>
      <c r="C368" s="3" t="n">
        <v>5500551</v>
      </c>
      <c r="E368" s="5" t="n">
        <v>45722</v>
      </c>
      <c r="F368" s="4" t="n">
        <v>42350</v>
      </c>
      <c r="G368" s="4" t="n">
        <v>3823661561</v>
      </c>
      <c r="H368" s="4" t="n">
        <v>43600</v>
      </c>
      <c r="I368" s="4" t="n">
        <v>4107412004</v>
      </c>
      <c r="J368" s="4" t="n">
        <v>17850</v>
      </c>
      <c r="K368" s="4" t="n">
        <v>2272318410</v>
      </c>
      <c r="L368" s="4" t="n">
        <v>0</v>
      </c>
      <c r="M368" s="4" t="n">
        <v>1793300377</v>
      </c>
      <c r="N368" s="4" t="n">
        <v>96500</v>
      </c>
      <c r="O368" s="4" t="n">
        <v>541611334</v>
      </c>
      <c r="Q368" s="3" t="n"/>
      <c r="R368" s="3">
        <f>G368*F368-G369*F369</f>
        <v/>
      </c>
      <c r="S368" s="3">
        <f>I368*H368-I369*H369</f>
        <v/>
      </c>
      <c r="T368" s="3">
        <f>K368*J368-K369*J369</f>
        <v/>
      </c>
      <c r="U368" s="3">
        <f>M368*L368-M369*L369</f>
        <v/>
      </c>
      <c r="V368" s="3">
        <f>O368*N368-O369*N369</f>
        <v/>
      </c>
      <c r="X368" s="2">
        <f>R368/10^9</f>
        <v/>
      </c>
      <c r="Y368" s="2">
        <f>S368/10^9</f>
        <v/>
      </c>
      <c r="Z368" s="2">
        <f>T368/10^9</f>
        <v/>
      </c>
      <c r="AA368" s="2">
        <f>U368/10^9</f>
        <v/>
      </c>
      <c r="AB368" s="2">
        <f>V368/10^9</f>
        <v/>
      </c>
      <c r="AC368" s="2" t="n"/>
      <c r="AD368" s="8">
        <f>X368/$C369*$B369</f>
        <v/>
      </c>
      <c r="AE368" s="8">
        <f>Y368/$C369*$B369</f>
        <v/>
      </c>
      <c r="AF368" s="8">
        <f>Z368/$C369*$B369</f>
        <v/>
      </c>
      <c r="AG368" s="8">
        <f>AA368/$C369*$B369</f>
        <v/>
      </c>
      <c r="AH368" s="11">
        <f>AB368/$C369*$B369</f>
        <v/>
      </c>
      <c r="AI368" s="8">
        <f>SUM(AD368:AG368)</f>
        <v/>
      </c>
      <c r="AJ368" s="9">
        <f>AI368+AJ369</f>
        <v/>
      </c>
      <c r="AK368" s="9" t="n"/>
      <c r="AL368" s="7">
        <f>B368-AJ368</f>
        <v/>
      </c>
      <c r="AM368" s="42">
        <f>_xlfn.STDEV.S(AL368:AL387)</f>
        <v/>
      </c>
    </row>
    <row r="369">
      <c r="A369" s="1" t="n">
        <v>45721</v>
      </c>
      <c r="B369" s="7" t="n">
        <v>1304.71</v>
      </c>
      <c r="C369" s="3" t="n">
        <v>5443569</v>
      </c>
      <c r="E369" s="5" t="n">
        <v>45721</v>
      </c>
      <c r="F369" s="4" t="n">
        <v>42250</v>
      </c>
      <c r="G369" s="4" t="n">
        <v>3823661561</v>
      </c>
      <c r="H369" s="4" t="n">
        <v>42700</v>
      </c>
      <c r="I369" s="4" t="n">
        <v>4107412004</v>
      </c>
      <c r="J369" s="4" t="n">
        <v>17750</v>
      </c>
      <c r="K369" s="4" t="n">
        <v>2272318410</v>
      </c>
      <c r="L369" s="4" t="n">
        <v>0</v>
      </c>
      <c r="M369" s="4" t="n">
        <v>1793300377</v>
      </c>
      <c r="N369" s="4" t="n">
        <v>96400</v>
      </c>
      <c r="O369" s="4" t="n">
        <v>541611334</v>
      </c>
      <c r="Q369" s="3" t="n"/>
      <c r="R369" s="3">
        <f>G369*F369-G370*F370</f>
        <v/>
      </c>
      <c r="S369" s="3">
        <f>I369*H369-I370*H370</f>
        <v/>
      </c>
      <c r="T369" s="3">
        <f>K369*J369-K370*J370</f>
        <v/>
      </c>
      <c r="U369" s="3">
        <f>M369*L369-M370*L370</f>
        <v/>
      </c>
      <c r="V369" s="3">
        <f>O369*N369-O370*N370</f>
        <v/>
      </c>
      <c r="X369" s="2">
        <f>R369/10^9</f>
        <v/>
      </c>
      <c r="Y369" s="2">
        <f>S369/10^9</f>
        <v/>
      </c>
      <c r="Z369" s="2">
        <f>T369/10^9</f>
        <v/>
      </c>
      <c r="AA369" s="2">
        <f>U369/10^9</f>
        <v/>
      </c>
      <c r="AB369" s="2">
        <f>V369/10^9</f>
        <v/>
      </c>
      <c r="AC369" s="2" t="n"/>
      <c r="AD369" s="8">
        <f>X369/$C370*$B370</f>
        <v/>
      </c>
      <c r="AE369" s="8">
        <f>Y369/$C370*$B370</f>
        <v/>
      </c>
      <c r="AF369" s="8">
        <f>Z369/$C370*$B370</f>
        <v/>
      </c>
      <c r="AG369" s="8">
        <f>AA369/$C370*$B370</f>
        <v/>
      </c>
      <c r="AH369" s="11">
        <f>AB369/$C370*$B370</f>
        <v/>
      </c>
      <c r="AI369" s="8">
        <f>SUM(AD369:AG369)</f>
        <v/>
      </c>
      <c r="AJ369" s="9">
        <f>AI369+AJ370</f>
        <v/>
      </c>
      <c r="AK369" s="9" t="n"/>
      <c r="AL369" s="7">
        <f>B369-AJ369</f>
        <v/>
      </c>
      <c r="AM369" s="42">
        <f>_xlfn.STDEV.S(AL369:AL388)</f>
        <v/>
      </c>
    </row>
    <row r="370">
      <c r="A370" s="1" t="n">
        <v>45720</v>
      </c>
      <c r="B370" s="7" t="n">
        <v>1311.91</v>
      </c>
      <c r="C370" s="3" t="n">
        <v>5473594</v>
      </c>
      <c r="E370" s="5" t="n">
        <v>45720</v>
      </c>
      <c r="F370" s="4" t="n">
        <v>41950</v>
      </c>
      <c r="G370" s="4" t="n">
        <v>3823661561</v>
      </c>
      <c r="H370" s="4" t="n">
        <v>42050</v>
      </c>
      <c r="I370" s="4" t="n">
        <v>4107412004</v>
      </c>
      <c r="J370" s="4" t="n">
        <v>17700</v>
      </c>
      <c r="K370" s="4" t="n">
        <v>2272318410</v>
      </c>
      <c r="L370" s="4" t="n">
        <v>0</v>
      </c>
      <c r="M370" s="4" t="n">
        <v>1793300377</v>
      </c>
      <c r="N370" s="4" t="n">
        <v>96800</v>
      </c>
      <c r="O370" s="4" t="n">
        <v>541611334</v>
      </c>
      <c r="Q370" s="3" t="n"/>
      <c r="R370" s="3">
        <f>G370*F370-G371*F371</f>
        <v/>
      </c>
      <c r="S370" s="3">
        <f>I370*H370-I371*H371</f>
        <v/>
      </c>
      <c r="T370" s="3">
        <f>K370*J370-K371*J371</f>
        <v/>
      </c>
      <c r="U370" s="3">
        <f>M370*L370-M371*L371</f>
        <v/>
      </c>
      <c r="V370" s="3">
        <f>O370*N370-O371*N371</f>
        <v/>
      </c>
      <c r="X370" s="2">
        <f>R370/10^9</f>
        <v/>
      </c>
      <c r="Y370" s="2">
        <f>S370/10^9</f>
        <v/>
      </c>
      <c r="Z370" s="2">
        <f>T370/10^9</f>
        <v/>
      </c>
      <c r="AA370" s="2">
        <f>U370/10^9</f>
        <v/>
      </c>
      <c r="AB370" s="2">
        <f>V370/10^9</f>
        <v/>
      </c>
      <c r="AC370" s="2" t="n"/>
      <c r="AD370" s="8">
        <f>X370/$C371*$B371</f>
        <v/>
      </c>
      <c r="AE370" s="8">
        <f>Y370/$C371*$B371</f>
        <v/>
      </c>
      <c r="AF370" s="8">
        <f>Z370/$C371*$B371</f>
        <v/>
      </c>
      <c r="AG370" s="8">
        <f>AA370/$C371*$B371</f>
        <v/>
      </c>
      <c r="AH370" s="11">
        <f>AB370/$C371*$B371</f>
        <v/>
      </c>
      <c r="AI370" s="8">
        <f>SUM(AD370:AG370)</f>
        <v/>
      </c>
      <c r="AJ370" s="9">
        <f>AI370+AJ371</f>
        <v/>
      </c>
      <c r="AK370" s="9" t="n"/>
      <c r="AL370" s="7">
        <f>B370-AJ370</f>
        <v/>
      </c>
      <c r="AM370" s="42">
        <f>_xlfn.STDEV.S(AL370:AL389)</f>
        <v/>
      </c>
    </row>
    <row r="371">
      <c r="A371" s="1" t="n">
        <v>45719</v>
      </c>
      <c r="B371" s="7" t="n">
        <v>1309.37</v>
      </c>
      <c r="C371" s="3" t="n">
        <v>5457723</v>
      </c>
      <c r="E371" s="5" t="n">
        <v>45719</v>
      </c>
      <c r="F371" s="4" t="n">
        <v>42050</v>
      </c>
      <c r="G371" s="4" t="n">
        <v>3823661561</v>
      </c>
      <c r="H371" s="4" t="n">
        <v>42550</v>
      </c>
      <c r="I371" s="4" t="n">
        <v>4107412004</v>
      </c>
      <c r="J371" s="4" t="n">
        <v>17700</v>
      </c>
      <c r="K371" s="4" t="n">
        <v>2272318410</v>
      </c>
      <c r="L371" s="4" t="n">
        <v>0</v>
      </c>
      <c r="M371" s="4" t="n">
        <v>1793300377</v>
      </c>
      <c r="N371" s="4" t="n">
        <v>96900</v>
      </c>
      <c r="O371" s="4" t="n">
        <v>541611334</v>
      </c>
      <c r="Q371" s="3" t="n"/>
      <c r="R371" s="3">
        <f>G371*F371-G372*F372</f>
        <v/>
      </c>
      <c r="S371" s="3">
        <f>I371*H371-I372*H372</f>
        <v/>
      </c>
      <c r="T371" s="3">
        <f>K371*J371-K372*J372</f>
        <v/>
      </c>
      <c r="U371" s="3">
        <f>M371*L371-M372*L372</f>
        <v/>
      </c>
      <c r="V371" s="3">
        <f>O371*N371-O372*N372</f>
        <v/>
      </c>
      <c r="X371" s="2">
        <f>R371/10^9</f>
        <v/>
      </c>
      <c r="Y371" s="2">
        <f>S371/10^9</f>
        <v/>
      </c>
      <c r="Z371" s="2">
        <f>T371/10^9</f>
        <v/>
      </c>
      <c r="AA371" s="2">
        <f>U371/10^9</f>
        <v/>
      </c>
      <c r="AB371" s="2">
        <f>V371/10^9</f>
        <v/>
      </c>
      <c r="AC371" s="2" t="n"/>
      <c r="AD371" s="8">
        <f>X371/$C372*$B372</f>
        <v/>
      </c>
      <c r="AE371" s="8">
        <f>Y371/$C372*$B372</f>
        <v/>
      </c>
      <c r="AF371" s="8">
        <f>Z371/$C372*$B372</f>
        <v/>
      </c>
      <c r="AG371" s="8">
        <f>AA371/$C372*$B372</f>
        <v/>
      </c>
      <c r="AH371" s="11">
        <f>AB371/$C372*$B372</f>
        <v/>
      </c>
      <c r="AI371" s="8">
        <f>SUM(AD371:AG371)</f>
        <v/>
      </c>
      <c r="AJ371" s="9">
        <f>AI371+AJ372</f>
        <v/>
      </c>
      <c r="AK371" s="9" t="n"/>
      <c r="AL371" s="7">
        <f>B371-AJ371</f>
        <v/>
      </c>
      <c r="AM371" s="42">
        <f>_xlfn.STDEV.S(AL371:AL390)</f>
        <v/>
      </c>
    </row>
    <row r="372">
      <c r="A372" s="1" t="n">
        <v>45716</v>
      </c>
      <c r="B372" s="7" t="n">
        <v>1305.36</v>
      </c>
      <c r="C372" s="3" t="n">
        <v>5441002</v>
      </c>
      <c r="E372" s="5" t="n">
        <v>45716</v>
      </c>
      <c r="F372" s="4" t="n">
        <v>41200</v>
      </c>
      <c r="G372" s="4" t="n">
        <v>3823661561</v>
      </c>
      <c r="H372" s="4" t="n">
        <v>41200</v>
      </c>
      <c r="I372" s="4" t="n">
        <v>4107412004</v>
      </c>
      <c r="J372" s="4" t="n">
        <v>17400</v>
      </c>
      <c r="K372" s="4" t="n">
        <v>2272318410</v>
      </c>
      <c r="L372" s="4" t="n">
        <v>0</v>
      </c>
      <c r="M372" s="4" t="n">
        <v>1793300377</v>
      </c>
      <c r="N372" s="4" t="n">
        <v>96000</v>
      </c>
      <c r="O372" s="4" t="n">
        <v>541611334</v>
      </c>
      <c r="Q372" s="3" t="n"/>
      <c r="R372" s="3">
        <f>G372*F372-G373*F373</f>
        <v/>
      </c>
      <c r="S372" s="3">
        <f>I372*H372-I373*H373</f>
        <v/>
      </c>
      <c r="T372" s="3">
        <f>K372*J372-K373*J373</f>
        <v/>
      </c>
      <c r="U372" s="3">
        <f>M372*L372-M373*L373</f>
        <v/>
      </c>
      <c r="V372" s="3">
        <f>O372*N372-O373*N373</f>
        <v/>
      </c>
      <c r="X372" s="2">
        <f>R372/10^9</f>
        <v/>
      </c>
      <c r="Y372" s="2">
        <f>S372/10^9</f>
        <v/>
      </c>
      <c r="Z372" s="2">
        <f>T372/10^9</f>
        <v/>
      </c>
      <c r="AA372" s="2">
        <f>U372/10^9</f>
        <v/>
      </c>
      <c r="AB372" s="2">
        <f>V372/10^9</f>
        <v/>
      </c>
      <c r="AC372" s="2" t="n"/>
      <c r="AD372" s="8">
        <f>X372/$C373*$B373</f>
        <v/>
      </c>
      <c r="AE372" s="8">
        <f>Y372/$C373*$B373</f>
        <v/>
      </c>
      <c r="AF372" s="8">
        <f>Z372/$C373*$B373</f>
        <v/>
      </c>
      <c r="AG372" s="8">
        <f>AA372/$C373*$B373</f>
        <v/>
      </c>
      <c r="AH372" s="11">
        <f>AB372/$C373*$B373</f>
        <v/>
      </c>
      <c r="AI372" s="8">
        <f>SUM(AD372:AG372)</f>
        <v/>
      </c>
      <c r="AJ372" s="9">
        <f>AI372+AJ373</f>
        <v/>
      </c>
      <c r="AK372" s="9" t="n"/>
      <c r="AL372" s="7">
        <f>B372-AJ372</f>
        <v/>
      </c>
      <c r="AM372" s="42">
        <f>_xlfn.STDEV.S(AL372:AL391)</f>
        <v/>
      </c>
    </row>
    <row r="373">
      <c r="A373" s="1" t="n">
        <v>45715</v>
      </c>
      <c r="B373" s="7" t="n">
        <v>1307.8</v>
      </c>
      <c r="C373" s="3" t="n">
        <v>5451141</v>
      </c>
      <c r="E373" s="5" t="n">
        <v>45715</v>
      </c>
      <c r="F373" s="4" t="n">
        <v>41050</v>
      </c>
      <c r="G373" s="4" t="n">
        <v>3823661561</v>
      </c>
      <c r="H373" s="4" t="n">
        <v>41050</v>
      </c>
      <c r="I373" s="4" t="n">
        <v>4107412004</v>
      </c>
      <c r="J373" s="4" t="n">
        <v>17200</v>
      </c>
      <c r="K373" s="4" t="n">
        <v>2272318410</v>
      </c>
      <c r="L373" s="4" t="n">
        <v>0</v>
      </c>
      <c r="M373" s="4" t="n">
        <v>1793300377</v>
      </c>
      <c r="N373" s="4" t="n">
        <v>96900</v>
      </c>
      <c r="O373" s="4" t="n">
        <v>541611334</v>
      </c>
      <c r="Q373" s="3" t="n"/>
      <c r="R373" s="3">
        <f>G373*F373-G374*F374</f>
        <v/>
      </c>
      <c r="S373" s="3">
        <f>I373*H373-I374*H374</f>
        <v/>
      </c>
      <c r="T373" s="3">
        <f>K373*J373-K374*J374</f>
        <v/>
      </c>
      <c r="U373" s="3">
        <f>M373*L373-M374*L374</f>
        <v/>
      </c>
      <c r="V373" s="3">
        <f>O373*N373-O374*N374</f>
        <v/>
      </c>
      <c r="X373" s="2">
        <f>R373/10^9</f>
        <v/>
      </c>
      <c r="Y373" s="2">
        <f>S373/10^9</f>
        <v/>
      </c>
      <c r="Z373" s="2">
        <f>T373/10^9</f>
        <v/>
      </c>
      <c r="AA373" s="2">
        <f>U373/10^9</f>
        <v/>
      </c>
      <c r="AB373" s="2">
        <f>V373/10^9</f>
        <v/>
      </c>
      <c r="AC373" s="2" t="n"/>
      <c r="AD373" s="8">
        <f>X373/$C374*$B374</f>
        <v/>
      </c>
      <c r="AE373" s="8">
        <f>Y373/$C374*$B374</f>
        <v/>
      </c>
      <c r="AF373" s="8">
        <f>Z373/$C374*$B374</f>
        <v/>
      </c>
      <c r="AG373" s="8">
        <f>AA373/$C374*$B374</f>
        <v/>
      </c>
      <c r="AH373" s="11">
        <f>AB373/$C374*$B374</f>
        <v/>
      </c>
      <c r="AI373" s="8">
        <f>SUM(AD373:AG373)</f>
        <v/>
      </c>
      <c r="AJ373" s="9">
        <f>AI373+AJ374</f>
        <v/>
      </c>
      <c r="AK373" s="9" t="n"/>
      <c r="AL373" s="7">
        <f>B373-AJ373</f>
        <v/>
      </c>
      <c r="AM373" s="42">
        <f>_xlfn.STDEV.S(AL373:AL392)</f>
        <v/>
      </c>
    </row>
    <row r="374">
      <c r="A374" s="1" t="n">
        <v>45714</v>
      </c>
      <c r="B374" s="7" t="n">
        <v>1302.96</v>
      </c>
      <c r="C374" s="3" t="n">
        <v>5430492.437582491</v>
      </c>
      <c r="E374" s="5" t="n">
        <v>45714</v>
      </c>
      <c r="F374" s="4" t="n">
        <v>41000</v>
      </c>
      <c r="G374" s="4" t="n">
        <v>3823661561</v>
      </c>
      <c r="H374" s="4" t="n">
        <v>40700</v>
      </c>
      <c r="I374" s="4" t="n">
        <v>4107412004</v>
      </c>
      <c r="J374" s="4" t="n">
        <v>17150</v>
      </c>
      <c r="K374" s="4" t="n">
        <v>2272318410</v>
      </c>
      <c r="L374" s="4" t="n">
        <v>0</v>
      </c>
      <c r="M374" s="4" t="n">
        <v>1793300377</v>
      </c>
      <c r="N374" s="4" t="n">
        <v>97100</v>
      </c>
      <c r="O374" s="4" t="n">
        <v>541611334</v>
      </c>
      <c r="Q374" s="3" t="n"/>
      <c r="R374" s="3">
        <f>G374*F374-G375*F375</f>
        <v/>
      </c>
      <c r="S374" s="3">
        <f>I374*H374-I375*H375</f>
        <v/>
      </c>
      <c r="T374" s="3">
        <f>K374*J374-K375*J375</f>
        <v/>
      </c>
      <c r="U374" s="3">
        <f>M374*L374-M375*L375</f>
        <v/>
      </c>
      <c r="V374" s="3">
        <f>O374*N374-O375*N375</f>
        <v/>
      </c>
      <c r="X374" s="2">
        <f>R374/10^9</f>
        <v/>
      </c>
      <c r="Y374" s="2">
        <f>S374/10^9</f>
        <v/>
      </c>
      <c r="Z374" s="2">
        <f>T374/10^9</f>
        <v/>
      </c>
      <c r="AA374" s="2">
        <f>U374/10^9</f>
        <v/>
      </c>
      <c r="AB374" s="2">
        <f>V374/10^9</f>
        <v/>
      </c>
      <c r="AC374" s="2" t="n"/>
      <c r="AD374" s="8">
        <f>X374/$C375*$B375</f>
        <v/>
      </c>
      <c r="AE374" s="8">
        <f>Y374/$C375*$B375</f>
        <v/>
      </c>
      <c r="AF374" s="8">
        <f>Z374/$C375*$B375</f>
        <v/>
      </c>
      <c r="AG374" s="8">
        <f>AA374/$C375*$B375</f>
        <v/>
      </c>
      <c r="AH374" s="11">
        <f>AB374/$C375*$B375</f>
        <v/>
      </c>
      <c r="AI374" s="8">
        <f>SUM(AD374:AG374)</f>
        <v/>
      </c>
      <c r="AJ374" s="9">
        <f>AI374+AJ375</f>
        <v/>
      </c>
      <c r="AK374" s="9" t="n"/>
      <c r="AL374" s="7">
        <f>B374-AJ374</f>
        <v/>
      </c>
      <c r="AM374" s="42">
        <f>_xlfn.STDEV.S(AL374:AL393)</f>
        <v/>
      </c>
    </row>
    <row r="375">
      <c r="A375" s="1" t="n">
        <v>45713</v>
      </c>
      <c r="B375" s="7" t="n">
        <v>1303.16</v>
      </c>
      <c r="C375" s="3" t="n">
        <v>5431326</v>
      </c>
      <c r="E375" s="5" t="n">
        <v>45713</v>
      </c>
      <c r="F375" s="4" t="n">
        <v>40700</v>
      </c>
      <c r="G375" s="4" t="n">
        <v>3823661561</v>
      </c>
      <c r="H375" s="4" t="n">
        <v>40750</v>
      </c>
      <c r="I375" s="4" t="n">
        <v>4107412004</v>
      </c>
      <c r="J375" s="4" t="n">
        <v>17250</v>
      </c>
      <c r="K375" s="4" t="n">
        <v>2272318410</v>
      </c>
      <c r="L375" s="4" t="n">
        <v>0</v>
      </c>
      <c r="M375" s="4" t="n">
        <v>1793300377</v>
      </c>
      <c r="N375" s="4" t="n">
        <v>96100</v>
      </c>
      <c r="O375" s="4" t="n">
        <v>541611334</v>
      </c>
      <c r="Q375" s="3" t="n"/>
      <c r="R375" s="3">
        <f>G375*F375-G376*F376</f>
        <v/>
      </c>
      <c r="S375" s="3">
        <f>I375*H375-I376*H376</f>
        <v/>
      </c>
      <c r="T375" s="3">
        <f>K375*J375-K376*J376</f>
        <v/>
      </c>
      <c r="U375" s="3">
        <f>M375*L375-M376*L376</f>
        <v/>
      </c>
      <c r="V375" s="3">
        <f>O375*N375-O376*N376</f>
        <v/>
      </c>
      <c r="X375" s="2">
        <f>R375/10^9</f>
        <v/>
      </c>
      <c r="Y375" s="2">
        <f>S375/10^9</f>
        <v/>
      </c>
      <c r="Z375" s="2">
        <f>T375/10^9</f>
        <v/>
      </c>
      <c r="AA375" s="2">
        <f>U375/10^9</f>
        <v/>
      </c>
      <c r="AB375" s="2">
        <f>V375/10^9</f>
        <v/>
      </c>
      <c r="AC375" s="2" t="n"/>
      <c r="AD375" s="8">
        <f>X375/$C376*$B376</f>
        <v/>
      </c>
      <c r="AE375" s="8">
        <f>Y375/$C376*$B376</f>
        <v/>
      </c>
      <c r="AF375" s="8">
        <f>Z375/$C376*$B376</f>
        <v/>
      </c>
      <c r="AG375" s="8">
        <f>AA375/$C376*$B376</f>
        <v/>
      </c>
      <c r="AH375" s="11">
        <f>AB375/$C376*$B376</f>
        <v/>
      </c>
      <c r="AI375" s="8">
        <f>SUM(AD375:AG375)</f>
        <v/>
      </c>
      <c r="AJ375" s="9">
        <f>AI375+AJ376</f>
        <v/>
      </c>
      <c r="AK375" s="9" t="n"/>
      <c r="AL375" s="7">
        <f>B375-AJ375</f>
        <v/>
      </c>
      <c r="AM375" s="42">
        <f>_xlfn.STDEV.S(AL375:AL394)</f>
        <v/>
      </c>
    </row>
    <row r="376">
      <c r="A376" s="1" t="n">
        <v>45712</v>
      </c>
      <c r="B376" s="7" t="n">
        <v>1304.56</v>
      </c>
      <c r="C376" s="3" t="n">
        <v>5437150</v>
      </c>
      <c r="E376" s="5" t="n">
        <v>45712</v>
      </c>
      <c r="F376" s="4" t="n">
        <v>40600</v>
      </c>
      <c r="G376" s="4" t="n">
        <v>3823661561</v>
      </c>
      <c r="H376" s="4" t="n">
        <v>40250</v>
      </c>
      <c r="I376" s="4" t="n">
        <v>4107412004</v>
      </c>
      <c r="J376" s="4" t="n">
        <v>17350</v>
      </c>
      <c r="K376" s="4" t="n">
        <v>2272318410</v>
      </c>
      <c r="L376" s="4" t="n">
        <v>0</v>
      </c>
      <c r="M376" s="4" t="n">
        <v>1793300377</v>
      </c>
      <c r="N376" s="4" t="n">
        <v>96600</v>
      </c>
      <c r="O376" s="4" t="n">
        <v>541611334</v>
      </c>
      <c r="Q376" s="3" t="n"/>
      <c r="R376" s="3">
        <f>G376*F376-G377*F377</f>
        <v/>
      </c>
      <c r="S376" s="3">
        <f>I376*H376-I377*H377</f>
        <v/>
      </c>
      <c r="T376" s="3">
        <f>K376*J376-K377*J377</f>
        <v/>
      </c>
      <c r="U376" s="3">
        <f>M376*L376-M377*L377</f>
        <v/>
      </c>
      <c r="V376" s="3">
        <f>O376*N376-O377*N377</f>
        <v/>
      </c>
      <c r="X376" s="2">
        <f>R376/10^9</f>
        <v/>
      </c>
      <c r="Y376" s="2">
        <f>S376/10^9</f>
        <v/>
      </c>
      <c r="Z376" s="2">
        <f>T376/10^9</f>
        <v/>
      </c>
      <c r="AA376" s="2">
        <f>U376/10^9</f>
        <v/>
      </c>
      <c r="AB376" s="2">
        <f>V376/10^9</f>
        <v/>
      </c>
      <c r="AC376" s="2" t="n"/>
      <c r="AD376" s="8">
        <f>X376/$C377*$B377</f>
        <v/>
      </c>
      <c r="AE376" s="8">
        <f>Y376/$C377*$B377</f>
        <v/>
      </c>
      <c r="AF376" s="8">
        <f>Z376/$C377*$B377</f>
        <v/>
      </c>
      <c r="AG376" s="8">
        <f>AA376/$C377*$B377</f>
        <v/>
      </c>
      <c r="AH376" s="11">
        <f>AB376/$C377*$B377</f>
        <v/>
      </c>
      <c r="AI376" s="8">
        <f>SUM(AD376:AG376)</f>
        <v/>
      </c>
      <c r="AJ376" s="9">
        <f>AI376+AJ377</f>
        <v/>
      </c>
      <c r="AK376" s="9" t="n"/>
      <c r="AL376" s="7">
        <f>B376-AJ376</f>
        <v/>
      </c>
      <c r="AM376" s="42">
        <f>_xlfn.STDEV.S(AL376:AL395)</f>
        <v/>
      </c>
    </row>
    <row r="377">
      <c r="A377" s="1" t="n">
        <v>45709</v>
      </c>
      <c r="B377" s="7" t="n">
        <v>1296.75</v>
      </c>
      <c r="C377" s="3" t="n">
        <v>5404621</v>
      </c>
      <c r="E377" s="5" t="n">
        <v>45709</v>
      </c>
      <c r="F377" s="4" t="n">
        <v>40650</v>
      </c>
      <c r="G377" s="4" t="n">
        <v>3823661561</v>
      </c>
      <c r="H377" s="4" t="n">
        <v>40300</v>
      </c>
      <c r="I377" s="4" t="n">
        <v>4107412004</v>
      </c>
      <c r="J377" s="4" t="n">
        <v>17250</v>
      </c>
      <c r="K377" s="4" t="n">
        <v>2272318410</v>
      </c>
      <c r="L377" s="4" t="n">
        <v>0</v>
      </c>
      <c r="M377" s="4" t="n">
        <v>1793300377</v>
      </c>
      <c r="N377" s="4" t="n">
        <v>96600</v>
      </c>
      <c r="O377" s="4" t="n">
        <v>541611334</v>
      </c>
      <c r="Q377" s="3" t="n"/>
      <c r="R377" s="3">
        <f>G377*F377-G378*F378</f>
        <v/>
      </c>
      <c r="S377" s="3">
        <f>I377*H377-I378*H378</f>
        <v/>
      </c>
      <c r="T377" s="3">
        <f>K377*J377-K378*J378</f>
        <v/>
      </c>
      <c r="U377" s="3">
        <f>M377*L377-M378*L378</f>
        <v/>
      </c>
      <c r="V377" s="3">
        <f>O377*N377-O378*N378</f>
        <v/>
      </c>
      <c r="X377" s="2">
        <f>R377/10^9</f>
        <v/>
      </c>
      <c r="Y377" s="2">
        <f>S377/10^9</f>
        <v/>
      </c>
      <c r="Z377" s="2">
        <f>T377/10^9</f>
        <v/>
      </c>
      <c r="AA377" s="2">
        <f>U377/10^9</f>
        <v/>
      </c>
      <c r="AB377" s="2">
        <f>V377/10^9</f>
        <v/>
      </c>
      <c r="AC377" s="2" t="n"/>
      <c r="AD377" s="8">
        <f>X377/$C378*$B378</f>
        <v/>
      </c>
      <c r="AE377" s="8">
        <f>Y377/$C378*$B378</f>
        <v/>
      </c>
      <c r="AF377" s="8">
        <f>Z377/$C378*$B378</f>
        <v/>
      </c>
      <c r="AG377" s="8">
        <f>AA377/$C378*$B378</f>
        <v/>
      </c>
      <c r="AH377" s="11">
        <f>AB377/$C378*$B378</f>
        <v/>
      </c>
      <c r="AI377" s="8">
        <f>SUM(AD377:AG377)</f>
        <v/>
      </c>
      <c r="AJ377" s="9">
        <f>AI377+AJ378</f>
        <v/>
      </c>
      <c r="AK377" s="9" t="n"/>
      <c r="AL377" s="7">
        <f>B377-AJ377</f>
        <v/>
      </c>
      <c r="AM377" s="42">
        <f>_xlfn.STDEV.S(AL377:AL396)</f>
        <v/>
      </c>
    </row>
    <row r="378">
      <c r="A378" s="1" t="n">
        <v>45708</v>
      </c>
      <c r="B378" s="7" t="n">
        <v>1292.98</v>
      </c>
      <c r="C378" s="3" t="n">
        <v>5388772</v>
      </c>
      <c r="E378" s="5" t="n">
        <v>45708</v>
      </c>
      <c r="F378" s="4" t="n">
        <v>40950</v>
      </c>
      <c r="G378" s="4" t="n">
        <v>3823661561</v>
      </c>
      <c r="H378" s="4" t="n">
        <v>40550</v>
      </c>
      <c r="I378" s="4" t="n">
        <v>4107412004</v>
      </c>
      <c r="J378" s="4" t="n">
        <v>17350</v>
      </c>
      <c r="K378" s="4" t="n">
        <v>2272318410</v>
      </c>
      <c r="L378" s="4" t="n">
        <v>0</v>
      </c>
      <c r="M378" s="4" t="n">
        <v>1793300377</v>
      </c>
      <c r="N378" s="4" t="n">
        <v>96900</v>
      </c>
      <c r="O378" s="4" t="n">
        <v>541611334</v>
      </c>
      <c r="Q378" s="3" t="n"/>
      <c r="R378" s="3">
        <f>G378*F378-G379*F379</f>
        <v/>
      </c>
      <c r="S378" s="3">
        <f>I378*H378-I379*H379</f>
        <v/>
      </c>
      <c r="T378" s="3">
        <f>K378*J378-K379*J379</f>
        <v/>
      </c>
      <c r="U378" s="3">
        <f>M378*L378-M379*L379</f>
        <v/>
      </c>
      <c r="V378" s="3">
        <f>O378*N378-O379*N379</f>
        <v/>
      </c>
      <c r="X378" s="2">
        <f>R378/10^9</f>
        <v/>
      </c>
      <c r="Y378" s="2">
        <f>S378/10^9</f>
        <v/>
      </c>
      <c r="Z378" s="2">
        <f>T378/10^9</f>
        <v/>
      </c>
      <c r="AA378" s="2">
        <f>U378/10^9</f>
        <v/>
      </c>
      <c r="AB378" s="2">
        <f>V378/10^9</f>
        <v/>
      </c>
      <c r="AC378" s="2" t="n"/>
      <c r="AD378" s="8">
        <f>X378/$C379*$B379</f>
        <v/>
      </c>
      <c r="AE378" s="8">
        <f>Y378/$C379*$B379</f>
        <v/>
      </c>
      <c r="AF378" s="8">
        <f>Z378/$C379*$B379</f>
        <v/>
      </c>
      <c r="AG378" s="8">
        <f>AA378/$C379*$B379</f>
        <v/>
      </c>
      <c r="AH378" s="11">
        <f>AB378/$C379*$B379</f>
        <v/>
      </c>
      <c r="AI378" s="8">
        <f>SUM(AD378:AG378)</f>
        <v/>
      </c>
      <c r="AJ378" s="9">
        <f>AI378+AJ379</f>
        <v/>
      </c>
      <c r="AK378" s="9" t="n"/>
      <c r="AL378" s="7">
        <f>B378-AJ378</f>
        <v/>
      </c>
      <c r="AM378" s="42">
        <f>_xlfn.STDEV.S(AL378:AL397)</f>
        <v/>
      </c>
    </row>
    <row r="379">
      <c r="A379" s="1" t="n">
        <v>45707</v>
      </c>
      <c r="B379" s="7" t="n">
        <v>1288.56</v>
      </c>
      <c r="C379" s="3" t="n">
        <v>5370342</v>
      </c>
      <c r="E379" s="5" t="n">
        <v>45707</v>
      </c>
      <c r="F379" s="4" t="n">
        <v>40400</v>
      </c>
      <c r="G379" s="4" t="n">
        <v>3823661561</v>
      </c>
      <c r="H379" s="4" t="n">
        <v>39100</v>
      </c>
      <c r="I379" s="4" t="n">
        <v>4107412004</v>
      </c>
      <c r="J379" s="4" t="n">
        <v>17200</v>
      </c>
      <c r="K379" s="4" t="n">
        <v>2272318410</v>
      </c>
      <c r="L379" s="4" t="n">
        <v>0</v>
      </c>
      <c r="M379" s="4" t="n">
        <v>1793300377</v>
      </c>
      <c r="N379" s="4" t="n">
        <v>97400</v>
      </c>
      <c r="O379" s="4" t="n">
        <v>541611334</v>
      </c>
      <c r="Q379" s="3" t="n"/>
      <c r="R379" s="3">
        <f>G379*F379-G380*F380</f>
        <v/>
      </c>
      <c r="S379" s="3">
        <f>I379*H379-I380*H380</f>
        <v/>
      </c>
      <c r="T379" s="3">
        <f>K379*J379-K380*J380</f>
        <v/>
      </c>
      <c r="U379" s="3">
        <f>M379*L379-M380*L380</f>
        <v/>
      </c>
      <c r="V379" s="3">
        <f>O379*N379-O380*N380</f>
        <v/>
      </c>
      <c r="X379" s="2">
        <f>R379/10^9</f>
        <v/>
      </c>
      <c r="Y379" s="2">
        <f>S379/10^9</f>
        <v/>
      </c>
      <c r="Z379" s="2">
        <f>T379/10^9</f>
        <v/>
      </c>
      <c r="AA379" s="2">
        <f>U379/10^9</f>
        <v/>
      </c>
      <c r="AB379" s="2">
        <f>V379/10^9</f>
        <v/>
      </c>
      <c r="AC379" s="2" t="n"/>
      <c r="AD379" s="8">
        <f>X379/$C380*$B380</f>
        <v/>
      </c>
      <c r="AE379" s="8">
        <f>Y379/$C380*$B380</f>
        <v/>
      </c>
      <c r="AF379" s="8">
        <f>Z379/$C380*$B380</f>
        <v/>
      </c>
      <c r="AG379" s="8">
        <f>AA379/$C380*$B380</f>
        <v/>
      </c>
      <c r="AH379" s="11">
        <f>AB379/$C380*$B380</f>
        <v/>
      </c>
      <c r="AI379" s="8">
        <f>SUM(AD379:AG379)</f>
        <v/>
      </c>
      <c r="AJ379" s="9">
        <f>AI379+AJ380</f>
        <v/>
      </c>
      <c r="AK379" s="9" t="n"/>
      <c r="AL379" s="7">
        <f>B379-AJ379</f>
        <v/>
      </c>
      <c r="AM379" s="42">
        <f>_xlfn.STDEV.S(AL379:AL398)</f>
        <v/>
      </c>
    </row>
    <row r="380">
      <c r="A380" s="1" t="n">
        <v>45706</v>
      </c>
      <c r="B380" s="7" t="n">
        <v>1278.14</v>
      </c>
      <c r="C380" s="3" t="n">
        <v>5326951</v>
      </c>
      <c r="E380" s="5" t="n">
        <v>45706</v>
      </c>
      <c r="F380" s="4" t="n">
        <v>40200</v>
      </c>
      <c r="G380" s="4" t="n">
        <v>3823661561</v>
      </c>
      <c r="H380" s="4" t="n">
        <v>38900</v>
      </c>
      <c r="I380" s="4" t="n">
        <v>4107412004</v>
      </c>
      <c r="J380" s="4" t="n">
        <v>16850</v>
      </c>
      <c r="K380" s="4" t="n">
        <v>2272318410</v>
      </c>
      <c r="L380" s="4" t="n">
        <v>0</v>
      </c>
      <c r="M380" s="4" t="n">
        <v>1793300414</v>
      </c>
      <c r="N380" s="4" t="n">
        <v>97400</v>
      </c>
      <c r="O380" s="4" t="n">
        <v>541611334</v>
      </c>
      <c r="Q380" s="3" t="n"/>
      <c r="R380" s="3">
        <f>G380*F380-G381*F381</f>
        <v/>
      </c>
      <c r="S380" s="3">
        <f>I380*H380-I381*H381</f>
        <v/>
      </c>
      <c r="T380" s="3">
        <f>K380*J380-K381*J381</f>
        <v/>
      </c>
      <c r="U380" s="3">
        <f>M380*L380-M381*L381</f>
        <v/>
      </c>
      <c r="V380" s="3">
        <f>O380*N380-O381*N381</f>
        <v/>
      </c>
      <c r="X380" s="2">
        <f>R380/10^9</f>
        <v/>
      </c>
      <c r="Y380" s="2">
        <f>S380/10^9</f>
        <v/>
      </c>
      <c r="Z380" s="2">
        <f>T380/10^9</f>
        <v/>
      </c>
      <c r="AA380" s="2">
        <f>U380/10^9</f>
        <v/>
      </c>
      <c r="AB380" s="2">
        <f>V380/10^9</f>
        <v/>
      </c>
      <c r="AC380" s="2" t="n"/>
      <c r="AD380" s="8">
        <f>X380/$C381*$B381</f>
        <v/>
      </c>
      <c r="AE380" s="8">
        <f>Y380/$C381*$B381</f>
        <v/>
      </c>
      <c r="AF380" s="8">
        <f>Z380/$C381*$B381</f>
        <v/>
      </c>
      <c r="AG380" s="8">
        <f>AA380/$C381*$B381</f>
        <v/>
      </c>
      <c r="AH380" s="11">
        <f>AB380/$C381*$B381</f>
        <v/>
      </c>
      <c r="AI380" s="8">
        <f>SUM(AD380:AG380)</f>
        <v/>
      </c>
      <c r="AJ380" s="9">
        <f>AI380+AJ381</f>
        <v/>
      </c>
      <c r="AK380" s="9" t="n"/>
      <c r="AL380" s="7">
        <f>B380-AJ380</f>
        <v/>
      </c>
      <c r="AM380" s="42">
        <f>_xlfn.STDEV.S(AL380:AL399)</f>
        <v/>
      </c>
    </row>
    <row r="381">
      <c r="A381" s="1" t="n">
        <v>45705</v>
      </c>
      <c r="B381" s="7" t="n">
        <v>1272.72</v>
      </c>
      <c r="C381" s="3" t="n">
        <v>5304344</v>
      </c>
      <c r="E381" s="5" t="n">
        <v>45705</v>
      </c>
      <c r="F381" s="4" t="n">
        <v>40100</v>
      </c>
      <c r="G381" s="4" t="n">
        <v>3823661561</v>
      </c>
      <c r="H381" s="4" t="n">
        <v>38800</v>
      </c>
      <c r="I381" s="4" t="n">
        <v>4107412004</v>
      </c>
      <c r="J381" s="4" t="n">
        <v>16450</v>
      </c>
      <c r="K381" s="4" t="n">
        <v>2272318410</v>
      </c>
      <c r="L381" s="4" t="n">
        <v>0</v>
      </c>
      <c r="M381" s="4" t="n">
        <v>1793300414</v>
      </c>
      <c r="N381" s="4" t="n">
        <v>97500</v>
      </c>
      <c r="O381" s="4" t="n">
        <v>541611334</v>
      </c>
      <c r="Q381" s="3" t="n"/>
      <c r="R381" s="3">
        <f>G381*F381-G382*F382</f>
        <v/>
      </c>
      <c r="S381" s="3">
        <f>I381*H381-I382*H382</f>
        <v/>
      </c>
      <c r="T381" s="3">
        <f>K381*J381-K382*J382</f>
        <v/>
      </c>
      <c r="U381" s="3">
        <f>M381*L381-M382*L382</f>
        <v/>
      </c>
      <c r="V381" s="3">
        <f>O381*N381-O382*N382</f>
        <v/>
      </c>
      <c r="X381" s="2">
        <f>R381/10^9</f>
        <v/>
      </c>
      <c r="Y381" s="2">
        <f>S381/10^9</f>
        <v/>
      </c>
      <c r="Z381" s="2">
        <f>T381/10^9</f>
        <v/>
      </c>
      <c r="AA381" s="2">
        <f>U381/10^9</f>
        <v/>
      </c>
      <c r="AB381" s="2">
        <f>V381/10^9</f>
        <v/>
      </c>
      <c r="AC381" s="2" t="n"/>
      <c r="AD381" s="8">
        <f>X381/$C382*$B382</f>
        <v/>
      </c>
      <c r="AE381" s="8">
        <f>Y381/$C382*$B382</f>
        <v/>
      </c>
      <c r="AF381" s="8">
        <f>Z381/$C382*$B382</f>
        <v/>
      </c>
      <c r="AG381" s="8">
        <f>AA381/$C382*$B382</f>
        <v/>
      </c>
      <c r="AH381" s="11">
        <f>AB381/$C382*$B382</f>
        <v/>
      </c>
      <c r="AI381" s="8">
        <f>SUM(AD381:AG381)</f>
        <v/>
      </c>
      <c r="AJ381" s="9">
        <f>AI381+AJ382</f>
        <v/>
      </c>
      <c r="AK381" s="9" t="n"/>
      <c r="AL381" s="7">
        <f>B381-AJ381</f>
        <v/>
      </c>
      <c r="AM381" s="42">
        <f>_xlfn.STDEV.S(AL381:AL400)</f>
        <v/>
      </c>
    </row>
    <row r="382">
      <c r="A382" s="1" t="n">
        <v>45702</v>
      </c>
      <c r="B382" s="7" t="n">
        <v>1276.08</v>
      </c>
      <c r="C382" s="3" t="n">
        <v>5318348</v>
      </c>
      <c r="E382" s="5" t="n">
        <v>45702</v>
      </c>
      <c r="F382" s="4" t="n">
        <v>40250</v>
      </c>
      <c r="G382" s="4" t="n">
        <v>3823661561</v>
      </c>
      <c r="H382" s="4" t="n">
        <v>38800</v>
      </c>
      <c r="I382" s="4" t="n">
        <v>4107412004</v>
      </c>
      <c r="J382" s="4" t="n">
        <v>16600</v>
      </c>
      <c r="K382" s="4" t="n">
        <v>2272318410</v>
      </c>
      <c r="L382" s="4" t="n">
        <v>0</v>
      </c>
      <c r="M382" s="4" t="n">
        <v>1793300414</v>
      </c>
      <c r="N382" s="4" t="n">
        <v>96700</v>
      </c>
      <c r="O382" s="4" t="n">
        <v>541611334</v>
      </c>
      <c r="Q382" s="3" t="n"/>
      <c r="R382" s="3">
        <f>G382*F382-G383*F383</f>
        <v/>
      </c>
      <c r="S382" s="3">
        <f>I382*H382-I383*H383</f>
        <v/>
      </c>
      <c r="T382" s="3">
        <f>K382*J382-K383*J383</f>
        <v/>
      </c>
      <c r="U382" s="3">
        <f>M382*L382-M383*L383</f>
        <v/>
      </c>
      <c r="V382" s="3">
        <f>O382*N382-O383*N383</f>
        <v/>
      </c>
      <c r="X382" s="2">
        <f>R382/10^9</f>
        <v/>
      </c>
      <c r="Y382" s="2">
        <f>S382/10^9</f>
        <v/>
      </c>
      <c r="Z382" s="2">
        <f>T382/10^9</f>
        <v/>
      </c>
      <c r="AA382" s="2">
        <f>U382/10^9</f>
        <v/>
      </c>
      <c r="AB382" s="2">
        <f>V382/10^9</f>
        <v/>
      </c>
      <c r="AC382" s="2" t="n"/>
      <c r="AD382" s="8">
        <f>X382/$C383*$B383</f>
        <v/>
      </c>
      <c r="AE382" s="8">
        <f>Y382/$C383*$B383</f>
        <v/>
      </c>
      <c r="AF382" s="8">
        <f>Z382/$C383*$B383</f>
        <v/>
      </c>
      <c r="AG382" s="8">
        <f>AA382/$C383*$B383</f>
        <v/>
      </c>
      <c r="AH382" s="11">
        <f>AB382/$C383*$B383</f>
        <v/>
      </c>
      <c r="AI382" s="8">
        <f>SUM(AD382:AG382)</f>
        <v/>
      </c>
      <c r="AJ382" s="9">
        <f>AI382+AJ383</f>
        <v/>
      </c>
      <c r="AK382" s="9" t="n"/>
      <c r="AL382" s="7">
        <f>B382-AJ382</f>
        <v/>
      </c>
      <c r="AM382" s="42">
        <f>_xlfn.STDEV.S(AL382:AL401)</f>
        <v/>
      </c>
    </row>
    <row r="383">
      <c r="A383" s="1" t="n">
        <v>45701</v>
      </c>
      <c r="B383" s="7" t="n">
        <v>1270.35</v>
      </c>
      <c r="C383" s="3" t="n">
        <v>5294455</v>
      </c>
      <c r="E383" s="5" t="n">
        <v>45701</v>
      </c>
      <c r="F383" s="4" t="n">
        <v>40250</v>
      </c>
      <c r="G383" s="4" t="n">
        <v>3823661561</v>
      </c>
      <c r="H383" s="4" t="n">
        <v>38750</v>
      </c>
      <c r="I383" s="4" t="n">
        <v>4107412004</v>
      </c>
      <c r="J383" s="4" t="n">
        <v>16650</v>
      </c>
      <c r="K383" s="4" t="n">
        <v>2272318410</v>
      </c>
      <c r="L383" s="4" t="n">
        <v>0</v>
      </c>
      <c r="M383" s="4" t="n">
        <v>1793300414</v>
      </c>
      <c r="N383" s="4" t="n">
        <v>96200</v>
      </c>
      <c r="O383" s="4" t="n">
        <v>541611334</v>
      </c>
      <c r="Q383" s="3" t="n"/>
      <c r="R383" s="3">
        <f>G383*F383-G384*F384</f>
        <v/>
      </c>
      <c r="S383" s="3">
        <f>I383*H383-I384*H384</f>
        <v/>
      </c>
      <c r="T383" s="3">
        <f>K383*J383-K384*J384</f>
        <v/>
      </c>
      <c r="U383" s="3">
        <f>M383*L383-M384*L384</f>
        <v/>
      </c>
      <c r="V383" s="3">
        <f>O383*N383-O384*N384</f>
        <v/>
      </c>
      <c r="X383" s="2">
        <f>R383/10^9</f>
        <v/>
      </c>
      <c r="Y383" s="2">
        <f>S383/10^9</f>
        <v/>
      </c>
      <c r="Z383" s="2">
        <f>T383/10^9</f>
        <v/>
      </c>
      <c r="AA383" s="2">
        <f>U383/10^9</f>
        <v/>
      </c>
      <c r="AB383" s="2">
        <f>V383/10^9</f>
        <v/>
      </c>
      <c r="AC383" s="2" t="n"/>
      <c r="AD383" s="8">
        <f>X383/$C384*$B384</f>
        <v/>
      </c>
      <c r="AE383" s="8">
        <f>Y383/$C384*$B384</f>
        <v/>
      </c>
      <c r="AF383" s="8">
        <f>Z383/$C384*$B384</f>
        <v/>
      </c>
      <c r="AG383" s="8">
        <f>AA383/$C384*$B384</f>
        <v/>
      </c>
      <c r="AH383" s="11">
        <f>AB383/$C384*$B384</f>
        <v/>
      </c>
      <c r="AI383" s="8">
        <f>SUM(AD383:AG383)</f>
        <v/>
      </c>
      <c r="AJ383" s="9">
        <f>AI383+AJ384</f>
        <v/>
      </c>
      <c r="AK383" s="9" t="n"/>
      <c r="AL383" s="7">
        <f>B383-AJ383</f>
        <v/>
      </c>
      <c r="AM383" s="42">
        <f>_xlfn.STDEV.S(AL383:AL402)</f>
        <v/>
      </c>
    </row>
    <row r="384">
      <c r="A384" s="1" t="n">
        <v>45700</v>
      </c>
      <c r="B384" s="7" t="n">
        <v>1266.91</v>
      </c>
      <c r="C384" s="3" t="n">
        <v>5280160</v>
      </c>
      <c r="E384" s="5" t="n">
        <v>45700</v>
      </c>
      <c r="F384" s="4" t="n">
        <v>39900</v>
      </c>
      <c r="G384" s="4" t="n">
        <v>3823661561</v>
      </c>
      <c r="H384" s="4" t="n">
        <v>38000</v>
      </c>
      <c r="I384" s="4" t="n">
        <v>4107412004</v>
      </c>
      <c r="J384" s="4" t="n">
        <v>16400</v>
      </c>
      <c r="K384" s="4" t="n">
        <v>2272318410</v>
      </c>
      <c r="L384" s="4" t="n">
        <v>0</v>
      </c>
      <c r="M384" s="4" t="n">
        <v>1793300414</v>
      </c>
      <c r="N384" s="4" t="n">
        <v>96100</v>
      </c>
      <c r="O384" s="4" t="n">
        <v>541611334</v>
      </c>
      <c r="Q384" s="3" t="n"/>
      <c r="R384" s="3">
        <f>G384*F384-G385*F385</f>
        <v/>
      </c>
      <c r="S384" s="3">
        <f>I384*H384-I385*H385</f>
        <v/>
      </c>
      <c r="T384" s="3">
        <f>K384*J384-K385*J385</f>
        <v/>
      </c>
      <c r="U384" s="3">
        <f>M384*L384-M385*L385</f>
        <v/>
      </c>
      <c r="V384" s="3">
        <f>O384*N384-O385*N385</f>
        <v/>
      </c>
      <c r="X384" s="2">
        <f>R384/10^9</f>
        <v/>
      </c>
      <c r="Y384" s="2">
        <f>S384/10^9</f>
        <v/>
      </c>
      <c r="Z384" s="2">
        <f>T384/10^9</f>
        <v/>
      </c>
      <c r="AA384" s="2">
        <f>U384/10^9</f>
        <v/>
      </c>
      <c r="AB384" s="2">
        <f>V384/10^9</f>
        <v/>
      </c>
      <c r="AC384" s="2" t="n"/>
      <c r="AD384" s="8">
        <f>X384/$C385*$B385</f>
        <v/>
      </c>
      <c r="AE384" s="8">
        <f>Y384/$C385*$B385</f>
        <v/>
      </c>
      <c r="AF384" s="8">
        <f>Z384/$C385*$B385</f>
        <v/>
      </c>
      <c r="AG384" s="8">
        <f>AA384/$C385*$B385</f>
        <v/>
      </c>
      <c r="AH384" s="11">
        <f>AB384/$C385*$B385</f>
        <v/>
      </c>
      <c r="AI384" s="8">
        <f>SUM(AD384:AG384)</f>
        <v/>
      </c>
      <c r="AJ384" s="9">
        <f>AI384+AJ385</f>
        <v/>
      </c>
      <c r="AK384" s="9" t="n"/>
      <c r="AL384" s="7">
        <f>B384-AJ384</f>
        <v/>
      </c>
      <c r="AM384" s="42">
        <f>_xlfn.STDEV.S(AL384:AL403)</f>
        <v/>
      </c>
    </row>
    <row r="385">
      <c r="A385" s="1" t="n">
        <v>45699</v>
      </c>
      <c r="B385" s="7" t="n">
        <v>1268.45</v>
      </c>
      <c r="C385" s="3" t="n">
        <v>5283287</v>
      </c>
      <c r="E385" s="5" t="n">
        <v>45699</v>
      </c>
      <c r="F385" s="4" t="n">
        <v>39950</v>
      </c>
      <c r="G385" s="4" t="n">
        <v>3823661561</v>
      </c>
      <c r="H385" s="4" t="n">
        <v>37750</v>
      </c>
      <c r="I385" s="4" t="n">
        <v>4107412004</v>
      </c>
      <c r="J385" s="4" t="n">
        <v>16400</v>
      </c>
      <c r="K385" s="4" t="n">
        <v>2272318410</v>
      </c>
      <c r="L385" s="4" t="n">
        <v>0</v>
      </c>
      <c r="M385" s="4" t="n">
        <v>1793300414</v>
      </c>
      <c r="N385" s="4" t="n">
        <v>96500</v>
      </c>
      <c r="O385" s="4" t="n">
        <v>541611334</v>
      </c>
      <c r="Q385" s="3" t="n"/>
      <c r="R385" s="3">
        <f>G385*F385-G386*F386</f>
        <v/>
      </c>
      <c r="S385" s="3">
        <f>I385*H385-I386*H386</f>
        <v/>
      </c>
      <c r="T385" s="3">
        <f>K385*J385-K386*J386</f>
        <v/>
      </c>
      <c r="U385" s="3">
        <f>M385*L385-M386*L386</f>
        <v/>
      </c>
      <c r="V385" s="3">
        <f>O385*N385-O386*N386</f>
        <v/>
      </c>
      <c r="X385" s="2">
        <f>R385/10^9</f>
        <v/>
      </c>
      <c r="Y385" s="2">
        <f>S385/10^9</f>
        <v/>
      </c>
      <c r="Z385" s="2">
        <f>T385/10^9</f>
        <v/>
      </c>
      <c r="AA385" s="2">
        <f>U385/10^9</f>
        <v/>
      </c>
      <c r="AB385" s="2">
        <f>V385/10^9</f>
        <v/>
      </c>
      <c r="AC385" s="2" t="n"/>
      <c r="AD385" s="8">
        <f>X385/$C386*$B386</f>
        <v/>
      </c>
      <c r="AE385" s="8">
        <f>Y385/$C386*$B386</f>
        <v/>
      </c>
      <c r="AF385" s="8">
        <f>Z385/$C386*$B386</f>
        <v/>
      </c>
      <c r="AG385" s="8">
        <f>AA385/$C386*$B386</f>
        <v/>
      </c>
      <c r="AH385" s="11">
        <f>AB385/$C386*$B386</f>
        <v/>
      </c>
      <c r="AI385" s="8">
        <f>SUM(AD385:AG385)</f>
        <v/>
      </c>
      <c r="AJ385" s="9">
        <f>AI385+AJ386</f>
        <v/>
      </c>
      <c r="AK385" s="9" t="n"/>
      <c r="AL385" s="7">
        <f>B385-AJ385</f>
        <v/>
      </c>
      <c r="AM385" s="42">
        <f>_xlfn.STDEV.S(AL385:AL404)</f>
        <v/>
      </c>
    </row>
    <row r="386">
      <c r="A386" s="1" t="n">
        <v>45698</v>
      </c>
      <c r="B386" s="7" t="n">
        <v>1263.26</v>
      </c>
      <c r="C386" s="3" t="n">
        <v>5261675</v>
      </c>
      <c r="E386" s="5" t="n">
        <v>45698</v>
      </c>
      <c r="F386" s="4" t="n">
        <v>40000</v>
      </c>
      <c r="G386" s="4" t="n">
        <v>3823661561</v>
      </c>
      <c r="H386" s="4" t="n">
        <v>37800</v>
      </c>
      <c r="I386" s="4" t="n">
        <v>4107412004</v>
      </c>
      <c r="J386" s="4" t="n">
        <v>16600</v>
      </c>
      <c r="K386" s="4" t="n">
        <v>2272318410</v>
      </c>
      <c r="L386" s="4" t="n">
        <v>0</v>
      </c>
      <c r="M386" s="4" t="n">
        <v>1793300414</v>
      </c>
      <c r="N386" s="4" t="n">
        <v>96800</v>
      </c>
      <c r="O386" s="4" t="n">
        <v>541611334</v>
      </c>
      <c r="Q386" s="3" t="n"/>
      <c r="R386" s="3">
        <f>G386*F386-G387*F387</f>
        <v/>
      </c>
      <c r="S386" s="3">
        <f>I386*H386-I387*H387</f>
        <v/>
      </c>
      <c r="T386" s="3">
        <f>K386*J386-K387*J387</f>
        <v/>
      </c>
      <c r="U386" s="3">
        <f>M386*L386-M387*L387</f>
        <v/>
      </c>
      <c r="V386" s="3">
        <f>O386*N386-O387*N387</f>
        <v/>
      </c>
      <c r="X386" s="2">
        <f>R386/10^9</f>
        <v/>
      </c>
      <c r="Y386" s="2">
        <f>S386/10^9</f>
        <v/>
      </c>
      <c r="Z386" s="2">
        <f>T386/10^9</f>
        <v/>
      </c>
      <c r="AA386" s="2">
        <f>U386/10^9</f>
        <v/>
      </c>
      <c r="AB386" s="2">
        <f>V386/10^9</f>
        <v/>
      </c>
      <c r="AC386" s="2" t="n"/>
      <c r="AD386" s="8">
        <f>X386/$C387*$B387</f>
        <v/>
      </c>
      <c r="AE386" s="8">
        <f>Y386/$C387*$B387</f>
        <v/>
      </c>
      <c r="AF386" s="8">
        <f>Z386/$C387*$B387</f>
        <v/>
      </c>
      <c r="AG386" s="8">
        <f>AA386/$C387*$B387</f>
        <v/>
      </c>
      <c r="AH386" s="11">
        <f>AB386/$C387*$B387</f>
        <v/>
      </c>
      <c r="AI386" s="8">
        <f>SUM(AD386:AG386)</f>
        <v/>
      </c>
      <c r="AJ386" s="9">
        <f>AI386+AJ387</f>
        <v/>
      </c>
      <c r="AK386" s="9" t="n"/>
      <c r="AL386" s="7">
        <f>B386-AJ386</f>
        <v/>
      </c>
      <c r="AM386" s="42">
        <f>_xlfn.STDEV.S(AL386:AL405)</f>
        <v/>
      </c>
    </row>
    <row r="387">
      <c r="A387" s="1" t="n">
        <v>45695</v>
      </c>
      <c r="B387" s="7" t="n">
        <v>1275.2</v>
      </c>
      <c r="C387" s="3" t="n">
        <v>5311409</v>
      </c>
      <c r="E387" s="5" t="n">
        <v>45695</v>
      </c>
      <c r="F387" s="4" t="n">
        <v>40650</v>
      </c>
      <c r="G387" s="4" t="n">
        <v>3823661561</v>
      </c>
      <c r="H387" s="4" t="n">
        <v>38750</v>
      </c>
      <c r="I387" s="4" t="n">
        <v>4107412004</v>
      </c>
      <c r="J387" s="4" t="n">
        <v>16850</v>
      </c>
      <c r="K387" s="4" t="n">
        <v>2272318410</v>
      </c>
      <c r="L387" s="4" t="n">
        <v>0</v>
      </c>
      <c r="M387" s="4" t="n">
        <v>1793300414</v>
      </c>
      <c r="N387" s="4" t="n">
        <v>98100</v>
      </c>
      <c r="O387" s="4" t="n">
        <v>541611334</v>
      </c>
      <c r="Q387" s="3" t="n"/>
      <c r="R387" s="3">
        <f>G387*F387-G388*F388</f>
        <v/>
      </c>
      <c r="S387" s="3">
        <f>I387*H387-I388*H388</f>
        <v/>
      </c>
      <c r="T387" s="3">
        <f>K387*J387-K388*J388</f>
        <v/>
      </c>
      <c r="U387" s="3">
        <f>M387*L387-M388*L388</f>
        <v/>
      </c>
      <c r="V387" s="3">
        <f>O387*N387-O388*N388</f>
        <v/>
      </c>
      <c r="X387" s="2">
        <f>R387/10^9</f>
        <v/>
      </c>
      <c r="Y387" s="2">
        <f>S387/10^9</f>
        <v/>
      </c>
      <c r="Z387" s="2">
        <f>T387/10^9</f>
        <v/>
      </c>
      <c r="AA387" s="2">
        <f>U387/10^9</f>
        <v/>
      </c>
      <c r="AB387" s="2">
        <f>V387/10^9</f>
        <v/>
      </c>
      <c r="AC387" s="2" t="n"/>
      <c r="AD387" s="8">
        <f>X387/$C388*$B388</f>
        <v/>
      </c>
      <c r="AE387" s="8">
        <f>Y387/$C388*$B388</f>
        <v/>
      </c>
      <c r="AF387" s="8">
        <f>Z387/$C388*$B388</f>
        <v/>
      </c>
      <c r="AG387" s="8">
        <f>AA387/$C388*$B388</f>
        <v/>
      </c>
      <c r="AH387" s="11">
        <f>AB387/$C388*$B388</f>
        <v/>
      </c>
      <c r="AI387" s="8">
        <f>SUM(AD387:AG387)</f>
        <v/>
      </c>
      <c r="AJ387" s="9">
        <f>AI387+AJ388</f>
        <v/>
      </c>
      <c r="AK387" s="9" t="n"/>
      <c r="AL387" s="7">
        <f>B387-AJ387</f>
        <v/>
      </c>
      <c r="AM387" s="42">
        <f>_xlfn.STDEV.S(AL387:AL406)</f>
        <v/>
      </c>
    </row>
    <row r="388">
      <c r="A388" s="1" t="n">
        <v>45694</v>
      </c>
      <c r="B388" s="7" t="n">
        <v>1271.48</v>
      </c>
      <c r="C388" s="3" t="n">
        <v>5295881</v>
      </c>
      <c r="E388" s="5" t="n">
        <v>45694</v>
      </c>
      <c r="F388" s="4" t="n">
        <v>40450</v>
      </c>
      <c r="G388" s="4" t="n">
        <v>3823661561</v>
      </c>
      <c r="H388" s="4" t="n">
        <v>38800</v>
      </c>
      <c r="I388" s="4" t="n">
        <v>4107412004</v>
      </c>
      <c r="J388" s="4" t="n">
        <v>16700</v>
      </c>
      <c r="K388" s="4" t="n">
        <v>2272318410</v>
      </c>
      <c r="L388" s="4" t="n">
        <v>0</v>
      </c>
      <c r="M388" s="4" t="n">
        <v>1793300414</v>
      </c>
      <c r="N388" s="4" t="n">
        <v>98000</v>
      </c>
      <c r="O388" s="4" t="n">
        <v>541611334</v>
      </c>
      <c r="Q388" s="3" t="n"/>
      <c r="R388" s="3">
        <f>G388*F388-G389*F389</f>
        <v/>
      </c>
      <c r="S388" s="3">
        <f>I388*H388-I389*H389</f>
        <v/>
      </c>
      <c r="T388" s="3">
        <f>K388*J388-K389*J389</f>
        <v/>
      </c>
      <c r="U388" s="3">
        <f>M388*L388-M389*L389</f>
        <v/>
      </c>
      <c r="V388" s="3">
        <f>O388*N388-O389*N389</f>
        <v/>
      </c>
      <c r="X388" s="2">
        <f>R388/10^9</f>
        <v/>
      </c>
      <c r="Y388" s="2">
        <f>S388/10^9</f>
        <v/>
      </c>
      <c r="Z388" s="2">
        <f>T388/10^9</f>
        <v/>
      </c>
      <c r="AA388" s="2">
        <f>U388/10^9</f>
        <v/>
      </c>
      <c r="AB388" s="2">
        <f>V388/10^9</f>
        <v/>
      </c>
      <c r="AC388" s="2" t="n"/>
      <c r="AD388" s="8">
        <f>X388/$C389*$B389</f>
        <v/>
      </c>
      <c r="AE388" s="8">
        <f>Y388/$C389*$B389</f>
        <v/>
      </c>
      <c r="AF388" s="8">
        <f>Z388/$C389*$B389</f>
        <v/>
      </c>
      <c r="AG388" s="8">
        <f>AA388/$C389*$B389</f>
        <v/>
      </c>
      <c r="AH388" s="11">
        <f>AB388/$C389*$B389</f>
        <v/>
      </c>
      <c r="AI388" s="8">
        <f>SUM(AD388:AG388)</f>
        <v/>
      </c>
      <c r="AJ388" s="9">
        <f>AI388+AJ389</f>
        <v/>
      </c>
      <c r="AK388" s="9" t="n"/>
      <c r="AL388" s="7">
        <f>B388-AJ388</f>
        <v/>
      </c>
      <c r="AM388" s="42">
        <f>_xlfn.STDEV.S(AL388:AL407)</f>
        <v/>
      </c>
    </row>
    <row r="389">
      <c r="A389" s="1" t="n">
        <v>45693</v>
      </c>
      <c r="B389" s="7" t="n">
        <v>1269.61</v>
      </c>
      <c r="C389" s="3" t="n">
        <v>5288110</v>
      </c>
      <c r="E389" s="5" t="n">
        <v>45693</v>
      </c>
      <c r="F389" s="4" t="n">
        <v>40050</v>
      </c>
      <c r="G389" s="4" t="n">
        <v>3823661561</v>
      </c>
      <c r="H389" s="4" t="n">
        <v>38850</v>
      </c>
      <c r="I389" s="4" t="n">
        <v>4107412004</v>
      </c>
      <c r="J389" s="4" t="n">
        <v>16850</v>
      </c>
      <c r="K389" s="4" t="n">
        <v>2272318410</v>
      </c>
      <c r="L389" s="4" t="n">
        <v>0</v>
      </c>
      <c r="M389" s="4" t="n">
        <v>1793300414</v>
      </c>
      <c r="N389" s="4" t="n">
        <v>97700</v>
      </c>
      <c r="O389" s="4" t="n">
        <v>541611334</v>
      </c>
      <c r="Q389" s="3" t="n"/>
      <c r="R389" s="3">
        <f>G389*F389-G390*F390</f>
        <v/>
      </c>
      <c r="S389" s="3">
        <f>I389*H389-I390*H390</f>
        <v/>
      </c>
      <c r="T389" s="3">
        <f>K389*J389-K390*J390</f>
        <v/>
      </c>
      <c r="U389" s="3">
        <f>M389*L389-M390*L390</f>
        <v/>
      </c>
      <c r="V389" s="3">
        <f>O389*N389-O390*N390</f>
        <v/>
      </c>
      <c r="X389" s="2">
        <f>R389/10^9</f>
        <v/>
      </c>
      <c r="Y389" s="2">
        <f>S389/10^9</f>
        <v/>
      </c>
      <c r="Z389" s="2">
        <f>T389/10^9</f>
        <v/>
      </c>
      <c r="AA389" s="2">
        <f>U389/10^9</f>
        <v/>
      </c>
      <c r="AB389" s="2">
        <f>V389/10^9</f>
        <v/>
      </c>
      <c r="AC389" s="2" t="n"/>
      <c r="AD389" s="8">
        <f>X389/$C390*$B390</f>
        <v/>
      </c>
      <c r="AE389" s="8">
        <f>Y389/$C390*$B390</f>
        <v/>
      </c>
      <c r="AF389" s="8">
        <f>Z389/$C390*$B390</f>
        <v/>
      </c>
      <c r="AG389" s="8">
        <f>AA389/$C390*$B390</f>
        <v/>
      </c>
      <c r="AH389" s="11">
        <f>AB389/$C390*$B390</f>
        <v/>
      </c>
      <c r="AI389" s="8">
        <f>SUM(AD389:AG389)</f>
        <v/>
      </c>
      <c r="AJ389" s="9">
        <f>AI389+AJ390</f>
        <v/>
      </c>
      <c r="AK389" s="9" t="n"/>
      <c r="AL389" s="7">
        <f>B389-AJ389</f>
        <v/>
      </c>
      <c r="AM389" s="42">
        <f>_xlfn.STDEV.S(AL389:AL408)</f>
        <v/>
      </c>
    </row>
    <row r="390">
      <c r="A390" s="1" t="n">
        <v>45692</v>
      </c>
      <c r="B390" s="7" t="n">
        <v>1264.68</v>
      </c>
      <c r="C390" s="3" t="n">
        <v>5267570</v>
      </c>
      <c r="E390" s="5" t="n">
        <v>45692</v>
      </c>
      <c r="F390" s="4" t="n">
        <v>40100</v>
      </c>
      <c r="G390" s="4" t="n">
        <v>3823661561</v>
      </c>
      <c r="H390" s="4" t="n">
        <v>38750</v>
      </c>
      <c r="I390" s="4" t="n">
        <v>4107412004</v>
      </c>
      <c r="J390" s="4" t="n">
        <v>16300</v>
      </c>
      <c r="K390" s="4" t="n">
        <v>2272318410</v>
      </c>
      <c r="L390" s="4" t="n">
        <v>0</v>
      </c>
      <c r="M390" s="4" t="n">
        <v>1793300414</v>
      </c>
      <c r="N390" s="4" t="n">
        <v>98200</v>
      </c>
      <c r="O390" s="4" t="n">
        <v>541611334</v>
      </c>
      <c r="Q390" s="3" t="n"/>
      <c r="R390" s="3">
        <f>G390*F390-G391*F391</f>
        <v/>
      </c>
      <c r="S390" s="3">
        <f>I390*H390-I391*H391</f>
        <v/>
      </c>
      <c r="T390" s="3">
        <f>K390*J390-K391*J391</f>
        <v/>
      </c>
      <c r="U390" s="3">
        <f>M390*L390-M391*L391</f>
        <v/>
      </c>
      <c r="V390" s="3">
        <f>O390*N390-O391*N391</f>
        <v/>
      </c>
      <c r="X390" s="2">
        <f>R390/10^9</f>
        <v/>
      </c>
      <c r="Y390" s="2">
        <f>S390/10^9</f>
        <v/>
      </c>
      <c r="Z390" s="2">
        <f>T390/10^9</f>
        <v/>
      </c>
      <c r="AA390" s="2">
        <f>U390/10^9</f>
        <v/>
      </c>
      <c r="AB390" s="2">
        <f>V390/10^9</f>
        <v/>
      </c>
      <c r="AC390" s="2" t="n"/>
      <c r="AD390" s="8">
        <f>X390/$C391*$B391</f>
        <v/>
      </c>
      <c r="AE390" s="8">
        <f>Y390/$C391*$B391</f>
        <v/>
      </c>
      <c r="AF390" s="8">
        <f>Z390/$C391*$B391</f>
        <v/>
      </c>
      <c r="AG390" s="8">
        <f>AA390/$C391*$B391</f>
        <v/>
      </c>
      <c r="AH390" s="11">
        <f>AB390/$C391*$B391</f>
        <v/>
      </c>
      <c r="AI390" s="8">
        <f>SUM(AD390:AG390)</f>
        <v/>
      </c>
      <c r="AJ390" s="9">
        <f>AI390+AJ391</f>
        <v/>
      </c>
      <c r="AK390" s="9" t="n"/>
      <c r="AL390" s="7">
        <f>B390-AJ390</f>
        <v/>
      </c>
      <c r="AM390" s="42">
        <f>_xlfn.STDEV.S(AL390:AL409)</f>
        <v/>
      </c>
    </row>
    <row r="391">
      <c r="A391" s="1" t="n">
        <v>45691</v>
      </c>
      <c r="B391" s="7" t="n">
        <v>1253.03</v>
      </c>
      <c r="C391" s="3" t="n">
        <v>5221240</v>
      </c>
      <c r="E391" s="5" t="n">
        <v>45691</v>
      </c>
      <c r="F391" s="4" t="n">
        <v>40050</v>
      </c>
      <c r="G391" s="4" t="n">
        <v>3823661561</v>
      </c>
      <c r="H391" s="4" t="n">
        <v>39000</v>
      </c>
      <c r="I391" s="4" t="n">
        <v>4107412004</v>
      </c>
      <c r="J391" s="4" t="n">
        <v>16300</v>
      </c>
      <c r="K391" s="4" t="n">
        <v>2272318410</v>
      </c>
      <c r="L391" s="4" t="n">
        <v>0</v>
      </c>
      <c r="M391" s="4" t="n">
        <v>1793300414</v>
      </c>
      <c r="N391" s="4" t="n">
        <v>98800</v>
      </c>
      <c r="O391" s="4" t="n">
        <v>541611334</v>
      </c>
      <c r="Q391" s="3" t="n"/>
      <c r="R391" s="3">
        <f>G391*F391-G392*F392</f>
        <v/>
      </c>
      <c r="S391" s="3">
        <f>I391*H391-I392*H392</f>
        <v/>
      </c>
      <c r="T391" s="3">
        <f>K391*J391-K392*J392</f>
        <v/>
      </c>
      <c r="U391" s="3">
        <f>M391*L391-M392*L392</f>
        <v/>
      </c>
      <c r="V391" s="3">
        <f>O391*N391-O392*N392</f>
        <v/>
      </c>
      <c r="X391" s="2">
        <f>R391/10^9</f>
        <v/>
      </c>
      <c r="Y391" s="2">
        <f>S391/10^9</f>
        <v/>
      </c>
      <c r="Z391" s="2">
        <f>T391/10^9</f>
        <v/>
      </c>
      <c r="AA391" s="2">
        <f>U391/10^9</f>
        <v/>
      </c>
      <c r="AB391" s="2">
        <f>V391/10^9</f>
        <v/>
      </c>
      <c r="AC391" s="2" t="n"/>
      <c r="AD391" s="8">
        <f>X391/$C392*$B392</f>
        <v/>
      </c>
      <c r="AE391" s="8">
        <f>Y391/$C392*$B392</f>
        <v/>
      </c>
      <c r="AF391" s="8">
        <f>Z391/$C392*$B392</f>
        <v/>
      </c>
      <c r="AG391" s="8">
        <f>AA391/$C392*$B392</f>
        <v/>
      </c>
      <c r="AH391" s="11">
        <f>AB391/$C392*$B392</f>
        <v/>
      </c>
      <c r="AI391" s="8">
        <f>SUM(AD391:AG391)</f>
        <v/>
      </c>
      <c r="AJ391" s="9">
        <f>AI391+AJ392</f>
        <v/>
      </c>
      <c r="AK391" s="9" t="n"/>
      <c r="AL391" s="7">
        <f>B391-AJ391</f>
        <v/>
      </c>
      <c r="AM391" s="42">
        <f>_xlfn.STDEV.S(AL391:AL410)</f>
        <v/>
      </c>
    </row>
    <row r="392">
      <c r="A392" s="1" t="n">
        <v>45681</v>
      </c>
      <c r="B392" s="7" t="n">
        <v>1265.05</v>
      </c>
      <c r="C392" s="3" t="n">
        <v>5271337</v>
      </c>
      <c r="E392" s="5" t="n">
        <v>45681</v>
      </c>
      <c r="F392" s="4" t="n">
        <v>40400</v>
      </c>
      <c r="G392" s="4" t="n">
        <v>3823661561</v>
      </c>
      <c r="H392" s="4" t="n">
        <v>39500</v>
      </c>
      <c r="I392" s="4" t="n">
        <v>4107412004</v>
      </c>
      <c r="J392" s="4" t="n">
        <v>16550</v>
      </c>
      <c r="K392" s="4" t="n">
        <v>2272318410</v>
      </c>
      <c r="L392" s="4" t="n">
        <v>0</v>
      </c>
      <c r="M392" s="4" t="n">
        <v>1793300414</v>
      </c>
      <c r="N392" s="4" t="n">
        <v>99800</v>
      </c>
      <c r="O392" s="4" t="n">
        <v>541611334</v>
      </c>
      <c r="Q392" s="3" t="n"/>
      <c r="R392" s="3">
        <f>G392*F392-G393*F393</f>
        <v/>
      </c>
      <c r="S392" s="3">
        <f>I392*H392-I393*H393</f>
        <v/>
      </c>
      <c r="T392" s="3">
        <f>K392*J392-K393*J393</f>
        <v/>
      </c>
      <c r="U392" s="3">
        <f>M392*L392-M393*L393</f>
        <v/>
      </c>
      <c r="V392" s="3">
        <f>O392*N392-O393*N393</f>
        <v/>
      </c>
      <c r="X392" s="2">
        <f>R392/10^9</f>
        <v/>
      </c>
      <c r="Y392" s="2">
        <f>S392/10^9</f>
        <v/>
      </c>
      <c r="Z392" s="2">
        <f>T392/10^9</f>
        <v/>
      </c>
      <c r="AA392" s="2">
        <f>U392/10^9</f>
        <v/>
      </c>
      <c r="AB392" s="2">
        <f>V392/10^9</f>
        <v/>
      </c>
      <c r="AC392" s="2" t="n"/>
      <c r="AD392" s="8">
        <f>X392/$C393*$B393</f>
        <v/>
      </c>
      <c r="AE392" s="8">
        <f>Y392/$C393*$B393</f>
        <v/>
      </c>
      <c r="AF392" s="8">
        <f>Z392/$C393*$B393</f>
        <v/>
      </c>
      <c r="AG392" s="8">
        <f>AA392/$C393*$B393</f>
        <v/>
      </c>
      <c r="AH392" s="11">
        <f>AB392/$C393*$B393</f>
        <v/>
      </c>
      <c r="AI392" s="8">
        <f>SUM(AD392:AG392)</f>
        <v/>
      </c>
      <c r="AJ392" s="9">
        <f>AI392+AJ393</f>
        <v/>
      </c>
      <c r="AK392" s="9" t="n"/>
      <c r="AL392" s="7">
        <f>B392-AJ392</f>
        <v/>
      </c>
      <c r="AM392" s="42">
        <f>_xlfn.STDEV.S(AL392:AL411)</f>
        <v/>
      </c>
    </row>
    <row r="393">
      <c r="A393" s="1" t="n">
        <v>45680</v>
      </c>
      <c r="B393" s="7" t="n">
        <v>1259.63</v>
      </c>
      <c r="C393" s="3" t="n">
        <v>5248893</v>
      </c>
      <c r="E393" s="5" t="n">
        <v>45680</v>
      </c>
      <c r="F393" s="4" t="n">
        <v>40400</v>
      </c>
      <c r="G393" s="4" t="n">
        <v>3823661561</v>
      </c>
      <c r="H393" s="4" t="n">
        <v>39500</v>
      </c>
      <c r="I393" s="4" t="n">
        <v>4107412004</v>
      </c>
      <c r="J393" s="4" t="n">
        <v>16450</v>
      </c>
      <c r="K393" s="4" t="n">
        <v>2272318410</v>
      </c>
      <c r="L393" s="4" t="n">
        <v>0</v>
      </c>
      <c r="M393" s="4" t="n">
        <v>1793300414</v>
      </c>
      <c r="N393" s="4" t="n">
        <v>99000</v>
      </c>
      <c r="O393" s="4" t="n">
        <v>541611334</v>
      </c>
      <c r="Q393" s="3" t="n"/>
      <c r="R393" s="3">
        <f>G393*F393-G394*F394</f>
        <v/>
      </c>
      <c r="S393" s="3">
        <f>I393*H393-I394*H394</f>
        <v/>
      </c>
      <c r="T393" s="3">
        <f>K393*J393-K394*J394</f>
        <v/>
      </c>
      <c r="U393" s="3">
        <f>M393*L393-M394*L394</f>
        <v/>
      </c>
      <c r="V393" s="3">
        <f>O393*N393-O394*N394</f>
        <v/>
      </c>
      <c r="X393" s="2">
        <f>R393/10^9</f>
        <v/>
      </c>
      <c r="Y393" s="2">
        <f>S393/10^9</f>
        <v/>
      </c>
      <c r="Z393" s="2">
        <f>T393/10^9</f>
        <v/>
      </c>
      <c r="AA393" s="2">
        <f>U393/10^9</f>
        <v/>
      </c>
      <c r="AB393" s="2">
        <f>V393/10^9</f>
        <v/>
      </c>
      <c r="AC393" s="2" t="n"/>
      <c r="AD393" s="8">
        <f>X393/$C394*$B394</f>
        <v/>
      </c>
      <c r="AE393" s="8">
        <f>Y393/$C394*$B394</f>
        <v/>
      </c>
      <c r="AF393" s="8">
        <f>Z393/$C394*$B394</f>
        <v/>
      </c>
      <c r="AG393" s="8">
        <f>AA393/$C394*$B394</f>
        <v/>
      </c>
      <c r="AH393" s="11">
        <f>AB393/$C394*$B394</f>
        <v/>
      </c>
      <c r="AI393" s="8">
        <f>SUM(AD393:AG393)</f>
        <v/>
      </c>
      <c r="AJ393" s="9">
        <f>AI393+AJ394</f>
        <v/>
      </c>
      <c r="AK393" s="9" t="n"/>
      <c r="AL393" s="7">
        <f>B393-AJ393</f>
        <v/>
      </c>
      <c r="AM393" s="42">
        <f>_xlfn.STDEV.S(AL393:AL412)</f>
        <v/>
      </c>
    </row>
    <row r="394">
      <c r="A394" s="1" t="n">
        <v>45679</v>
      </c>
      <c r="B394" s="7" t="n">
        <v>1242.53</v>
      </c>
      <c r="C394" s="3" t="n">
        <v>5177641</v>
      </c>
      <c r="E394" s="5" t="n">
        <v>45679</v>
      </c>
      <c r="F394" s="4" t="n">
        <v>40400</v>
      </c>
      <c r="G394" s="4" t="n">
        <v>3823661561</v>
      </c>
      <c r="H394" s="4" t="n">
        <v>39500</v>
      </c>
      <c r="I394" s="4" t="n">
        <v>4107412004</v>
      </c>
      <c r="J394" s="4" t="n">
        <v>16300</v>
      </c>
      <c r="K394" s="4" t="n">
        <v>2272318410</v>
      </c>
      <c r="L394" s="4" t="n">
        <v>0</v>
      </c>
      <c r="M394" s="4" t="n">
        <v>1793300414</v>
      </c>
      <c r="N394" s="4" t="n">
        <v>98800</v>
      </c>
      <c r="O394" s="4" t="n">
        <v>541611334</v>
      </c>
      <c r="Q394" s="3" t="n"/>
      <c r="R394" s="3">
        <f>G394*F394-G395*F395</f>
        <v/>
      </c>
      <c r="S394" s="3">
        <f>I394*H394-I395*H395</f>
        <v/>
      </c>
      <c r="T394" s="3">
        <f>K394*J394-K395*J395</f>
        <v/>
      </c>
      <c r="U394" s="3">
        <f>M394*L394-M395*L395</f>
        <v/>
      </c>
      <c r="V394" s="3">
        <f>O394*N394-O395*N395</f>
        <v/>
      </c>
      <c r="X394" s="2">
        <f>R394/10^9</f>
        <v/>
      </c>
      <c r="Y394" s="2">
        <f>S394/10^9</f>
        <v/>
      </c>
      <c r="Z394" s="2">
        <f>T394/10^9</f>
        <v/>
      </c>
      <c r="AA394" s="2">
        <f>U394/10^9</f>
        <v/>
      </c>
      <c r="AB394" s="2">
        <f>V394/10^9</f>
        <v/>
      </c>
      <c r="AC394" s="2" t="n"/>
      <c r="AD394" s="8">
        <f>X394/$C395*$B395</f>
        <v/>
      </c>
      <c r="AE394" s="8">
        <f>Y394/$C395*$B395</f>
        <v/>
      </c>
      <c r="AF394" s="8">
        <f>Z394/$C395*$B395</f>
        <v/>
      </c>
      <c r="AG394" s="8">
        <f>AA394/$C395*$B395</f>
        <v/>
      </c>
      <c r="AH394" s="11">
        <f>AB394/$C395*$B395</f>
        <v/>
      </c>
      <c r="AI394" s="8">
        <f>SUM(AD394:AG394)</f>
        <v/>
      </c>
      <c r="AJ394" s="9">
        <f>AI394+AJ395</f>
        <v/>
      </c>
      <c r="AK394" s="9" t="n"/>
      <c r="AL394" s="7">
        <f>B394-AJ394</f>
        <v/>
      </c>
      <c r="AM394" s="42">
        <f>_xlfn.STDEV.S(AL394:AL413)</f>
        <v/>
      </c>
    </row>
    <row r="395">
      <c r="A395" s="1" t="n">
        <v>45678</v>
      </c>
      <c r="B395" s="7" t="n">
        <v>1246.09</v>
      </c>
      <c r="C395" s="3" t="n">
        <v>5192489</v>
      </c>
      <c r="E395" s="5" t="n">
        <v>45678</v>
      </c>
      <c r="F395" s="4" t="n">
        <v>40450</v>
      </c>
      <c r="G395" s="4" t="n">
        <v>3823661561</v>
      </c>
      <c r="H395" s="4" t="n">
        <v>40000</v>
      </c>
      <c r="I395" s="4" t="n">
        <v>4107412004</v>
      </c>
      <c r="J395" s="4" t="n">
        <v>16600</v>
      </c>
      <c r="K395" s="4" t="n">
        <v>2272318410</v>
      </c>
      <c r="L395" s="4" t="n">
        <v>0</v>
      </c>
      <c r="M395" s="4" t="n">
        <v>1793300414</v>
      </c>
      <c r="N395" s="4" t="n">
        <v>98800</v>
      </c>
      <c r="O395" s="4" t="n">
        <v>541611334</v>
      </c>
      <c r="Q395" s="3" t="n"/>
      <c r="R395" s="3">
        <f>G395*F395-G396*F396</f>
        <v/>
      </c>
      <c r="S395" s="3">
        <f>I395*H395-I396*H396</f>
        <v/>
      </c>
      <c r="T395" s="3">
        <f>K395*J395-K396*J396</f>
        <v/>
      </c>
      <c r="U395" s="3">
        <f>M395*L395-M396*L396</f>
        <v/>
      </c>
      <c r="V395" s="3">
        <f>O395*N395-O396*N396</f>
        <v/>
      </c>
      <c r="X395" s="2">
        <f>R395/10^9</f>
        <v/>
      </c>
      <c r="Y395" s="2">
        <f>S395/10^9</f>
        <v/>
      </c>
      <c r="Z395" s="2">
        <f>T395/10^9</f>
        <v/>
      </c>
      <c r="AA395" s="2">
        <f>U395/10^9</f>
        <v/>
      </c>
      <c r="AB395" s="2">
        <f>V395/10^9</f>
        <v/>
      </c>
      <c r="AC395" s="2" t="n"/>
      <c r="AD395" s="8">
        <f>X395/$C396*$B396</f>
        <v/>
      </c>
      <c r="AE395" s="8">
        <f>Y395/$C396*$B396</f>
        <v/>
      </c>
      <c r="AF395" s="8">
        <f>Z395/$C396*$B396</f>
        <v/>
      </c>
      <c r="AG395" s="8">
        <f>AA395/$C396*$B396</f>
        <v/>
      </c>
      <c r="AH395" s="11">
        <f>AB395/$C396*$B396</f>
        <v/>
      </c>
      <c r="AI395" s="8">
        <f>SUM(AD395:AG395)</f>
        <v/>
      </c>
      <c r="AJ395" s="9">
        <f>AI395+AJ396</f>
        <v/>
      </c>
      <c r="AK395" s="9" t="n"/>
      <c r="AL395" s="7">
        <f>B395-AJ395</f>
        <v/>
      </c>
      <c r="AM395" s="42">
        <f>_xlfn.STDEV.S(AL395:AL414)</f>
        <v/>
      </c>
    </row>
    <row r="396">
      <c r="A396" s="1" t="n">
        <v>45677</v>
      </c>
      <c r="B396" s="7" t="n">
        <v>1249.55</v>
      </c>
      <c r="C396" s="3" t="n">
        <v>5206902</v>
      </c>
      <c r="E396" s="5" t="n">
        <v>45677</v>
      </c>
      <c r="F396" s="4" t="n">
        <v>40400</v>
      </c>
      <c r="G396" s="4" t="n">
        <v>3823661561</v>
      </c>
      <c r="H396" s="4" t="n">
        <v>40000</v>
      </c>
      <c r="I396" s="4" t="n">
        <v>4107412004</v>
      </c>
      <c r="J396" s="4" t="n">
        <v>16600</v>
      </c>
      <c r="K396" s="4" t="n">
        <v>2272318410</v>
      </c>
      <c r="L396" s="4" t="n">
        <v>0</v>
      </c>
      <c r="M396" s="4" t="n">
        <v>1793300414</v>
      </c>
      <c r="N396" s="4" t="n">
        <v>98800</v>
      </c>
      <c r="O396" s="4" t="n">
        <v>541611334</v>
      </c>
      <c r="Q396" s="3" t="n"/>
      <c r="R396" s="3">
        <f>G396*F396-G397*F397</f>
        <v/>
      </c>
      <c r="S396" s="3">
        <f>I396*H396-I397*H397</f>
        <v/>
      </c>
      <c r="T396" s="3">
        <f>K396*J396-K397*J397</f>
        <v/>
      </c>
      <c r="U396" s="3">
        <f>M396*L396-M397*L397</f>
        <v/>
      </c>
      <c r="V396" s="3">
        <f>O396*N396-O397*N397</f>
        <v/>
      </c>
      <c r="X396" s="2">
        <f>R396/10^9</f>
        <v/>
      </c>
      <c r="Y396" s="2">
        <f>S396/10^9</f>
        <v/>
      </c>
      <c r="Z396" s="2">
        <f>T396/10^9</f>
        <v/>
      </c>
      <c r="AA396" s="2">
        <f>U396/10^9</f>
        <v/>
      </c>
      <c r="AB396" s="2">
        <f>V396/10^9</f>
        <v/>
      </c>
      <c r="AC396" s="2" t="n"/>
      <c r="AD396" s="8">
        <f>X396/$C397*$B397</f>
        <v/>
      </c>
      <c r="AE396" s="8">
        <f>Y396/$C397*$B397</f>
        <v/>
      </c>
      <c r="AF396" s="8">
        <f>Z396/$C397*$B397</f>
        <v/>
      </c>
      <c r="AG396" s="8">
        <f>AA396/$C397*$B397</f>
        <v/>
      </c>
      <c r="AH396" s="11">
        <f>AB396/$C397*$B397</f>
        <v/>
      </c>
      <c r="AI396" s="8">
        <f>SUM(AD396:AG396)</f>
        <v/>
      </c>
      <c r="AJ396" s="9">
        <f>AI396+AJ397</f>
        <v/>
      </c>
      <c r="AK396" s="9" t="n"/>
      <c r="AL396" s="7">
        <f>B396-AJ396</f>
        <v/>
      </c>
      <c r="AM396" s="42">
        <f>_xlfn.STDEV.S(AL396:AL415)</f>
        <v/>
      </c>
    </row>
    <row r="397">
      <c r="A397" s="1" t="n">
        <v>45674</v>
      </c>
      <c r="B397" s="7" t="n">
        <v>1249.11</v>
      </c>
      <c r="C397" s="3" t="n">
        <v>5205073</v>
      </c>
      <c r="E397" s="5" t="n">
        <v>45674</v>
      </c>
      <c r="F397" s="4" t="n">
        <v>40450</v>
      </c>
      <c r="G397" s="4" t="n">
        <v>3823661561</v>
      </c>
      <c r="H397" s="4" t="n">
        <v>40100</v>
      </c>
      <c r="I397" s="4" t="n">
        <v>4107412004</v>
      </c>
      <c r="J397" s="4" t="n">
        <v>16550</v>
      </c>
      <c r="K397" s="4" t="n">
        <v>2272318410</v>
      </c>
      <c r="L397" s="4" t="n">
        <v>0</v>
      </c>
      <c r="M397" s="4" t="n">
        <v>1793300414</v>
      </c>
      <c r="N397" s="4" t="n">
        <v>99000</v>
      </c>
      <c r="O397" s="4" t="n">
        <v>541611334</v>
      </c>
      <c r="Q397" s="3" t="n"/>
      <c r="R397" s="3">
        <f>G397*F397-G398*F398</f>
        <v/>
      </c>
      <c r="S397" s="3">
        <f>I397*H397-I398*H398</f>
        <v/>
      </c>
      <c r="T397" s="3">
        <f>K397*J397-K398*J398</f>
        <v/>
      </c>
      <c r="U397" s="3">
        <f>M397*L397-M398*L398</f>
        <v/>
      </c>
      <c r="V397" s="3">
        <f>O397*N397-O398*N398</f>
        <v/>
      </c>
      <c r="X397" s="2">
        <f>R397/10^9</f>
        <v/>
      </c>
      <c r="Y397" s="2">
        <f>S397/10^9</f>
        <v/>
      </c>
      <c r="Z397" s="2">
        <f>T397/10^9</f>
        <v/>
      </c>
      <c r="AA397" s="2">
        <f>U397/10^9</f>
        <v/>
      </c>
      <c r="AB397" s="2">
        <f>V397/10^9</f>
        <v/>
      </c>
      <c r="AC397" s="2" t="n"/>
      <c r="AD397" s="8">
        <f>X397/$C398*$B398</f>
        <v/>
      </c>
      <c r="AE397" s="8">
        <f>Y397/$C398*$B398</f>
        <v/>
      </c>
      <c r="AF397" s="8">
        <f>Z397/$C398*$B398</f>
        <v/>
      </c>
      <c r="AG397" s="8">
        <f>AA397/$C398*$B398</f>
        <v/>
      </c>
      <c r="AH397" s="11">
        <f>AB397/$C398*$B398</f>
        <v/>
      </c>
      <c r="AI397" s="8">
        <f>SUM(AD397:AG397)</f>
        <v/>
      </c>
      <c r="AJ397" s="9">
        <f>AI397+AJ398</f>
        <v/>
      </c>
      <c r="AK397" s="9" t="n"/>
      <c r="AL397" s="7">
        <f>B397-AJ397</f>
        <v/>
      </c>
      <c r="AM397" s="42">
        <f>_xlfn.STDEV.S(AL397:AL416)</f>
        <v/>
      </c>
    </row>
    <row r="398">
      <c r="A398" s="1" t="n">
        <v>45673</v>
      </c>
      <c r="B398" s="7" t="n">
        <v>1242.36</v>
      </c>
      <c r="C398" s="3" t="n">
        <v>5109791</v>
      </c>
      <c r="E398" s="5" t="n">
        <v>45673</v>
      </c>
      <c r="F398" s="4" t="n">
        <v>40450</v>
      </c>
      <c r="G398" s="4" t="n">
        <v>3823661561</v>
      </c>
      <c r="H398" s="4" t="n">
        <v>40000</v>
      </c>
      <c r="I398" s="4" t="n">
        <v>4107412004</v>
      </c>
      <c r="J398" s="4" t="n">
        <v>16550</v>
      </c>
      <c r="K398" s="4" t="n">
        <v>2272318410</v>
      </c>
      <c r="L398" s="4" t="n">
        <v>0</v>
      </c>
      <c r="M398" s="4" t="n">
        <v>1793300414</v>
      </c>
      <c r="N398" s="4" t="n">
        <v>98900</v>
      </c>
      <c r="O398" s="4" t="n">
        <v>541611334</v>
      </c>
      <c r="Q398" s="3" t="n"/>
      <c r="R398" s="3">
        <f>G398*F398-G399*F399</f>
        <v/>
      </c>
      <c r="S398" s="3">
        <f>I398*H398-I399*H399</f>
        <v/>
      </c>
      <c r="T398" s="3">
        <f>K398*J398-K399*J399</f>
        <v/>
      </c>
      <c r="U398" s="3">
        <f>M398*L398-M399*L399</f>
        <v/>
      </c>
      <c r="V398" s="3">
        <f>O398*N398-O399*N399</f>
        <v/>
      </c>
      <c r="X398" s="2">
        <f>R398/10^9</f>
        <v/>
      </c>
      <c r="Y398" s="2">
        <f>S398/10^9</f>
        <v/>
      </c>
      <c r="Z398" s="2">
        <f>T398/10^9</f>
        <v/>
      </c>
      <c r="AA398" s="2">
        <f>U398/10^9</f>
        <v/>
      </c>
      <c r="AB398" s="2">
        <f>V398/10^9</f>
        <v/>
      </c>
      <c r="AC398" s="2" t="n"/>
      <c r="AD398" s="8">
        <f>X398/$C399*$B399</f>
        <v/>
      </c>
      <c r="AE398" s="8">
        <f>Y398/$C399*$B399</f>
        <v/>
      </c>
      <c r="AF398" s="8">
        <f>Z398/$C399*$B399</f>
        <v/>
      </c>
      <c r="AG398" s="8">
        <f>AA398/$C399*$B399</f>
        <v/>
      </c>
      <c r="AH398" s="11">
        <f>AB398/$C399*$B399</f>
        <v/>
      </c>
      <c r="AI398" s="8">
        <f>SUM(AD398:AG398)</f>
        <v/>
      </c>
      <c r="AJ398" s="9">
        <f>AI398+AJ399</f>
        <v/>
      </c>
      <c r="AK398" s="9" t="n"/>
      <c r="AL398" s="7">
        <f>B398-AJ398</f>
        <v/>
      </c>
      <c r="AM398" s="42">
        <f>_xlfn.STDEV.S(AL398:AL417)</f>
        <v/>
      </c>
    </row>
    <row r="399">
      <c r="A399" s="1" t="n">
        <v>45672</v>
      </c>
      <c r="B399" s="7" t="n">
        <v>1236.18</v>
      </c>
      <c r="C399" s="3" t="n">
        <v>5084364</v>
      </c>
      <c r="E399" s="5" t="n">
        <v>45672</v>
      </c>
      <c r="F399" s="4" t="n">
        <v>40250</v>
      </c>
      <c r="G399" s="4" t="n">
        <v>3823661561</v>
      </c>
      <c r="H399" s="4" t="n">
        <v>40000</v>
      </c>
      <c r="I399" s="4" t="n">
        <v>4107412004</v>
      </c>
      <c r="J399" s="4" t="n">
        <v>16500</v>
      </c>
      <c r="K399" s="4" t="n">
        <v>2272318410</v>
      </c>
      <c r="L399" s="4" t="n">
        <v>0</v>
      </c>
      <c r="M399" s="4" t="n">
        <v>1793300414</v>
      </c>
      <c r="N399" s="4" t="n">
        <v>98700</v>
      </c>
      <c r="O399" s="4" t="n">
        <v>541611334</v>
      </c>
      <c r="Q399" s="3" t="n"/>
      <c r="R399" s="3">
        <f>G399*F399-G400*F400</f>
        <v/>
      </c>
      <c r="S399" s="3">
        <f>I399*H399-I400*H400</f>
        <v/>
      </c>
      <c r="T399" s="3">
        <f>K399*J399-K400*J400</f>
        <v/>
      </c>
      <c r="U399" s="3">
        <f>M399*L399-M400*L400</f>
        <v/>
      </c>
      <c r="V399" s="3">
        <f>O399*N399-O400*N400</f>
        <v/>
      </c>
      <c r="X399" s="2">
        <f>R399/10^9</f>
        <v/>
      </c>
      <c r="Y399" s="2">
        <f>S399/10^9</f>
        <v/>
      </c>
      <c r="Z399" s="2">
        <f>T399/10^9</f>
        <v/>
      </c>
      <c r="AA399" s="2">
        <f>U399/10^9</f>
        <v/>
      </c>
      <c r="AB399" s="2">
        <f>V399/10^9</f>
        <v/>
      </c>
      <c r="AC399" s="2" t="n"/>
      <c r="AD399" s="8">
        <f>X399/$C400*$B400</f>
        <v/>
      </c>
      <c r="AE399" s="8">
        <f>Y399/$C400*$B400</f>
        <v/>
      </c>
      <c r="AF399" s="8">
        <f>Z399/$C400*$B400</f>
        <v/>
      </c>
      <c r="AG399" s="8">
        <f>AA399/$C400*$B400</f>
        <v/>
      </c>
      <c r="AH399" s="11">
        <f>AB399/$C400*$B400</f>
        <v/>
      </c>
      <c r="AI399" s="8">
        <f>SUM(AD399:AG399)</f>
        <v/>
      </c>
      <c r="AJ399" s="9">
        <f>AI399+AJ400</f>
        <v/>
      </c>
      <c r="AK399" s="9" t="n"/>
      <c r="AL399" s="7">
        <f>B399-AJ399</f>
        <v/>
      </c>
      <c r="AM399" s="42">
        <f>_xlfn.STDEV.S(AL399:AL418)</f>
        <v/>
      </c>
    </row>
    <row r="400">
      <c r="A400" s="1" t="n">
        <v>45671</v>
      </c>
      <c r="B400" s="7" t="n">
        <v>1229.07</v>
      </c>
      <c r="C400" s="3" t="n">
        <v>5055143</v>
      </c>
      <c r="E400" s="5" t="n">
        <v>45671</v>
      </c>
      <c r="F400" s="4" t="n">
        <v>40200</v>
      </c>
      <c r="G400" s="4" t="n">
        <v>3823661561</v>
      </c>
      <c r="H400" s="4" t="n">
        <v>40000</v>
      </c>
      <c r="I400" s="4" t="n">
        <v>4107412004</v>
      </c>
      <c r="J400" s="4" t="n">
        <v>16100</v>
      </c>
      <c r="K400" s="4" t="n">
        <v>2272318410</v>
      </c>
      <c r="L400" s="4" t="n">
        <v>0</v>
      </c>
      <c r="M400" s="4" t="n">
        <v>1793300414</v>
      </c>
      <c r="N400" s="4" t="n">
        <v>98500</v>
      </c>
      <c r="O400" s="4" t="n">
        <v>541611334</v>
      </c>
      <c r="Q400" s="3" t="n"/>
      <c r="R400" s="3">
        <f>G400*F400-G401*F401</f>
        <v/>
      </c>
      <c r="S400" s="3">
        <f>I400*H400-I401*H401</f>
        <v/>
      </c>
      <c r="T400" s="3">
        <f>K400*J400-K401*J401</f>
        <v/>
      </c>
      <c r="U400" s="3">
        <f>M400*L400-M401*L401</f>
        <v/>
      </c>
      <c r="V400" s="3">
        <f>O400*N400-O401*N401</f>
        <v/>
      </c>
      <c r="X400" s="2">
        <f>R400/10^9</f>
        <v/>
      </c>
      <c r="Y400" s="2">
        <f>S400/10^9</f>
        <v/>
      </c>
      <c r="Z400" s="2">
        <f>T400/10^9</f>
        <v/>
      </c>
      <c r="AA400" s="2">
        <f>U400/10^9</f>
        <v/>
      </c>
      <c r="AB400" s="2">
        <f>V400/10^9</f>
        <v/>
      </c>
      <c r="AC400" s="2" t="n"/>
      <c r="AD400" s="8">
        <f>X400/$C401*$B401</f>
        <v/>
      </c>
      <c r="AE400" s="8">
        <f>Y400/$C401*$B401</f>
        <v/>
      </c>
      <c r="AF400" s="8">
        <f>Z400/$C401*$B401</f>
        <v/>
      </c>
      <c r="AG400" s="8">
        <f>AA400/$C401*$B401</f>
        <v/>
      </c>
      <c r="AH400" s="11">
        <f>AB400/$C401*$B401</f>
        <v/>
      </c>
      <c r="AI400" s="8">
        <f>SUM(AD400:AG400)</f>
        <v/>
      </c>
      <c r="AJ400" s="9">
        <f>AI400+AJ401</f>
        <v/>
      </c>
      <c r="AK400" s="9" t="n"/>
      <c r="AL400" s="7">
        <f>B400-AJ400</f>
        <v/>
      </c>
      <c r="AM400" s="42">
        <f>_xlfn.STDEV.S(AL400:AL419)</f>
        <v/>
      </c>
    </row>
    <row r="401">
      <c r="A401" s="1" t="n">
        <v>45670</v>
      </c>
      <c r="B401" s="7" t="n">
        <v>1235.65</v>
      </c>
      <c r="C401" s="3" t="n">
        <v>5081888</v>
      </c>
      <c r="E401" s="5" t="n">
        <v>45670</v>
      </c>
      <c r="F401" s="4" t="n">
        <v>40300</v>
      </c>
      <c r="G401" s="4" t="n">
        <v>3823661561</v>
      </c>
      <c r="H401" s="4" t="n">
        <v>40000</v>
      </c>
      <c r="I401" s="4" t="n">
        <v>4107412004</v>
      </c>
      <c r="J401" s="4" t="n">
        <v>16700</v>
      </c>
      <c r="K401" s="4" t="n">
        <v>2272318410</v>
      </c>
      <c r="L401" s="4" t="n">
        <v>0</v>
      </c>
      <c r="M401" s="4" t="n">
        <v>1793300414</v>
      </c>
      <c r="N401" s="4" t="n">
        <v>98600</v>
      </c>
      <c r="O401" s="4" t="n">
        <v>541611334</v>
      </c>
      <c r="Q401" s="3" t="n"/>
      <c r="R401" s="3">
        <f>G401*F401-G402*F402</f>
        <v/>
      </c>
      <c r="S401" s="3">
        <f>I401*H401-I402*H402</f>
        <v/>
      </c>
      <c r="T401" s="3">
        <f>K401*J401-K402*J402</f>
        <v/>
      </c>
      <c r="U401" s="3">
        <f>M401*L401-M402*L402</f>
        <v/>
      </c>
      <c r="V401" s="3">
        <f>O401*N401-O402*N402</f>
        <v/>
      </c>
      <c r="X401" s="2">
        <f>R401/10^9</f>
        <v/>
      </c>
      <c r="Y401" s="2">
        <f>S401/10^9</f>
        <v/>
      </c>
      <c r="Z401" s="2">
        <f>T401/10^9</f>
        <v/>
      </c>
      <c r="AA401" s="2">
        <f>U401/10^9</f>
        <v/>
      </c>
      <c r="AB401" s="2">
        <f>V401/10^9</f>
        <v/>
      </c>
      <c r="AC401" s="2" t="n"/>
      <c r="AD401" s="8">
        <f>X401/$C402*$B402</f>
        <v/>
      </c>
      <c r="AE401" s="8">
        <f>Y401/$C402*$B402</f>
        <v/>
      </c>
      <c r="AF401" s="8">
        <f>Z401/$C402*$B402</f>
        <v/>
      </c>
      <c r="AG401" s="8">
        <f>AA401/$C402*$B402</f>
        <v/>
      </c>
      <c r="AH401" s="11">
        <f>AB401/$C402*$B402</f>
        <v/>
      </c>
      <c r="AI401" s="8">
        <f>SUM(AD401:AG401)</f>
        <v/>
      </c>
      <c r="AJ401" s="9">
        <f>AI401+AJ402</f>
        <v/>
      </c>
      <c r="AK401" s="9" t="n"/>
      <c r="AL401" s="7">
        <f>B401-AJ401</f>
        <v/>
      </c>
      <c r="AM401" s="42">
        <f>_xlfn.STDEV.S(AL401:AL420)</f>
        <v/>
      </c>
    </row>
    <row r="402">
      <c r="A402" s="1" t="n">
        <v>45667</v>
      </c>
      <c r="B402" s="7" t="n">
        <v>1230.48</v>
      </c>
      <c r="C402" s="3" t="n">
        <v>5060638</v>
      </c>
      <c r="E402" s="5" t="n">
        <v>45667</v>
      </c>
      <c r="F402" s="4" t="n">
        <v>40500</v>
      </c>
      <c r="G402" s="4" t="n">
        <v>3823661561</v>
      </c>
      <c r="H402" s="4" t="n">
        <v>40000</v>
      </c>
      <c r="I402" s="4" t="n">
        <v>4107412004</v>
      </c>
      <c r="J402" s="4" t="n">
        <v>16850</v>
      </c>
      <c r="K402" s="4" t="n">
        <v>2272318410</v>
      </c>
      <c r="L402" s="4" t="n">
        <v>0</v>
      </c>
      <c r="M402" s="4" t="n">
        <v>1793300414</v>
      </c>
      <c r="N402" s="4" t="n">
        <v>98600</v>
      </c>
      <c r="O402" s="4" t="n">
        <v>541611334</v>
      </c>
      <c r="Q402" s="3" t="n"/>
      <c r="R402" s="3">
        <f>G402*F402-G403*F403</f>
        <v/>
      </c>
      <c r="S402" s="3">
        <f>I402*H402-I403*H403</f>
        <v/>
      </c>
      <c r="T402" s="3">
        <f>K402*J402-K403*J403</f>
        <v/>
      </c>
      <c r="U402" s="3">
        <f>M402*L402-M403*L403</f>
        <v/>
      </c>
      <c r="V402" s="3">
        <f>O402*N402-O403*N403</f>
        <v/>
      </c>
      <c r="X402" s="2">
        <f>R402/10^9</f>
        <v/>
      </c>
      <c r="Y402" s="2">
        <f>S402/10^9</f>
        <v/>
      </c>
      <c r="Z402" s="2">
        <f>T402/10^9</f>
        <v/>
      </c>
      <c r="AA402" s="2">
        <f>U402/10^9</f>
        <v/>
      </c>
      <c r="AB402" s="2">
        <f>V402/10^9</f>
        <v/>
      </c>
      <c r="AC402" s="2" t="n"/>
      <c r="AD402" s="8">
        <f>X402/$C403*$B403</f>
        <v/>
      </c>
      <c r="AE402" s="8">
        <f>Y402/$C403*$B403</f>
        <v/>
      </c>
      <c r="AF402" s="8">
        <f>Z402/$C403*$B403</f>
        <v/>
      </c>
      <c r="AG402" s="8">
        <f>AA402/$C403*$B403</f>
        <v/>
      </c>
      <c r="AH402" s="11">
        <f>AB402/$C403*$B403</f>
        <v/>
      </c>
      <c r="AI402" s="8">
        <f>SUM(AD402:AG402)</f>
        <v/>
      </c>
      <c r="AJ402" s="9">
        <f>AI402+AJ403</f>
        <v/>
      </c>
      <c r="AK402" s="9" t="n"/>
      <c r="AL402" s="7">
        <f>B402-AJ402</f>
        <v/>
      </c>
      <c r="AM402" s="42">
        <f>_xlfn.STDEV.S(AL402:AL421)</f>
        <v/>
      </c>
    </row>
    <row r="403">
      <c r="A403" s="1" t="n">
        <v>45666</v>
      </c>
      <c r="B403" s="7" t="n">
        <v>1245.77</v>
      </c>
      <c r="C403" s="3" t="n">
        <v>5123370</v>
      </c>
      <c r="E403" s="5" t="n">
        <v>45666</v>
      </c>
      <c r="F403" s="4" t="n">
        <v>40750</v>
      </c>
      <c r="G403" s="4" t="n">
        <v>3823661561</v>
      </c>
      <c r="H403" s="4" t="n">
        <v>40400</v>
      </c>
      <c r="I403" s="4" t="n">
        <v>4107412004</v>
      </c>
      <c r="J403" s="4" t="n">
        <v>17000</v>
      </c>
      <c r="K403" s="4" t="n">
        <v>2272318410</v>
      </c>
      <c r="L403" s="4" t="n">
        <v>0</v>
      </c>
      <c r="M403" s="4" t="n">
        <v>1793300414</v>
      </c>
      <c r="N403" s="4" t="n">
        <v>99300</v>
      </c>
      <c r="O403" s="4" t="n">
        <v>541611334</v>
      </c>
      <c r="Q403" s="3" t="n"/>
      <c r="R403" s="3">
        <f>G403*F403-G404*F404</f>
        <v/>
      </c>
      <c r="S403" s="3">
        <f>I403*H403-I404*H404</f>
        <v/>
      </c>
      <c r="T403" s="3">
        <f>K403*J403-K404*J404</f>
        <v/>
      </c>
      <c r="U403" s="3">
        <f>M403*L403-M404*L404</f>
        <v/>
      </c>
      <c r="V403" s="3">
        <f>O403*N403-O404*N404</f>
        <v/>
      </c>
      <c r="X403" s="2">
        <f>R403/10^9</f>
        <v/>
      </c>
      <c r="Y403" s="2">
        <f>S403/10^9</f>
        <v/>
      </c>
      <c r="Z403" s="2">
        <f>T403/10^9</f>
        <v/>
      </c>
      <c r="AA403" s="2">
        <f>U403/10^9</f>
        <v/>
      </c>
      <c r="AB403" s="2">
        <f>V403/10^9</f>
        <v/>
      </c>
      <c r="AC403" s="2" t="n"/>
      <c r="AD403" s="8">
        <f>X403/$C404*$B404</f>
        <v/>
      </c>
      <c r="AE403" s="8">
        <f>Y403/$C404*$B404</f>
        <v/>
      </c>
      <c r="AF403" s="8">
        <f>Z403/$C404*$B404</f>
        <v/>
      </c>
      <c r="AG403" s="8">
        <f>AA403/$C404*$B404</f>
        <v/>
      </c>
      <c r="AH403" s="11">
        <f>AB403/$C404*$B404</f>
        <v/>
      </c>
      <c r="AI403" s="8">
        <f>SUM(AD403:AG403)</f>
        <v/>
      </c>
      <c r="AJ403" s="9">
        <f>AI403+AJ404</f>
        <v/>
      </c>
      <c r="AK403" s="9" t="n"/>
      <c r="AL403" s="7">
        <f>B403-AJ403</f>
        <v/>
      </c>
      <c r="AM403" s="42">
        <f>_xlfn.STDEV.S(AL403:AL422)</f>
        <v/>
      </c>
    </row>
    <row r="404">
      <c r="A404" s="1" t="n">
        <v>45665</v>
      </c>
      <c r="B404" s="7" t="n">
        <v>1251.02</v>
      </c>
      <c r="C404" s="3" t="n">
        <v>5144940</v>
      </c>
      <c r="E404" s="5" t="n">
        <v>45665</v>
      </c>
      <c r="F404" s="4" t="n">
        <v>40500</v>
      </c>
      <c r="G404" s="4" t="n">
        <v>3823661561</v>
      </c>
      <c r="H404" s="4" t="n">
        <v>40000</v>
      </c>
      <c r="I404" s="4" t="n">
        <v>4107412004</v>
      </c>
      <c r="J404" s="4" t="n">
        <v>16950</v>
      </c>
      <c r="K404" s="4" t="n">
        <v>2272318410</v>
      </c>
      <c r="L404" s="4" t="n">
        <v>0</v>
      </c>
      <c r="M404" s="4" t="n">
        <v>1723212204</v>
      </c>
      <c r="N404" s="4" t="n">
        <v>99400</v>
      </c>
      <c r="O404" s="4" t="n">
        <v>541611334</v>
      </c>
      <c r="Q404" s="3" t="n"/>
      <c r="R404" s="3">
        <f>G404*F404-G405*F405</f>
        <v/>
      </c>
      <c r="S404" s="3">
        <f>I404*H404-I405*H405</f>
        <v/>
      </c>
      <c r="T404" s="3">
        <f>K404*J404-K405*J405</f>
        <v/>
      </c>
      <c r="U404" s="3">
        <f>M404*L404-M405*L405</f>
        <v/>
      </c>
      <c r="V404" s="3">
        <f>O404*N404-O405*N405</f>
        <v/>
      </c>
      <c r="X404" s="2">
        <f>R404/10^9</f>
        <v/>
      </c>
      <c r="Y404" s="2">
        <f>S404/10^9</f>
        <v/>
      </c>
      <c r="Z404" s="2">
        <f>T404/10^9</f>
        <v/>
      </c>
      <c r="AA404" s="2">
        <f>U404/10^9</f>
        <v/>
      </c>
      <c r="AB404" s="2">
        <f>V404/10^9</f>
        <v/>
      </c>
      <c r="AC404" s="2" t="n"/>
      <c r="AD404" s="8">
        <f>X404/$C405*$B405</f>
        <v/>
      </c>
      <c r="AE404" s="8">
        <f>Y404/$C405*$B405</f>
        <v/>
      </c>
      <c r="AF404" s="8">
        <f>Z404/$C405*$B405</f>
        <v/>
      </c>
      <c r="AG404" s="8">
        <f>AA404/$C405*$B405</f>
        <v/>
      </c>
      <c r="AH404" s="11">
        <f>AB404/$C405*$B405</f>
        <v/>
      </c>
      <c r="AI404" s="8">
        <f>SUM(AD404:AG404)</f>
        <v/>
      </c>
      <c r="AJ404" s="9">
        <f>AI404+AJ405</f>
        <v/>
      </c>
      <c r="AK404" s="9" t="n"/>
      <c r="AL404" s="7">
        <f>B404-AJ404</f>
        <v/>
      </c>
      <c r="AM404" s="42">
        <f>_xlfn.STDEV.S(AL404:AL423)</f>
        <v/>
      </c>
    </row>
    <row r="405">
      <c r="A405" s="1" t="n">
        <v>45664</v>
      </c>
      <c r="B405" s="7" t="n">
        <v>1246.95</v>
      </c>
      <c r="C405" s="3" t="n">
        <v>5128190</v>
      </c>
      <c r="E405" s="5" t="n">
        <v>45664</v>
      </c>
      <c r="F405" s="4" t="n">
        <v>40500</v>
      </c>
      <c r="G405" s="4" t="n">
        <v>3823661561</v>
      </c>
      <c r="H405" s="4" t="n">
        <v>40000</v>
      </c>
      <c r="I405" s="4" t="n">
        <v>4107412004</v>
      </c>
      <c r="J405" s="4" t="n">
        <v>16950</v>
      </c>
      <c r="K405" s="4" t="n">
        <v>2272318410</v>
      </c>
      <c r="L405" s="4" t="n">
        <v>0</v>
      </c>
      <c r="M405" s="4" t="n">
        <v>1723212204</v>
      </c>
      <c r="N405" s="4" t="n">
        <v>99500</v>
      </c>
      <c r="O405" s="4" t="n">
        <v>541611334</v>
      </c>
      <c r="Q405" s="3" t="n"/>
      <c r="R405" s="3">
        <f>G405*F405-G406*F406</f>
        <v/>
      </c>
      <c r="S405" s="3">
        <f>I405*H405-I406*H406</f>
        <v/>
      </c>
      <c r="T405" s="3">
        <f>K405*J405-K406*J406</f>
        <v/>
      </c>
      <c r="U405" s="3">
        <f>M405*L405-M406*L406</f>
        <v/>
      </c>
      <c r="V405" s="3">
        <f>O405*N405-O406*N406</f>
        <v/>
      </c>
      <c r="X405" s="2">
        <f>R405/10^9</f>
        <v/>
      </c>
      <c r="Y405" s="2">
        <f>S405/10^9</f>
        <v/>
      </c>
      <c r="Z405" s="2">
        <f>T405/10^9</f>
        <v/>
      </c>
      <c r="AA405" s="2">
        <f>U405/10^9</f>
        <v/>
      </c>
      <c r="AB405" s="2">
        <f>V405/10^9</f>
        <v/>
      </c>
      <c r="AC405" s="2" t="n"/>
      <c r="AD405" s="8">
        <f>X405/$C406*$B406</f>
        <v/>
      </c>
      <c r="AE405" s="8">
        <f>Y405/$C406*$B406</f>
        <v/>
      </c>
      <c r="AF405" s="8">
        <f>Z405/$C406*$B406</f>
        <v/>
      </c>
      <c r="AG405" s="8">
        <f>AA405/$C406*$B406</f>
        <v/>
      </c>
      <c r="AH405" s="11">
        <f>AB405/$C406*$B406</f>
        <v/>
      </c>
      <c r="AI405" s="8">
        <f>SUM(AD405:AG405)</f>
        <v/>
      </c>
      <c r="AJ405" s="9">
        <f>AI405+AJ406</f>
        <v/>
      </c>
      <c r="AK405" s="9" t="n"/>
      <c r="AL405" s="7">
        <f>B405-AJ405</f>
        <v/>
      </c>
      <c r="AM405" s="42">
        <f>_xlfn.STDEV.S(AL405:AL424)</f>
        <v/>
      </c>
    </row>
    <row r="406">
      <c r="A406" s="1" t="n">
        <v>45663</v>
      </c>
      <c r="B406" s="7" t="n">
        <v>1246.35</v>
      </c>
      <c r="C406" s="3" t="n">
        <v>5125702</v>
      </c>
      <c r="E406" s="5" t="n">
        <v>45663</v>
      </c>
      <c r="F406" s="4" t="n">
        <v>40500</v>
      </c>
      <c r="G406" s="4" t="n">
        <v>3823661561</v>
      </c>
      <c r="H406" s="4" t="n">
        <v>40000</v>
      </c>
      <c r="I406" s="4" t="n">
        <v>4107412004</v>
      </c>
      <c r="J406" s="4" t="n">
        <v>17150</v>
      </c>
      <c r="K406" s="4" t="n">
        <v>2272318410</v>
      </c>
      <c r="L406" s="4" t="n">
        <v>0</v>
      </c>
      <c r="M406" s="4" t="n">
        <v>1723212204</v>
      </c>
      <c r="N406" s="4" t="n">
        <v>99700</v>
      </c>
      <c r="O406" s="4" t="n">
        <v>541611334</v>
      </c>
      <c r="Q406" s="3" t="n"/>
      <c r="R406" s="3">
        <f>G406*F406-G407*F407</f>
        <v/>
      </c>
      <c r="S406" s="3">
        <f>I406*H406-I407*H407</f>
        <v/>
      </c>
      <c r="T406" s="3">
        <f>K406*J406-K407*J407</f>
        <v/>
      </c>
      <c r="U406" s="3">
        <f>M406*L406-M407*L407</f>
        <v/>
      </c>
      <c r="V406" s="3">
        <f>O406*N406-O407*N407</f>
        <v/>
      </c>
      <c r="X406" s="2">
        <f>R406/10^9</f>
        <v/>
      </c>
      <c r="Y406" s="2">
        <f>S406/10^9</f>
        <v/>
      </c>
      <c r="Z406" s="2">
        <f>T406/10^9</f>
        <v/>
      </c>
      <c r="AA406" s="2">
        <f>U406/10^9</f>
        <v/>
      </c>
      <c r="AB406" s="2">
        <f>V406/10^9</f>
        <v/>
      </c>
      <c r="AC406" s="2" t="n"/>
      <c r="AD406" s="8">
        <f>X406/$C407*$B407</f>
        <v/>
      </c>
      <c r="AE406" s="8">
        <f>Y406/$C407*$B407</f>
        <v/>
      </c>
      <c r="AF406" s="8">
        <f>Z406/$C407*$B407</f>
        <v/>
      </c>
      <c r="AG406" s="8">
        <f>AA406/$C407*$B407</f>
        <v/>
      </c>
      <c r="AH406" s="11">
        <f>AB406/$C407*$B407</f>
        <v/>
      </c>
      <c r="AI406" s="8">
        <f>SUM(AD406:AG406)</f>
        <v/>
      </c>
      <c r="AJ406" s="9">
        <f>AI406+AJ407</f>
        <v/>
      </c>
      <c r="AK406" s="9" t="n"/>
      <c r="AL406" s="7">
        <f>B406-AJ406</f>
        <v/>
      </c>
      <c r="AM406" s="42">
        <f>_xlfn.STDEV.S(AL406:AL425)</f>
        <v/>
      </c>
    </row>
    <row r="407">
      <c r="A407" s="1" t="n">
        <v>45660</v>
      </c>
      <c r="B407" s="7" t="n">
        <v>1254.59</v>
      </c>
      <c r="C407" s="3" t="n">
        <v>5157795</v>
      </c>
      <c r="E407" s="5" t="n">
        <v>45660</v>
      </c>
      <c r="F407" s="4" t="n">
        <v>40500</v>
      </c>
      <c r="G407" s="4" t="n">
        <v>3823661561</v>
      </c>
      <c r="H407" s="4" t="n">
        <v>40000</v>
      </c>
      <c r="I407" s="4" t="n">
        <v>4107412004</v>
      </c>
      <c r="J407" s="4" t="n">
        <v>17200</v>
      </c>
      <c r="K407" s="4" t="n">
        <v>2272318410</v>
      </c>
      <c r="L407" s="4" t="n">
        <v>0</v>
      </c>
      <c r="M407" s="4" t="n">
        <v>1723212204</v>
      </c>
      <c r="N407" s="4" t="n">
        <v>99500</v>
      </c>
      <c r="O407" s="4" t="n">
        <v>541611334</v>
      </c>
      <c r="Q407" s="3" t="n"/>
      <c r="R407" s="3">
        <f>G407*F407-G408*F408</f>
        <v/>
      </c>
      <c r="S407" s="3">
        <f>I407*H407-I408*H408</f>
        <v/>
      </c>
      <c r="T407" s="3">
        <f>K407*J407-K408*J408</f>
        <v/>
      </c>
      <c r="U407" s="3">
        <f>M407*L407-M408*L408</f>
        <v/>
      </c>
      <c r="V407" s="3">
        <f>O407*N407-O408*N408</f>
        <v/>
      </c>
      <c r="X407" s="2">
        <f>R407/10^9</f>
        <v/>
      </c>
      <c r="Y407" s="2">
        <f>S407/10^9</f>
        <v/>
      </c>
      <c r="Z407" s="2">
        <f>T407/10^9</f>
        <v/>
      </c>
      <c r="AA407" s="2">
        <f>U407/10^9</f>
        <v/>
      </c>
      <c r="AB407" s="2">
        <f>V407/10^9</f>
        <v/>
      </c>
      <c r="AC407" s="2" t="n"/>
      <c r="AD407" s="8">
        <f>X407/$C408*$B408</f>
        <v/>
      </c>
      <c r="AE407" s="8">
        <f>Y407/$C408*$B408</f>
        <v/>
      </c>
      <c r="AF407" s="8">
        <f>Z407/$C408*$B408</f>
        <v/>
      </c>
      <c r="AG407" s="8">
        <f>AA407/$C408*$B408</f>
        <v/>
      </c>
      <c r="AH407" s="11">
        <f>AB407/$C408*$B408</f>
        <v/>
      </c>
      <c r="AI407" s="8">
        <f>SUM(AD407:AG407)</f>
        <v/>
      </c>
      <c r="AJ407" s="9">
        <f>AI407+AJ408</f>
        <v/>
      </c>
      <c r="AK407" s="9" t="n"/>
      <c r="AL407" s="7">
        <f>B407-AJ407</f>
        <v/>
      </c>
      <c r="AM407" s="42">
        <f>_xlfn.STDEV.S(AL407:AL426)</f>
        <v/>
      </c>
    </row>
    <row r="408">
      <c r="A408" s="1" t="n">
        <v>45659</v>
      </c>
      <c r="B408" s="7" t="n">
        <v>1269.71</v>
      </c>
      <c r="C408" s="3" t="n">
        <v>5219989</v>
      </c>
      <c r="E408" s="5" t="n">
        <v>45659</v>
      </c>
      <c r="F408" s="4" t="n">
        <v>40550</v>
      </c>
      <c r="G408" s="4" t="n">
        <v>3823661561</v>
      </c>
      <c r="H408" s="4" t="n">
        <v>40000</v>
      </c>
      <c r="I408" s="4" t="n">
        <v>4107412004</v>
      </c>
      <c r="J408" s="4" t="n">
        <v>17300</v>
      </c>
      <c r="K408" s="4" t="n">
        <v>2272318410</v>
      </c>
      <c r="L408" s="4" t="n">
        <v>0</v>
      </c>
      <c r="M408" s="4" t="n">
        <v>1723212204</v>
      </c>
      <c r="N408" s="4" t="n">
        <v>99900</v>
      </c>
      <c r="O408" s="4" t="n">
        <v>541611334</v>
      </c>
      <c r="Q408" s="3" t="n"/>
      <c r="R408" s="3">
        <f>G408*F408-G409*F409</f>
        <v/>
      </c>
      <c r="S408" s="3">
        <f>I408*H408-I409*H409</f>
        <v/>
      </c>
      <c r="T408" s="3">
        <f>K408*J408-K409*J409</f>
        <v/>
      </c>
      <c r="U408" s="3">
        <f>M408*L408-M409*L409</f>
        <v/>
      </c>
      <c r="V408" s="3">
        <f>O408*N408-O409*N409</f>
        <v/>
      </c>
      <c r="X408" s="2">
        <f>R408/10^9</f>
        <v/>
      </c>
      <c r="Y408" s="2">
        <f>S408/10^9</f>
        <v/>
      </c>
      <c r="Z408" s="2">
        <f>T408/10^9</f>
        <v/>
      </c>
      <c r="AA408" s="2">
        <f>U408/10^9</f>
        <v/>
      </c>
      <c r="AB408" s="2">
        <f>V408/10^9</f>
        <v/>
      </c>
      <c r="AC408" s="2" t="n"/>
      <c r="AD408" s="8">
        <f>X408/$C409*$B409</f>
        <v/>
      </c>
      <c r="AE408" s="8">
        <f>Y408/$C409*$B409</f>
        <v/>
      </c>
      <c r="AF408" s="8">
        <f>Z408/$C409*$B409</f>
        <v/>
      </c>
      <c r="AG408" s="8">
        <f>AA408/$C409*$B409</f>
        <v/>
      </c>
      <c r="AH408" s="11">
        <f>AB408/$C409*$B409</f>
        <v/>
      </c>
      <c r="AI408" s="8">
        <f>SUM(AD408:AG408)</f>
        <v/>
      </c>
      <c r="AJ408" s="9">
        <f>AI408+AJ409</f>
        <v/>
      </c>
      <c r="AK408" s="9" t="n"/>
      <c r="AL408" s="7">
        <f>B408-AJ408</f>
        <v/>
      </c>
      <c r="AM408" s="42">
        <f>_xlfn.STDEV.S(AL408:AL427)</f>
        <v/>
      </c>
    </row>
    <row r="409">
      <c r="A409" s="1" t="n">
        <v>45657</v>
      </c>
      <c r="B409" s="7" t="n">
        <v>1266.78</v>
      </c>
      <c r="C409" s="3" t="n">
        <v>5207883</v>
      </c>
      <c r="E409" s="5" t="n">
        <v>45657</v>
      </c>
      <c r="F409" s="4" t="n">
        <v>40550</v>
      </c>
      <c r="G409" s="4" t="n">
        <v>3823661561</v>
      </c>
      <c r="H409" s="4" t="n">
        <v>40000</v>
      </c>
      <c r="I409" s="4" t="n">
        <v>4107412004</v>
      </c>
      <c r="J409" s="4" t="n">
        <v>17150</v>
      </c>
      <c r="K409" s="4" t="n">
        <v>2272318410</v>
      </c>
      <c r="L409" s="4" t="n">
        <v>0</v>
      </c>
      <c r="M409" s="4" t="n">
        <v>1723212204</v>
      </c>
      <c r="N409" s="4" t="n">
        <v>100000</v>
      </c>
      <c r="O409" s="4" t="n">
        <v>541611334</v>
      </c>
      <c r="Q409" s="3" t="n"/>
      <c r="R409" s="3">
        <f>G409*F409-G410*F410</f>
        <v/>
      </c>
      <c r="S409" s="3">
        <f>I409*H409-I410*H410</f>
        <v/>
      </c>
      <c r="T409" s="3">
        <f>K409*J409-K410*J410</f>
        <v/>
      </c>
      <c r="U409" s="3">
        <f>M409*L409-M410*L410</f>
        <v/>
      </c>
      <c r="V409" s="3">
        <f>O409*N409-O410*N410</f>
        <v/>
      </c>
      <c r="X409" s="2">
        <f>R409/10^9</f>
        <v/>
      </c>
      <c r="Y409" s="2">
        <f>S409/10^9</f>
        <v/>
      </c>
      <c r="Z409" s="2">
        <f>T409/10^9</f>
        <v/>
      </c>
      <c r="AA409" s="2">
        <f>U409/10^9</f>
        <v/>
      </c>
      <c r="AB409" s="2">
        <f>V409/10^9</f>
        <v/>
      </c>
      <c r="AC409" s="2" t="n"/>
      <c r="AL409" s="7">
        <f>B409-AJ409</f>
        <v/>
      </c>
      <c r="AM409" s="42">
        <f>_xlfn.STDEV.S(AL409:AL428)</f>
        <v/>
      </c>
    </row>
  </sheetData>
  <mergeCells count="5">
    <mergeCell ref="H1:I1"/>
    <mergeCell ref="L1:M1"/>
    <mergeCell ref="J1:K1"/>
    <mergeCell ref="F1:G1"/>
    <mergeCell ref="N1:O1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2025-11-07T07:43:03Z</dcterms:created>
  <dcterms:modified xsi:type="dcterms:W3CDTF">2026-08-21T10:28:32Z</dcterms:modified>
  <cp:lastModifiedBy>Long Dang</cp:lastModifiedBy>
</cp:coreProperties>
</file>