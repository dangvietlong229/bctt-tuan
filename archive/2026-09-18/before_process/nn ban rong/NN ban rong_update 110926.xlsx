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95" windowWidth="35835" windowHeight="20475" tabRatio="600" firstSheet="0" activeTab="0" autoFilterDateGrouping="1"/>
  </bookViews>
  <sheets>
    <sheet name="Sheet1" sheetId="1" state="visible" r:id="rId1"/>
    <sheet name="Sheet2" sheetId="2" state="visible" r:id="rId2"/>
  </sheets>
  <definedNames>
    <definedName name="_xlnm._FilterDatabase" localSheetId="0" hidden="1">'Sheet1'!$A$9:$V$9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yyyy-mm-dd h:mm:ss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497D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1F497D"/>
      <sz val="12"/>
      <scheme val="minor"/>
    </font>
    <font>
      <name val="Calibri"/>
      <family val="2"/>
      <color rgb="FF0000FF"/>
      <sz val="12"/>
      <u val="single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12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6" fillId="0" borderId="8"/>
    <xf numFmtId="43" fontId="6" fillId="0" borderId="8"/>
    <xf numFmtId="0" fontId="7" fillId="0" borderId="8"/>
  </cellStyleXfs>
  <cellXfs count="31">
    <xf numFmtId="0" fontId="0" fillId="0" borderId="0" pivotButton="0" quotePrefix="0" xfId="0"/>
    <xf numFmtId="0" fontId="7" fillId="0" borderId="0" pivotButton="0" quotePrefix="0" xfId="2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3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0" fontId="0" fillId="2" borderId="0" pivotButton="0" quotePrefix="0" xfId="0"/>
    <xf numFmtId="3" fontId="8" fillId="4" borderId="2" applyAlignment="1" pivotButton="0" quotePrefix="0" xfId="0">
      <alignment vertical="center"/>
    </xf>
    <xf numFmtId="164" fontId="8" fillId="4" borderId="2" applyAlignment="1" pivotButton="0" quotePrefix="0" xfId="0">
      <alignment vertical="center"/>
    </xf>
    <xf numFmtId="0" fontId="9" fillId="4" borderId="2" applyAlignment="1" pivotButton="0" quotePrefix="0" xfId="0">
      <alignment vertical="center" wrapText="1"/>
    </xf>
    <xf numFmtId="0" fontId="10" fillId="4" borderId="2" applyAlignment="1" pivotButton="0" quotePrefix="0" xfId="0">
      <alignment vertical="center" wrapText="1"/>
    </xf>
    <xf numFmtId="3" fontId="0" fillId="0" borderId="2" pivotButton="0" quotePrefix="0" xfId="0"/>
    <xf numFmtId="164" fontId="0" fillId="0" borderId="2" pivotButton="0" quotePrefix="0" xfId="0"/>
    <xf numFmtId="3" fontId="6" fillId="0" borderId="2" pivotButton="0" quotePrefix="0" xfId="0"/>
    <xf numFmtId="164" fontId="6" fillId="0" borderId="2" pivotButton="0" quotePrefix="0" xfId="0"/>
    <xf numFmtId="0" fontId="0" fillId="0" borderId="5" pivotButton="0" quotePrefix="0" xfId="0"/>
    <xf numFmtId="0" fontId="6" fillId="0" borderId="5" pivotButton="0" quotePrefix="0" xfId="0"/>
    <xf numFmtId="0" fontId="6" fillId="0" borderId="6" pivotButton="0" quotePrefix="0" xfId="0"/>
    <xf numFmtId="3" fontId="6" fillId="0" borderId="6" pivotButton="0" quotePrefix="0" xfId="0"/>
    <xf numFmtId="0" fontId="3" fillId="0" borderId="6" pivotButton="0" quotePrefix="0" xfId="0"/>
    <xf numFmtId="0" fontId="6" fillId="0" borderId="7" pivotButton="0" quotePrefix="0" xfId="0"/>
    <xf numFmtId="3" fontId="6" fillId="0" borderId="7" pivotButton="0" quotePrefix="0" xfId="0"/>
    <xf numFmtId="164" fontId="6" fillId="0" borderId="8" pivotButton="0" quotePrefix="0" xfId="0"/>
    <xf numFmtId="0" fontId="6" fillId="0" borderId="8" pivotButton="0" quotePrefix="0" xfId="0"/>
    <xf numFmtId="3" fontId="8" fillId="4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8" pivotButton="0" quotePrefix="0" xfId="0"/>
  </cellXfs>
  <cellStyles count="3">
    <cellStyle name="Normal" xfId="0" builtinId="0"/>
    <cellStyle name="Comma 2" xfId="1"/>
    <cellStyle name="Hyperlink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Khối</a:t>
            </a:r>
            <a:r>
              <a:rPr lang="en-US" baseline="0"/>
              <a:t xml:space="preserve"> lượng bán ròng luỹ kế của NDTNN 2026</a:t>
            </a:r>
            <a:endParaRPr lang="en-US"/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Sheet2!$B$4</f>
              <strCache>
                <ptCount val="1"/>
                <pt idx="0">
                  <v>ACB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Sheet2!$A$12:$A$108</f>
              <numCache>
                <formatCode>mm/dd/yyyy</formatCode>
                <ptCount val="97"/>
                <pt idx="0">
                  <v>46255</v>
                </pt>
                <pt idx="1">
                  <v>46254</v>
                </pt>
                <pt idx="2">
                  <v>46253</v>
                </pt>
                <pt idx="3">
                  <v>46252</v>
                </pt>
                <pt idx="4">
                  <v>46251</v>
                </pt>
                <pt idx="5">
                  <v>46248</v>
                </pt>
                <pt idx="6">
                  <v>46247</v>
                </pt>
                <pt idx="7">
                  <v>46246</v>
                </pt>
                <pt idx="8">
                  <v>46245</v>
                </pt>
                <pt idx="9">
                  <v>46244</v>
                </pt>
                <pt idx="10">
                  <v>46241</v>
                </pt>
                <pt idx="11">
                  <v>46240</v>
                </pt>
                <pt idx="12">
                  <v>46239</v>
                </pt>
                <pt idx="13">
                  <v>46238</v>
                </pt>
                <pt idx="14">
                  <v>46237</v>
                </pt>
                <pt idx="15">
                  <v>46234</v>
                </pt>
                <pt idx="16">
                  <v>46233</v>
                </pt>
                <pt idx="17">
                  <v>46232</v>
                </pt>
                <pt idx="18">
                  <v>46231</v>
                </pt>
                <pt idx="19">
                  <v>46230</v>
                </pt>
                <pt idx="20">
                  <v>46227</v>
                </pt>
                <pt idx="21">
                  <v>46226</v>
                </pt>
                <pt idx="22">
                  <v>46225</v>
                </pt>
                <pt idx="23">
                  <v>46224</v>
                </pt>
                <pt idx="24">
                  <v>46223</v>
                </pt>
                <pt idx="25">
                  <v>46220</v>
                </pt>
                <pt idx="26">
                  <v>46219</v>
                </pt>
                <pt idx="27">
                  <v>46218</v>
                </pt>
                <pt idx="28">
                  <v>46217</v>
                </pt>
                <pt idx="29">
                  <v>46216</v>
                </pt>
                <pt idx="30">
                  <v>46213</v>
                </pt>
                <pt idx="31">
                  <v>46212</v>
                </pt>
                <pt idx="32">
                  <v>46211</v>
                </pt>
                <pt idx="33">
                  <v>46210</v>
                </pt>
                <pt idx="34">
                  <v>46209</v>
                </pt>
                <pt idx="35">
                  <v>46206</v>
                </pt>
                <pt idx="36">
                  <v>46205</v>
                </pt>
                <pt idx="37">
                  <v>46204</v>
                </pt>
                <pt idx="38">
                  <v>46203</v>
                </pt>
                <pt idx="39">
                  <v>46202</v>
                </pt>
                <pt idx="40">
                  <v>46199</v>
                </pt>
                <pt idx="41">
                  <v>46198</v>
                </pt>
                <pt idx="42">
                  <v>46197</v>
                </pt>
                <pt idx="43">
                  <v>46196</v>
                </pt>
                <pt idx="44">
                  <v>46195</v>
                </pt>
                <pt idx="45">
                  <v>46192</v>
                </pt>
                <pt idx="46">
                  <v>46191</v>
                </pt>
                <pt idx="47">
                  <v>46190</v>
                </pt>
                <pt idx="48">
                  <v>46189</v>
                </pt>
                <pt idx="49">
                  <v>46188</v>
                </pt>
                <pt idx="50">
                  <v>46185</v>
                </pt>
                <pt idx="51">
                  <v>46184</v>
                </pt>
                <pt idx="52">
                  <v>46183</v>
                </pt>
                <pt idx="53">
                  <v>46182</v>
                </pt>
                <pt idx="54">
                  <v>46181</v>
                </pt>
                <pt idx="55">
                  <v>46178</v>
                </pt>
                <pt idx="56">
                  <v>46177</v>
                </pt>
                <pt idx="57">
                  <v>46176</v>
                </pt>
                <pt idx="58">
                  <v>46175</v>
                </pt>
                <pt idx="59">
                  <v>46174</v>
                </pt>
                <pt idx="60">
                  <v>46171</v>
                </pt>
                <pt idx="61">
                  <v>46170</v>
                </pt>
                <pt idx="62">
                  <v>46169</v>
                </pt>
                <pt idx="63">
                  <v>46168</v>
                </pt>
                <pt idx="64">
                  <v>46167</v>
                </pt>
                <pt idx="65">
                  <v>46164</v>
                </pt>
                <pt idx="66">
                  <v>46163</v>
                </pt>
                <pt idx="67">
                  <v>46162</v>
                </pt>
                <pt idx="68">
                  <v>46161</v>
                </pt>
                <pt idx="69">
                  <v>46160</v>
                </pt>
                <pt idx="70">
                  <v>46157</v>
                </pt>
                <pt idx="71">
                  <v>46156</v>
                </pt>
                <pt idx="72">
                  <v>46155</v>
                </pt>
                <pt idx="73">
                  <v>46154</v>
                </pt>
                <pt idx="74">
                  <v>46153</v>
                </pt>
                <pt idx="75">
                  <v>46150</v>
                </pt>
                <pt idx="76">
                  <v>46149</v>
                </pt>
                <pt idx="77">
                  <v>46148</v>
                </pt>
                <pt idx="78">
                  <v>46147</v>
                </pt>
                <pt idx="79">
                  <v>46146</v>
                </pt>
                <pt idx="80">
                  <v>46141</v>
                </pt>
                <pt idx="81">
                  <v>46140</v>
                </pt>
                <pt idx="82">
                  <v>46136</v>
                </pt>
                <pt idx="83">
                  <v>46135</v>
                </pt>
                <pt idx="84">
                  <v>46134</v>
                </pt>
                <pt idx="85">
                  <v>46133</v>
                </pt>
                <pt idx="86">
                  <v>46132</v>
                </pt>
                <pt idx="87">
                  <v>46129</v>
                </pt>
                <pt idx="88">
                  <v>46128</v>
                </pt>
                <pt idx="89">
                  <v>46127</v>
                </pt>
                <pt idx="90">
                  <v>46126</v>
                </pt>
                <pt idx="91">
                  <v>46125</v>
                </pt>
                <pt idx="92">
                  <v>46122</v>
                </pt>
                <pt idx="93">
                  <v>46121</v>
                </pt>
                <pt idx="94">
                  <v>46120</v>
                </pt>
                <pt idx="95">
                  <v>46119</v>
                </pt>
                <pt idx="96">
                  <v>46118</v>
                </pt>
              </numCache>
            </numRef>
          </cat>
          <val>
            <numRef>
              <f>Sheet2!$B$12:$B$108</f>
              <numCache>
                <formatCode>#,##0</formatCode>
                <ptCount val="97"/>
                <pt idx="0">
                  <v>-251648160</v>
                </pt>
                <pt idx="1">
                  <v>-252253270</v>
                </pt>
                <pt idx="2">
                  <v>-250925594</v>
                </pt>
                <pt idx="3">
                  <v>-248490772</v>
                </pt>
                <pt idx="4">
                  <v>-247412377</v>
                </pt>
                <pt idx="5">
                  <v>-243042795</v>
                </pt>
                <pt idx="6">
                  <v>-241493624</v>
                </pt>
                <pt idx="7">
                  <v>-237363355</v>
                </pt>
                <pt idx="8">
                  <v>-234729868</v>
                </pt>
                <pt idx="9">
                  <v>-232225298</v>
                </pt>
                <pt idx="10">
                  <v>-232041619</v>
                </pt>
                <pt idx="11">
                  <v>-232070517</v>
                </pt>
                <pt idx="12">
                  <v>-230244176</v>
                </pt>
                <pt idx="13">
                  <v>-230470897</v>
                </pt>
                <pt idx="14">
                  <v>-229389797</v>
                </pt>
                <pt idx="15">
                  <v>-228820850</v>
                </pt>
                <pt idx="16">
                  <v>-226166195</v>
                </pt>
                <pt idx="17">
                  <v>-223340221</v>
                </pt>
                <pt idx="18">
                  <v>-221288105</v>
                </pt>
                <pt idx="19">
                  <v>-221455305</v>
                </pt>
                <pt idx="20">
                  <v>-219446840</v>
                </pt>
                <pt idx="21">
                  <v>-217405628</v>
                </pt>
                <pt idx="22">
                  <v>-216717633</v>
                </pt>
                <pt idx="23">
                  <v>-208230618</v>
                </pt>
                <pt idx="24">
                  <v>-205358184</v>
                </pt>
                <pt idx="25">
                  <v>-204814940</v>
                </pt>
                <pt idx="26">
                  <v>-203046034</v>
                </pt>
                <pt idx="27">
                  <v>-212292749</v>
                </pt>
                <pt idx="28">
                  <v>-211634609</v>
                </pt>
                <pt idx="29">
                  <v>-212809913</v>
                </pt>
                <pt idx="30">
                  <v>-211848913</v>
                </pt>
                <pt idx="31">
                  <v>-210848101</v>
                </pt>
                <pt idx="32">
                  <v>-211658965</v>
                </pt>
                <pt idx="33">
                  <v>-213004287</v>
                </pt>
                <pt idx="34">
                  <v>-213586287</v>
                </pt>
                <pt idx="35">
                  <v>-213435567</v>
                </pt>
                <pt idx="36">
                  <v>-211479145</v>
                </pt>
                <pt idx="37">
                  <v>-209036645</v>
                </pt>
                <pt idx="38">
                  <v>-208776582</v>
                </pt>
                <pt idx="39">
                  <v>-208827182</v>
                </pt>
                <pt idx="40">
                  <v>-209568902</v>
                </pt>
                <pt idx="41">
                  <v>-212571402</v>
                </pt>
                <pt idx="42">
                  <v>-212583312</v>
                </pt>
                <pt idx="43">
                  <v>-212524841</v>
                </pt>
                <pt idx="44">
                  <v>-214105191</v>
                </pt>
                <pt idx="45">
                  <v>-212524130</v>
                </pt>
                <pt idx="46">
                  <v>-211438239</v>
                </pt>
                <pt idx="47">
                  <v>-212457002</v>
                </pt>
                <pt idx="48">
                  <v>-214116604</v>
                </pt>
                <pt idx="49">
                  <v>-213438533</v>
                </pt>
                <pt idx="50">
                  <v>-210600455</v>
                </pt>
                <pt idx="51">
                  <v>-212458075</v>
                </pt>
                <pt idx="52">
                  <v>-212518138</v>
                </pt>
                <pt idx="53">
                  <v>-211417564</v>
                </pt>
                <pt idx="54">
                  <v>-209113625</v>
                </pt>
                <pt idx="55">
                  <v>-212970478</v>
                </pt>
                <pt idx="56">
                  <v>-222745790</v>
                </pt>
                <pt idx="57">
                  <v>-219333138</v>
                </pt>
                <pt idx="58">
                  <v>-204055521</v>
                </pt>
                <pt idx="59">
                  <v>-199302447</v>
                </pt>
                <pt idx="60">
                  <v>-194902147</v>
                </pt>
                <pt idx="61">
                  <v>-192161797</v>
                </pt>
                <pt idx="62">
                  <v>-196522742</v>
                </pt>
                <pt idx="63">
                  <v>-198953538</v>
                </pt>
                <pt idx="64">
                  <v>-200971549</v>
                </pt>
                <pt idx="65">
                  <v>-195153269</v>
                </pt>
                <pt idx="66">
                  <v>-198195118</v>
                </pt>
                <pt idx="67">
                  <v>-192384602</v>
                </pt>
                <pt idx="68">
                  <v>-186119288</v>
                </pt>
                <pt idx="69">
                  <v>-179543956</v>
                </pt>
                <pt idx="70">
                  <v>-172159517</v>
                </pt>
                <pt idx="71">
                  <v>-171828666</v>
                </pt>
                <pt idx="72">
                  <v>-175428286</v>
                </pt>
                <pt idx="73">
                  <v>-163888486</v>
                </pt>
                <pt idx="74">
                  <v>-158183627</v>
                </pt>
                <pt idx="75">
                  <v>-152466722</v>
                </pt>
                <pt idx="76">
                  <v>-146425251</v>
                </pt>
                <pt idx="77">
                  <v>-133495809</v>
                </pt>
                <pt idx="78">
                  <v>-124133797</v>
                </pt>
                <pt idx="79">
                  <v>-105328807</v>
                </pt>
                <pt idx="80">
                  <v>-90699212</v>
                </pt>
                <pt idx="81">
                  <v>-86034570</v>
                </pt>
                <pt idx="82">
                  <v>-83563170</v>
                </pt>
                <pt idx="83">
                  <v>-71685485</v>
                </pt>
                <pt idx="84">
                  <v>-64205385</v>
                </pt>
                <pt idx="85">
                  <v>-63233086</v>
                </pt>
                <pt idx="86">
                  <v>-60303786</v>
                </pt>
                <pt idx="87">
                  <v>-58702781</v>
                </pt>
                <pt idx="88">
                  <v>-57844631</v>
                </pt>
                <pt idx="89">
                  <v>-60907011</v>
                </pt>
                <pt idx="90">
                  <v>-59650731</v>
                </pt>
                <pt idx="91">
                  <v>-58879707</v>
                </pt>
                <pt idx="92">
                  <v>-58608453</v>
                </pt>
                <pt idx="93">
                  <v>-57627153</v>
                </pt>
                <pt idx="94">
                  <v>-58108753</v>
                </pt>
                <pt idx="95">
                  <v>-61646573</v>
                </pt>
                <pt idx="96">
                  <v>-58162973</v>
                </pt>
              </numCache>
            </numRef>
          </val>
          <smooth val="0"/>
        </ser>
        <ser>
          <idx val="1"/>
          <order val="1"/>
          <tx>
            <strRef>
              <f>Sheet2!$C$4</f>
              <strCache>
                <ptCount val="1"/>
                <pt idx="0">
                  <v>VIB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Sheet2!$A$12:$A$108</f>
              <numCache>
                <formatCode>mm/dd/yyyy</formatCode>
                <ptCount val="97"/>
                <pt idx="0">
                  <v>46255</v>
                </pt>
                <pt idx="1">
                  <v>46254</v>
                </pt>
                <pt idx="2">
                  <v>46253</v>
                </pt>
                <pt idx="3">
                  <v>46252</v>
                </pt>
                <pt idx="4">
                  <v>46251</v>
                </pt>
                <pt idx="5">
                  <v>46248</v>
                </pt>
                <pt idx="6">
                  <v>46247</v>
                </pt>
                <pt idx="7">
                  <v>46246</v>
                </pt>
                <pt idx="8">
                  <v>46245</v>
                </pt>
                <pt idx="9">
                  <v>46244</v>
                </pt>
                <pt idx="10">
                  <v>46241</v>
                </pt>
                <pt idx="11">
                  <v>46240</v>
                </pt>
                <pt idx="12">
                  <v>46239</v>
                </pt>
                <pt idx="13">
                  <v>46238</v>
                </pt>
                <pt idx="14">
                  <v>46237</v>
                </pt>
                <pt idx="15">
                  <v>46234</v>
                </pt>
                <pt idx="16">
                  <v>46233</v>
                </pt>
                <pt idx="17">
                  <v>46232</v>
                </pt>
                <pt idx="18">
                  <v>46231</v>
                </pt>
                <pt idx="19">
                  <v>46230</v>
                </pt>
                <pt idx="20">
                  <v>46227</v>
                </pt>
                <pt idx="21">
                  <v>46226</v>
                </pt>
                <pt idx="22">
                  <v>46225</v>
                </pt>
                <pt idx="23">
                  <v>46224</v>
                </pt>
                <pt idx="24">
                  <v>46223</v>
                </pt>
                <pt idx="25">
                  <v>46220</v>
                </pt>
                <pt idx="26">
                  <v>46219</v>
                </pt>
                <pt idx="27">
                  <v>46218</v>
                </pt>
                <pt idx="28">
                  <v>46217</v>
                </pt>
                <pt idx="29">
                  <v>46216</v>
                </pt>
                <pt idx="30">
                  <v>46213</v>
                </pt>
                <pt idx="31">
                  <v>46212</v>
                </pt>
                <pt idx="32">
                  <v>46211</v>
                </pt>
                <pt idx="33">
                  <v>46210</v>
                </pt>
                <pt idx="34">
                  <v>46209</v>
                </pt>
                <pt idx="35">
                  <v>46206</v>
                </pt>
                <pt idx="36">
                  <v>46205</v>
                </pt>
                <pt idx="37">
                  <v>46204</v>
                </pt>
                <pt idx="38">
                  <v>46203</v>
                </pt>
                <pt idx="39">
                  <v>46202</v>
                </pt>
                <pt idx="40">
                  <v>46199</v>
                </pt>
                <pt idx="41">
                  <v>46198</v>
                </pt>
                <pt idx="42">
                  <v>46197</v>
                </pt>
                <pt idx="43">
                  <v>46196</v>
                </pt>
                <pt idx="44">
                  <v>46195</v>
                </pt>
                <pt idx="45">
                  <v>46192</v>
                </pt>
                <pt idx="46">
                  <v>46191</v>
                </pt>
                <pt idx="47">
                  <v>46190</v>
                </pt>
                <pt idx="48">
                  <v>46189</v>
                </pt>
                <pt idx="49">
                  <v>46188</v>
                </pt>
                <pt idx="50">
                  <v>46185</v>
                </pt>
                <pt idx="51">
                  <v>46184</v>
                </pt>
                <pt idx="52">
                  <v>46183</v>
                </pt>
                <pt idx="53">
                  <v>46182</v>
                </pt>
                <pt idx="54">
                  <v>46181</v>
                </pt>
                <pt idx="55">
                  <v>46178</v>
                </pt>
                <pt idx="56">
                  <v>46177</v>
                </pt>
                <pt idx="57">
                  <v>46176</v>
                </pt>
                <pt idx="58">
                  <v>46175</v>
                </pt>
                <pt idx="59">
                  <v>46174</v>
                </pt>
                <pt idx="60">
                  <v>46171</v>
                </pt>
                <pt idx="61">
                  <v>46170</v>
                </pt>
                <pt idx="62">
                  <v>46169</v>
                </pt>
                <pt idx="63">
                  <v>46168</v>
                </pt>
                <pt idx="64">
                  <v>46167</v>
                </pt>
                <pt idx="65">
                  <v>46164</v>
                </pt>
                <pt idx="66">
                  <v>46163</v>
                </pt>
                <pt idx="67">
                  <v>46162</v>
                </pt>
                <pt idx="68">
                  <v>46161</v>
                </pt>
                <pt idx="69">
                  <v>46160</v>
                </pt>
                <pt idx="70">
                  <v>46157</v>
                </pt>
                <pt idx="71">
                  <v>46156</v>
                </pt>
                <pt idx="72">
                  <v>46155</v>
                </pt>
                <pt idx="73">
                  <v>46154</v>
                </pt>
                <pt idx="74">
                  <v>46153</v>
                </pt>
                <pt idx="75">
                  <v>46150</v>
                </pt>
                <pt idx="76">
                  <v>46149</v>
                </pt>
                <pt idx="77">
                  <v>46148</v>
                </pt>
                <pt idx="78">
                  <v>46147</v>
                </pt>
                <pt idx="79">
                  <v>46146</v>
                </pt>
                <pt idx="80">
                  <v>46141</v>
                </pt>
                <pt idx="81">
                  <v>46140</v>
                </pt>
                <pt idx="82">
                  <v>46136</v>
                </pt>
                <pt idx="83">
                  <v>46135</v>
                </pt>
                <pt idx="84">
                  <v>46134</v>
                </pt>
                <pt idx="85">
                  <v>46133</v>
                </pt>
                <pt idx="86">
                  <v>46132</v>
                </pt>
                <pt idx="87">
                  <v>46129</v>
                </pt>
                <pt idx="88">
                  <v>46128</v>
                </pt>
                <pt idx="89">
                  <v>46127</v>
                </pt>
                <pt idx="90">
                  <v>46126</v>
                </pt>
                <pt idx="91">
                  <v>46125</v>
                </pt>
                <pt idx="92">
                  <v>46122</v>
                </pt>
                <pt idx="93">
                  <v>46121</v>
                </pt>
                <pt idx="94">
                  <v>46120</v>
                </pt>
                <pt idx="95">
                  <v>46119</v>
                </pt>
                <pt idx="96">
                  <v>46118</v>
                </pt>
              </numCache>
            </numRef>
          </cat>
          <val>
            <numRef>
              <f>Sheet2!$C$12:$C$108</f>
              <numCache>
                <formatCode>#,##0</formatCode>
                <ptCount val="97"/>
                <pt idx="0">
                  <v>-58587404</v>
                </pt>
                <pt idx="1">
                  <v>-59104304</v>
                </pt>
                <pt idx="2">
                  <v>-59093391</v>
                </pt>
                <pt idx="3">
                  <v>-58845113</v>
                </pt>
                <pt idx="4">
                  <v>-58401713</v>
                </pt>
                <pt idx="5">
                  <v>-58617113</v>
                </pt>
                <pt idx="6">
                  <v>-58274312</v>
                </pt>
                <pt idx="7">
                  <v>-58444912</v>
                </pt>
                <pt idx="8">
                  <v>-58503212</v>
                </pt>
                <pt idx="9">
                  <v>-58445512</v>
                </pt>
                <pt idx="10">
                  <v>-58723112</v>
                </pt>
                <pt idx="11">
                  <v>-58919512</v>
                </pt>
                <pt idx="12">
                  <v>-58101712</v>
                </pt>
                <pt idx="13">
                  <v>-54860950</v>
                </pt>
                <pt idx="14">
                  <v>-54094509</v>
                </pt>
                <pt idx="15">
                  <v>-53116009</v>
                </pt>
                <pt idx="16">
                  <v>-52451609</v>
                </pt>
                <pt idx="17">
                  <v>-52275609</v>
                </pt>
                <pt idx="18">
                  <v>-51674809</v>
                </pt>
                <pt idx="19">
                  <v>-51938739</v>
                </pt>
                <pt idx="20">
                  <v>-51173038</v>
                </pt>
                <pt idx="21">
                  <v>-50217438</v>
                </pt>
                <pt idx="22">
                  <v>-50918738</v>
                </pt>
                <pt idx="23">
                  <v>-43181457</v>
                </pt>
                <pt idx="24">
                  <v>-43121557</v>
                </pt>
                <pt idx="25">
                  <v>-43122557</v>
                </pt>
                <pt idx="26">
                  <v>-43065002</v>
                </pt>
                <pt idx="27">
                  <v>-43206702</v>
                </pt>
                <pt idx="28">
                  <v>-41711096</v>
                </pt>
                <pt idx="29">
                  <v>-40812822</v>
                </pt>
                <pt idx="30">
                  <v>-37646222</v>
                </pt>
                <pt idx="31">
                  <v>-36359222</v>
                </pt>
                <pt idx="32">
                  <v>-36155523</v>
                </pt>
                <pt idx="33">
                  <v>-34355023</v>
                </pt>
                <pt idx="34">
                  <v>-34304215</v>
                </pt>
                <pt idx="35">
                  <v>-32145579</v>
                </pt>
                <pt idx="36">
                  <v>-28784823</v>
                </pt>
                <pt idx="37">
                  <v>-29069801</v>
                </pt>
                <pt idx="38">
                  <v>-28063201</v>
                </pt>
                <pt idx="39">
                  <v>-28563201</v>
                </pt>
                <pt idx="40">
                  <v>-28432349</v>
                </pt>
                <pt idx="41">
                  <v>-28283249</v>
                </pt>
                <pt idx="42">
                  <v>-28207749</v>
                </pt>
                <pt idx="43">
                  <v>-27060238</v>
                </pt>
                <pt idx="44">
                  <v>-27496112</v>
                </pt>
                <pt idx="45">
                  <v>-27163966</v>
                </pt>
                <pt idx="46">
                  <v>-26891966</v>
                </pt>
                <pt idx="47">
                  <v>-23994099</v>
                </pt>
                <pt idx="48">
                  <v>-21708299</v>
                </pt>
                <pt idx="49">
                  <v>-20550972</v>
                </pt>
                <pt idx="50">
                  <v>-20181948</v>
                </pt>
                <pt idx="51">
                  <v>-19763748</v>
                </pt>
                <pt idx="52">
                  <v>-19604617</v>
                </pt>
                <pt idx="53">
                  <v>-18921478</v>
                </pt>
                <pt idx="54">
                  <v>-17276268</v>
                </pt>
                <pt idx="55">
                  <v>-16987292</v>
                </pt>
                <pt idx="56">
                  <v>-15811992</v>
                </pt>
                <pt idx="57">
                  <v>-14193560</v>
                </pt>
                <pt idx="58">
                  <v>-13859923</v>
                </pt>
                <pt idx="59">
                  <v>-12395302</v>
                </pt>
                <pt idx="60">
                  <v>-12225136</v>
                </pt>
                <pt idx="61">
                  <v>-11250936</v>
                </pt>
                <pt idx="62">
                  <v>-10888073</v>
                </pt>
                <pt idx="63">
                  <v>-10419173</v>
                </pt>
                <pt idx="64">
                  <v>-9284694</v>
                </pt>
                <pt idx="65">
                  <v>-9303624</v>
                </pt>
                <pt idx="66">
                  <v>-7734224</v>
                </pt>
                <pt idx="67">
                  <v>-6971624</v>
                </pt>
                <pt idx="68">
                  <v>-7001412</v>
                </pt>
                <pt idx="69">
                  <v>-6871949</v>
                </pt>
                <pt idx="70">
                  <v>-7073370</v>
                </pt>
                <pt idx="71">
                  <v>-7018506</v>
                </pt>
                <pt idx="72">
                  <v>-6894906</v>
                </pt>
                <pt idx="73">
                  <v>-6898306</v>
                </pt>
                <pt idx="74">
                  <v>-6933911</v>
                </pt>
                <pt idx="75">
                  <v>-6957711</v>
                </pt>
                <pt idx="76">
                  <v>-6906493</v>
                </pt>
                <pt idx="77">
                  <v>-6967641</v>
                </pt>
                <pt idx="78">
                  <v>-6999015</v>
                </pt>
                <pt idx="79">
                  <v>-6476715</v>
                </pt>
                <pt idx="80">
                  <v>-5646615</v>
                </pt>
                <pt idx="81">
                  <v>-4352726</v>
                </pt>
                <pt idx="82">
                  <v>-3477526</v>
                </pt>
                <pt idx="83">
                  <v>-3212286</v>
                </pt>
                <pt idx="84">
                  <v>-2997875</v>
                </pt>
                <pt idx="85">
                  <v>-2915638</v>
                </pt>
                <pt idx="86">
                  <v>-2729738</v>
                </pt>
                <pt idx="87">
                  <v>-3188724</v>
                </pt>
                <pt idx="88">
                  <v>-3263424</v>
                </pt>
                <pt idx="89">
                  <v>-1916354</v>
                </pt>
                <pt idx="90">
                  <v>-1900674</v>
                </pt>
                <pt idx="91">
                  <v>-910794</v>
                </pt>
                <pt idx="92">
                  <v>-1191394</v>
                </pt>
                <pt idx="93">
                  <v>-1422694</v>
                </pt>
                <pt idx="94">
                  <v>-1009894</v>
                </pt>
                <pt idx="95">
                  <v>-159794</v>
                </pt>
                <pt idx="96">
                  <v>-61094</v>
                </pt>
              </numCache>
            </numRef>
          </val>
          <smooth val="0"/>
        </ser>
        <ser>
          <idx val="2"/>
          <order val="2"/>
          <tx>
            <strRef>
              <f>Sheet2!$D$4</f>
              <strCache>
                <ptCount val="1"/>
                <pt idx="0">
                  <v>VPB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Sheet2!$A$12:$A$108</f>
              <numCache>
                <formatCode>mm/dd/yyyy</formatCode>
                <ptCount val="97"/>
                <pt idx="0">
                  <v>46255</v>
                </pt>
                <pt idx="1">
                  <v>46254</v>
                </pt>
                <pt idx="2">
                  <v>46253</v>
                </pt>
                <pt idx="3">
                  <v>46252</v>
                </pt>
                <pt idx="4">
                  <v>46251</v>
                </pt>
                <pt idx="5">
                  <v>46248</v>
                </pt>
                <pt idx="6">
                  <v>46247</v>
                </pt>
                <pt idx="7">
                  <v>46246</v>
                </pt>
                <pt idx="8">
                  <v>46245</v>
                </pt>
                <pt idx="9">
                  <v>46244</v>
                </pt>
                <pt idx="10">
                  <v>46241</v>
                </pt>
                <pt idx="11">
                  <v>46240</v>
                </pt>
                <pt idx="12">
                  <v>46239</v>
                </pt>
                <pt idx="13">
                  <v>46238</v>
                </pt>
                <pt idx="14">
                  <v>46237</v>
                </pt>
                <pt idx="15">
                  <v>46234</v>
                </pt>
                <pt idx="16">
                  <v>46233</v>
                </pt>
                <pt idx="17">
                  <v>46232</v>
                </pt>
                <pt idx="18">
                  <v>46231</v>
                </pt>
                <pt idx="19">
                  <v>46230</v>
                </pt>
                <pt idx="20">
                  <v>46227</v>
                </pt>
                <pt idx="21">
                  <v>46226</v>
                </pt>
                <pt idx="22">
                  <v>46225</v>
                </pt>
                <pt idx="23">
                  <v>46224</v>
                </pt>
                <pt idx="24">
                  <v>46223</v>
                </pt>
                <pt idx="25">
                  <v>46220</v>
                </pt>
                <pt idx="26">
                  <v>46219</v>
                </pt>
                <pt idx="27">
                  <v>46218</v>
                </pt>
                <pt idx="28">
                  <v>46217</v>
                </pt>
                <pt idx="29">
                  <v>46216</v>
                </pt>
                <pt idx="30">
                  <v>46213</v>
                </pt>
                <pt idx="31">
                  <v>46212</v>
                </pt>
                <pt idx="32">
                  <v>46211</v>
                </pt>
                <pt idx="33">
                  <v>46210</v>
                </pt>
                <pt idx="34">
                  <v>46209</v>
                </pt>
                <pt idx="35">
                  <v>46206</v>
                </pt>
                <pt idx="36">
                  <v>46205</v>
                </pt>
                <pt idx="37">
                  <v>46204</v>
                </pt>
                <pt idx="38">
                  <v>46203</v>
                </pt>
                <pt idx="39">
                  <v>46202</v>
                </pt>
                <pt idx="40">
                  <v>46199</v>
                </pt>
                <pt idx="41">
                  <v>46198</v>
                </pt>
                <pt idx="42">
                  <v>46197</v>
                </pt>
                <pt idx="43">
                  <v>46196</v>
                </pt>
                <pt idx="44">
                  <v>46195</v>
                </pt>
                <pt idx="45">
                  <v>46192</v>
                </pt>
                <pt idx="46">
                  <v>46191</v>
                </pt>
                <pt idx="47">
                  <v>46190</v>
                </pt>
                <pt idx="48">
                  <v>46189</v>
                </pt>
                <pt idx="49">
                  <v>46188</v>
                </pt>
                <pt idx="50">
                  <v>46185</v>
                </pt>
                <pt idx="51">
                  <v>46184</v>
                </pt>
                <pt idx="52">
                  <v>46183</v>
                </pt>
                <pt idx="53">
                  <v>46182</v>
                </pt>
                <pt idx="54">
                  <v>46181</v>
                </pt>
                <pt idx="55">
                  <v>46178</v>
                </pt>
                <pt idx="56">
                  <v>46177</v>
                </pt>
                <pt idx="57">
                  <v>46176</v>
                </pt>
                <pt idx="58">
                  <v>46175</v>
                </pt>
                <pt idx="59">
                  <v>46174</v>
                </pt>
                <pt idx="60">
                  <v>46171</v>
                </pt>
                <pt idx="61">
                  <v>46170</v>
                </pt>
                <pt idx="62">
                  <v>46169</v>
                </pt>
                <pt idx="63">
                  <v>46168</v>
                </pt>
                <pt idx="64">
                  <v>46167</v>
                </pt>
                <pt idx="65">
                  <v>46164</v>
                </pt>
                <pt idx="66">
                  <v>46163</v>
                </pt>
                <pt idx="67">
                  <v>46162</v>
                </pt>
                <pt idx="68">
                  <v>46161</v>
                </pt>
                <pt idx="69">
                  <v>46160</v>
                </pt>
                <pt idx="70">
                  <v>46157</v>
                </pt>
                <pt idx="71">
                  <v>46156</v>
                </pt>
                <pt idx="72">
                  <v>46155</v>
                </pt>
                <pt idx="73">
                  <v>46154</v>
                </pt>
                <pt idx="74">
                  <v>46153</v>
                </pt>
                <pt idx="75">
                  <v>46150</v>
                </pt>
                <pt idx="76">
                  <v>46149</v>
                </pt>
                <pt idx="77">
                  <v>46148</v>
                </pt>
                <pt idx="78">
                  <v>46147</v>
                </pt>
                <pt idx="79">
                  <v>46146</v>
                </pt>
                <pt idx="80">
                  <v>46141</v>
                </pt>
                <pt idx="81">
                  <v>46140</v>
                </pt>
                <pt idx="82">
                  <v>46136</v>
                </pt>
                <pt idx="83">
                  <v>46135</v>
                </pt>
                <pt idx="84">
                  <v>46134</v>
                </pt>
                <pt idx="85">
                  <v>46133</v>
                </pt>
                <pt idx="86">
                  <v>46132</v>
                </pt>
                <pt idx="87">
                  <v>46129</v>
                </pt>
                <pt idx="88">
                  <v>46128</v>
                </pt>
                <pt idx="89">
                  <v>46127</v>
                </pt>
                <pt idx="90">
                  <v>46126</v>
                </pt>
                <pt idx="91">
                  <v>46125</v>
                </pt>
                <pt idx="92">
                  <v>46122</v>
                </pt>
                <pt idx="93">
                  <v>46121</v>
                </pt>
                <pt idx="94">
                  <v>46120</v>
                </pt>
                <pt idx="95">
                  <v>46119</v>
                </pt>
                <pt idx="96">
                  <v>46118</v>
                </pt>
              </numCache>
            </numRef>
          </cat>
          <val>
            <numRef>
              <f>Sheet2!$D$12:$D$108</f>
              <numCache>
                <formatCode>#,##0</formatCode>
                <ptCount val="97"/>
                <pt idx="0">
                  <v>-147122948</v>
                </pt>
                <pt idx="1">
                  <v>-144995548</v>
                </pt>
                <pt idx="2">
                  <v>-141502699</v>
                </pt>
                <pt idx="3">
                  <v>-137528720</v>
                </pt>
                <pt idx="4">
                  <v>-132791020</v>
                </pt>
                <pt idx="5">
                  <v>-131973120</v>
                </pt>
                <pt idx="6">
                  <v>-130360620</v>
                </pt>
                <pt idx="7">
                  <v>-129105741</v>
                </pt>
                <pt idx="8">
                  <v>-128626941</v>
                </pt>
                <pt idx="9">
                  <v>-127262241</v>
                </pt>
                <pt idx="10">
                  <v>-126038627</v>
                </pt>
                <pt idx="11">
                  <v>-117811277</v>
                </pt>
                <pt idx="12">
                  <v>-113038970</v>
                </pt>
                <pt idx="13">
                  <v>-109188570</v>
                </pt>
                <pt idx="14">
                  <v>-105614152</v>
                </pt>
                <pt idx="15">
                  <v>-103383042</v>
                </pt>
                <pt idx="16">
                  <v>-100645842</v>
                </pt>
                <pt idx="17">
                  <v>-99845242</v>
                </pt>
                <pt idx="18">
                  <v>-98244669</v>
                </pt>
                <pt idx="19">
                  <v>-95950569</v>
                </pt>
                <pt idx="20">
                  <v>-92048908</v>
                </pt>
                <pt idx="21">
                  <v>-88884218</v>
                </pt>
                <pt idx="22">
                  <v>-85458418</v>
                </pt>
                <pt idx="23">
                  <v>-79036418</v>
                </pt>
                <pt idx="24">
                  <v>-78326318</v>
                </pt>
                <pt idx="25">
                  <v>-75775396</v>
                </pt>
                <pt idx="26">
                  <v>-73314064</v>
                </pt>
                <pt idx="27">
                  <v>-69979264</v>
                </pt>
                <pt idx="28">
                  <v>-67887683</v>
                </pt>
                <pt idx="29">
                  <v>-64661633</v>
                </pt>
                <pt idx="30">
                  <v>-60808803</v>
                </pt>
                <pt idx="31">
                  <v>-57763851</v>
                </pt>
                <pt idx="32">
                  <v>-55261651</v>
                </pt>
                <pt idx="33">
                  <v>-50831041</v>
                </pt>
                <pt idx="34">
                  <v>-50272241</v>
                </pt>
                <pt idx="35">
                  <v>-51631820</v>
                </pt>
                <pt idx="36">
                  <v>-53073120</v>
                </pt>
                <pt idx="37">
                  <v>-52073220</v>
                </pt>
                <pt idx="38">
                  <v>-63886910</v>
                </pt>
                <pt idx="39">
                  <v>-52105810</v>
                </pt>
                <pt idx="40">
                  <v>-50659849</v>
                </pt>
                <pt idx="41">
                  <v>-50811149</v>
                </pt>
                <pt idx="42">
                  <v>-51081349</v>
                </pt>
                <pt idx="43">
                  <v>-47689994</v>
                </pt>
                <pt idx="44">
                  <v>-48488356</v>
                </pt>
                <pt idx="45">
                  <v>-46853758</v>
                </pt>
                <pt idx="46">
                  <v>-44331459</v>
                </pt>
                <pt idx="47">
                  <v>-40800931</v>
                </pt>
                <pt idx="48">
                  <v>-38600101</v>
                </pt>
                <pt idx="49">
                  <v>-35486993</v>
                </pt>
                <pt idx="50">
                  <v>-31005993</v>
                </pt>
                <pt idx="51">
                  <v>-28882993</v>
                </pt>
                <pt idx="52">
                  <v>-27586974</v>
                </pt>
                <pt idx="53">
                  <v>-24616974</v>
                </pt>
                <pt idx="54">
                  <v>-23428974</v>
                </pt>
                <pt idx="55">
                  <v>-20334679</v>
                </pt>
                <pt idx="56">
                  <v>-18334379</v>
                </pt>
                <pt idx="57">
                  <v>-15221264</v>
                </pt>
                <pt idx="58">
                  <v>-11970264</v>
                </pt>
                <pt idx="59">
                  <v>-8097812</v>
                </pt>
                <pt idx="60">
                  <v>-6666912</v>
                </pt>
                <pt idx="61">
                  <v>-4048791</v>
                </pt>
                <pt idx="62">
                  <v>-3229818</v>
                </pt>
                <pt idx="63">
                  <v>-4461038</v>
                </pt>
                <pt idx="64">
                  <v>-5194525</v>
                </pt>
                <pt idx="65">
                  <v>-4929767</v>
                </pt>
                <pt idx="66">
                  <v>-4018067</v>
                </pt>
                <pt idx="67">
                  <v>-14561667</v>
                </pt>
                <pt idx="68">
                  <v>-11151922</v>
                </pt>
                <pt idx="69">
                  <v>-6917529</v>
                </pt>
                <pt idx="70">
                  <v>-4993782</v>
                </pt>
                <pt idx="71">
                  <v>-1592137</v>
                </pt>
                <pt idx="72">
                  <v>-3800037</v>
                </pt>
                <pt idx="73">
                  <v>-2220137</v>
                </pt>
                <pt idx="74">
                  <v>-3920595</v>
                </pt>
                <pt idx="75">
                  <v>-5155998</v>
                </pt>
                <pt idx="76">
                  <v>-6188680</v>
                </pt>
                <pt idx="77">
                  <v>-7158740</v>
                </pt>
                <pt idx="78">
                  <v>-4593045</v>
                </pt>
                <pt idx="79">
                  <v>-4539395</v>
                </pt>
                <pt idx="80">
                  <v>-4348775</v>
                </pt>
                <pt idx="81">
                  <v>-2616443</v>
                </pt>
                <pt idx="82">
                  <v>-229292</v>
                </pt>
                <pt idx="83">
                  <v>1164456</v>
                </pt>
                <pt idx="84">
                  <v>3899156</v>
                </pt>
                <pt idx="85">
                  <v>3150581</v>
                </pt>
                <pt idx="86">
                  <v>3251988</v>
                </pt>
                <pt idx="87">
                  <v>8136918</v>
                </pt>
                <pt idx="88">
                  <v>8045881</v>
                </pt>
                <pt idx="89">
                  <v>6443686</v>
                </pt>
                <pt idx="90">
                  <v>6449574</v>
                </pt>
                <pt idx="91">
                  <v>6484774</v>
                </pt>
                <pt idx="92">
                  <v>8766853</v>
                </pt>
                <pt idx="93">
                  <v>10003718</v>
                </pt>
                <pt idx="94">
                  <v>11107568</v>
                </pt>
                <pt idx="95">
                  <v>12109700</v>
                </pt>
                <pt idx="96">
                  <v>12882300</v>
                </pt>
              </numCache>
            </numRef>
          </val>
          <smooth val="0"/>
        </ser>
        <ser>
          <idx val="3"/>
          <order val="3"/>
          <tx>
            <strRef>
              <f>Sheet2!$E$4</f>
              <strCache>
                <ptCount val="1"/>
                <pt idx="0">
                  <v>TCB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Sheet2!$A$12:$A$108</f>
              <numCache>
                <formatCode>mm/dd/yyyy</formatCode>
                <ptCount val="97"/>
                <pt idx="0">
                  <v>46255</v>
                </pt>
                <pt idx="1">
                  <v>46254</v>
                </pt>
                <pt idx="2">
                  <v>46253</v>
                </pt>
                <pt idx="3">
                  <v>46252</v>
                </pt>
                <pt idx="4">
                  <v>46251</v>
                </pt>
                <pt idx="5">
                  <v>46248</v>
                </pt>
                <pt idx="6">
                  <v>46247</v>
                </pt>
                <pt idx="7">
                  <v>46246</v>
                </pt>
                <pt idx="8">
                  <v>46245</v>
                </pt>
                <pt idx="9">
                  <v>46244</v>
                </pt>
                <pt idx="10">
                  <v>46241</v>
                </pt>
                <pt idx="11">
                  <v>46240</v>
                </pt>
                <pt idx="12">
                  <v>46239</v>
                </pt>
                <pt idx="13">
                  <v>46238</v>
                </pt>
                <pt idx="14">
                  <v>46237</v>
                </pt>
                <pt idx="15">
                  <v>46234</v>
                </pt>
                <pt idx="16">
                  <v>46233</v>
                </pt>
                <pt idx="17">
                  <v>46232</v>
                </pt>
                <pt idx="18">
                  <v>46231</v>
                </pt>
                <pt idx="19">
                  <v>46230</v>
                </pt>
                <pt idx="20">
                  <v>46227</v>
                </pt>
                <pt idx="21">
                  <v>46226</v>
                </pt>
                <pt idx="22">
                  <v>46225</v>
                </pt>
                <pt idx="23">
                  <v>46224</v>
                </pt>
                <pt idx="24">
                  <v>46223</v>
                </pt>
                <pt idx="25">
                  <v>46220</v>
                </pt>
                <pt idx="26">
                  <v>46219</v>
                </pt>
                <pt idx="27">
                  <v>46218</v>
                </pt>
                <pt idx="28">
                  <v>46217</v>
                </pt>
                <pt idx="29">
                  <v>46216</v>
                </pt>
                <pt idx="30">
                  <v>46213</v>
                </pt>
                <pt idx="31">
                  <v>46212</v>
                </pt>
                <pt idx="32">
                  <v>46211</v>
                </pt>
                <pt idx="33">
                  <v>46210</v>
                </pt>
                <pt idx="34">
                  <v>46209</v>
                </pt>
                <pt idx="35">
                  <v>46206</v>
                </pt>
                <pt idx="36">
                  <v>46205</v>
                </pt>
                <pt idx="37">
                  <v>46204</v>
                </pt>
                <pt idx="38">
                  <v>46203</v>
                </pt>
                <pt idx="39">
                  <v>46202</v>
                </pt>
                <pt idx="40">
                  <v>46199</v>
                </pt>
                <pt idx="41">
                  <v>46198</v>
                </pt>
                <pt idx="42">
                  <v>46197</v>
                </pt>
                <pt idx="43">
                  <v>46196</v>
                </pt>
                <pt idx="44">
                  <v>46195</v>
                </pt>
                <pt idx="45">
                  <v>46192</v>
                </pt>
                <pt idx="46">
                  <v>46191</v>
                </pt>
                <pt idx="47">
                  <v>46190</v>
                </pt>
                <pt idx="48">
                  <v>46189</v>
                </pt>
                <pt idx="49">
                  <v>46188</v>
                </pt>
                <pt idx="50">
                  <v>46185</v>
                </pt>
                <pt idx="51">
                  <v>46184</v>
                </pt>
                <pt idx="52">
                  <v>46183</v>
                </pt>
                <pt idx="53">
                  <v>46182</v>
                </pt>
                <pt idx="54">
                  <v>46181</v>
                </pt>
                <pt idx="55">
                  <v>46178</v>
                </pt>
                <pt idx="56">
                  <v>46177</v>
                </pt>
                <pt idx="57">
                  <v>46176</v>
                </pt>
                <pt idx="58">
                  <v>46175</v>
                </pt>
                <pt idx="59">
                  <v>46174</v>
                </pt>
                <pt idx="60">
                  <v>46171</v>
                </pt>
                <pt idx="61">
                  <v>46170</v>
                </pt>
                <pt idx="62">
                  <v>46169</v>
                </pt>
                <pt idx="63">
                  <v>46168</v>
                </pt>
                <pt idx="64">
                  <v>46167</v>
                </pt>
                <pt idx="65">
                  <v>46164</v>
                </pt>
                <pt idx="66">
                  <v>46163</v>
                </pt>
                <pt idx="67">
                  <v>46162</v>
                </pt>
                <pt idx="68">
                  <v>46161</v>
                </pt>
                <pt idx="69">
                  <v>46160</v>
                </pt>
                <pt idx="70">
                  <v>46157</v>
                </pt>
                <pt idx="71">
                  <v>46156</v>
                </pt>
                <pt idx="72">
                  <v>46155</v>
                </pt>
                <pt idx="73">
                  <v>46154</v>
                </pt>
                <pt idx="74">
                  <v>46153</v>
                </pt>
                <pt idx="75">
                  <v>46150</v>
                </pt>
                <pt idx="76">
                  <v>46149</v>
                </pt>
                <pt idx="77">
                  <v>46148</v>
                </pt>
                <pt idx="78">
                  <v>46147</v>
                </pt>
                <pt idx="79">
                  <v>46146</v>
                </pt>
                <pt idx="80">
                  <v>46141</v>
                </pt>
                <pt idx="81">
                  <v>46140</v>
                </pt>
                <pt idx="82">
                  <v>46136</v>
                </pt>
                <pt idx="83">
                  <v>46135</v>
                </pt>
                <pt idx="84">
                  <v>46134</v>
                </pt>
                <pt idx="85">
                  <v>46133</v>
                </pt>
                <pt idx="86">
                  <v>46132</v>
                </pt>
                <pt idx="87">
                  <v>46129</v>
                </pt>
                <pt idx="88">
                  <v>46128</v>
                </pt>
                <pt idx="89">
                  <v>46127</v>
                </pt>
                <pt idx="90">
                  <v>46126</v>
                </pt>
                <pt idx="91">
                  <v>46125</v>
                </pt>
                <pt idx="92">
                  <v>46122</v>
                </pt>
                <pt idx="93">
                  <v>46121</v>
                </pt>
                <pt idx="94">
                  <v>46120</v>
                </pt>
                <pt idx="95">
                  <v>46119</v>
                </pt>
                <pt idx="96">
                  <v>46118</v>
                </pt>
              </numCache>
            </numRef>
          </cat>
          <val>
            <numRef>
              <f>Sheet2!$E$12:$E$108</f>
              <numCache>
                <formatCode>#,##0</formatCode>
                <ptCount val="97"/>
                <pt idx="0">
                  <v>-142441470</v>
                </pt>
                <pt idx="1">
                  <v>-142435545</v>
                </pt>
                <pt idx="2">
                  <v>-142710899</v>
                </pt>
                <pt idx="3">
                  <v>-143183271</v>
                </pt>
                <pt idx="4">
                  <v>-143487171</v>
                </pt>
                <pt idx="5">
                  <v>-145360756</v>
                </pt>
                <pt idx="6">
                  <v>-148204387</v>
                </pt>
                <pt idx="7">
                  <v>-142850551</v>
                </pt>
                <pt idx="8">
                  <v>-141191357</v>
                </pt>
                <pt idx="9">
                  <v>-134064057</v>
                </pt>
                <pt idx="10">
                  <v>-122273732</v>
                </pt>
                <pt idx="11">
                  <v>-114774332</v>
                </pt>
                <pt idx="12">
                  <v>-113775511</v>
                </pt>
                <pt idx="13">
                  <v>-113339641</v>
                </pt>
                <pt idx="14">
                  <v>-111284052</v>
                </pt>
                <pt idx="15">
                  <v>-108872152</v>
                </pt>
                <pt idx="16">
                  <v>-106417212</v>
                </pt>
                <pt idx="17">
                  <v>-101439572</v>
                </pt>
                <pt idx="18">
                  <v>-99722237</v>
                </pt>
                <pt idx="19">
                  <v>-98296067</v>
                </pt>
                <pt idx="20">
                  <v>-95802052</v>
                </pt>
                <pt idx="21">
                  <v>-93165183</v>
                </pt>
                <pt idx="22">
                  <v>-89095983</v>
                </pt>
                <pt idx="23">
                  <v>-86859003</v>
                </pt>
                <pt idx="24">
                  <v>-84880803</v>
                </pt>
                <pt idx="25">
                  <v>-84106403</v>
                </pt>
                <pt idx="26">
                  <v>-81239214</v>
                </pt>
                <pt idx="27">
                  <v>-79324614</v>
                </pt>
                <pt idx="28">
                  <v>-77278528</v>
                </pt>
                <pt idx="29">
                  <v>-75927128</v>
                </pt>
                <pt idx="30">
                  <v>-77450644</v>
                </pt>
                <pt idx="31">
                  <v>-76422044</v>
                </pt>
                <pt idx="32">
                  <v>-73725759</v>
                </pt>
                <pt idx="33">
                  <v>-70409537</v>
                </pt>
                <pt idx="34">
                  <v>-70384837</v>
                </pt>
                <pt idx="35">
                  <v>-70716727</v>
                </pt>
                <pt idx="36">
                  <v>-68027275</v>
                </pt>
                <pt idx="37">
                  <v>-65639295</v>
                </pt>
                <pt idx="38">
                  <v>-65124495</v>
                </pt>
                <pt idx="39">
                  <v>-64071995</v>
                </pt>
                <pt idx="40">
                  <v>-62855005</v>
                </pt>
                <pt idx="41">
                  <v>-62289006</v>
                </pt>
                <pt idx="42">
                  <v>-62540437</v>
                </pt>
                <pt idx="43">
                  <v>-60387976</v>
                </pt>
                <pt idx="44">
                  <v>-55603186</v>
                </pt>
                <pt idx="45">
                  <v>-54096364</v>
                </pt>
                <pt idx="46">
                  <v>-49951307</v>
                </pt>
                <pt idx="47">
                  <v>-44855287</v>
                </pt>
                <pt idx="48">
                  <v>-38786737</v>
                </pt>
                <pt idx="49">
                  <v>-35869676</v>
                </pt>
                <pt idx="50">
                  <v>-34485461</v>
                </pt>
                <pt idx="51">
                  <v>-34631805</v>
                </pt>
                <pt idx="52">
                  <v>-33536243</v>
                </pt>
                <pt idx="53">
                  <v>-32634543</v>
                </pt>
                <pt idx="54">
                  <v>-29457664</v>
                </pt>
                <pt idx="55">
                  <v>-27429632</v>
                </pt>
                <pt idx="56">
                  <v>-26076832</v>
                </pt>
                <pt idx="57">
                  <v>-24044232</v>
                </pt>
                <pt idx="58">
                  <v>-21400012</v>
                </pt>
                <pt idx="59">
                  <v>-19454632</v>
                </pt>
                <pt idx="60">
                  <v>-18857777</v>
                </pt>
                <pt idx="61">
                  <v>-18066662</v>
                </pt>
                <pt idx="62">
                  <v>-17010280</v>
                </pt>
                <pt idx="63">
                  <v>-15949782</v>
                </pt>
                <pt idx="64">
                  <v>-15913782</v>
                </pt>
                <pt idx="65">
                  <v>-16010744</v>
                </pt>
                <pt idx="66">
                  <v>-15356274</v>
                </pt>
                <pt idx="67">
                  <v>-12342524</v>
                </pt>
                <pt idx="68">
                  <v>-9229437</v>
                </pt>
                <pt idx="69">
                  <v>-8089545</v>
                </pt>
                <pt idx="70">
                  <v>-8885675</v>
                </pt>
                <pt idx="71">
                  <v>-10014225</v>
                </pt>
                <pt idx="72">
                  <v>-6324339</v>
                </pt>
                <pt idx="73">
                  <v>-5198300</v>
                </pt>
                <pt idx="74">
                  <v>-3158200</v>
                </pt>
                <pt idx="75">
                  <v>-2911100</v>
                </pt>
                <pt idx="76">
                  <v>-2517000</v>
                </pt>
                <pt idx="77">
                  <v>-1555900</v>
                </pt>
                <pt idx="78">
                  <v>-985800</v>
                </pt>
                <pt idx="79">
                  <v>-897900</v>
                </pt>
                <pt idx="80">
                  <v>-131300</v>
                </pt>
                <pt idx="81">
                  <v>15200</v>
                </pt>
                <pt idx="82">
                  <v>7300</v>
                </pt>
                <pt idx="83">
                  <v>-1001799</v>
                </pt>
                <pt idx="84">
                  <v>-1687600</v>
                </pt>
                <pt idx="85">
                  <v>-2207500</v>
                </pt>
                <pt idx="86">
                  <v>-1289701</v>
                </pt>
                <pt idx="87">
                  <v>-489501</v>
                </pt>
                <pt idx="88">
                  <v>-588101</v>
                </pt>
                <pt idx="89">
                  <v>-573100</v>
                </pt>
                <pt idx="90">
                  <v>-308100</v>
                </pt>
                <pt idx="91">
                  <v>29700</v>
                </pt>
                <pt idx="92">
                  <v>-485600</v>
                </pt>
                <pt idx="93">
                  <v>-7264458</v>
                </pt>
                <pt idx="94">
                  <v>-9452488</v>
                </pt>
                <pt idx="95">
                  <v>-11880380</v>
                </pt>
                <pt idx="96">
                  <v>-5661603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06647599"/>
        <axId val="613616703"/>
      </lineChart>
      <dateAx>
        <axId val="606647599"/>
        <scaling>
          <orientation val="minMax"/>
        </scaling>
        <delete val="0"/>
        <axPos val="b"/>
        <numFmt formatCode="mm/dd/yyyy" sourceLinked="1"/>
        <majorTickMark val="out"/>
        <minorTickMark val="none"/>
        <tickLblPos val="low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613616703"/>
        <crosses val="autoZero"/>
        <lblOffset val="100"/>
        <baseTimeUnit val="days"/>
      </dateAx>
      <valAx>
        <axId val="613616703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60664759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76200</colOff>
      <row>0</row>
      <rowOff>66675</rowOff>
    </from>
    <to>
      <col>2</col>
      <colOff>609600</colOff>
      <row>3</row>
      <rowOff>266700</rowOff>
    </to>
    <pic>
      <nvPicPr>
        <cNvPr id="3" name="Graphic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6200" y="66675"/>
          <a:ext cx="2400300" cy="583393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11</col>
      <colOff>0</colOff>
      <row>8</row>
      <rowOff>152400</rowOff>
    </from>
    <to>
      <col>21</col>
      <colOff>25400</colOff>
      <row>48</row>
      <rowOff>25400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fiingroup.vn/" TargetMode="External" Id="rId1" /><Relationship Type="http://schemas.openxmlformats.org/officeDocument/2006/relationships/hyperlink" Target="mailto:fiinpro.support@fiingroup.vn" TargetMode="External" Id="rId2" /><Relationship Type="http://schemas.openxmlformats.org/officeDocument/2006/relationships/drawing" Target="/xl/drawings/drawing1.xml" Id="rId3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V199"/>
  <sheetViews>
    <sheetView tabSelected="1" workbookViewId="0">
      <selection activeCell="G6" sqref="G6"/>
    </sheetView>
  </sheetViews>
  <sheetFormatPr baseColWidth="8" defaultColWidth="13.28515625" defaultRowHeight="15"/>
  <cols>
    <col width="14.7109375" customWidth="1" min="1" max="1"/>
    <col width="13.28515625" customWidth="1" min="3" max="5"/>
  </cols>
  <sheetData>
    <row r="1" ht="12" customFormat="1" customHeight="1" s="9"/>
    <row r="2" ht="8.25" customFormat="1" customHeight="1" s="9"/>
    <row r="3" ht="9.75" customFormat="1" customHeight="1" s="9"/>
    <row r="4" ht="24" customFormat="1" customHeight="1" s="9"/>
    <row r="5">
      <c r="A5" s="6" t="inlineStr">
        <is>
          <t>Tính năng</t>
        </is>
      </c>
      <c r="B5" s="7" t="inlineStr">
        <is>
          <t>DE - Dữ liệu giao dịch - Công ty</t>
        </is>
      </c>
    </row>
    <row r="6">
      <c r="A6" s="6" t="inlineStr">
        <is>
          <t>Ngày trích xuất</t>
        </is>
      </c>
      <c r="B6" s="8" t="n">
        <v>46157.7232975463</v>
      </c>
      <c r="F6" t="inlineStr">
        <is>
          <t>room còn lại</t>
        </is>
      </c>
      <c r="G6">
        <f>G11/G7</f>
        <v/>
      </c>
      <c r="K6" t="inlineStr">
        <is>
          <t>room còn lại</t>
        </is>
      </c>
      <c r="L6">
        <f>L11/L7</f>
        <v/>
      </c>
      <c r="P6" t="inlineStr">
        <is>
          <t>room còn lại</t>
        </is>
      </c>
      <c r="Q6">
        <f>Q11/Q7</f>
        <v/>
      </c>
      <c r="U6" t="inlineStr">
        <is>
          <t>room còn lại</t>
        </is>
      </c>
      <c r="V6">
        <f>V11/V7</f>
        <v/>
      </c>
    </row>
    <row r="7">
      <c r="F7" t="inlineStr">
        <is>
          <t>slcplh</t>
        </is>
      </c>
      <c r="G7" t="n">
        <v>5136656599</v>
      </c>
      <c r="K7" t="inlineStr">
        <is>
          <t>slcplh</t>
        </is>
      </c>
      <c r="L7" t="n">
        <v>3404005710</v>
      </c>
      <c r="P7" t="inlineStr">
        <is>
          <t>slcplh</t>
        </is>
      </c>
      <c r="Q7" t="n">
        <v>7933923601</v>
      </c>
      <c r="U7" t="inlineStr">
        <is>
          <t>slcplh</t>
        </is>
      </c>
      <c r="V7" t="n">
        <v>7086240414</v>
      </c>
    </row>
    <row r="8">
      <c r="A8" s="10" t="n"/>
      <c r="B8" s="11" t="n"/>
      <c r="C8" s="27" t="inlineStr">
        <is>
          <t>ACB</t>
        </is>
      </c>
      <c r="D8" s="28" t="n"/>
      <c r="E8" s="28" t="n"/>
      <c r="F8" s="28" t="n"/>
      <c r="G8" s="29" t="n"/>
      <c r="H8" s="27" t="inlineStr">
        <is>
          <t>VIB</t>
        </is>
      </c>
      <c r="I8" s="28" t="n"/>
      <c r="J8" s="28" t="n"/>
      <c r="K8" s="28" t="n"/>
      <c r="L8" s="29" t="n"/>
      <c r="M8" s="27" t="inlineStr">
        <is>
          <t>VPB</t>
        </is>
      </c>
      <c r="N8" s="28" t="n"/>
      <c r="O8" s="28" t="n"/>
      <c r="P8" s="28" t="n"/>
      <c r="Q8" s="29" t="n"/>
      <c r="R8" s="27" t="inlineStr">
        <is>
          <t>TCB</t>
        </is>
      </c>
      <c r="S8" s="28" t="n"/>
      <c r="T8" s="28" t="n"/>
      <c r="U8" s="28" t="n"/>
      <c r="V8" s="29" t="n"/>
    </row>
    <row r="9" ht="102" customFormat="1" customHeight="1" s="2">
      <c r="A9" s="12" t="inlineStr">
        <is>
          <t>STT</t>
        </is>
      </c>
      <c r="B9" s="12" t="inlineStr">
        <is>
          <t>Ngày</t>
        </is>
      </c>
      <c r="C9" s="13" t="inlineStr">
        <is>
          <t>Khối lượng  NĐTNN mua (D)
Đơn vị: Cổ phiếu</t>
        </is>
      </c>
      <c r="D9" s="13" t="inlineStr">
        <is>
          <t>Khối lượng NĐTNN bán (D)
Đơn vị: Cổ phiếu</t>
        </is>
      </c>
      <c r="E9" s="12" t="inlineStr">
        <is>
          <t>KL ròng</t>
        </is>
      </c>
      <c r="F9" s="12" t="inlineStr">
        <is>
          <t>Luỹ kế</t>
        </is>
      </c>
      <c r="G9" s="13" t="inlineStr">
        <is>
          <t>Khối lượng khối ngoại còn được phép mua (D)
Đơn vị: Cổ phiếu</t>
        </is>
      </c>
      <c r="H9" s="13" t="inlineStr">
        <is>
          <t>Khối lượng  NĐTNN mua (D)
Đơn vị: Cổ phiếu</t>
        </is>
      </c>
      <c r="I9" s="13" t="inlineStr">
        <is>
          <t>Khối lượng NĐTNN bán (D)
Đơn vị: Cổ phiếu</t>
        </is>
      </c>
      <c r="J9" s="12" t="inlineStr">
        <is>
          <t>KL ròng</t>
        </is>
      </c>
      <c r="K9" s="12" t="inlineStr">
        <is>
          <t>Luỹ kế</t>
        </is>
      </c>
      <c r="L9" s="12" t="inlineStr">
        <is>
          <t>Khối lượng khối ngoại còn được phép mua (D)
Đơn vị: Cổ phiếu</t>
        </is>
      </c>
      <c r="M9" s="12" t="inlineStr">
        <is>
          <t>Khối lượng  NĐTNN mua (D)
Đơn vị: Cổ phiếu</t>
        </is>
      </c>
      <c r="N9" s="12" t="inlineStr">
        <is>
          <t>Khối lượng NĐTNN bán (D)
Đơn vị: Cổ phiếu</t>
        </is>
      </c>
      <c r="O9" s="12" t="inlineStr">
        <is>
          <t>KL ròng</t>
        </is>
      </c>
      <c r="P9" s="12" t="inlineStr">
        <is>
          <t>Luỹ kế</t>
        </is>
      </c>
      <c r="Q9" s="12" t="inlineStr">
        <is>
          <t>Khối lượng khối ngoại còn được phép mua (D)
Đơn vị: Cổ phiếu</t>
        </is>
      </c>
      <c r="R9" s="12" t="inlineStr">
        <is>
          <t>Khối lượng  NĐTNN mua (D)
Đơn vị: Cổ phiếu</t>
        </is>
      </c>
      <c r="S9" s="12" t="inlineStr">
        <is>
          <t>Khối lượng NĐTNN bán (D)
Đơn vị: Cổ phiếu</t>
        </is>
      </c>
      <c r="T9" s="12" t="inlineStr">
        <is>
          <t>KL ròng</t>
        </is>
      </c>
      <c r="U9" s="12" t="inlineStr">
        <is>
          <t>Luỹ kế</t>
        </is>
      </c>
      <c r="V9" s="12" t="inlineStr">
        <is>
          <t>Khối lượng khối ngoại còn được phép mua (D)
Đơn vị: Cổ phiếu</t>
        </is>
      </c>
    </row>
    <row r="10" ht="15.95" customFormat="1" customHeight="1" s="2">
      <c r="A10" s="16" t="inlineStr"/>
      <c r="B10" s="17" t="n">
        <v>46276</v>
      </c>
      <c r="C10" s="16" t="n">
        <v>785100</v>
      </c>
      <c r="D10" s="16" t="n">
        <v>1765613</v>
      </c>
      <c r="E10" s="16">
        <f>C10-D10</f>
        <v/>
      </c>
      <c r="F10" s="16">
        <f>F11+E10</f>
        <v/>
      </c>
      <c r="G10" s="16" t="n"/>
      <c r="H10" s="16" t="n">
        <v>169445</v>
      </c>
      <c r="I10" s="16" t="n">
        <v>381600</v>
      </c>
      <c r="J10" s="16">
        <f>H10-I10</f>
        <v/>
      </c>
      <c r="K10" s="16">
        <f>K11+J10</f>
        <v/>
      </c>
      <c r="L10" s="16" t="n"/>
      <c r="M10" s="16" t="n">
        <v>2936400</v>
      </c>
      <c r="N10" s="16" t="n">
        <v>7777215</v>
      </c>
      <c r="O10" s="16">
        <f>M10-N10</f>
        <v/>
      </c>
      <c r="P10" s="16">
        <f>P11+O10</f>
        <v/>
      </c>
      <c r="Q10" s="16" t="n"/>
      <c r="R10" s="16" t="n">
        <v>2004479</v>
      </c>
      <c r="S10" s="16" t="n">
        <v>947300</v>
      </c>
      <c r="T10" s="16">
        <f>R10-S10</f>
        <v/>
      </c>
      <c r="U10" s="16">
        <f>U11+T10</f>
        <v/>
      </c>
      <c r="V10" s="16" t="n"/>
    </row>
    <row r="11" ht="15.95" customFormat="1" customHeight="1" s="2">
      <c r="A11" s="16" t="inlineStr"/>
      <c r="B11" s="17" t="n">
        <v>46275</v>
      </c>
      <c r="C11" s="16" t="n">
        <v>825309</v>
      </c>
      <c r="D11" s="16" t="n">
        <v>277540</v>
      </c>
      <c r="E11" s="16">
        <f>C11-D11</f>
        <v/>
      </c>
      <c r="F11" s="16">
        <f>F12+E11</f>
        <v/>
      </c>
      <c r="G11" s="16" t="n">
        <v>368544592</v>
      </c>
      <c r="H11" s="16" t="n">
        <v>31850</v>
      </c>
      <c r="I11" s="16" t="n">
        <v>118885</v>
      </c>
      <c r="J11" s="16">
        <f>H11-I11</f>
        <v/>
      </c>
      <c r="K11" s="16">
        <f>K12+J11</f>
        <v/>
      </c>
      <c r="L11" s="16" t="n">
        <v>53398987</v>
      </c>
      <c r="M11" s="16" t="n">
        <v>1931300</v>
      </c>
      <c r="N11" s="16" t="n">
        <v>893104</v>
      </c>
      <c r="O11" s="16">
        <f>M11-N11</f>
        <v/>
      </c>
      <c r="P11" s="16">
        <f>P12+O11</f>
        <v/>
      </c>
      <c r="Q11" s="16" t="n">
        <v>570178728</v>
      </c>
      <c r="R11" s="16" t="n">
        <v>1407500</v>
      </c>
      <c r="S11" s="16" t="n">
        <v>457600</v>
      </c>
      <c r="T11" s="16">
        <f>R11-S11</f>
        <v/>
      </c>
      <c r="U11" s="16">
        <f>U12+T11</f>
        <v/>
      </c>
      <c r="V11" s="16" t="n">
        <v>122283076</v>
      </c>
    </row>
    <row r="12" ht="15.95" customFormat="1" customHeight="1" s="2">
      <c r="A12" s="16" t="inlineStr"/>
      <c r="B12" s="17" t="n">
        <v>46274</v>
      </c>
      <c r="C12" s="16" t="n">
        <v>1868900</v>
      </c>
      <c r="D12" s="16" t="n">
        <v>2577000</v>
      </c>
      <c r="E12" s="16">
        <f>C12-D12</f>
        <v/>
      </c>
      <c r="F12" s="16">
        <f>F13+E12</f>
        <v/>
      </c>
      <c r="G12" s="16" t="n">
        <v>369092361</v>
      </c>
      <c r="H12" s="16" t="n">
        <v>2147500</v>
      </c>
      <c r="I12" s="16" t="n">
        <v>197200</v>
      </c>
      <c r="J12" s="16">
        <f>H12-I12</f>
        <v/>
      </c>
      <c r="K12" s="16">
        <f>K13+J12</f>
        <v/>
      </c>
      <c r="L12" s="16" t="n">
        <v>53398987</v>
      </c>
      <c r="M12" s="16" t="n">
        <v>671000</v>
      </c>
      <c r="N12" s="16" t="n">
        <v>2498800</v>
      </c>
      <c r="O12" s="16">
        <f>M12-N12</f>
        <v/>
      </c>
      <c r="P12" s="16">
        <f>P13+O12</f>
        <v/>
      </c>
      <c r="Q12" s="16" t="n">
        <v>568383277</v>
      </c>
      <c r="R12" s="16" t="n">
        <v>3829568</v>
      </c>
      <c r="S12" s="16" t="n">
        <v>522300</v>
      </c>
      <c r="T12" s="16">
        <f>R12-S12</f>
        <v/>
      </c>
      <c r="U12" s="16">
        <f>U13+T12</f>
        <v/>
      </c>
      <c r="V12" s="16" t="n">
        <v>123079143</v>
      </c>
    </row>
    <row r="13" ht="15.95" customFormat="1" customHeight="1" s="22">
      <c r="A13" s="16" t="inlineStr"/>
      <c r="B13" s="17" t="n">
        <v>46273</v>
      </c>
      <c r="C13" s="16" t="n">
        <v>516412</v>
      </c>
      <c r="D13" s="16" t="n">
        <v>168700</v>
      </c>
      <c r="E13" s="16">
        <f>C13-D13</f>
        <v/>
      </c>
      <c r="F13" s="16">
        <f>F14+E13</f>
        <v/>
      </c>
      <c r="G13" s="16" t="n">
        <v>369065921</v>
      </c>
      <c r="H13" s="16" t="n">
        <v>2855000</v>
      </c>
      <c r="I13" s="16" t="n">
        <v>33068</v>
      </c>
      <c r="J13" s="16">
        <f>H13-I13</f>
        <v/>
      </c>
      <c r="K13" s="16">
        <f>K14+J13</f>
        <v/>
      </c>
      <c r="L13" s="16" t="n">
        <v>54887287</v>
      </c>
      <c r="M13" s="16" t="n">
        <v>1765003</v>
      </c>
      <c r="N13" s="16" t="n">
        <v>4598650</v>
      </c>
      <c r="O13" s="16">
        <f>M13-N13</f>
        <v/>
      </c>
      <c r="P13" s="16">
        <f>P14+O13</f>
        <v/>
      </c>
      <c r="Q13" s="16" t="n">
        <v>568440277</v>
      </c>
      <c r="R13" s="16" t="n">
        <v>664160</v>
      </c>
      <c r="S13" s="16" t="n">
        <v>817993</v>
      </c>
      <c r="T13" s="16">
        <f>R13-S13</f>
        <v/>
      </c>
      <c r="U13" s="16">
        <f>U14+T13</f>
        <v/>
      </c>
      <c r="V13" s="16" t="n">
        <v>125939341</v>
      </c>
    </row>
    <row r="14" ht="15.95" customFormat="1" customHeight="1" s="22">
      <c r="A14" s="16" t="inlineStr"/>
      <c r="B14" s="17" t="n">
        <v>46272</v>
      </c>
      <c r="C14" s="16" t="n">
        <v>249600</v>
      </c>
      <c r="D14" s="16" t="n">
        <v>341040</v>
      </c>
      <c r="E14" s="16">
        <f>C14-D14</f>
        <v/>
      </c>
      <c r="F14" s="16">
        <f>F15+E14</f>
        <v/>
      </c>
      <c r="G14" s="16" t="n">
        <v>367002165</v>
      </c>
      <c r="H14" s="16" t="n">
        <v>133500</v>
      </c>
      <c r="I14" s="16" t="n">
        <v>620500</v>
      </c>
      <c r="J14" s="16">
        <f>H14-I14</f>
        <v/>
      </c>
      <c r="K14" s="16">
        <f>K15+J14</f>
        <v/>
      </c>
      <c r="L14" s="16" t="n">
        <v>57709219</v>
      </c>
      <c r="M14" s="16" t="n">
        <v>4124180</v>
      </c>
      <c r="N14" s="16" t="n">
        <v>2885000</v>
      </c>
      <c r="O14" s="16">
        <f>M14-N14</f>
        <v/>
      </c>
      <c r="P14" s="16">
        <f>P15+O14</f>
        <v/>
      </c>
      <c r="Q14" s="16" t="n">
        <v>568440277</v>
      </c>
      <c r="R14" s="16" t="n">
        <v>908330</v>
      </c>
      <c r="S14" s="16" t="n">
        <v>1406400</v>
      </c>
      <c r="T14" s="16">
        <f>R14-S14</f>
        <v/>
      </c>
      <c r="U14" s="16">
        <f>U15+T14</f>
        <v/>
      </c>
      <c r="V14" s="16" t="n">
        <v>125939341</v>
      </c>
    </row>
    <row r="15" ht="15.95" customFormat="1" customHeight="1" s="2">
      <c r="A15" s="16" t="n"/>
      <c r="B15" s="17" t="n">
        <v>46269</v>
      </c>
      <c r="C15" s="16" t="n">
        <v>1723300</v>
      </c>
      <c r="D15" s="16" t="n">
        <v>4134768</v>
      </c>
      <c r="E15" s="16">
        <f>C15-D15</f>
        <v/>
      </c>
      <c r="F15" s="16">
        <f>F16+E15</f>
        <v/>
      </c>
      <c r="G15" s="16" t="n"/>
      <c r="H15" s="16" t="n">
        <v>2866400</v>
      </c>
      <c r="I15" s="16" t="n">
        <v>890400</v>
      </c>
      <c r="J15" s="16">
        <f>H15-I15</f>
        <v/>
      </c>
      <c r="K15" s="16">
        <f>K16+J15</f>
        <v/>
      </c>
      <c r="L15" s="16" t="n"/>
      <c r="M15" s="16" t="n">
        <v>5185700</v>
      </c>
      <c r="N15" s="16" t="n">
        <v>1655600</v>
      </c>
      <c r="O15" s="16">
        <f>M15-N15</f>
        <v/>
      </c>
      <c r="P15" s="16">
        <f>P16+O15</f>
        <v/>
      </c>
      <c r="Q15" s="16" t="n"/>
      <c r="R15" s="16" t="n">
        <v>1656600</v>
      </c>
      <c r="S15" s="16" t="n">
        <v>1355600</v>
      </c>
      <c r="T15" s="16">
        <f>R15-S15</f>
        <v/>
      </c>
      <c r="U15" s="16">
        <f>U16+T15</f>
        <v/>
      </c>
      <c r="V15" s="16" t="n"/>
    </row>
    <row r="16" ht="15.95" customFormat="1" customHeight="1" s="2">
      <c r="A16" s="16" t="n"/>
      <c r="B16" s="17" t="n">
        <v>46268</v>
      </c>
      <c r="C16" s="16" t="n">
        <v>1039188</v>
      </c>
      <c r="D16" s="16" t="n">
        <v>4718040</v>
      </c>
      <c r="E16" s="16">
        <f>C16-D16</f>
        <v/>
      </c>
      <c r="F16" s="16">
        <f>F17+E16</f>
        <v/>
      </c>
      <c r="G16" s="16" t="n">
        <v>363348113</v>
      </c>
      <c r="H16" s="16" t="n">
        <v>298400</v>
      </c>
      <c r="I16" s="16" t="n">
        <v>416400</v>
      </c>
      <c r="J16" s="16">
        <f>H16-I16</f>
        <v/>
      </c>
      <c r="K16" s="16">
        <f>K17+J16</f>
        <v/>
      </c>
      <c r="L16" s="16" t="n">
        <v>59190619</v>
      </c>
      <c r="M16" s="16" t="n">
        <v>1750578</v>
      </c>
      <c r="N16" s="16" t="n">
        <v>8107800</v>
      </c>
      <c r="O16" s="16">
        <f>M16-N16</f>
        <v/>
      </c>
      <c r="P16" s="16">
        <f>P17+O16</f>
        <v/>
      </c>
      <c r="Q16" s="16" t="n">
        <v>566873935</v>
      </c>
      <c r="R16" s="16" t="n">
        <v>2189118</v>
      </c>
      <c r="S16" s="16" t="n">
        <v>6949448</v>
      </c>
      <c r="T16" s="16">
        <f>R16-S16</f>
        <v/>
      </c>
      <c r="U16" s="16">
        <f>U17+T16</f>
        <v/>
      </c>
      <c r="V16" s="16" t="n">
        <v>121499611</v>
      </c>
    </row>
    <row r="17" ht="15.95" customFormat="1" customHeight="1" s="2">
      <c r="A17" s="16" t="n"/>
      <c r="B17" s="17" t="n">
        <v>46262</v>
      </c>
      <c r="C17" s="16" t="n">
        <v>1225600</v>
      </c>
      <c r="D17" s="16" t="n">
        <v>476226</v>
      </c>
      <c r="E17" s="16">
        <f>C17-D17</f>
        <v/>
      </c>
      <c r="F17" s="16">
        <f>F18+E17</f>
        <v/>
      </c>
      <c r="G17" s="16" t="n"/>
      <c r="H17" s="16" t="n">
        <v>263400</v>
      </c>
      <c r="I17" s="16" t="n">
        <v>649200</v>
      </c>
      <c r="J17" s="16">
        <f>H17-I17</f>
        <v/>
      </c>
      <c r="K17" s="16">
        <f>K18+J17</f>
        <v/>
      </c>
      <c r="L17" s="16" t="n"/>
      <c r="M17" s="16" t="n">
        <v>5182154</v>
      </c>
      <c r="N17" s="16" t="n">
        <v>1111700</v>
      </c>
      <c r="O17" s="16">
        <f>M17-N17</f>
        <v/>
      </c>
      <c r="P17" s="16">
        <f>P18+O17</f>
        <v/>
      </c>
      <c r="Q17" s="16" t="n"/>
      <c r="R17" s="16" t="n">
        <v>8197392</v>
      </c>
      <c r="S17" s="16" t="n">
        <v>1811500</v>
      </c>
      <c r="T17" s="16">
        <f>R17-S17</f>
        <v/>
      </c>
      <c r="U17" s="16">
        <f>U18+T17</f>
        <v/>
      </c>
      <c r="V17" s="16" t="n"/>
    </row>
    <row r="18" ht="15.95" customFormat="1" customHeight="1" s="2">
      <c r="A18" s="16" t="n"/>
      <c r="B18" s="17" t="n">
        <v>46261</v>
      </c>
      <c r="C18" s="16" t="n">
        <v>1871900</v>
      </c>
      <c r="D18" s="16" t="n">
        <v>1605570</v>
      </c>
      <c r="E18" s="16">
        <f>C18-D18</f>
        <v/>
      </c>
      <c r="F18" s="16">
        <f>F19+E18</f>
        <v/>
      </c>
      <c r="G18" s="16" t="n">
        <v>360589986</v>
      </c>
      <c r="H18" s="16" t="n">
        <v>280500</v>
      </c>
      <c r="I18" s="16" t="n">
        <v>1220000</v>
      </c>
      <c r="J18" s="16">
        <f>H18-I18</f>
        <v/>
      </c>
      <c r="K18" s="16">
        <f>K19+J18</f>
        <v/>
      </c>
      <c r="L18" s="16" t="n">
        <v>58251119</v>
      </c>
      <c r="M18" s="16" t="n">
        <v>4952400</v>
      </c>
      <c r="N18" s="16" t="n">
        <v>1195600</v>
      </c>
      <c r="O18" s="16">
        <f>M18-N18</f>
        <v/>
      </c>
      <c r="P18" s="16">
        <f>P19+O18</f>
        <v/>
      </c>
      <c r="Q18" s="16" t="n">
        <v>570567698</v>
      </c>
      <c r="R18" s="16" t="n">
        <v>14306288</v>
      </c>
      <c r="S18" s="16" t="n">
        <v>1275889</v>
      </c>
      <c r="T18" s="16">
        <f>R18-S18</f>
        <v/>
      </c>
      <c r="U18" s="16">
        <f>U19+T18</f>
        <v/>
      </c>
      <c r="V18" s="16" t="n">
        <v>127885503</v>
      </c>
    </row>
    <row r="19" ht="15.95" customFormat="1" customHeight="1" s="2">
      <c r="A19" s="16" t="n"/>
      <c r="B19" s="17" t="n">
        <v>46260</v>
      </c>
      <c r="C19" s="16" t="n">
        <v>515100</v>
      </c>
      <c r="D19" s="16" t="n">
        <v>4010001</v>
      </c>
      <c r="E19" s="16">
        <f>C19-D19</f>
        <v/>
      </c>
      <c r="F19" s="16">
        <f>F20+E19</f>
        <v/>
      </c>
      <c r="G19" s="16" t="n">
        <v>359225268</v>
      </c>
      <c r="H19" s="16" t="n">
        <v>987900</v>
      </c>
      <c r="I19" s="16" t="n">
        <v>356205</v>
      </c>
      <c r="J19" s="16">
        <f>H19-I19</f>
        <v/>
      </c>
      <c r="K19" s="16">
        <f>K20+J19</f>
        <v/>
      </c>
      <c r="L19" s="16" t="n">
        <v>58241919</v>
      </c>
      <c r="M19" s="16" t="n">
        <v>1695210</v>
      </c>
      <c r="N19" s="16" t="n">
        <v>2060801</v>
      </c>
      <c r="O19" s="16">
        <f>M19-N19</f>
        <v/>
      </c>
      <c r="P19" s="16">
        <f>P20+O19</f>
        <v/>
      </c>
      <c r="Q19" s="16" t="n">
        <v>574318298</v>
      </c>
      <c r="R19" s="16" t="n">
        <v>7232200</v>
      </c>
      <c r="S19" s="16" t="n">
        <v>3227900</v>
      </c>
      <c r="T19" s="16">
        <f>R19-S19</f>
        <v/>
      </c>
      <c r="U19" s="16">
        <f>U20+T19</f>
        <v/>
      </c>
      <c r="V19" s="16" t="n">
        <v>137767142</v>
      </c>
    </row>
    <row r="20" ht="15.95" customFormat="1" customHeight="1" s="2">
      <c r="A20" s="16" t="n"/>
      <c r="B20" s="17" t="n">
        <v>46259</v>
      </c>
      <c r="C20" s="16" t="n">
        <v>266960</v>
      </c>
      <c r="D20" s="16" t="n">
        <v>1896408</v>
      </c>
      <c r="E20" s="16">
        <f>C20-D20</f>
        <v/>
      </c>
      <c r="F20" s="16">
        <f>F21+E20</f>
        <v/>
      </c>
      <c r="G20" s="16" t="n">
        <v>359225268</v>
      </c>
      <c r="H20" s="16" t="n">
        <v>136600</v>
      </c>
      <c r="I20" s="16" t="n">
        <v>111304</v>
      </c>
      <c r="J20" s="16">
        <f>H20-I20</f>
        <v/>
      </c>
      <c r="K20" s="16">
        <f>K21+J20</f>
        <v/>
      </c>
      <c r="L20" s="16" t="n">
        <v>58686814</v>
      </c>
      <c r="M20" s="16" t="n">
        <v>1255300</v>
      </c>
      <c r="N20" s="16" t="n">
        <v>950001</v>
      </c>
      <c r="O20" s="16">
        <f>M20-N20</f>
        <v/>
      </c>
      <c r="P20" s="16">
        <f>P21+O20</f>
        <v/>
      </c>
      <c r="Q20" s="16" t="n">
        <v>574314198</v>
      </c>
      <c r="R20" s="16" t="n">
        <v>114040</v>
      </c>
      <c r="S20" s="16" t="n">
        <v>3261400</v>
      </c>
      <c r="T20" s="16">
        <f>R20-S20</f>
        <v/>
      </c>
      <c r="U20" s="16">
        <f>U21+T20</f>
        <v/>
      </c>
      <c r="V20" s="16" t="n">
        <v>141771442</v>
      </c>
    </row>
    <row r="21" ht="15.95" customFormat="1" customHeight="1" s="2">
      <c r="A21" s="16" t="n"/>
      <c r="B21" s="17" t="n">
        <v>46258</v>
      </c>
      <c r="C21" s="16" t="n">
        <v>501500</v>
      </c>
      <c r="D21" s="16" t="n">
        <v>490839</v>
      </c>
      <c r="E21" s="16">
        <f>C21-D21</f>
        <v/>
      </c>
      <c r="F21" s="16">
        <f>F22+E21</f>
        <v/>
      </c>
      <c r="G21" s="16" t="n">
        <v>359233368</v>
      </c>
      <c r="H21" s="16" t="n">
        <v>89800</v>
      </c>
      <c r="I21" s="16" t="n">
        <v>276600</v>
      </c>
      <c r="J21" s="16">
        <f>H21-I21</f>
        <v/>
      </c>
      <c r="K21" s="16">
        <f>K22+J21</f>
        <v/>
      </c>
      <c r="L21" s="16" t="n">
        <v>58715110</v>
      </c>
      <c r="M21" s="16" t="n">
        <v>3534232</v>
      </c>
      <c r="N21" s="16" t="n">
        <v>983949</v>
      </c>
      <c r="O21" s="16">
        <f>M21-N21</f>
        <v/>
      </c>
      <c r="P21" s="16">
        <f>P22+O21</f>
        <v/>
      </c>
      <c r="Q21" s="16" t="n">
        <v>572499097</v>
      </c>
      <c r="R21" s="16" t="n">
        <v>1095590</v>
      </c>
      <c r="S21" s="16" t="n">
        <v>345362</v>
      </c>
      <c r="T21" s="16">
        <f>R21-S21</f>
        <v/>
      </c>
      <c r="U21" s="16">
        <f>U22+T21</f>
        <v/>
      </c>
      <c r="V21" s="16" t="n">
        <v>141771917</v>
      </c>
    </row>
    <row r="22" ht="15.95" customFormat="1" customHeight="1" s="2">
      <c r="A22" s="16" t="n"/>
      <c r="B22" s="17" t="n">
        <v>46255</v>
      </c>
      <c r="C22" s="16" t="n">
        <v>1242000</v>
      </c>
      <c r="D22" s="16" t="n">
        <v>636890</v>
      </c>
      <c r="E22" s="16">
        <f>C22-D22</f>
        <v/>
      </c>
      <c r="F22" s="16">
        <f>F23+E22</f>
        <v/>
      </c>
      <c r="G22" s="16" t="n"/>
      <c r="H22" s="16" t="n">
        <v>647000</v>
      </c>
      <c r="I22" s="16" t="n">
        <v>130100</v>
      </c>
      <c r="J22" s="16">
        <f>H22-I22</f>
        <v/>
      </c>
      <c r="K22" s="16">
        <f>K23+J22</f>
        <v/>
      </c>
      <c r="L22" s="16" t="n"/>
      <c r="M22" s="16" t="n">
        <v>1538500</v>
      </c>
      <c r="N22" s="16" t="n">
        <v>3665900</v>
      </c>
      <c r="O22" s="16">
        <f>M22-N22</f>
        <v/>
      </c>
      <c r="P22" s="16">
        <f>P23+O22</f>
        <v/>
      </c>
      <c r="Q22" s="16" t="n"/>
      <c r="R22" s="16" t="n">
        <v>411675</v>
      </c>
      <c r="S22" s="16" t="n">
        <v>417600</v>
      </c>
      <c r="T22" s="16">
        <f>R22-S22</f>
        <v/>
      </c>
      <c r="U22" s="16">
        <f>U23+T22</f>
        <v/>
      </c>
      <c r="V22" s="16" t="n"/>
    </row>
    <row r="23" ht="15.95" customFormat="1" customHeight="1" s="2">
      <c r="A23" s="16" t="n"/>
      <c r="B23" s="17" t="n">
        <v>46254</v>
      </c>
      <c r="C23" s="16" t="n">
        <v>391700</v>
      </c>
      <c r="D23" s="16" t="n">
        <v>1719376</v>
      </c>
      <c r="E23" s="16">
        <f>C23-D23</f>
        <v/>
      </c>
      <c r="F23" s="16">
        <f>F24+E23</f>
        <v/>
      </c>
      <c r="G23" s="16" t="n">
        <v>356262341</v>
      </c>
      <c r="H23" s="16" t="n">
        <v>56087</v>
      </c>
      <c r="I23" s="16" t="n">
        <v>67000</v>
      </c>
      <c r="J23" s="16">
        <f>H23-I23</f>
        <v/>
      </c>
      <c r="K23" s="16">
        <f>K24+J23</f>
        <v/>
      </c>
      <c r="L23" s="16" t="n">
        <v>58972819</v>
      </c>
      <c r="M23" s="16" t="n">
        <v>949051</v>
      </c>
      <c r="N23" s="16" t="n">
        <v>4441900</v>
      </c>
      <c r="O23" s="16">
        <f>M23-N23</f>
        <v/>
      </c>
      <c r="P23" s="16">
        <f>P24+O23</f>
        <v/>
      </c>
      <c r="Q23" s="16" t="n">
        <v>567718352</v>
      </c>
      <c r="R23" s="16" t="n">
        <v>547358</v>
      </c>
      <c r="S23" s="16" t="n">
        <v>272004</v>
      </c>
      <c r="T23" s="16">
        <f>R23-S23</f>
        <v/>
      </c>
      <c r="U23" s="16">
        <f>U24+T23</f>
        <v/>
      </c>
      <c r="V23" s="16" t="n">
        <v>142522145</v>
      </c>
    </row>
    <row r="24" ht="15.95" customFormat="1" customHeight="1" s="2">
      <c r="A24" s="16" t="n"/>
      <c r="B24" s="17" t="n">
        <v>46253</v>
      </c>
      <c r="C24" s="16" t="n">
        <v>484200</v>
      </c>
      <c r="D24" s="16" t="n">
        <v>2919022</v>
      </c>
      <c r="E24" s="16">
        <f>C24-D24</f>
        <v/>
      </c>
      <c r="F24" s="16">
        <f>F25+E24</f>
        <v/>
      </c>
      <c r="G24" s="16" t="n">
        <v>355183946</v>
      </c>
      <c r="H24" s="16" t="n">
        <v>84922</v>
      </c>
      <c r="I24" s="16" t="n">
        <v>333200</v>
      </c>
      <c r="J24" s="16">
        <f>H24-I24</f>
        <v/>
      </c>
      <c r="K24" s="16">
        <f>K25+J24</f>
        <v/>
      </c>
      <c r="L24" s="16" t="n">
        <v>58529419</v>
      </c>
      <c r="M24" s="16" t="n">
        <v>282251</v>
      </c>
      <c r="N24" s="16" t="n">
        <v>4256230</v>
      </c>
      <c r="O24" s="16">
        <f>M24-N24</f>
        <v/>
      </c>
      <c r="P24" s="16">
        <f>P25+O24</f>
        <v/>
      </c>
      <c r="Q24" s="16" t="n">
        <v>562980652</v>
      </c>
      <c r="R24" s="16" t="n">
        <v>907772</v>
      </c>
      <c r="S24" s="16" t="n">
        <v>435400</v>
      </c>
      <c r="T24" s="16">
        <f>R24-S24</f>
        <v/>
      </c>
      <c r="U24" s="16">
        <f>U25+T24</f>
        <v/>
      </c>
      <c r="V24" s="16" t="n">
        <v>142797499</v>
      </c>
    </row>
    <row r="25" ht="15.95" customFormat="1" customHeight="1" s="2">
      <c r="A25" s="16" t="n"/>
      <c r="B25" s="17" t="n">
        <v>46252</v>
      </c>
      <c r="C25" s="16" t="n">
        <v>410800</v>
      </c>
      <c r="D25" s="16" t="n">
        <v>1489195</v>
      </c>
      <c r="E25" s="16">
        <f>C25-D25</f>
        <v/>
      </c>
      <c r="F25" s="16">
        <f>F26+E25</f>
        <v/>
      </c>
      <c r="G25" s="16" t="n">
        <v>349265193</v>
      </c>
      <c r="H25" s="16" t="n">
        <v>60900</v>
      </c>
      <c r="I25" s="16" t="n">
        <v>504300</v>
      </c>
      <c r="J25" s="16">
        <f>H25-I25</f>
        <v/>
      </c>
      <c r="K25" s="16">
        <f>K26+J25</f>
        <v/>
      </c>
      <c r="L25" s="16" t="n">
        <v>58186618</v>
      </c>
      <c r="M25" s="16" t="n">
        <v>336800</v>
      </c>
      <c r="N25" s="16" t="n">
        <v>5074500</v>
      </c>
      <c r="O25" s="16">
        <f>M25-N25</f>
        <v/>
      </c>
      <c r="P25" s="16">
        <f>P26+O25</f>
        <v/>
      </c>
      <c r="Q25" s="16" t="n">
        <v>560546152</v>
      </c>
      <c r="R25" s="16" t="n">
        <v>838100</v>
      </c>
      <c r="S25" s="16" t="n">
        <v>534200</v>
      </c>
      <c r="T25" s="16">
        <f>R25-S25</f>
        <v/>
      </c>
      <c r="U25" s="16">
        <f>U26+T25</f>
        <v/>
      </c>
      <c r="V25" s="16" t="n">
        <v>143573771</v>
      </c>
    </row>
    <row r="26" ht="15.95" customFormat="1" customHeight="1" s="2">
      <c r="A26" s="16" t="n"/>
      <c r="B26" s="17" t="n">
        <v>46251</v>
      </c>
      <c r="C26" s="16" t="n">
        <v>362400</v>
      </c>
      <c r="D26" s="16" t="n">
        <v>4731982</v>
      </c>
      <c r="E26" s="16">
        <f>C26-D26</f>
        <v/>
      </c>
      <c r="F26" s="16">
        <f>F27+E26</f>
        <v/>
      </c>
      <c r="G26" s="16" t="n">
        <v>349265193</v>
      </c>
      <c r="H26" s="16" t="n">
        <v>243500</v>
      </c>
      <c r="I26" s="16" t="n">
        <v>28100</v>
      </c>
      <c r="J26" s="16">
        <f>H26-I26</f>
        <v/>
      </c>
      <c r="K26" s="16">
        <f>K27+J26</f>
        <v/>
      </c>
      <c r="L26" s="16" t="n">
        <v>58186618</v>
      </c>
      <c r="M26" s="16" t="n">
        <v>2108000</v>
      </c>
      <c r="N26" s="16" t="n">
        <v>2925900</v>
      </c>
      <c r="O26" s="16">
        <f>M26-N26</f>
        <v/>
      </c>
      <c r="P26" s="16">
        <f>P27+O26</f>
        <v/>
      </c>
      <c r="Q26" s="16" t="n">
        <v>560546152</v>
      </c>
      <c r="R26" s="16" t="n">
        <v>2472985</v>
      </c>
      <c r="S26" s="16" t="n">
        <v>599400</v>
      </c>
      <c r="T26" s="16">
        <f>R26-S26</f>
        <v/>
      </c>
      <c r="U26" s="16">
        <f>U27+T26</f>
        <v/>
      </c>
      <c r="V26" s="16" t="n">
        <v>143573771</v>
      </c>
    </row>
    <row r="27" ht="15.95" customFormat="1" customHeight="1" s="2">
      <c r="A27" s="16" t="n"/>
      <c r="B27" s="17" t="n">
        <v>46248</v>
      </c>
      <c r="C27" s="16" t="n">
        <v>667500</v>
      </c>
      <c r="D27" s="16" t="n">
        <v>2216671</v>
      </c>
      <c r="E27" s="16">
        <f>C27-D27</f>
        <v/>
      </c>
      <c r="F27" s="16">
        <f>F28+E27</f>
        <v/>
      </c>
      <c r="G27" s="16" t="n"/>
      <c r="H27" s="16" t="n">
        <v>234700</v>
      </c>
      <c r="I27" s="16" t="n">
        <v>577501</v>
      </c>
      <c r="J27" s="16">
        <f>H27-I27</f>
        <v/>
      </c>
      <c r="K27" s="16">
        <f>K28+J27</f>
        <v/>
      </c>
      <c r="L27" s="16" t="n"/>
      <c r="M27" s="16" t="n">
        <v>2646300</v>
      </c>
      <c r="N27" s="16" t="n">
        <v>4258800</v>
      </c>
      <c r="O27" s="16">
        <f>M27-N27</f>
        <v/>
      </c>
      <c r="P27" s="16">
        <f>P28+O27</f>
        <v/>
      </c>
      <c r="Q27" s="16" t="n"/>
      <c r="R27" s="16" t="n">
        <v>3833331</v>
      </c>
      <c r="S27" s="16" t="n">
        <v>989700</v>
      </c>
      <c r="T27" s="16">
        <f>R27-S27</f>
        <v/>
      </c>
      <c r="U27" s="16">
        <f>U28+T27</f>
        <v/>
      </c>
      <c r="V27" s="16" t="n"/>
    </row>
    <row r="28" ht="15.95" customFormat="1" customHeight="1" s="2">
      <c r="A28" s="16" t="n"/>
      <c r="B28" s="17" t="n">
        <v>46247</v>
      </c>
      <c r="C28" s="16" t="n">
        <v>1101130</v>
      </c>
      <c r="D28" s="16" t="n">
        <v>5231399</v>
      </c>
      <c r="E28" s="16">
        <f>C28-D28</f>
        <v/>
      </c>
      <c r="F28" s="16">
        <f>F29+E28</f>
        <v/>
      </c>
      <c r="G28" s="16" t="n">
        <v>342501437</v>
      </c>
      <c r="H28" s="16" t="n">
        <v>217100</v>
      </c>
      <c r="I28" s="16" t="n">
        <v>46500</v>
      </c>
      <c r="J28" s="16">
        <f>H28-I28</f>
        <v/>
      </c>
      <c r="K28" s="16">
        <f>K29+J28</f>
        <v/>
      </c>
      <c r="L28" s="16" t="n">
        <v>58402018</v>
      </c>
      <c r="M28" s="16" t="n">
        <v>2303321</v>
      </c>
      <c r="N28" s="16" t="n">
        <v>3558200</v>
      </c>
      <c r="O28" s="16">
        <f>M28-N28</f>
        <v/>
      </c>
      <c r="P28" s="16">
        <f>P29+O28</f>
        <v/>
      </c>
      <c r="Q28" s="16" t="n">
        <v>558812473</v>
      </c>
      <c r="R28" s="16" t="n">
        <v>2060364</v>
      </c>
      <c r="S28" s="16" t="n">
        <v>7414200</v>
      </c>
      <c r="T28" s="16">
        <f>R28-S28</f>
        <v/>
      </c>
      <c r="U28" s="16">
        <f>U29+T28</f>
        <v/>
      </c>
      <c r="V28" s="16" t="n">
        <v>141277957</v>
      </c>
    </row>
    <row r="29" ht="15.95" customFormat="1" customHeight="1" s="2">
      <c r="A29" s="16" t="n"/>
      <c r="B29" s="17" t="n">
        <v>46246</v>
      </c>
      <c r="C29" s="16" t="n">
        <v>1329616</v>
      </c>
      <c r="D29" s="16" t="n">
        <v>3963103</v>
      </c>
      <c r="E29" s="16">
        <f>C29-D29</f>
        <v/>
      </c>
      <c r="F29" s="16">
        <f>F30+E29</f>
        <v/>
      </c>
      <c r="G29" s="16" t="n">
        <v>340131967</v>
      </c>
      <c r="H29" s="16" t="n">
        <v>68300</v>
      </c>
      <c r="I29" s="16" t="n">
        <v>10000</v>
      </c>
      <c r="J29" s="16">
        <f>H29-I29</f>
        <v/>
      </c>
      <c r="K29" s="16">
        <f>K30+J29</f>
        <v/>
      </c>
      <c r="L29" s="16" t="n">
        <v>58513318</v>
      </c>
      <c r="M29" s="16" t="n">
        <v>1320800</v>
      </c>
      <c r="N29" s="16" t="n">
        <v>1799600</v>
      </c>
      <c r="O29" s="16">
        <f>M29-N29</f>
        <v/>
      </c>
      <c r="P29" s="16">
        <f>P30+O29</f>
        <v/>
      </c>
      <c r="Q29" s="16" t="n">
        <v>557561073</v>
      </c>
      <c r="R29" s="16" t="n">
        <v>1190706</v>
      </c>
      <c r="S29" s="16" t="n">
        <v>2849900</v>
      </c>
      <c r="T29" s="16">
        <f>R29-S29</f>
        <v/>
      </c>
      <c r="U29" s="16">
        <f>U30+T29</f>
        <v/>
      </c>
      <c r="V29" s="16" t="n">
        <v>134165457</v>
      </c>
    </row>
    <row r="30" ht="15.95" customFormat="1" customHeight="1" s="2">
      <c r="A30" s="16" t="n"/>
      <c r="B30" s="17" t="n">
        <v>46245</v>
      </c>
      <c r="C30" s="16" t="n">
        <v>1291715</v>
      </c>
      <c r="D30" s="16" t="n">
        <v>3796285</v>
      </c>
      <c r="E30" s="16">
        <f>C30-D30</f>
        <v/>
      </c>
      <c r="F30" s="16">
        <f>F31+E30</f>
        <v/>
      </c>
      <c r="G30" s="16" t="n">
        <v>339948288</v>
      </c>
      <c r="H30" s="16" t="n">
        <v>35400</v>
      </c>
      <c r="I30" s="16" t="n">
        <v>93100</v>
      </c>
      <c r="J30" s="16">
        <f>H30-I30</f>
        <v/>
      </c>
      <c r="K30" s="16">
        <f>K31+J30</f>
        <v/>
      </c>
      <c r="L30" s="16" t="n">
        <v>58571618</v>
      </c>
      <c r="M30" s="16" t="n">
        <v>474600</v>
      </c>
      <c r="N30" s="16" t="n">
        <v>1839300</v>
      </c>
      <c r="O30" s="16">
        <f>M30-N30</f>
        <v/>
      </c>
      <c r="P30" s="16">
        <f>P31+O30</f>
        <v/>
      </c>
      <c r="Q30" s="16" t="n">
        <v>556337459</v>
      </c>
      <c r="R30" s="16" t="n">
        <v>410000</v>
      </c>
      <c r="S30" s="16" t="n">
        <v>7537300</v>
      </c>
      <c r="T30" s="16">
        <f>R30-S30</f>
        <v/>
      </c>
      <c r="U30" s="16">
        <f>U31+T30</f>
        <v/>
      </c>
      <c r="V30" s="16" t="n">
        <v>122375132</v>
      </c>
    </row>
    <row r="31" ht="15.95" customFormat="1" customHeight="1" s="2">
      <c r="A31" s="16" t="n"/>
      <c r="B31" s="17" t="n">
        <v>46244</v>
      </c>
      <c r="C31" s="16" t="n">
        <v>1761900</v>
      </c>
      <c r="D31" s="16" t="n">
        <v>1945579</v>
      </c>
      <c r="E31" s="16">
        <f>C31-D31</f>
        <v/>
      </c>
      <c r="F31" s="16">
        <f>F32+E31</f>
        <v/>
      </c>
      <c r="G31" s="16" t="n">
        <v>339942088</v>
      </c>
      <c r="H31" s="16" t="n">
        <v>293800</v>
      </c>
      <c r="I31" s="16" t="n">
        <v>16200</v>
      </c>
      <c r="J31" s="16">
        <f>H31-I31</f>
        <v/>
      </c>
      <c r="K31" s="16">
        <f>K32+J31</f>
        <v/>
      </c>
      <c r="L31" s="16" t="n">
        <v>58569318</v>
      </c>
      <c r="M31" s="16" t="n">
        <v>3207386</v>
      </c>
      <c r="N31" s="16" t="n">
        <v>4431000</v>
      </c>
      <c r="O31" s="16">
        <f>M31-N31</f>
        <v/>
      </c>
      <c r="P31" s="16">
        <f>P32+O31</f>
        <v/>
      </c>
      <c r="Q31" s="16" t="n">
        <v>548100609</v>
      </c>
      <c r="R31" s="16" t="n">
        <v>1039175</v>
      </c>
      <c r="S31" s="16" t="n">
        <v>12829500</v>
      </c>
      <c r="T31" s="16">
        <f>R31-S31</f>
        <v/>
      </c>
      <c r="U31" s="16">
        <f>U32+T31</f>
        <v/>
      </c>
      <c r="V31" s="16" t="n">
        <v>114870832</v>
      </c>
    </row>
    <row r="32" ht="15.95" customFormat="1" customHeight="1" s="2">
      <c r="A32" s="16" t="n"/>
      <c r="B32" s="17" t="n">
        <v>46241</v>
      </c>
      <c r="C32" s="16" t="n">
        <v>502750</v>
      </c>
      <c r="D32" s="16" t="n">
        <v>473852</v>
      </c>
      <c r="E32" s="16">
        <f>C32-D32</f>
        <v/>
      </c>
      <c r="F32" s="16">
        <f>F33+E32</f>
        <v/>
      </c>
      <c r="G32" s="16" t="n"/>
      <c r="H32" s="16" t="n">
        <v>307100</v>
      </c>
      <c r="I32" s="16" t="n">
        <v>110700</v>
      </c>
      <c r="J32" s="16">
        <f>H32-I32</f>
        <v/>
      </c>
      <c r="K32" s="16">
        <f>K33+J32</f>
        <v/>
      </c>
      <c r="L32" s="16" t="n"/>
      <c r="M32" s="16" t="n">
        <v>916450</v>
      </c>
      <c r="N32" s="16" t="n">
        <v>9143800</v>
      </c>
      <c r="O32" s="16">
        <f>M32-N32</f>
        <v/>
      </c>
      <c r="P32" s="16">
        <f>P33+O32</f>
        <v/>
      </c>
      <c r="Q32" s="16" t="n"/>
      <c r="R32" s="16" t="n">
        <v>1070900</v>
      </c>
      <c r="S32" s="16" t="n">
        <v>8570300</v>
      </c>
      <c r="T32" s="16">
        <f>R32-S32</f>
        <v/>
      </c>
      <c r="U32" s="16">
        <f>U33+T32</f>
        <v/>
      </c>
      <c r="V32" s="16" t="n"/>
    </row>
    <row r="33" ht="15.95" customFormat="1" customHeight="1" s="2">
      <c r="A33" s="16" t="n"/>
      <c r="B33" s="17" t="n">
        <v>46240</v>
      </c>
      <c r="C33" s="16" t="n">
        <v>298039</v>
      </c>
      <c r="D33" s="16" t="n">
        <v>2124380</v>
      </c>
      <c r="E33" s="16">
        <f>C33-D33</f>
        <v/>
      </c>
      <c r="F33" s="16">
        <f>F34+E33</f>
        <v/>
      </c>
      <c r="G33" s="16" t="n">
        <v>338144645</v>
      </c>
      <c r="H33" s="16" t="n">
        <v>79200</v>
      </c>
      <c r="I33" s="16" t="n">
        <v>897000</v>
      </c>
      <c r="J33" s="16">
        <f>H33-I33</f>
        <v/>
      </c>
      <c r="K33" s="16">
        <f>K34+J33</f>
        <v/>
      </c>
      <c r="L33" s="16" t="n">
        <v>54984756</v>
      </c>
      <c r="M33" s="16" t="n">
        <v>608193</v>
      </c>
      <c r="N33" s="16" t="n">
        <v>5380500</v>
      </c>
      <c r="O33" s="16">
        <f>M33-N33</f>
        <v/>
      </c>
      <c r="P33" s="16">
        <f>P34+O33</f>
        <v/>
      </c>
      <c r="Q33" s="16" t="n">
        <v>539477902</v>
      </c>
      <c r="R33" s="16" t="n">
        <v>2475579</v>
      </c>
      <c r="S33" s="16" t="n">
        <v>3474400</v>
      </c>
      <c r="T33" s="16">
        <f>R33-S33</f>
        <v/>
      </c>
      <c r="U33" s="16">
        <f>U34+T33</f>
        <v/>
      </c>
      <c r="V33" s="16" t="n">
        <v>113436141</v>
      </c>
    </row>
    <row r="34" ht="15.95" customFormat="1" customHeight="1" s="2">
      <c r="A34" s="16" t="n"/>
      <c r="B34" s="17" t="n">
        <v>46239</v>
      </c>
      <c r="C34" s="16" t="n">
        <v>2229200</v>
      </c>
      <c r="D34" s="16" t="n">
        <v>2002479</v>
      </c>
      <c r="E34" s="16">
        <f>C34-D34</f>
        <v/>
      </c>
      <c r="F34" s="16">
        <f>F35+E34</f>
        <v/>
      </c>
      <c r="G34" s="16" t="n">
        <v>337063545</v>
      </c>
      <c r="H34" s="16" t="n">
        <v>214300</v>
      </c>
      <c r="I34" s="16" t="n">
        <v>3455062</v>
      </c>
      <c r="J34" s="16">
        <f>H34-I34</f>
        <v/>
      </c>
      <c r="K34" s="16">
        <f>K35+J34</f>
        <v/>
      </c>
      <c r="L34" s="16" t="n">
        <v>54218315</v>
      </c>
      <c r="M34" s="16" t="n">
        <v>44300</v>
      </c>
      <c r="N34" s="16" t="n">
        <v>3894700</v>
      </c>
      <c r="O34" s="16">
        <f>M34-N34</f>
        <v/>
      </c>
      <c r="P34" s="16">
        <f>P35+O34</f>
        <v/>
      </c>
      <c r="Q34" s="16" t="n">
        <v>535903484</v>
      </c>
      <c r="R34" s="16" t="n">
        <v>2435301</v>
      </c>
      <c r="S34" s="16" t="n">
        <v>2871171</v>
      </c>
      <c r="T34" s="16">
        <f>R34-S34</f>
        <v/>
      </c>
      <c r="U34" s="16">
        <f>U35+T34</f>
        <v/>
      </c>
      <c r="V34" s="16" t="n">
        <v>111380552</v>
      </c>
    </row>
    <row r="35" ht="15.95" customFormat="1" customHeight="1" s="2">
      <c r="A35" s="16" t="n"/>
      <c r="B35" s="17" t="n">
        <v>46238</v>
      </c>
      <c r="C35" s="16" t="n">
        <v>773600</v>
      </c>
      <c r="D35" s="16" t="n">
        <v>1854700</v>
      </c>
      <c r="E35" s="16">
        <f>C35-D35</f>
        <v/>
      </c>
      <c r="F35" s="16">
        <f>F36+E35</f>
        <v/>
      </c>
      <c r="G35" s="16" t="n">
        <v>335836919</v>
      </c>
      <c r="H35" s="16" t="n">
        <v>62300</v>
      </c>
      <c r="I35" s="16" t="n">
        <v>828741</v>
      </c>
      <c r="J35" s="16">
        <f>H35-I35</f>
        <v/>
      </c>
      <c r="K35" s="16">
        <f>K36+J35</f>
        <v/>
      </c>
      <c r="L35" s="16" t="n">
        <v>53239815</v>
      </c>
      <c r="M35" s="16" t="n">
        <v>79650</v>
      </c>
      <c r="N35" s="16" t="n">
        <v>3654068</v>
      </c>
      <c r="O35" s="16">
        <f>M35-N35</f>
        <v/>
      </c>
      <c r="P35" s="16">
        <f>P36+O35</f>
        <v/>
      </c>
      <c r="Q35" s="16" t="n">
        <v>532928674</v>
      </c>
      <c r="R35" s="16" t="n">
        <v>290950</v>
      </c>
      <c r="S35" s="16" t="n">
        <v>2346539</v>
      </c>
      <c r="T35" s="16">
        <f>R35-S35</f>
        <v/>
      </c>
      <c r="U35" s="16">
        <f>U36+T35</f>
        <v/>
      </c>
      <c r="V35" s="16" t="n">
        <v>108968652</v>
      </c>
    </row>
    <row r="36" ht="15.95" customFormat="1" customHeight="1" s="2">
      <c r="A36" s="16" t="n"/>
      <c r="B36" s="17" t="n">
        <v>46237</v>
      </c>
      <c r="C36" s="16" t="n">
        <v>698150</v>
      </c>
      <c r="D36" s="16" t="n">
        <v>1267097</v>
      </c>
      <c r="E36" s="16">
        <f>C36-D36</f>
        <v/>
      </c>
      <c r="F36" s="16">
        <f>F37+E36</f>
        <v/>
      </c>
      <c r="G36" s="16" t="n">
        <v>333182264</v>
      </c>
      <c r="H36" s="16" t="n">
        <v>688700</v>
      </c>
      <c r="I36" s="16" t="n">
        <v>1667200</v>
      </c>
      <c r="J36" s="16">
        <f>H36-I36</f>
        <v/>
      </c>
      <c r="K36" s="16">
        <f>K37+J36</f>
        <v/>
      </c>
      <c r="L36" s="16" t="n">
        <v>52575415</v>
      </c>
      <c r="M36" s="16" t="n">
        <v>379100</v>
      </c>
      <c r="N36" s="16" t="n">
        <v>2610210</v>
      </c>
      <c r="O36" s="16">
        <f>M36-N36</f>
        <v/>
      </c>
      <c r="P36" s="16">
        <f>P37+O36</f>
        <v/>
      </c>
      <c r="Q36" s="16" t="n">
        <v>530191474</v>
      </c>
      <c r="R36" s="16" t="n">
        <v>470800</v>
      </c>
      <c r="S36" s="16" t="n">
        <v>2882700</v>
      </c>
      <c r="T36" s="16">
        <f>R36-S36</f>
        <v/>
      </c>
      <c r="U36" s="16">
        <f>U37+T36</f>
        <v/>
      </c>
      <c r="V36" s="16" t="n">
        <v>106513712</v>
      </c>
    </row>
    <row r="37">
      <c r="A37" s="16" t="n"/>
      <c r="B37" s="17" t="n">
        <v>46234</v>
      </c>
      <c r="C37" s="16" t="n">
        <v>418604</v>
      </c>
      <c r="D37" s="16" t="n">
        <v>3073259</v>
      </c>
      <c r="E37" s="16">
        <f>C37-D37</f>
        <v/>
      </c>
      <c r="F37" s="16">
        <f>F38+E37</f>
        <v/>
      </c>
      <c r="G37" s="16" t="n"/>
      <c r="H37" s="16" t="n">
        <v>213300</v>
      </c>
      <c r="I37" s="16" t="n">
        <v>877700</v>
      </c>
      <c r="J37" s="16">
        <f>H37-I37</f>
        <v/>
      </c>
      <c r="K37" s="16">
        <f>K38+J37</f>
        <v/>
      </c>
      <c r="L37" s="16" t="n"/>
      <c r="M37" s="16" t="n">
        <v>248700</v>
      </c>
      <c r="N37" s="16" t="n">
        <v>2985900</v>
      </c>
      <c r="O37" s="16">
        <f>M37-N37</f>
        <v/>
      </c>
      <c r="P37" s="16">
        <f>P38+O37</f>
        <v/>
      </c>
      <c r="Q37" s="16" t="n"/>
      <c r="R37" s="16" t="n">
        <v>923760</v>
      </c>
      <c r="S37" s="16" t="n">
        <v>3378700</v>
      </c>
      <c r="T37" s="16">
        <f>R37-S37</f>
        <v/>
      </c>
      <c r="U37" s="16">
        <f>U38+T37</f>
        <v/>
      </c>
      <c r="V37" s="16" t="n"/>
    </row>
    <row r="38">
      <c r="A38" s="16" t="n"/>
      <c r="B38" s="17" t="n">
        <v>46233</v>
      </c>
      <c r="C38" s="16" t="n">
        <v>1287680</v>
      </c>
      <c r="D38" s="16" t="n">
        <v>4113654</v>
      </c>
      <c r="E38" s="16">
        <f>C38-D38</f>
        <v/>
      </c>
      <c r="F38" s="16">
        <f>F39+E38</f>
        <v/>
      </c>
      <c r="G38" s="16" t="n">
        <v>328304174</v>
      </c>
      <c r="H38" s="16" t="n">
        <v>63500</v>
      </c>
      <c r="I38" s="16" t="n">
        <v>239500</v>
      </c>
      <c r="J38" s="16">
        <f>H38-I38</f>
        <v/>
      </c>
      <c r="K38" s="16">
        <f>K39+J38</f>
        <v/>
      </c>
      <c r="L38" s="16" t="n">
        <v>51798615</v>
      </c>
      <c r="M38" s="16" t="n">
        <v>710600</v>
      </c>
      <c r="N38" s="16" t="n">
        <v>1511200</v>
      </c>
      <c r="O38" s="16">
        <f>M38-N38</f>
        <v/>
      </c>
      <c r="P38" s="16">
        <f>P39+O38</f>
        <v/>
      </c>
      <c r="Q38" s="16" t="n">
        <v>527790301</v>
      </c>
      <c r="R38" s="16" t="n">
        <v>5859140</v>
      </c>
      <c r="S38" s="16" t="n">
        <v>10836780</v>
      </c>
      <c r="T38" s="16">
        <f>R38-S38</f>
        <v/>
      </c>
      <c r="U38" s="16">
        <f>U39+T38</f>
        <v/>
      </c>
      <c r="V38" s="16" t="n">
        <v>99818737</v>
      </c>
    </row>
    <row r="39">
      <c r="A39" s="16" t="n"/>
      <c r="B39" s="17" t="n">
        <v>46232</v>
      </c>
      <c r="C39" s="16" t="n">
        <v>729667</v>
      </c>
      <c r="D39" s="16" t="n">
        <v>2781783</v>
      </c>
      <c r="E39" s="16">
        <f>C39-D39</f>
        <v/>
      </c>
      <c r="F39" s="16">
        <f>F40+E39</f>
        <v/>
      </c>
      <c r="G39" s="16" t="n">
        <v>328304174</v>
      </c>
      <c r="H39" s="16" t="n">
        <v>79200</v>
      </c>
      <c r="I39" s="16" t="n">
        <v>680000</v>
      </c>
      <c r="J39" s="16">
        <f>H39-I39</f>
        <v/>
      </c>
      <c r="K39" s="16">
        <f>K40+J39</f>
        <v/>
      </c>
      <c r="L39" s="16" t="n">
        <v>51798615</v>
      </c>
      <c r="M39" s="16" t="n">
        <v>132127</v>
      </c>
      <c r="N39" s="16" t="n">
        <v>1732700</v>
      </c>
      <c r="O39" s="16">
        <f>M39-N39</f>
        <v/>
      </c>
      <c r="P39" s="16">
        <f>P40+O39</f>
        <v/>
      </c>
      <c r="Q39" s="16" t="n">
        <v>525496201</v>
      </c>
      <c r="R39" s="16" t="n">
        <v>1275919</v>
      </c>
      <c r="S39" s="16" t="n">
        <v>2993254</v>
      </c>
      <c r="T39" s="16">
        <f>R39-S39</f>
        <v/>
      </c>
      <c r="U39" s="16">
        <f>U40+T39</f>
        <v/>
      </c>
      <c r="V39" s="16" t="n">
        <v>98392567</v>
      </c>
    </row>
    <row r="40">
      <c r="A40" s="16" t="n"/>
      <c r="B40" s="17" t="n">
        <v>46231</v>
      </c>
      <c r="C40" s="16" t="n">
        <v>1974000</v>
      </c>
      <c r="D40" s="16" t="n">
        <v>1806800</v>
      </c>
      <c r="E40" s="16">
        <f>C40-D40</f>
        <v/>
      </c>
      <c r="F40" s="16">
        <f>F41+E40</f>
        <v/>
      </c>
      <c r="G40" s="16" t="n">
        <v>326218909</v>
      </c>
      <c r="H40" s="16" t="n">
        <v>719600</v>
      </c>
      <c r="I40" s="16" t="n">
        <v>455670</v>
      </c>
      <c r="J40" s="16">
        <f>H40-I40</f>
        <v/>
      </c>
      <c r="K40" s="16">
        <f>K41+J40</f>
        <v/>
      </c>
      <c r="L40" s="16" t="n">
        <v>50999314</v>
      </c>
      <c r="M40" s="16" t="n">
        <v>557349</v>
      </c>
      <c r="N40" s="16" t="n">
        <v>2851449</v>
      </c>
      <c r="O40" s="16">
        <f>M40-N40</f>
        <v/>
      </c>
      <c r="P40" s="16">
        <f>P41+O40</f>
        <v/>
      </c>
      <c r="Q40" s="16" t="n">
        <v>521512940</v>
      </c>
      <c r="R40" s="16" t="n">
        <v>6579550</v>
      </c>
      <c r="S40" s="16" t="n">
        <v>8005720</v>
      </c>
      <c r="T40" s="16">
        <f>R40-S40</f>
        <v/>
      </c>
      <c r="U40" s="16">
        <f>U41+T40</f>
        <v/>
      </c>
      <c r="V40" s="16" t="n">
        <v>95836152</v>
      </c>
    </row>
    <row r="41">
      <c r="A41" s="16" t="n"/>
      <c r="B41" s="17" t="n">
        <v>46230</v>
      </c>
      <c r="C41" s="16" t="n">
        <v>2638000</v>
      </c>
      <c r="D41" s="16" t="n">
        <v>4646465</v>
      </c>
      <c r="E41" s="16">
        <f>C41-D41</f>
        <v/>
      </c>
      <c r="F41" s="16">
        <f>F42+E41</f>
        <v/>
      </c>
      <c r="G41" s="16" t="n">
        <v>324385797</v>
      </c>
      <c r="H41" s="16" t="n">
        <v>107800</v>
      </c>
      <c r="I41" s="16" t="n">
        <v>873501</v>
      </c>
      <c r="J41" s="16">
        <f>H41-I41</f>
        <v/>
      </c>
      <c r="K41" s="16">
        <f>K42+J41</f>
        <v/>
      </c>
      <c r="L41" s="16" t="n">
        <v>50316044</v>
      </c>
      <c r="M41" s="16" t="n">
        <v>83330</v>
      </c>
      <c r="N41" s="16" t="n">
        <v>3984991</v>
      </c>
      <c r="O41" s="16">
        <f>M41-N41</f>
        <v/>
      </c>
      <c r="P41" s="16">
        <f>P42+O41</f>
        <v/>
      </c>
      <c r="Q41" s="16" t="n">
        <v>518384550</v>
      </c>
      <c r="R41" s="16" t="n">
        <v>578041</v>
      </c>
      <c r="S41" s="16" t="n">
        <v>3072056</v>
      </c>
      <c r="T41" s="16">
        <f>R41-S41</f>
        <v/>
      </c>
      <c r="U41" s="16">
        <f>U42+T41</f>
        <v/>
      </c>
      <c r="V41" s="16" t="n">
        <v>93199283</v>
      </c>
    </row>
    <row r="42">
      <c r="A42" s="16" t="n"/>
      <c r="B42" s="17" t="n">
        <v>46227</v>
      </c>
      <c r="C42" s="16" t="n">
        <v>1493401</v>
      </c>
      <c r="D42" s="16" t="n">
        <v>3534613</v>
      </c>
      <c r="E42" s="16">
        <f>C42-D42</f>
        <v/>
      </c>
      <c r="F42" s="16">
        <f>F43+E42</f>
        <v/>
      </c>
      <c r="G42" s="16" t="n"/>
      <c r="H42" s="16" t="n">
        <v>180800</v>
      </c>
      <c r="I42" s="16" t="n">
        <v>1136400</v>
      </c>
      <c r="J42" s="16">
        <f>H42-I42</f>
        <v/>
      </c>
      <c r="K42" s="16">
        <f>K43+J42</f>
        <v/>
      </c>
      <c r="L42" s="16" t="n"/>
      <c r="M42" s="16" t="n">
        <v>636410</v>
      </c>
      <c r="N42" s="16" t="n">
        <v>3801100</v>
      </c>
      <c r="O42" s="16">
        <f>M42-N42</f>
        <v/>
      </c>
      <c r="P42" s="16">
        <f>P43+O42</f>
        <v/>
      </c>
      <c r="Q42" s="16" t="n"/>
      <c r="R42" s="16" t="n">
        <v>1655531</v>
      </c>
      <c r="S42" s="16" t="n">
        <v>4292400</v>
      </c>
      <c r="T42" s="16">
        <f>R42-S42</f>
        <v/>
      </c>
      <c r="U42" s="16">
        <f>U43+T42</f>
        <v/>
      </c>
      <c r="V42" s="16" t="n"/>
    </row>
    <row r="43">
      <c r="A43" s="16" t="n"/>
      <c r="B43" s="17" t="n">
        <v>46226</v>
      </c>
      <c r="C43" s="16" t="n">
        <v>2263500</v>
      </c>
      <c r="D43" s="16" t="n">
        <v>2951495</v>
      </c>
      <c r="E43" s="16">
        <f>C43-D43</f>
        <v/>
      </c>
      <c r="F43" s="16">
        <f>F44+E43</f>
        <v/>
      </c>
      <c r="G43" s="16" t="n">
        <v>315242287</v>
      </c>
      <c r="H43" s="16" t="n">
        <v>777200</v>
      </c>
      <c r="I43" s="16" t="n">
        <v>75900</v>
      </c>
      <c r="J43" s="16">
        <f>H43-I43</f>
        <v/>
      </c>
      <c r="K43" s="16">
        <f>K44+J43</f>
        <v/>
      </c>
      <c r="L43" s="16" t="n">
        <v>42592763</v>
      </c>
      <c r="M43" s="16" t="n">
        <v>688700</v>
      </c>
      <c r="N43" s="16" t="n">
        <v>4114500</v>
      </c>
      <c r="O43" s="16">
        <f>M43-N43</f>
        <v/>
      </c>
      <c r="P43" s="16">
        <f>P44+O43</f>
        <v/>
      </c>
      <c r="Q43" s="16" t="n">
        <v>508569050</v>
      </c>
      <c r="R43" s="16" t="n">
        <v>1398700</v>
      </c>
      <c r="S43" s="16" t="n">
        <v>5467900</v>
      </c>
      <c r="T43" s="16">
        <f>R43-S43</f>
        <v/>
      </c>
      <c r="U43" s="16">
        <f>U44+T43</f>
        <v/>
      </c>
      <c r="V43" s="16" t="n">
        <v>86893103</v>
      </c>
    </row>
    <row r="44">
      <c r="A44" s="16" t="n"/>
      <c r="B44" s="17" t="n">
        <v>46225</v>
      </c>
      <c r="C44" s="16" t="n">
        <v>976540</v>
      </c>
      <c r="D44" s="16" t="n">
        <v>9463555</v>
      </c>
      <c r="E44" s="16">
        <f>C44-D44</f>
        <v/>
      </c>
      <c r="F44" s="16">
        <f>F45+E44</f>
        <v/>
      </c>
      <c r="G44" s="16" t="n">
        <v>312368653</v>
      </c>
      <c r="H44" s="16" t="n">
        <v>1417000</v>
      </c>
      <c r="I44" s="16" t="n">
        <v>9154281</v>
      </c>
      <c r="J44" s="16">
        <f>H44-I44</f>
        <v/>
      </c>
      <c r="K44" s="16">
        <f>K45+J44</f>
        <v/>
      </c>
      <c r="L44" s="16" t="n">
        <v>43245363</v>
      </c>
      <c r="M44" s="16" t="n">
        <v>1075500</v>
      </c>
      <c r="N44" s="16" t="n">
        <v>7497500</v>
      </c>
      <c r="O44" s="16">
        <f>M44-N44</f>
        <v/>
      </c>
      <c r="P44" s="16">
        <f>P45+O44</f>
        <v/>
      </c>
      <c r="Q44" s="16" t="n">
        <v>507857950</v>
      </c>
      <c r="R44" s="16" t="n">
        <v>1406420</v>
      </c>
      <c r="S44" s="16" t="n">
        <v>3643400</v>
      </c>
      <c r="T44" s="16">
        <f>R44-S44</f>
        <v/>
      </c>
      <c r="U44" s="16">
        <f>U45+T44</f>
        <v/>
      </c>
      <c r="V44" s="16" t="n">
        <v>84914903</v>
      </c>
    </row>
    <row r="45">
      <c r="A45" s="16" t="n"/>
      <c r="B45" s="17" t="n">
        <v>46224</v>
      </c>
      <c r="C45" s="16" t="n">
        <v>876300</v>
      </c>
      <c r="D45" s="16" t="n">
        <v>3748734</v>
      </c>
      <c r="E45" s="16">
        <f>C45-D45</f>
        <v/>
      </c>
      <c r="F45" s="16">
        <f>F46+E45</f>
        <v/>
      </c>
      <c r="G45" s="16" t="n">
        <v>311955009</v>
      </c>
      <c r="H45" s="16" t="n">
        <v>238300</v>
      </c>
      <c r="I45" s="16" t="n">
        <v>298200</v>
      </c>
      <c r="J45" s="16">
        <f>H45-I45</f>
        <v/>
      </c>
      <c r="K45" s="16">
        <f>K46+J45</f>
        <v/>
      </c>
      <c r="L45" s="16" t="n">
        <v>43256563</v>
      </c>
      <c r="M45" s="16" t="n">
        <v>1725200</v>
      </c>
      <c r="N45" s="16" t="n">
        <v>2435300</v>
      </c>
      <c r="O45" s="16">
        <f>M45-N45</f>
        <v/>
      </c>
      <c r="P45" s="16">
        <f>P46+O45</f>
        <v/>
      </c>
      <c r="Q45" s="16" t="n">
        <v>505408228</v>
      </c>
      <c r="R45" s="16" t="n">
        <v>1416700</v>
      </c>
      <c r="S45" s="16" t="n">
        <v>3394900</v>
      </c>
      <c r="T45" s="16">
        <f>R45-S45</f>
        <v/>
      </c>
      <c r="U45" s="16">
        <f>U46+T45</f>
        <v/>
      </c>
      <c r="V45" s="16" t="n">
        <v>84140503</v>
      </c>
    </row>
    <row r="46">
      <c r="A46" s="16" t="n"/>
      <c r="B46" s="17" t="n">
        <v>46223</v>
      </c>
      <c r="C46" s="16" t="n">
        <v>329900</v>
      </c>
      <c r="D46" s="16" t="n">
        <v>873144</v>
      </c>
      <c r="E46" s="16">
        <f>C46-D46</f>
        <v/>
      </c>
      <c r="F46" s="16">
        <f>F47+E46</f>
        <v/>
      </c>
      <c r="G46" s="16" t="n">
        <v>310186103</v>
      </c>
      <c r="H46" s="16" t="n">
        <v>186600</v>
      </c>
      <c r="I46" s="16" t="n">
        <v>185600</v>
      </c>
      <c r="J46" s="16">
        <f>H46-I46</f>
        <v/>
      </c>
      <c r="K46" s="16">
        <f>K47+J46</f>
        <v/>
      </c>
      <c r="L46" s="16" t="n">
        <v>43199008</v>
      </c>
      <c r="M46" s="16" t="n">
        <v>545700</v>
      </c>
      <c r="N46" s="16" t="n">
        <v>3096622</v>
      </c>
      <c r="O46" s="16">
        <f>M46-N46</f>
        <v/>
      </c>
      <c r="P46" s="16">
        <f>P47+O46</f>
        <v/>
      </c>
      <c r="Q46" s="16" t="n">
        <v>502942896</v>
      </c>
      <c r="R46" s="16" t="n">
        <v>613700</v>
      </c>
      <c r="S46" s="16" t="n">
        <v>1388100</v>
      </c>
      <c r="T46" s="16">
        <f>R46-S46</f>
        <v/>
      </c>
      <c r="U46" s="16">
        <f>U47+T46</f>
        <v/>
      </c>
      <c r="V46" s="16" t="n">
        <v>81273314</v>
      </c>
    </row>
    <row r="47">
      <c r="A47" s="16" t="n"/>
      <c r="B47" s="17" t="n">
        <v>46220</v>
      </c>
      <c r="C47" s="16" t="n">
        <v>1182236</v>
      </c>
      <c r="D47" s="16" t="n">
        <v>2951142</v>
      </c>
      <c r="E47" s="16">
        <f>C47-D47</f>
        <v/>
      </c>
      <c r="F47" s="16">
        <f>F48+E47</f>
        <v/>
      </c>
      <c r="G47" s="16" t="n"/>
      <c r="H47" s="16" t="n">
        <v>63200</v>
      </c>
      <c r="I47" s="16" t="n">
        <v>120755</v>
      </c>
      <c r="J47" s="16">
        <f>H47-I47</f>
        <v/>
      </c>
      <c r="K47" s="16">
        <f>K48+J47</f>
        <v/>
      </c>
      <c r="L47" s="16" t="n"/>
      <c r="M47" s="16" t="n">
        <v>765000</v>
      </c>
      <c r="N47" s="16" t="n">
        <v>3226332</v>
      </c>
      <c r="O47" s="16">
        <f>M47-N47</f>
        <v/>
      </c>
      <c r="P47" s="16">
        <f>P48+O47</f>
        <v/>
      </c>
      <c r="Q47" s="16" t="n"/>
      <c r="R47" s="16" t="n">
        <v>411400</v>
      </c>
      <c r="S47" s="16" t="n">
        <v>3278589</v>
      </c>
      <c r="T47" s="16">
        <f>R47-S47</f>
        <v/>
      </c>
      <c r="U47" s="16">
        <f>U48+T47</f>
        <v/>
      </c>
      <c r="V47" s="16" t="n"/>
    </row>
    <row r="48">
      <c r="A48" s="16" t="n"/>
      <c r="B48" s="17" t="n">
        <v>46219</v>
      </c>
      <c r="C48" s="16" t="n">
        <v>11320435</v>
      </c>
      <c r="D48" s="16" t="n">
        <v>2073720</v>
      </c>
      <c r="E48" s="16">
        <f>C48-D48</f>
        <v/>
      </c>
      <c r="F48" s="16">
        <f>F49+E48</f>
        <v/>
      </c>
      <c r="G48" s="16" t="n">
        <v>309527963</v>
      </c>
      <c r="H48" s="16" t="n">
        <v>937500</v>
      </c>
      <c r="I48" s="16" t="n">
        <v>795800</v>
      </c>
      <c r="J48" s="16">
        <f>H48-I48</f>
        <v/>
      </c>
      <c r="K48" s="16">
        <f>K49+J48</f>
        <v/>
      </c>
      <c r="L48" s="16" t="n">
        <v>41704402</v>
      </c>
      <c r="M48" s="16" t="n">
        <v>1941600</v>
      </c>
      <c r="N48" s="16" t="n">
        <v>5276400</v>
      </c>
      <c r="O48" s="16">
        <f>M48-N48</f>
        <v/>
      </c>
      <c r="P48" s="16">
        <f>P49+O48</f>
        <v/>
      </c>
      <c r="Q48" s="16" t="n">
        <v>497516515</v>
      </c>
      <c r="R48" s="16" t="n">
        <v>1339000</v>
      </c>
      <c r="S48" s="16" t="n">
        <v>3253600</v>
      </c>
      <c r="T48" s="16">
        <f>R48-S48</f>
        <v/>
      </c>
      <c r="U48" s="16">
        <f>U49+T48</f>
        <v/>
      </c>
      <c r="V48" s="16" t="n">
        <v>77312628</v>
      </c>
    </row>
    <row r="49">
      <c r="A49" s="16" t="n"/>
      <c r="B49" s="17" t="n">
        <v>46218</v>
      </c>
      <c r="C49" s="16" t="n">
        <v>1558500</v>
      </c>
      <c r="D49" s="16" t="n">
        <v>2216640</v>
      </c>
      <c r="E49" s="16">
        <f>C49-D49</f>
        <v/>
      </c>
      <c r="F49" s="16">
        <f>F50+E49</f>
        <v/>
      </c>
      <c r="G49" s="16" t="n">
        <v>318774678</v>
      </c>
      <c r="H49" s="16" t="n">
        <v>69900</v>
      </c>
      <c r="I49" s="16" t="n">
        <v>1565506</v>
      </c>
      <c r="J49" s="16">
        <f>H49-I49</f>
        <v/>
      </c>
      <c r="K49" s="16">
        <f>K50+J49</f>
        <v/>
      </c>
      <c r="L49" s="16" t="n">
        <v>40947828</v>
      </c>
      <c r="M49" s="16" t="n">
        <v>244753</v>
      </c>
      <c r="N49" s="16" t="n">
        <v>2336334</v>
      </c>
      <c r="O49" s="16">
        <f>M49-N49</f>
        <v/>
      </c>
      <c r="P49" s="16">
        <f>P50+O49</f>
        <v/>
      </c>
      <c r="Q49" s="16" t="n">
        <v>494290465</v>
      </c>
      <c r="R49" s="16" t="n">
        <v>665014</v>
      </c>
      <c r="S49" s="16" t="n">
        <v>2711100</v>
      </c>
      <c r="T49" s="16">
        <f>R49-S49</f>
        <v/>
      </c>
      <c r="U49" s="16">
        <f>U50+T49</f>
        <v/>
      </c>
      <c r="V49" s="16" t="n">
        <v>75961228</v>
      </c>
    </row>
    <row r="50">
      <c r="A50" s="16" t="n"/>
      <c r="B50" s="17" t="n">
        <v>46217</v>
      </c>
      <c r="C50" s="16" t="n">
        <v>1926604</v>
      </c>
      <c r="D50" s="16" t="n">
        <v>751300</v>
      </c>
      <c r="E50" s="16">
        <f>C50-D50</f>
        <v/>
      </c>
      <c r="F50" s="16">
        <f>F51+E50</f>
        <v/>
      </c>
      <c r="G50" s="16" t="n">
        <v>317804878</v>
      </c>
      <c r="H50" s="16" t="n">
        <v>114400</v>
      </c>
      <c r="I50" s="16" t="n">
        <v>1012674</v>
      </c>
      <c r="J50" s="16">
        <f>H50-I50</f>
        <v/>
      </c>
      <c r="K50" s="16">
        <f>K51+J50</f>
        <v/>
      </c>
      <c r="L50" s="16" t="n">
        <v>37777428</v>
      </c>
      <c r="M50" s="16" t="n">
        <v>1074800</v>
      </c>
      <c r="N50" s="16" t="n">
        <v>4300850</v>
      </c>
      <c r="O50" s="16">
        <f>M50-N50</f>
        <v/>
      </c>
      <c r="P50" s="16">
        <f>P51+O50</f>
        <v/>
      </c>
      <c r="Q50" s="16" t="n">
        <v>490429835</v>
      </c>
      <c r="R50" s="16" t="n">
        <v>1349800</v>
      </c>
      <c r="S50" s="16" t="n">
        <v>2701200</v>
      </c>
      <c r="T50" s="16">
        <f>R50-S50</f>
        <v/>
      </c>
      <c r="U50" s="16">
        <f>U51+T50</f>
        <v/>
      </c>
      <c r="V50" s="16" t="n">
        <v>75954228</v>
      </c>
    </row>
    <row r="51">
      <c r="A51" s="16" t="n"/>
      <c r="B51" s="17" t="n">
        <v>46216</v>
      </c>
      <c r="C51" s="16" t="n">
        <v>263300</v>
      </c>
      <c r="D51" s="16" t="n">
        <v>1224300</v>
      </c>
      <c r="E51" s="16">
        <f>C51-D51</f>
        <v/>
      </c>
      <c r="F51" s="16">
        <f>F52+E51</f>
        <v/>
      </c>
      <c r="G51" s="16" t="n">
        <v>317991970</v>
      </c>
      <c r="H51" s="16" t="n">
        <v>75400</v>
      </c>
      <c r="I51" s="16" t="n">
        <v>3242000</v>
      </c>
      <c r="J51" s="16">
        <f>H51-I51</f>
        <v/>
      </c>
      <c r="K51" s="16">
        <f>K52+J51</f>
        <v/>
      </c>
      <c r="L51" s="16" t="n">
        <v>36496028</v>
      </c>
      <c r="M51" s="16" t="n">
        <v>1882700</v>
      </c>
      <c r="N51" s="16" t="n">
        <v>5735530</v>
      </c>
      <c r="O51" s="16">
        <f>M51-N51</f>
        <v/>
      </c>
      <c r="P51" s="16">
        <f>P52+O51</f>
        <v/>
      </c>
      <c r="Q51" s="16" t="n">
        <v>487396083</v>
      </c>
      <c r="R51" s="16" t="n">
        <v>3910301</v>
      </c>
      <c r="S51" s="16" t="n">
        <v>2386785</v>
      </c>
      <c r="T51" s="16">
        <f>R51-S51</f>
        <v/>
      </c>
      <c r="U51" s="16">
        <f>U52+T51</f>
        <v/>
      </c>
      <c r="V51" s="16" t="n">
        <v>74925628</v>
      </c>
    </row>
    <row r="52">
      <c r="A52" s="16" t="n"/>
      <c r="B52" s="17" t="n">
        <v>46213</v>
      </c>
      <c r="C52" s="16" t="n">
        <v>1539732</v>
      </c>
      <c r="D52" s="16" t="n">
        <v>2540544</v>
      </c>
      <c r="E52" s="16">
        <f>C52-D52</f>
        <v/>
      </c>
      <c r="F52" s="16">
        <f>F53+E52</f>
        <v/>
      </c>
      <c r="G52" s="16" t="n"/>
      <c r="H52" s="16" t="n">
        <v>394376</v>
      </c>
      <c r="I52" s="16" t="n">
        <v>1681376</v>
      </c>
      <c r="J52" s="16">
        <f>H52-I52</f>
        <v/>
      </c>
      <c r="K52" s="16">
        <f>K53+J52</f>
        <v/>
      </c>
      <c r="L52" s="16" t="n"/>
      <c r="M52" s="16" t="n">
        <v>2854285</v>
      </c>
      <c r="N52" s="16" t="n">
        <v>5899237</v>
      </c>
      <c r="O52" s="16">
        <f>M52-N52</f>
        <v/>
      </c>
      <c r="P52" s="16">
        <f>P53+O52</f>
        <v/>
      </c>
      <c r="Q52" s="16" t="n"/>
      <c r="R52" s="16" t="n">
        <v>2378277</v>
      </c>
      <c r="S52" s="16" t="n">
        <v>3406877</v>
      </c>
      <c r="T52" s="16">
        <f>R52-S52</f>
        <v/>
      </c>
      <c r="U52" s="16">
        <f>U53+T52</f>
        <v/>
      </c>
      <c r="V52" s="16" t="n"/>
    </row>
    <row r="53">
      <c r="A53" s="16" t="n"/>
      <c r="B53" s="17" t="n">
        <v>46212</v>
      </c>
      <c r="C53" s="16" t="n">
        <v>1608529</v>
      </c>
      <c r="D53" s="16" t="n">
        <v>797665</v>
      </c>
      <c r="E53" s="16">
        <f>C53-D53</f>
        <v/>
      </c>
      <c r="F53" s="16">
        <f>F54+E53</f>
        <v/>
      </c>
      <c r="G53" s="16" t="n">
        <v>318010870</v>
      </c>
      <c r="H53" s="16" t="n">
        <v>160901</v>
      </c>
      <c r="I53" s="16" t="n">
        <v>364600</v>
      </c>
      <c r="J53" s="16">
        <f>H53-I53</f>
        <v/>
      </c>
      <c r="K53" s="16">
        <f>K54+J53</f>
        <v/>
      </c>
      <c r="L53" s="16" t="n">
        <v>34500229</v>
      </c>
      <c r="M53" s="16" t="n">
        <v>291000</v>
      </c>
      <c r="N53" s="16" t="n">
        <v>2793200</v>
      </c>
      <c r="O53" s="16">
        <f>M53-N53</f>
        <v/>
      </c>
      <c r="P53" s="16">
        <f>P54+O53</f>
        <v/>
      </c>
      <c r="Q53" s="16" t="n">
        <v>480488073</v>
      </c>
      <c r="R53" s="16" t="n">
        <v>770115</v>
      </c>
      <c r="S53" s="16" t="n">
        <v>3466400</v>
      </c>
      <c r="T53" s="16">
        <f>R53-S53</f>
        <v/>
      </c>
      <c r="U53" s="16">
        <f>U54+T53</f>
        <v/>
      </c>
      <c r="V53" s="16" t="n">
        <v>70436637</v>
      </c>
    </row>
    <row r="54">
      <c r="A54" s="16" t="n"/>
      <c r="B54" s="17" t="n">
        <v>46211</v>
      </c>
      <c r="C54" s="16" t="n">
        <v>1494500</v>
      </c>
      <c r="D54" s="16" t="n">
        <v>149178</v>
      </c>
      <c r="E54" s="16">
        <f>C54-D54</f>
        <v/>
      </c>
      <c r="F54" s="16">
        <f>F55+E54</f>
        <v/>
      </c>
      <c r="G54" s="16" t="n">
        <v>318834334</v>
      </c>
      <c r="H54" s="16" t="n">
        <v>294100</v>
      </c>
      <c r="I54" s="16" t="n">
        <v>2094600</v>
      </c>
      <c r="J54" s="16">
        <f>H54-I54</f>
        <v/>
      </c>
      <c r="K54" s="16">
        <f>K55+J54</f>
        <v/>
      </c>
      <c r="L54" s="16" t="n">
        <v>34455021</v>
      </c>
      <c r="M54" s="16" t="n">
        <v>585000</v>
      </c>
      <c r="N54" s="16" t="n">
        <v>5015610</v>
      </c>
      <c r="O54" s="16">
        <f>M54-N54</f>
        <v/>
      </c>
      <c r="P54" s="16">
        <f>P55+O54</f>
        <v/>
      </c>
      <c r="Q54" s="16" t="n">
        <v>479940473</v>
      </c>
      <c r="R54" s="16" t="n">
        <v>675010</v>
      </c>
      <c r="S54" s="16" t="n">
        <v>3991232</v>
      </c>
      <c r="T54" s="16">
        <f>R54-S54</f>
        <v/>
      </c>
      <c r="U54" s="16">
        <f>U55+T54</f>
        <v/>
      </c>
      <c r="V54" s="16" t="n">
        <v>70411937</v>
      </c>
    </row>
    <row r="55">
      <c r="A55" s="16" t="n"/>
      <c r="B55" s="17" t="n">
        <v>46210</v>
      </c>
      <c r="C55" s="16" t="n">
        <v>2128500</v>
      </c>
      <c r="D55" s="16" t="n">
        <v>1546500</v>
      </c>
      <c r="E55" s="16">
        <f>C55-D55</f>
        <v/>
      </c>
      <c r="F55" s="16">
        <f>F56+E55</f>
        <v/>
      </c>
      <c r="G55" s="16" t="n">
        <v>320045936</v>
      </c>
      <c r="H55" s="16" t="n">
        <v>303200</v>
      </c>
      <c r="I55" s="16" t="n">
        <v>354008</v>
      </c>
      <c r="J55" s="16">
        <f>H55-I55</f>
        <v/>
      </c>
      <c r="K55" s="16">
        <f>K56+J55</f>
        <v/>
      </c>
      <c r="L55" s="16" t="n">
        <v>32301985</v>
      </c>
      <c r="M55" s="16" t="n">
        <v>850300</v>
      </c>
      <c r="N55" s="16" t="n">
        <v>1409100</v>
      </c>
      <c r="O55" s="16">
        <f>M55-N55</f>
        <v/>
      </c>
      <c r="P55" s="16">
        <f>P56+O55</f>
        <v/>
      </c>
      <c r="Q55" s="16" t="n">
        <v>479955573</v>
      </c>
      <c r="R55" s="16" t="n">
        <v>2097000</v>
      </c>
      <c r="S55" s="16" t="n">
        <v>2121700</v>
      </c>
      <c r="T55" s="16">
        <f>R55-S55</f>
        <v/>
      </c>
      <c r="U55" s="16">
        <f>U56+T55</f>
        <v/>
      </c>
      <c r="V55" s="16" t="n">
        <v>70411937</v>
      </c>
    </row>
    <row r="56">
      <c r="A56" s="16" t="n"/>
      <c r="B56" s="17" t="n">
        <v>46209</v>
      </c>
      <c r="C56" s="16" t="n">
        <v>1043100</v>
      </c>
      <c r="D56" s="16" t="n">
        <v>1193820</v>
      </c>
      <c r="E56" s="16">
        <f>C56-D56</f>
        <v/>
      </c>
      <c r="F56" s="16">
        <f>F57+E56</f>
        <v/>
      </c>
      <c r="G56" s="16" t="n">
        <v>318690414</v>
      </c>
      <c r="H56" s="16" t="n">
        <v>571600</v>
      </c>
      <c r="I56" s="16" t="n">
        <v>2730236</v>
      </c>
      <c r="J56" s="16">
        <f>H56-I56</f>
        <v/>
      </c>
      <c r="K56" s="16">
        <f>K57+J56</f>
        <v/>
      </c>
      <c r="L56" s="16" t="n">
        <v>28949629</v>
      </c>
      <c r="M56" s="16" t="n">
        <v>3141600</v>
      </c>
      <c r="N56" s="16" t="n">
        <v>1782021</v>
      </c>
      <c r="O56" s="16">
        <f>M56-N56</f>
        <v/>
      </c>
      <c r="P56" s="16">
        <f>P57+O56</f>
        <v/>
      </c>
      <c r="Q56" s="16" t="n">
        <v>479972373</v>
      </c>
      <c r="R56" s="16" t="n">
        <v>1266800</v>
      </c>
      <c r="S56" s="16" t="n">
        <v>934910</v>
      </c>
      <c r="T56" s="16">
        <f>R56-S56</f>
        <v/>
      </c>
      <c r="U56" s="16">
        <f>U57+T56</f>
        <v/>
      </c>
      <c r="V56" s="16" t="n">
        <v>67722485</v>
      </c>
    </row>
    <row r="57">
      <c r="A57" s="16" t="n"/>
      <c r="B57" s="17" t="n">
        <v>46206</v>
      </c>
      <c r="C57" s="16" t="n">
        <v>124400</v>
      </c>
      <c r="D57" s="16" t="n">
        <v>2080822</v>
      </c>
      <c r="E57" s="16">
        <f>C57-D57</f>
        <v/>
      </c>
      <c r="F57" s="16">
        <f>F58+E57</f>
        <v/>
      </c>
      <c r="G57" s="16" t="n"/>
      <c r="H57" s="16" t="n">
        <v>340522</v>
      </c>
      <c r="I57" s="16" t="n">
        <v>3701278</v>
      </c>
      <c r="J57" s="16">
        <f>H57-I57</f>
        <v/>
      </c>
      <c r="K57" s="16">
        <f>K58+J57</f>
        <v/>
      </c>
      <c r="L57" s="16" t="n"/>
      <c r="M57" s="16" t="n">
        <v>2126200</v>
      </c>
      <c r="N57" s="16" t="n">
        <v>684900</v>
      </c>
      <c r="O57" s="16">
        <f>M57-N57</f>
        <v/>
      </c>
      <c r="P57" s="16">
        <f>P58+O57</f>
        <v/>
      </c>
      <c r="Q57" s="16" t="n"/>
      <c r="R57" s="16" t="n">
        <v>1354078</v>
      </c>
      <c r="S57" s="16" t="n">
        <v>4043530</v>
      </c>
      <c r="T57" s="16">
        <f>R57-S57</f>
        <v/>
      </c>
      <c r="U57" s="16">
        <f>U58+T57</f>
        <v/>
      </c>
      <c r="V57" s="16" t="n"/>
    </row>
    <row r="58">
      <c r="A58" s="16" t="n"/>
      <c r="B58" s="17" t="n">
        <v>46205</v>
      </c>
      <c r="C58" s="16" t="n">
        <v>145300</v>
      </c>
      <c r="D58" s="16" t="n">
        <v>2587800</v>
      </c>
      <c r="E58" s="16">
        <f>C58-D58</f>
        <v/>
      </c>
      <c r="F58" s="16">
        <f>F59+E58</f>
        <v/>
      </c>
      <c r="G58" s="16" t="n">
        <v>315976051</v>
      </c>
      <c r="H58" s="16" t="n">
        <v>1505400</v>
      </c>
      <c r="I58" s="16" t="n">
        <v>1220422</v>
      </c>
      <c r="J58" s="16">
        <f>H58-I58</f>
        <v/>
      </c>
      <c r="K58" s="16">
        <f>K59+J58</f>
        <v/>
      </c>
      <c r="L58" s="16" t="n">
        <v>27943029</v>
      </c>
      <c r="M58" s="16" t="n">
        <v>300300</v>
      </c>
      <c r="N58" s="16" t="n">
        <v>1300200</v>
      </c>
      <c r="O58" s="16">
        <f>M58-N58</f>
        <v/>
      </c>
      <c r="P58" s="16">
        <f>P59+O58</f>
        <v/>
      </c>
      <c r="Q58" s="16" t="n">
        <v>481773052</v>
      </c>
      <c r="R58" s="16" t="n">
        <v>556240</v>
      </c>
      <c r="S58" s="16" t="n">
        <v>2944220</v>
      </c>
      <c r="T58" s="16">
        <f>R58-S58</f>
        <v/>
      </c>
      <c r="U58" s="16">
        <f>U59+T58</f>
        <v/>
      </c>
      <c r="V58" s="16" t="n">
        <v>65151595</v>
      </c>
    </row>
    <row r="59">
      <c r="A59" s="16" t="n"/>
      <c r="B59" s="17" t="n">
        <v>46204</v>
      </c>
      <c r="C59" s="16" t="n">
        <v>241237</v>
      </c>
      <c r="D59" s="16" t="n">
        <v>501300</v>
      </c>
      <c r="E59" s="16">
        <f>C59-D59</f>
        <v/>
      </c>
      <c r="F59" s="16">
        <f>F60+E59</f>
        <v/>
      </c>
      <c r="G59" s="16" t="n">
        <v>315976051</v>
      </c>
      <c r="H59" s="16" t="n">
        <v>381000</v>
      </c>
      <c r="I59" s="16" t="n">
        <v>1387600</v>
      </c>
      <c r="J59" s="16">
        <f>H59-I59</f>
        <v/>
      </c>
      <c r="K59" s="16">
        <f>K60+J59</f>
        <v/>
      </c>
      <c r="L59" s="16" t="n">
        <v>28228007</v>
      </c>
      <c r="M59" s="16" t="n">
        <v>13781700</v>
      </c>
      <c r="N59" s="16" t="n">
        <v>1968010</v>
      </c>
      <c r="O59" s="16">
        <f>M59-N59</f>
        <v/>
      </c>
      <c r="P59" s="16">
        <f>P60+O59</f>
        <v/>
      </c>
      <c r="Q59" s="16" t="n">
        <v>469991952</v>
      </c>
      <c r="R59" s="16" t="n">
        <v>1181700</v>
      </c>
      <c r="S59" s="16" t="n">
        <v>1696500</v>
      </c>
      <c r="T59" s="16">
        <f>R59-S59</f>
        <v/>
      </c>
      <c r="U59" s="16">
        <f>U60+T59</f>
        <v/>
      </c>
      <c r="V59" s="16" t="n">
        <v>64099095</v>
      </c>
    </row>
    <row r="60">
      <c r="A60" s="16" t="n"/>
      <c r="B60" s="17" t="n">
        <v>46203</v>
      </c>
      <c r="C60" s="16" t="n">
        <v>579100</v>
      </c>
      <c r="D60" s="16" t="n">
        <v>528500</v>
      </c>
      <c r="E60" s="16">
        <f>C60-D60</f>
        <v/>
      </c>
      <c r="F60" s="16">
        <f>F61+E60</f>
        <v/>
      </c>
      <c r="G60" s="16" t="n">
        <v>315976051</v>
      </c>
      <c r="H60" s="16" t="n">
        <v>669500</v>
      </c>
      <c r="I60" s="16" t="n">
        <v>169500</v>
      </c>
      <c r="J60" s="16">
        <f>H60-I60</f>
        <v/>
      </c>
      <c r="K60" s="16">
        <f>K61+J60</f>
        <v/>
      </c>
      <c r="L60" s="16" t="n">
        <v>28097155</v>
      </c>
      <c r="M60" s="16" t="n">
        <v>704200</v>
      </c>
      <c r="N60" s="16" t="n">
        <v>12485300</v>
      </c>
      <c r="O60" s="16">
        <f>M60-N60</f>
        <v/>
      </c>
      <c r="P60" s="16">
        <f>P61+O60</f>
        <v/>
      </c>
      <c r="Q60" s="16" t="n">
        <v>480359681</v>
      </c>
      <c r="R60" s="16" t="n">
        <v>1172300</v>
      </c>
      <c r="S60" s="16" t="n">
        <v>2224800</v>
      </c>
      <c r="T60" s="16">
        <f>R60-S60</f>
        <v/>
      </c>
      <c r="U60" s="16">
        <f>U61+T60</f>
        <v/>
      </c>
      <c r="V60" s="16" t="n">
        <v>62882105</v>
      </c>
    </row>
    <row r="61">
      <c r="A61" s="16" t="n"/>
      <c r="B61" s="17" t="n">
        <v>46202</v>
      </c>
      <c r="C61" s="16" t="n">
        <v>1174510</v>
      </c>
      <c r="D61" s="16" t="n">
        <v>432790</v>
      </c>
      <c r="E61" s="16">
        <f>C61-D61</f>
        <v/>
      </c>
      <c r="F61" s="16">
        <f>F62+E61</f>
        <v/>
      </c>
      <c r="G61" s="16" t="n">
        <v>316026651</v>
      </c>
      <c r="H61" s="16" t="n">
        <v>2394300</v>
      </c>
      <c r="I61" s="16" t="n">
        <v>2525152</v>
      </c>
      <c r="J61" s="16">
        <f>H61-I61</f>
        <v/>
      </c>
      <c r="K61" s="16">
        <f>K62+J61</f>
        <v/>
      </c>
      <c r="L61" s="16" t="n">
        <v>28448055</v>
      </c>
      <c r="M61" s="16" t="n">
        <v>1406500</v>
      </c>
      <c r="N61" s="16" t="n">
        <v>2852461</v>
      </c>
      <c r="O61" s="16">
        <f>M61-N61</f>
        <v/>
      </c>
      <c r="P61" s="16">
        <f>P62+O61</f>
        <v/>
      </c>
      <c r="Q61" s="16" t="n">
        <v>480359681</v>
      </c>
      <c r="R61" s="16" t="n">
        <v>822910</v>
      </c>
      <c r="S61" s="16" t="n">
        <v>2039900</v>
      </c>
      <c r="T61" s="16">
        <f>R61-S61</f>
        <v/>
      </c>
      <c r="U61" s="16">
        <f>U62+T61</f>
        <v/>
      </c>
      <c r="V61" s="16" t="n">
        <v>62316106</v>
      </c>
    </row>
    <row r="62">
      <c r="A62" s="16" t="n"/>
      <c r="B62" s="15" t="n">
        <v>46199</v>
      </c>
      <c r="C62" s="14" t="n">
        <v>3266900</v>
      </c>
      <c r="D62" s="14" t="n">
        <v>264400</v>
      </c>
      <c r="E62" s="16">
        <f>C62-D62</f>
        <v/>
      </c>
      <c r="F62" s="14">
        <f>F63+E62</f>
        <v/>
      </c>
      <c r="G62" s="14" t="n"/>
      <c r="H62" s="14" t="n">
        <v>350200</v>
      </c>
      <c r="I62" s="14" t="n">
        <v>499300</v>
      </c>
      <c r="J62" s="16">
        <f>H62-I62</f>
        <v/>
      </c>
      <c r="K62" s="14">
        <f>K63+J62</f>
        <v/>
      </c>
      <c r="L62" s="14" t="n"/>
      <c r="M62" s="14" t="n">
        <v>976700</v>
      </c>
      <c r="N62" s="14" t="n">
        <v>825400</v>
      </c>
      <c r="O62" s="16">
        <f>M62-N62</f>
        <v/>
      </c>
      <c r="P62" s="14">
        <f>P63+O62</f>
        <v/>
      </c>
      <c r="Q62" s="14" t="n"/>
      <c r="R62" s="14" t="n">
        <v>1914611</v>
      </c>
      <c r="S62" s="14" t="n">
        <v>2480610</v>
      </c>
      <c r="T62" s="16">
        <f>R62-S62</f>
        <v/>
      </c>
      <c r="U62" s="14">
        <f>U63+T62</f>
        <v/>
      </c>
      <c r="V62" s="14" t="n"/>
    </row>
    <row r="63">
      <c r="A63" s="16" t="n"/>
      <c r="B63" s="15" t="n">
        <v>46198</v>
      </c>
      <c r="C63" s="14" t="n">
        <v>1504410</v>
      </c>
      <c r="D63" s="14" t="n">
        <v>1492500</v>
      </c>
      <c r="E63" s="16">
        <f>C63-D63</f>
        <v/>
      </c>
      <c r="F63" s="14">
        <f>F64+E63</f>
        <v/>
      </c>
      <c r="G63" s="14" t="n">
        <v>283161151</v>
      </c>
      <c r="H63" s="14" t="n">
        <v>103700</v>
      </c>
      <c r="I63" s="14" t="n">
        <v>179200</v>
      </c>
      <c r="J63" s="16">
        <f>H63-I63</f>
        <v/>
      </c>
      <c r="K63" s="14">
        <f>K64+J63</f>
        <v/>
      </c>
      <c r="L63" s="14" t="n">
        <v>27230644</v>
      </c>
      <c r="M63" s="14" t="n">
        <v>651200</v>
      </c>
      <c r="N63" s="14" t="n">
        <v>381000</v>
      </c>
      <c r="O63" s="16">
        <f>M63-N63</f>
        <v/>
      </c>
      <c r="P63" s="14">
        <f>P64+O63</f>
        <v/>
      </c>
      <c r="Q63" s="14" t="n">
        <v>477130826</v>
      </c>
      <c r="R63" s="14" t="n">
        <v>5563841</v>
      </c>
      <c r="S63" s="14" t="n">
        <v>5312410</v>
      </c>
      <c r="T63" s="16">
        <f>R63-S63</f>
        <v/>
      </c>
      <c r="U63" s="14">
        <f>U64+T63</f>
        <v/>
      </c>
      <c r="V63" s="14" t="n">
        <v>60163645</v>
      </c>
    </row>
    <row r="64">
      <c r="A64" s="16" t="n"/>
      <c r="B64" s="15" t="n">
        <v>46197</v>
      </c>
      <c r="C64" s="14" t="n">
        <v>712380</v>
      </c>
      <c r="D64" s="14" t="n">
        <v>770851</v>
      </c>
      <c r="E64" s="16">
        <f>C64-D64</f>
        <v/>
      </c>
      <c r="F64" s="14">
        <f>F65+E64</f>
        <v/>
      </c>
      <c r="G64" s="14" t="n">
        <v>283181861</v>
      </c>
      <c r="H64" s="14" t="n">
        <v>380900</v>
      </c>
      <c r="I64" s="14" t="n">
        <v>1528411</v>
      </c>
      <c r="J64" s="16">
        <f>H64-I64</f>
        <v/>
      </c>
      <c r="K64" s="14">
        <f>K65+J64</f>
        <v/>
      </c>
      <c r="L64" s="14" t="n">
        <v>27232544</v>
      </c>
      <c r="M64" s="14" t="n">
        <v>608200</v>
      </c>
      <c r="N64" s="14" t="n">
        <v>3999555</v>
      </c>
      <c r="O64" s="16">
        <f>M64-N64</f>
        <v/>
      </c>
      <c r="P64" s="14">
        <f>P65+O64</f>
        <v/>
      </c>
      <c r="Q64" s="14" t="n">
        <v>477412726</v>
      </c>
      <c r="R64" s="14" t="n">
        <v>3351459</v>
      </c>
      <c r="S64" s="14" t="n">
        <v>5503920</v>
      </c>
      <c r="T64" s="16">
        <f>R64-S64</f>
        <v/>
      </c>
      <c r="U64" s="14">
        <f>U65+T64</f>
        <v/>
      </c>
      <c r="V64" s="14" t="n">
        <v>55633786</v>
      </c>
    </row>
    <row r="65">
      <c r="A65" s="16" t="n"/>
      <c r="B65" s="15" t="n">
        <v>46196</v>
      </c>
      <c r="C65" s="14" t="n">
        <v>4452293</v>
      </c>
      <c r="D65" s="14" t="n">
        <v>2871943</v>
      </c>
      <c r="E65" s="16">
        <f>C65-D65</f>
        <v/>
      </c>
      <c r="F65" s="14">
        <f>F66+E65</f>
        <v/>
      </c>
      <c r="G65" s="14" t="n">
        <v>281600800</v>
      </c>
      <c r="H65" s="14" t="n">
        <v>2089400</v>
      </c>
      <c r="I65" s="14" t="n">
        <v>1653526</v>
      </c>
      <c r="J65" s="16">
        <f>H65-I65</f>
        <v/>
      </c>
      <c r="K65" s="14">
        <f>K66+J65</f>
        <v/>
      </c>
      <c r="L65" s="14" t="n">
        <v>26900398</v>
      </c>
      <c r="M65" s="14" t="n">
        <v>4451790</v>
      </c>
      <c r="N65" s="14" t="n">
        <v>3653428</v>
      </c>
      <c r="O65" s="16">
        <f>M65-N65</f>
        <v/>
      </c>
      <c r="P65" s="14">
        <f>P66+O65</f>
        <v/>
      </c>
      <c r="Q65" s="14" t="n">
        <v>475778128</v>
      </c>
      <c r="R65" s="14" t="n">
        <v>2671210</v>
      </c>
      <c r="S65" s="14" t="n">
        <v>7456000</v>
      </c>
      <c r="T65" s="16">
        <f>R65-S65</f>
        <v/>
      </c>
      <c r="U65" s="14">
        <f>U66+T65</f>
        <v/>
      </c>
      <c r="V65" s="14" t="n">
        <v>54126964</v>
      </c>
    </row>
    <row r="66">
      <c r="A66" s="16" t="n"/>
      <c r="B66" s="15" t="n">
        <v>46195</v>
      </c>
      <c r="C66" s="14" t="n">
        <v>165361</v>
      </c>
      <c r="D66" s="14" t="n">
        <v>1746422</v>
      </c>
      <c r="E66" s="16">
        <f>C66-D66</f>
        <v/>
      </c>
      <c r="F66" s="14">
        <f>F67+E66</f>
        <v/>
      </c>
      <c r="G66" s="14" t="n">
        <v>282100559</v>
      </c>
      <c r="H66" s="14" t="n">
        <v>35800</v>
      </c>
      <c r="I66" s="14" t="n">
        <v>367946</v>
      </c>
      <c r="J66" s="16">
        <f>H66-I66</f>
        <v/>
      </c>
      <c r="K66" s="14">
        <f>K67+J66</f>
        <v/>
      </c>
      <c r="L66" s="14" t="n">
        <v>27064272</v>
      </c>
      <c r="M66" s="14" t="n">
        <v>223523</v>
      </c>
      <c r="N66" s="14" t="n">
        <v>1858121</v>
      </c>
      <c r="O66" s="16">
        <f>M66-N66</f>
        <v/>
      </c>
      <c r="P66" s="14">
        <f>P67+O66</f>
        <v/>
      </c>
      <c r="Q66" s="14" t="n">
        <v>474057691</v>
      </c>
      <c r="R66" s="14" t="n">
        <v>772419</v>
      </c>
      <c r="S66" s="14" t="n">
        <v>2279241</v>
      </c>
      <c r="T66" s="16">
        <f>R66-S66</f>
        <v/>
      </c>
      <c r="U66" s="14">
        <f>U67+T66</f>
        <v/>
      </c>
      <c r="V66" s="14" t="n">
        <v>49981907</v>
      </c>
    </row>
    <row r="67">
      <c r="A67" s="16" t="n"/>
      <c r="B67" s="17" t="n">
        <v>46192</v>
      </c>
      <c r="C67" s="16" t="n">
        <v>146209</v>
      </c>
      <c r="D67" s="16" t="n">
        <v>1232100</v>
      </c>
      <c r="E67" s="16">
        <f>C67-D67</f>
        <v/>
      </c>
      <c r="F67" s="14">
        <f>F68+E67</f>
        <v/>
      </c>
      <c r="G67" s="16" t="n"/>
      <c r="H67" s="16" t="n">
        <v>30900</v>
      </c>
      <c r="I67" s="16" t="n">
        <v>302900</v>
      </c>
      <c r="J67" s="16">
        <f>H67-I67</f>
        <v/>
      </c>
      <c r="K67" s="16">
        <f>K68+J67</f>
        <v/>
      </c>
      <c r="L67" s="16" t="n"/>
      <c r="M67" s="16" t="n">
        <v>365201</v>
      </c>
      <c r="N67" s="16" t="n">
        <v>2887500</v>
      </c>
      <c r="O67" s="16">
        <f>M67-N67</f>
        <v/>
      </c>
      <c r="P67" s="16">
        <f>P68+O67</f>
        <v/>
      </c>
      <c r="Q67" s="16" t="n"/>
      <c r="R67" s="16" t="n">
        <v>1716343</v>
      </c>
      <c r="S67" s="16" t="n">
        <v>5861400</v>
      </c>
      <c r="T67" s="16">
        <f>R67-S67</f>
        <v/>
      </c>
      <c r="U67" s="16">
        <f>U68+T67</f>
        <v/>
      </c>
      <c r="V67" s="16" t="n"/>
    </row>
    <row r="68">
      <c r="A68" s="16" t="n"/>
      <c r="B68" s="17" t="n">
        <v>46191</v>
      </c>
      <c r="C68" s="16" t="n">
        <v>2946338</v>
      </c>
      <c r="D68" s="16" t="n">
        <v>1927575</v>
      </c>
      <c r="E68" s="16">
        <f>C68-D68</f>
        <v/>
      </c>
      <c r="F68" s="14">
        <f>F69+E68</f>
        <v/>
      </c>
      <c r="G68" s="16" t="n">
        <v>282100559</v>
      </c>
      <c r="H68" s="16" t="n">
        <v>151800</v>
      </c>
      <c r="I68" s="16" t="n">
        <v>3049667</v>
      </c>
      <c r="J68" s="16">
        <f>H68-I68</f>
        <v/>
      </c>
      <c r="K68" s="16">
        <f>K69+J68</f>
        <v/>
      </c>
      <c r="L68" s="16" t="n">
        <v>21880605</v>
      </c>
      <c r="M68" s="16" t="n">
        <v>387900</v>
      </c>
      <c r="N68" s="16" t="n">
        <v>3918428</v>
      </c>
      <c r="O68" s="16">
        <f>M68-N68</f>
        <v/>
      </c>
      <c r="P68" s="16">
        <f>P69+O68</f>
        <v/>
      </c>
      <c r="Q68" s="16" t="n">
        <v>468326333</v>
      </c>
      <c r="R68" s="16" t="n">
        <v>2022680</v>
      </c>
      <c r="S68" s="16" t="n">
        <v>7118700</v>
      </c>
      <c r="T68" s="16">
        <f>R68-S68</f>
        <v/>
      </c>
      <c r="U68" s="16">
        <f>U69+T68</f>
        <v/>
      </c>
      <c r="V68" s="16" t="n">
        <v>38817337</v>
      </c>
    </row>
    <row r="69">
      <c r="A69" s="16" t="n"/>
      <c r="B69" s="17" t="n">
        <v>46190</v>
      </c>
      <c r="C69" s="16" t="n">
        <v>2468902</v>
      </c>
      <c r="D69" s="16" t="n">
        <v>809300</v>
      </c>
      <c r="E69" s="16">
        <f>C69-D69</f>
        <v/>
      </c>
      <c r="F69" s="14">
        <f>F70+E69</f>
        <v/>
      </c>
      <c r="G69" s="16" t="n">
        <v>282438051</v>
      </c>
      <c r="H69" s="16" t="n">
        <v>1376400</v>
      </c>
      <c r="I69" s="16" t="n">
        <v>3662200</v>
      </c>
      <c r="J69" s="16">
        <f>H69-I69</f>
        <v/>
      </c>
      <c r="K69" s="16">
        <f>K70+J69</f>
        <v/>
      </c>
      <c r="L69" s="16" t="n">
        <v>20712078</v>
      </c>
      <c r="M69" s="16" t="n">
        <v>870700</v>
      </c>
      <c r="N69" s="16" t="n">
        <v>3071530</v>
      </c>
      <c r="O69" s="16">
        <f>M69-N69</f>
        <v/>
      </c>
      <c r="P69" s="16">
        <f>P70+O69</f>
        <v/>
      </c>
      <c r="Q69" s="16" t="n">
        <v>465209825</v>
      </c>
      <c r="R69" s="16" t="n">
        <v>294150</v>
      </c>
      <c r="S69" s="16" t="n">
        <v>6362700</v>
      </c>
      <c r="T69" s="16">
        <f>R69-S69</f>
        <v/>
      </c>
      <c r="U69" s="16">
        <f>U70+T69</f>
        <v/>
      </c>
      <c r="V69" s="16" t="n">
        <v>35900276</v>
      </c>
    </row>
    <row r="70">
      <c r="A70" s="16" t="n"/>
      <c r="B70" s="17" t="n">
        <v>46189</v>
      </c>
      <c r="C70" s="16" t="n">
        <v>241581</v>
      </c>
      <c r="D70" s="16" t="n">
        <v>919652</v>
      </c>
      <c r="E70" s="16">
        <f>C70-D70</f>
        <v/>
      </c>
      <c r="F70" s="14">
        <f>F71+E70</f>
        <v/>
      </c>
      <c r="G70" s="16" t="n">
        <v>281259575</v>
      </c>
      <c r="H70" s="16" t="n">
        <v>832508</v>
      </c>
      <c r="I70" s="16" t="n">
        <v>1989835</v>
      </c>
      <c r="J70" s="16">
        <f>H70-I70</f>
        <v/>
      </c>
      <c r="K70" s="16">
        <f>K71+J70</f>
        <v/>
      </c>
      <c r="L70" s="16" t="n">
        <v>20343054</v>
      </c>
      <c r="M70" s="16" t="n">
        <v>1288400</v>
      </c>
      <c r="N70" s="16" t="n">
        <v>4401508</v>
      </c>
      <c r="O70" s="16">
        <f>M70-N70</f>
        <v/>
      </c>
      <c r="P70" s="16">
        <f>P71+O70</f>
        <v/>
      </c>
      <c r="Q70" s="16" t="n">
        <v>460728825</v>
      </c>
      <c r="R70" s="16" t="n">
        <v>1234639</v>
      </c>
      <c r="S70" s="16" t="n">
        <v>4151700</v>
      </c>
      <c r="T70" s="16">
        <f>R70-S70</f>
        <v/>
      </c>
      <c r="U70" s="16">
        <f>U71+T70</f>
        <v/>
      </c>
      <c r="V70" s="16" t="n">
        <v>34516061</v>
      </c>
    </row>
    <row r="71">
      <c r="A71" s="16" t="n"/>
      <c r="B71" s="17" t="n">
        <v>46188</v>
      </c>
      <c r="C71" s="16" t="n">
        <v>2335672</v>
      </c>
      <c r="D71" s="16" t="n">
        <v>5173750</v>
      </c>
      <c r="E71" s="16">
        <f>C71-D71</f>
        <v/>
      </c>
      <c r="F71" s="14">
        <f>F72+E71</f>
        <v/>
      </c>
      <c r="G71" s="16" t="n">
        <v>281242775</v>
      </c>
      <c r="H71" s="16" t="n">
        <v>551400</v>
      </c>
      <c r="I71" s="16" t="n">
        <v>920424</v>
      </c>
      <c r="J71" s="16">
        <f>H71-I71</f>
        <v/>
      </c>
      <c r="K71" s="16">
        <f>K72+J71</f>
        <v/>
      </c>
      <c r="L71" s="16" t="n">
        <v>19916454</v>
      </c>
      <c r="M71" s="16" t="n">
        <v>1196900</v>
      </c>
      <c r="N71" s="16" t="n">
        <v>5677900</v>
      </c>
      <c r="O71" s="16">
        <f>M71-N71</f>
        <v/>
      </c>
      <c r="P71" s="16">
        <f>P72+O71</f>
        <v/>
      </c>
      <c r="Q71" s="16" t="n">
        <v>458580725</v>
      </c>
      <c r="R71" s="16" t="n">
        <v>3855985</v>
      </c>
      <c r="S71" s="16" t="n">
        <v>5240200</v>
      </c>
      <c r="T71" s="16">
        <f>R71-S71</f>
        <v/>
      </c>
      <c r="U71" s="16">
        <f>U72+T71</f>
        <v/>
      </c>
      <c r="V71" s="16" t="n">
        <v>34516061</v>
      </c>
    </row>
    <row r="72">
      <c r="A72" s="16" t="n"/>
      <c r="B72" s="15" t="n">
        <v>46185</v>
      </c>
      <c r="C72" s="14" t="n">
        <v>9384571</v>
      </c>
      <c r="D72" s="14" t="n">
        <v>7526951</v>
      </c>
      <c r="E72" s="14">
        <f>C72-D72</f>
        <v/>
      </c>
      <c r="F72" s="14">
        <f>F73+E72</f>
        <v/>
      </c>
      <c r="G72" s="14" t="n"/>
      <c r="H72" s="14" t="n">
        <v>952800</v>
      </c>
      <c r="I72" s="14" t="n">
        <v>1371000</v>
      </c>
      <c r="J72" s="14">
        <f>H72-I72</f>
        <v/>
      </c>
      <c r="K72" s="14">
        <f>K73+J72</f>
        <v/>
      </c>
      <c r="L72" s="14" t="n"/>
      <c r="M72" s="14" t="n">
        <v>273300</v>
      </c>
      <c r="N72" s="14" t="n">
        <v>2396300</v>
      </c>
      <c r="O72" s="14">
        <f>M72-N72</f>
        <v/>
      </c>
      <c r="P72" s="14">
        <f>P73+O72</f>
        <v/>
      </c>
      <c r="Q72" s="14" t="n"/>
      <c r="R72" s="14" t="n">
        <v>5268002</v>
      </c>
      <c r="S72" s="14" t="n">
        <v>5121658</v>
      </c>
      <c r="T72" s="14">
        <f>R72-S72</f>
        <v/>
      </c>
      <c r="U72" s="14">
        <f>U73+T72</f>
        <v/>
      </c>
      <c r="V72" s="14" t="n"/>
    </row>
    <row r="73">
      <c r="A73" s="16" t="n"/>
      <c r="B73" s="15" t="n">
        <v>46184</v>
      </c>
      <c r="C73" s="14" t="n">
        <v>1299415</v>
      </c>
      <c r="D73" s="14" t="n">
        <v>1239352</v>
      </c>
      <c r="E73" s="14">
        <f>C73-D73</f>
        <v/>
      </c>
      <c r="F73" s="14">
        <f>F74+E73</f>
        <v/>
      </c>
      <c r="G73" s="14" t="n">
        <v>282004521</v>
      </c>
      <c r="H73" s="14" t="n">
        <v>333708</v>
      </c>
      <c r="I73" s="14" t="n">
        <v>492839</v>
      </c>
      <c r="J73" s="14">
        <f>H73-I73</f>
        <v/>
      </c>
      <c r="K73" s="14">
        <f>K74+J73</f>
        <v/>
      </c>
      <c r="L73" s="14" t="n">
        <v>19074184</v>
      </c>
      <c r="M73" s="14" t="n">
        <v>268100</v>
      </c>
      <c r="N73" s="14" t="n">
        <v>1564119</v>
      </c>
      <c r="O73" s="14">
        <f>M73-N73</f>
        <v/>
      </c>
      <c r="P73" s="14">
        <f>P74+O73</f>
        <v/>
      </c>
      <c r="Q73" s="14" t="n">
        <v>454318206</v>
      </c>
      <c r="R73" s="14" t="n">
        <v>319538</v>
      </c>
      <c r="S73" s="14" t="n">
        <v>1415100</v>
      </c>
      <c r="T73" s="14">
        <f>R73-S73</f>
        <v/>
      </c>
      <c r="U73" s="14">
        <f>U74+T73</f>
        <v/>
      </c>
      <c r="V73" s="14" t="n">
        <v>32665143</v>
      </c>
    </row>
    <row r="74">
      <c r="A74" s="16" t="n"/>
      <c r="B74" s="15" t="n">
        <v>46183</v>
      </c>
      <c r="C74" s="14" t="n">
        <v>3684826</v>
      </c>
      <c r="D74" s="14" t="n">
        <v>4785400</v>
      </c>
      <c r="E74" s="14">
        <f>C74-D74</f>
        <v/>
      </c>
      <c r="F74" s="14">
        <f>F75+E74</f>
        <v/>
      </c>
      <c r="G74" s="14" t="n">
        <v>279765345</v>
      </c>
      <c r="H74" s="14" t="n">
        <v>50600</v>
      </c>
      <c r="I74" s="14" t="n">
        <v>733739</v>
      </c>
      <c r="J74" s="14">
        <f>H74-I74</f>
        <v/>
      </c>
      <c r="K74" s="14">
        <f>K75+J74</f>
        <v/>
      </c>
      <c r="L74" s="14" t="n">
        <v>17428974</v>
      </c>
      <c r="M74" s="14" t="n">
        <v>310300</v>
      </c>
      <c r="N74" s="14" t="n">
        <v>3280300</v>
      </c>
      <c r="O74" s="14">
        <f>M74-N74</f>
        <v/>
      </c>
      <c r="P74" s="14">
        <f>P75+O74</f>
        <v/>
      </c>
      <c r="Q74" s="14" t="n">
        <v>453129706</v>
      </c>
      <c r="R74" s="14" t="n">
        <v>430300</v>
      </c>
      <c r="S74" s="14" t="n">
        <v>1332000</v>
      </c>
      <c r="T74" s="14">
        <f>R74-S74</f>
        <v/>
      </c>
      <c r="U74" s="14">
        <f>U75+T74</f>
        <v/>
      </c>
      <c r="V74" s="14" t="n">
        <v>29488264</v>
      </c>
    </row>
    <row r="75">
      <c r="A75" s="16" t="n"/>
      <c r="B75" s="15" t="n">
        <v>46182</v>
      </c>
      <c r="C75" s="14" t="n">
        <v>4513565</v>
      </c>
      <c r="D75" s="14" t="n">
        <v>6817504</v>
      </c>
      <c r="E75" s="14">
        <f>C75-D75</f>
        <v/>
      </c>
      <c r="F75" s="14">
        <f>F76+E75</f>
        <v/>
      </c>
      <c r="G75" s="14" t="n">
        <v>279765345</v>
      </c>
      <c r="H75" s="14" t="n">
        <v>46400</v>
      </c>
      <c r="I75" s="14" t="n">
        <v>1691610</v>
      </c>
      <c r="J75" s="14">
        <f>H75-I75</f>
        <v/>
      </c>
      <c r="K75" s="14">
        <f>K76+J75</f>
        <v/>
      </c>
      <c r="L75" s="14" t="n">
        <v>17139998</v>
      </c>
      <c r="M75" s="14" t="n">
        <v>1206300</v>
      </c>
      <c r="N75" s="14" t="n">
        <v>2394300</v>
      </c>
      <c r="O75" s="14">
        <f>M75-N75</f>
        <v/>
      </c>
      <c r="P75" s="14">
        <f>P76+O75</f>
        <v/>
      </c>
      <c r="Q75" s="14" t="n">
        <v>450031411</v>
      </c>
      <c r="R75" s="14" t="n">
        <v>266021</v>
      </c>
      <c r="S75" s="14" t="n">
        <v>3442900</v>
      </c>
      <c r="T75" s="14">
        <f>R75-S75</f>
        <v/>
      </c>
      <c r="U75" s="14">
        <f>U76+T75</f>
        <v/>
      </c>
      <c r="V75" s="14" t="n">
        <v>27460232</v>
      </c>
    </row>
    <row r="76">
      <c r="A76" s="16" t="n"/>
      <c r="B76" s="15" t="n">
        <v>46181</v>
      </c>
      <c r="C76" s="14" t="n">
        <v>5374277</v>
      </c>
      <c r="D76" s="14" t="n">
        <v>1517424</v>
      </c>
      <c r="E76" s="14">
        <f>C76-D76</f>
        <v/>
      </c>
      <c r="F76" s="14">
        <f>F77+E76</f>
        <v/>
      </c>
      <c r="G76" s="14" t="n">
        <v>279765345</v>
      </c>
      <c r="H76" s="14" t="n">
        <v>77011</v>
      </c>
      <c r="I76" s="14" t="n">
        <v>365987</v>
      </c>
      <c r="J76" s="14">
        <f>H76-I76</f>
        <v/>
      </c>
      <c r="K76" s="14">
        <f>K77+J76</f>
        <v/>
      </c>
      <c r="L76" s="14" t="n">
        <v>15964698</v>
      </c>
      <c r="M76" s="14" t="n">
        <v>670624</v>
      </c>
      <c r="N76" s="14" t="n">
        <v>3764919</v>
      </c>
      <c r="O76" s="14">
        <f>M76-N76</f>
        <v/>
      </c>
      <c r="P76" s="14">
        <f>P77+O76</f>
        <v/>
      </c>
      <c r="Q76" s="14" t="n">
        <v>448031111</v>
      </c>
      <c r="R76" s="14" t="n">
        <v>139968</v>
      </c>
      <c r="S76" s="14" t="n">
        <v>2168000</v>
      </c>
      <c r="T76" s="14">
        <f>R76-S76</f>
        <v/>
      </c>
      <c r="U76" s="14">
        <f>U77+T76</f>
        <v/>
      </c>
      <c r="V76" s="14" t="n">
        <v>26107432</v>
      </c>
    </row>
    <row r="77">
      <c r="A77" s="16" t="n"/>
      <c r="B77" s="15" t="n">
        <v>46178</v>
      </c>
      <c r="C77" s="14" t="n">
        <v>11000212</v>
      </c>
      <c r="D77" s="14" t="n">
        <v>1224900</v>
      </c>
      <c r="E77" s="14">
        <f>C77-D77</f>
        <v/>
      </c>
      <c r="F77" s="14">
        <f>F78+E77</f>
        <v/>
      </c>
      <c r="G77" s="14" t="n"/>
      <c r="H77" s="14" t="n">
        <v>37600</v>
      </c>
      <c r="I77" s="14" t="n">
        <v>1212900</v>
      </c>
      <c r="J77" s="14">
        <f>H77-I77</f>
        <v/>
      </c>
      <c r="K77" s="14">
        <f>K78+J77</f>
        <v/>
      </c>
      <c r="L77" s="14" t="n"/>
      <c r="M77" s="14" t="n">
        <v>103600</v>
      </c>
      <c r="N77" s="14" t="n">
        <v>2103900</v>
      </c>
      <c r="O77" s="14">
        <f>M77-N77</f>
        <v/>
      </c>
      <c r="P77" s="14">
        <f>P78+O77</f>
        <v/>
      </c>
      <c r="Q77" s="14" t="n"/>
      <c r="R77" s="14" t="n">
        <v>60900</v>
      </c>
      <c r="S77" s="14" t="n">
        <v>1413700</v>
      </c>
      <c r="T77" s="14">
        <f>R77-S77</f>
        <v/>
      </c>
      <c r="U77" s="14">
        <f>U78+T77</f>
        <v/>
      </c>
      <c r="V77" s="14" t="n"/>
    </row>
    <row r="78">
      <c r="A78" s="16" t="n"/>
      <c r="B78" s="15" t="n">
        <v>46177</v>
      </c>
      <c r="C78" s="14" t="n">
        <v>27118102</v>
      </c>
      <c r="D78" s="14" t="n">
        <v>30530754</v>
      </c>
      <c r="E78" s="14">
        <f>C78-D78</f>
        <v/>
      </c>
      <c r="F78" s="14">
        <f>F79+E78</f>
        <v/>
      </c>
      <c r="G78" s="14" t="n">
        <v>274711941</v>
      </c>
      <c r="H78" s="14" t="n">
        <v>249200</v>
      </c>
      <c r="I78" s="14" t="n">
        <v>1867632</v>
      </c>
      <c r="J78" s="14">
        <f>H78-I78</f>
        <v/>
      </c>
      <c r="K78" s="14">
        <f>K79+J78</f>
        <v/>
      </c>
      <c r="L78" s="14" t="n">
        <v>14012629</v>
      </c>
      <c r="M78" s="14" t="n">
        <v>720500</v>
      </c>
      <c r="N78" s="14" t="n">
        <v>3833615</v>
      </c>
      <c r="O78" s="14">
        <f>M78-N78</f>
        <v/>
      </c>
      <c r="P78" s="14">
        <f>P79+O78</f>
        <v/>
      </c>
      <c r="Q78" s="14" t="n">
        <v>441662496</v>
      </c>
      <c r="R78" s="14" t="n">
        <v>159700</v>
      </c>
      <c r="S78" s="14" t="n">
        <v>2192300</v>
      </c>
      <c r="T78" s="14">
        <f>R78-S78</f>
        <v/>
      </c>
      <c r="U78" s="14">
        <f>U79+T78</f>
        <v/>
      </c>
      <c r="V78" s="14" t="n">
        <v>21430612</v>
      </c>
    </row>
    <row r="79">
      <c r="A79" s="16" t="n"/>
      <c r="B79" s="15" t="n">
        <v>46176</v>
      </c>
      <c r="C79" s="14" t="n">
        <v>2189300</v>
      </c>
      <c r="D79" s="14" t="n">
        <v>17466917</v>
      </c>
      <c r="E79" s="14">
        <f>C79-D79</f>
        <v/>
      </c>
      <c r="F79" s="14">
        <f>F80+E79</f>
        <v/>
      </c>
      <c r="G79" s="14" t="n">
        <v>269925267</v>
      </c>
      <c r="H79" s="14" t="n">
        <v>404000</v>
      </c>
      <c r="I79" s="14" t="n">
        <v>737637</v>
      </c>
      <c r="J79" s="14">
        <f>H79-I79</f>
        <v/>
      </c>
      <c r="K79" s="14">
        <f>K80+J79</f>
        <v/>
      </c>
      <c r="L79" s="14" t="n">
        <v>12531208</v>
      </c>
      <c r="M79" s="14" t="n">
        <v>1060600</v>
      </c>
      <c r="N79" s="14" t="n">
        <v>4311600</v>
      </c>
      <c r="O79" s="14">
        <f>M79-N79</f>
        <v/>
      </c>
      <c r="P79" s="14">
        <f>P80+O79</f>
        <v/>
      </c>
      <c r="Q79" s="14" t="n">
        <v>437756444</v>
      </c>
      <c r="R79" s="14" t="n">
        <v>408180</v>
      </c>
      <c r="S79" s="14" t="n">
        <v>3052400</v>
      </c>
      <c r="T79" s="14">
        <f>R79-S79</f>
        <v/>
      </c>
      <c r="U79" s="14">
        <f>U80+T79</f>
        <v/>
      </c>
      <c r="V79" s="14" t="n">
        <v>19485232</v>
      </c>
    </row>
    <row r="80">
      <c r="A80" s="16" t="n"/>
      <c r="B80" s="15" t="n">
        <v>46175</v>
      </c>
      <c r="C80" s="14" t="n">
        <v>4373650</v>
      </c>
      <c r="D80" s="14" t="n">
        <v>9126724</v>
      </c>
      <c r="E80" s="14">
        <f>C80-D80</f>
        <v/>
      </c>
      <c r="F80" s="14">
        <f>F81+E80</f>
        <v/>
      </c>
      <c r="G80" s="14" t="n">
        <v>265524967</v>
      </c>
      <c r="H80" s="14" t="n">
        <v>249800</v>
      </c>
      <c r="I80" s="14" t="n">
        <v>1714421</v>
      </c>
      <c r="J80" s="14">
        <f>H80-I80</f>
        <v/>
      </c>
      <c r="K80" s="14">
        <f>K81+J80</f>
        <v/>
      </c>
      <c r="L80" s="14" t="n">
        <v>12361042</v>
      </c>
      <c r="M80" s="14" t="n">
        <v>861100</v>
      </c>
      <c r="N80" s="14" t="n">
        <v>4733552</v>
      </c>
      <c r="O80" s="14">
        <f>M80-N80</f>
        <v/>
      </c>
      <c r="P80" s="14">
        <f>P81+O80</f>
        <v/>
      </c>
      <c r="Q80" s="14" t="n">
        <v>436325544</v>
      </c>
      <c r="R80" s="14" t="n">
        <v>114520</v>
      </c>
      <c r="S80" s="14" t="n">
        <v>2059900</v>
      </c>
      <c r="T80" s="14">
        <f>R80-S80</f>
        <v/>
      </c>
      <c r="U80" s="14">
        <f>U81+T80</f>
        <v/>
      </c>
      <c r="V80" s="14" t="n">
        <v>18888377</v>
      </c>
    </row>
    <row r="81">
      <c r="A81" s="16" t="n"/>
      <c r="B81" s="15" t="n">
        <v>46174</v>
      </c>
      <c r="C81" s="14" t="n">
        <v>1736500</v>
      </c>
      <c r="D81" s="14" t="n">
        <v>6136800</v>
      </c>
      <c r="E81" s="14">
        <f>C81-D81</f>
        <v/>
      </c>
      <c r="F81" s="14">
        <f>F82+E81</f>
        <v/>
      </c>
      <c r="G81" s="14" t="n">
        <v>262771517</v>
      </c>
      <c r="H81" s="14" t="n">
        <v>107200</v>
      </c>
      <c r="I81" s="14" t="n">
        <v>277366</v>
      </c>
      <c r="J81" s="14">
        <f>H81-I81</f>
        <v/>
      </c>
      <c r="K81" s="14">
        <f>K82+J81</f>
        <v/>
      </c>
      <c r="L81" s="14" t="n">
        <v>11376542</v>
      </c>
      <c r="M81" s="14" t="n">
        <v>128100</v>
      </c>
      <c r="N81" s="14" t="n">
        <v>1559000</v>
      </c>
      <c r="O81" s="14">
        <f>M81-N81</f>
        <v/>
      </c>
      <c r="P81" s="14">
        <f>P82+O81</f>
        <v/>
      </c>
      <c r="Q81" s="14" t="n">
        <v>433694323</v>
      </c>
      <c r="R81" s="14" t="n">
        <v>137845</v>
      </c>
      <c r="S81" s="14" t="n">
        <v>734700</v>
      </c>
      <c r="T81" s="14">
        <f>R81-S81</f>
        <v/>
      </c>
      <c r="U81" s="14">
        <f>U82+T81</f>
        <v/>
      </c>
      <c r="V81" s="14" t="n">
        <v>18093762</v>
      </c>
    </row>
    <row r="82">
      <c r="A82" s="14" t="n"/>
      <c r="B82" s="15" t="n">
        <v>46171</v>
      </c>
      <c r="C82" s="14" t="n">
        <v>1101750</v>
      </c>
      <c r="D82" s="14" t="n">
        <v>3842100</v>
      </c>
      <c r="E82" s="14">
        <f>C82-D82</f>
        <v/>
      </c>
      <c r="F82" s="14">
        <f>F83+E82</f>
        <v/>
      </c>
      <c r="G82" s="14" t="n"/>
      <c r="H82" s="14" t="n">
        <v>56200</v>
      </c>
      <c r="I82" s="14" t="n">
        <v>1030400</v>
      </c>
      <c r="J82" s="14">
        <f>H82-I82</f>
        <v/>
      </c>
      <c r="K82" s="14">
        <f>K83+J82</f>
        <v/>
      </c>
      <c r="L82" s="14" t="n"/>
      <c r="M82" s="14" t="n">
        <v>352979</v>
      </c>
      <c r="N82" s="14" t="n">
        <v>2971100</v>
      </c>
      <c r="O82" s="14">
        <f>M82-N82</f>
        <v/>
      </c>
      <c r="P82" s="14">
        <f>P83+O82</f>
        <v/>
      </c>
      <c r="Q82" s="14" t="n"/>
      <c r="R82" s="14" t="n">
        <v>442985</v>
      </c>
      <c r="S82" s="14" t="n">
        <v>1234100</v>
      </c>
      <c r="T82" s="14">
        <f>R82-S82</f>
        <v/>
      </c>
      <c r="U82" s="14">
        <f>U83+T82</f>
        <v/>
      </c>
      <c r="V82" s="14" t="n"/>
    </row>
    <row r="83">
      <c r="A83" s="14" t="n"/>
      <c r="B83" s="15" t="n">
        <v>46170</v>
      </c>
      <c r="C83" s="14" t="n">
        <v>5580882</v>
      </c>
      <c r="D83" s="14" t="n">
        <v>1219937</v>
      </c>
      <c r="E83" s="14">
        <f>C83-D83</f>
        <v/>
      </c>
      <c r="F83" s="14">
        <f>F84+E83</f>
        <v/>
      </c>
      <c r="G83" s="14" t="n">
        <v>262743517</v>
      </c>
      <c r="H83" s="14" t="n">
        <v>280100</v>
      </c>
      <c r="I83" s="14" t="n">
        <v>642963</v>
      </c>
      <c r="J83" s="14">
        <f>H83-I83</f>
        <v/>
      </c>
      <c r="K83" s="14">
        <f>K84+J83</f>
        <v/>
      </c>
      <c r="L83" s="14" t="n">
        <v>10530779</v>
      </c>
      <c r="M83" s="14" t="n">
        <v>628500</v>
      </c>
      <c r="N83" s="14" t="n">
        <v>1447473</v>
      </c>
      <c r="O83" s="14">
        <f>M83-N83</f>
        <v/>
      </c>
      <c r="P83" s="14">
        <f>P84+O83</f>
        <v/>
      </c>
      <c r="Q83" s="14" t="n">
        <v>432847350</v>
      </c>
      <c r="R83" s="14" t="n">
        <v>116365</v>
      </c>
      <c r="S83" s="14" t="n">
        <v>1172747</v>
      </c>
      <c r="T83" s="14">
        <f>R83-S83</f>
        <v/>
      </c>
      <c r="U83" s="14">
        <f>U84+T83</f>
        <v/>
      </c>
      <c r="V83" s="14" t="n">
        <v>15976882</v>
      </c>
    </row>
    <row r="84">
      <c r="A84" s="14" t="n"/>
      <c r="B84" s="15" t="n">
        <v>46169</v>
      </c>
      <c r="C84" s="14" t="n">
        <v>8552865</v>
      </c>
      <c r="D84" s="14" t="n">
        <v>6122069</v>
      </c>
      <c r="E84" s="14">
        <f>C84-D84</f>
        <v/>
      </c>
      <c r="F84" s="14">
        <f>F85+E84</f>
        <v/>
      </c>
      <c r="G84" s="14" t="n">
        <v>267104462</v>
      </c>
      <c r="H84" s="14" t="n">
        <v>1376300</v>
      </c>
      <c r="I84" s="14" t="n">
        <v>1845200</v>
      </c>
      <c r="J84" s="14">
        <f>H84-I84</f>
        <v/>
      </c>
      <c r="K84" s="14">
        <f>K85+J84</f>
        <v/>
      </c>
      <c r="L84" s="14" t="n">
        <v>9396300</v>
      </c>
      <c r="M84" s="14" t="n">
        <v>1654420</v>
      </c>
      <c r="N84" s="14" t="n">
        <v>423200</v>
      </c>
      <c r="O84" s="14">
        <f>M84-N84</f>
        <v/>
      </c>
      <c r="P84" s="14">
        <f>P85+O84</f>
        <v/>
      </c>
      <c r="Q84" s="14" t="n">
        <v>432847350</v>
      </c>
      <c r="R84" s="14" t="n">
        <v>1766051</v>
      </c>
      <c r="S84" s="14" t="n">
        <v>2826549</v>
      </c>
      <c r="T84" s="14">
        <f>R84-S84</f>
        <v/>
      </c>
      <c r="U84" s="14">
        <f>U85+T84</f>
        <v/>
      </c>
      <c r="V84" s="14" t="n">
        <v>15940882</v>
      </c>
    </row>
    <row r="85">
      <c r="A85" s="14" t="n"/>
      <c r="B85" s="15" t="n">
        <v>46168</v>
      </c>
      <c r="C85" s="14" t="n">
        <v>7772508</v>
      </c>
      <c r="D85" s="14" t="n">
        <v>5754497</v>
      </c>
      <c r="E85" s="14">
        <f>C85-D85</f>
        <v/>
      </c>
      <c r="F85" s="14">
        <f>F86+E85</f>
        <v/>
      </c>
      <c r="G85" s="14" t="n">
        <v>263716978</v>
      </c>
      <c r="H85" s="14" t="n">
        <v>581700</v>
      </c>
      <c r="I85" s="14" t="n">
        <v>1716179</v>
      </c>
      <c r="J85" s="14">
        <f>H85-I85</f>
        <v/>
      </c>
      <c r="K85" s="14">
        <f>K86+J85</f>
        <v/>
      </c>
      <c r="L85" s="14" t="n">
        <v>9396300</v>
      </c>
      <c r="M85" s="14" t="n">
        <v>1974700</v>
      </c>
      <c r="N85" s="14" t="n">
        <v>1241213</v>
      </c>
      <c r="O85" s="14">
        <f>M85-N85</f>
        <v/>
      </c>
      <c r="P85" s="14">
        <f>P86+O85</f>
        <v/>
      </c>
      <c r="Q85" s="14" t="n">
        <v>433813812</v>
      </c>
      <c r="R85" s="14" t="n">
        <v>402300</v>
      </c>
      <c r="S85" s="14" t="n">
        <v>438300</v>
      </c>
      <c r="T85" s="14">
        <f>R85-S85</f>
        <v/>
      </c>
      <c r="U85" s="14">
        <f>U86+T85</f>
        <v/>
      </c>
      <c r="V85" s="14" t="n">
        <v>15940882</v>
      </c>
    </row>
    <row r="86">
      <c r="A86" s="14" t="n"/>
      <c r="B86" s="15" t="n">
        <v>46167</v>
      </c>
      <c r="C86" s="14" t="n">
        <v>3674900</v>
      </c>
      <c r="D86" s="14" t="n">
        <v>9493180</v>
      </c>
      <c r="E86" s="14">
        <f>C86-D86</f>
        <v/>
      </c>
      <c r="F86" s="14">
        <f>F87+E86</f>
        <v/>
      </c>
      <c r="G86" s="14" t="n">
        <v>265734989</v>
      </c>
      <c r="H86" s="14" t="n">
        <v>155000</v>
      </c>
      <c r="I86" s="14" t="n">
        <v>136070</v>
      </c>
      <c r="J86" s="14">
        <f>H86-I86</f>
        <v/>
      </c>
      <c r="K86" s="14">
        <f>K87+J86</f>
        <v/>
      </c>
      <c r="L86" s="14" t="n">
        <v>7826900</v>
      </c>
      <c r="M86" s="14" t="n">
        <v>311205</v>
      </c>
      <c r="N86" s="14" t="n">
        <v>575963</v>
      </c>
      <c r="O86" s="14">
        <f>M86-N86</f>
        <v/>
      </c>
      <c r="P86" s="14">
        <f>P87+O86</f>
        <v/>
      </c>
      <c r="Q86" s="14" t="n">
        <v>433635599</v>
      </c>
      <c r="R86" s="14" t="n">
        <v>758285</v>
      </c>
      <c r="S86" s="14" t="n">
        <v>661323</v>
      </c>
      <c r="T86" s="14">
        <f>R86-S86</f>
        <v/>
      </c>
      <c r="U86" s="14">
        <f>U87+T86</f>
        <v/>
      </c>
      <c r="V86" s="14" t="n">
        <v>15286412</v>
      </c>
    </row>
    <row r="87">
      <c r="A87" s="14" t="n">
        <v>1</v>
      </c>
      <c r="B87" s="15" t="n">
        <v>46164</v>
      </c>
      <c r="C87" s="14" t="n">
        <v>9331049</v>
      </c>
      <c r="D87" s="14" t="n">
        <v>6289200</v>
      </c>
      <c r="E87" s="14">
        <f>C87-D87</f>
        <v/>
      </c>
      <c r="F87" s="14">
        <f>F88+E87</f>
        <v/>
      </c>
      <c r="G87" s="14" t="n"/>
      <c r="H87" s="14" t="n">
        <v>24900</v>
      </c>
      <c r="I87" s="14" t="n">
        <v>1594300</v>
      </c>
      <c r="J87" s="14">
        <f>H87-I87</f>
        <v/>
      </c>
      <c r="K87" s="14">
        <f>K88+J87</f>
        <v/>
      </c>
      <c r="L87" s="14" t="n"/>
      <c r="M87" s="14" t="n">
        <v>53100</v>
      </c>
      <c r="N87" s="14" t="n">
        <v>964800</v>
      </c>
      <c r="O87" s="14">
        <f>M87-N87</f>
        <v/>
      </c>
      <c r="P87" s="14">
        <f>P88+O87</f>
        <v/>
      </c>
      <c r="Q87" s="14" t="n"/>
      <c r="R87" s="14" t="n">
        <v>104630</v>
      </c>
      <c r="S87" s="14" t="n">
        <v>759100</v>
      </c>
      <c r="T87" s="14">
        <f>R87-S87</f>
        <v/>
      </c>
      <c r="U87" s="14">
        <f>U88+T87</f>
        <v/>
      </c>
      <c r="V87" s="14" t="n"/>
    </row>
    <row r="88">
      <c r="A88" s="14" t="n">
        <v>2</v>
      </c>
      <c r="B88" s="15" t="n">
        <v>46163</v>
      </c>
      <c r="C88" s="14" t="n">
        <v>1262684</v>
      </c>
      <c r="D88" s="14" t="n">
        <v>7073200</v>
      </c>
      <c r="E88" s="14">
        <f>C88-D88</f>
        <v/>
      </c>
      <c r="F88" s="14">
        <f>F89+E88</f>
        <v/>
      </c>
      <c r="G88" s="14" t="n">
        <v>250134176</v>
      </c>
      <c r="H88" s="14" t="n">
        <v>18000</v>
      </c>
      <c r="I88" s="14" t="n">
        <v>780600</v>
      </c>
      <c r="J88" s="14">
        <f>H88-I88</f>
        <v/>
      </c>
      <c r="K88" s="14">
        <f>K89+J88</f>
        <v/>
      </c>
      <c r="L88" s="14" t="n">
        <v>6953767</v>
      </c>
      <c r="M88" s="14" t="n">
        <v>12343700</v>
      </c>
      <c r="N88" s="14" t="n">
        <v>1800100</v>
      </c>
      <c r="O88" s="14">
        <f>M88-N88</f>
        <v/>
      </c>
      <c r="P88" s="14">
        <f>P89+O88</f>
        <v/>
      </c>
      <c r="Q88" s="14" t="n">
        <v>436542361</v>
      </c>
      <c r="R88" s="14" t="n">
        <v>280550</v>
      </c>
      <c r="S88" s="14" t="n">
        <v>3294300</v>
      </c>
      <c r="T88" s="14">
        <f>R88-S88</f>
        <v/>
      </c>
      <c r="U88" s="14">
        <f>U89+T88</f>
        <v/>
      </c>
      <c r="V88" s="14" t="n">
        <v>8116645</v>
      </c>
    </row>
    <row r="89">
      <c r="A89" s="14" t="n">
        <v>3</v>
      </c>
      <c r="B89" s="15" t="n">
        <v>46162</v>
      </c>
      <c r="C89" s="14" t="n">
        <v>1123300</v>
      </c>
      <c r="D89" s="14" t="n">
        <v>7388614</v>
      </c>
      <c r="E89" s="14">
        <f>C89-D89</f>
        <v/>
      </c>
      <c r="F89" s="14">
        <f>F90+E89</f>
        <v/>
      </c>
      <c r="G89" s="14" t="n">
        <v>242770437</v>
      </c>
      <c r="H89" s="14" t="n">
        <v>309900</v>
      </c>
      <c r="I89" s="14" t="n">
        <v>280112</v>
      </c>
      <c r="J89" s="14">
        <f>H89-I89</f>
        <v/>
      </c>
      <c r="K89" s="14">
        <f>K90+J89</f>
        <v/>
      </c>
      <c r="L89" s="14" t="n">
        <v>6993855</v>
      </c>
      <c r="M89" s="14" t="n">
        <v>1359005</v>
      </c>
      <c r="N89" s="14" t="n">
        <v>4768750</v>
      </c>
      <c r="O89" s="14">
        <f>M89-N89</f>
        <v/>
      </c>
      <c r="P89" s="14">
        <f>P90+O89</f>
        <v/>
      </c>
      <c r="Q89" s="14" t="n">
        <v>434643314</v>
      </c>
      <c r="R89" s="14" t="n">
        <v>1028213</v>
      </c>
      <c r="S89" s="14" t="n">
        <v>4141300</v>
      </c>
      <c r="T89" s="14">
        <f>R89-S89</f>
        <v/>
      </c>
      <c r="U89" s="14">
        <f>U90+T89</f>
        <v/>
      </c>
      <c r="V89" s="14" t="n">
        <v>8120045</v>
      </c>
    </row>
    <row r="90">
      <c r="A90" s="14" t="n">
        <v>4</v>
      </c>
      <c r="B90" s="15" t="n">
        <v>46161</v>
      </c>
      <c r="C90" s="14" t="n">
        <v>716325</v>
      </c>
      <c r="D90" s="14" t="n">
        <v>7291657</v>
      </c>
      <c r="E90" s="14">
        <f>C90-D90</f>
        <v/>
      </c>
      <c r="F90" s="14">
        <f>F91+E90</f>
        <v/>
      </c>
      <c r="G90" s="14" t="n">
        <v>242545986</v>
      </c>
      <c r="H90" s="14" t="n">
        <v>55500</v>
      </c>
      <c r="I90" s="14" t="n">
        <v>184963</v>
      </c>
      <c r="J90" s="14">
        <f>H90-I90</f>
        <v/>
      </c>
      <c r="K90" s="14">
        <f>K91+J90</f>
        <v/>
      </c>
      <c r="L90" s="14" t="n">
        <v>6938991</v>
      </c>
      <c r="M90" s="14" t="n">
        <v>213905</v>
      </c>
      <c r="N90" s="14" t="n">
        <v>4448298</v>
      </c>
      <c r="O90" s="14">
        <f>M90-N90</f>
        <v/>
      </c>
      <c r="P90" s="14">
        <f>P91+O90</f>
        <v/>
      </c>
      <c r="Q90" s="14" t="n">
        <v>431348069</v>
      </c>
      <c r="R90" s="14" t="n">
        <v>450199</v>
      </c>
      <c r="S90" s="14" t="n">
        <v>1590091</v>
      </c>
      <c r="T90" s="14">
        <f>R90-S90</f>
        <v/>
      </c>
      <c r="U90" s="14">
        <f>U91+T90</f>
        <v/>
      </c>
      <c r="V90" s="14" t="n">
        <v>8120045</v>
      </c>
    </row>
    <row r="91">
      <c r="A91" s="14" t="n">
        <v>5</v>
      </c>
      <c r="B91" s="15" t="n">
        <v>46160</v>
      </c>
      <c r="C91" s="14" t="n">
        <v>150500</v>
      </c>
      <c r="D91" s="14" t="n">
        <v>7534939</v>
      </c>
      <c r="E91" s="14">
        <f>C91-D91</f>
        <v/>
      </c>
      <c r="F91" s="14">
        <f>F92+E91</f>
        <v/>
      </c>
      <c r="G91" s="14" t="n">
        <v>242545986</v>
      </c>
      <c r="H91" s="14" t="n">
        <v>219100</v>
      </c>
      <c r="I91" s="14" t="n">
        <v>17679</v>
      </c>
      <c r="J91" s="14">
        <f>H91-I91</f>
        <v/>
      </c>
      <c r="K91" s="14">
        <f>K92+J91</f>
        <v/>
      </c>
      <c r="L91" s="14" t="n">
        <v>6938991</v>
      </c>
      <c r="M91" s="14" t="n">
        <v>775100</v>
      </c>
      <c r="N91" s="14" t="n">
        <v>2698847</v>
      </c>
      <c r="O91" s="14">
        <f>M91-N91</f>
        <v/>
      </c>
      <c r="P91" s="14">
        <f>P92+O91</f>
        <v/>
      </c>
      <c r="Q91" s="14" t="n">
        <v>431348069</v>
      </c>
      <c r="R91" s="14" t="n">
        <v>1147430</v>
      </c>
      <c r="S91" s="14" t="n">
        <v>351300</v>
      </c>
      <c r="T91" s="14">
        <f>R91-S91</f>
        <v/>
      </c>
      <c r="U91" s="14">
        <f>U92+T91</f>
        <v/>
      </c>
      <c r="V91" s="14" t="n">
        <v>8120045</v>
      </c>
    </row>
    <row r="92">
      <c r="A92" s="14" t="n">
        <v>1</v>
      </c>
      <c r="B92" s="15" t="n">
        <v>46157</v>
      </c>
      <c r="C92" s="14" t="n">
        <v>6063700</v>
      </c>
      <c r="D92" s="14" t="n">
        <v>6394551</v>
      </c>
      <c r="E92" s="14">
        <f>C92-D92</f>
        <v/>
      </c>
      <c r="F92" s="14">
        <f>F93+E92</f>
        <v/>
      </c>
      <c r="G92" s="14" t="n"/>
      <c r="H92" s="14" t="n">
        <v>37978</v>
      </c>
      <c r="I92" s="14" t="n">
        <v>92842</v>
      </c>
      <c r="J92" s="14">
        <f>H92-I92</f>
        <v/>
      </c>
      <c r="K92" s="14">
        <f>K93+J92</f>
        <v/>
      </c>
      <c r="L92" s="14" t="n"/>
      <c r="M92" s="14" t="n">
        <v>1224700</v>
      </c>
      <c r="N92" s="14" t="n">
        <v>4626345</v>
      </c>
      <c r="O92" s="14">
        <f>M92-N92</f>
        <v/>
      </c>
      <c r="P92" s="14">
        <f>P93+O92</f>
        <v/>
      </c>
      <c r="Q92" s="14" t="n"/>
      <c r="R92" s="14" t="n">
        <v>2155050</v>
      </c>
      <c r="S92" s="14" t="n">
        <v>1026500</v>
      </c>
      <c r="T92" s="14">
        <f>R92-S92</f>
        <v/>
      </c>
      <c r="U92" s="14">
        <f>U93+T92</f>
        <v/>
      </c>
      <c r="V92" s="14" t="n"/>
    </row>
    <row r="93">
      <c r="A93" s="14" t="n">
        <v>2</v>
      </c>
      <c r="B93" s="15" t="n">
        <v>46156</v>
      </c>
      <c r="C93" s="14" t="n">
        <v>10349935</v>
      </c>
      <c r="D93" s="14" t="n">
        <v>6750315</v>
      </c>
      <c r="E93" s="14">
        <f>C93-D93</f>
        <v/>
      </c>
      <c r="F93" s="14">
        <f>F94+E93</f>
        <v/>
      </c>
      <c r="G93" s="14" t="n">
        <v>231083486</v>
      </c>
      <c r="H93" s="14" t="n">
        <v>21800</v>
      </c>
      <c r="I93" s="14" t="n">
        <v>145400</v>
      </c>
      <c r="J93" s="14">
        <f>H93-I93</f>
        <v/>
      </c>
      <c r="K93" s="14">
        <f>K94+J93</f>
        <v/>
      </c>
      <c r="L93" s="14" t="n">
        <v>7025212</v>
      </c>
      <c r="M93" s="14" t="n">
        <v>3131100</v>
      </c>
      <c r="N93" s="14" t="n">
        <v>923200</v>
      </c>
      <c r="O93" s="14">
        <f>M93-N93</f>
        <v/>
      </c>
      <c r="P93" s="14">
        <f>P94+O93</f>
        <v/>
      </c>
      <c r="Q93" s="14" t="n">
        <v>429854769</v>
      </c>
      <c r="R93" s="14" t="n">
        <v>360894</v>
      </c>
      <c r="S93" s="14" t="n">
        <v>4050780</v>
      </c>
      <c r="T93" s="14">
        <f>R93-S93</f>
        <v/>
      </c>
      <c r="U93" s="14">
        <f>U94+T93</f>
        <v/>
      </c>
      <c r="V93" s="14" t="n">
        <v>5228800</v>
      </c>
    </row>
    <row r="94">
      <c r="A94" s="14" t="n">
        <v>3</v>
      </c>
      <c r="B94" s="15" t="n">
        <v>46155</v>
      </c>
      <c r="C94" s="14" t="n">
        <v>1684700</v>
      </c>
      <c r="D94" s="14" t="n">
        <v>13224500</v>
      </c>
      <c r="E94" s="14">
        <f>C94-D94</f>
        <v/>
      </c>
      <c r="F94" s="14">
        <f>F95+E94</f>
        <v/>
      </c>
      <c r="G94" s="14" t="n">
        <v>229137247</v>
      </c>
      <c r="H94" s="14" t="n">
        <v>26000</v>
      </c>
      <c r="I94" s="14" t="n">
        <v>22600</v>
      </c>
      <c r="J94" s="14">
        <f>H94-I94</f>
        <v/>
      </c>
      <c r="K94" s="14">
        <f>K95+J94</f>
        <v/>
      </c>
      <c r="L94" s="14" t="n">
        <v>7020312</v>
      </c>
      <c r="M94" s="14" t="n">
        <v>675500</v>
      </c>
      <c r="N94" s="14" t="n">
        <v>2255400</v>
      </c>
      <c r="O94" s="14">
        <f>M94-N94</f>
        <v/>
      </c>
      <c r="P94" s="14">
        <f>P95+O94</f>
        <v/>
      </c>
      <c r="Q94" s="14" t="n">
        <v>432212469</v>
      </c>
      <c r="R94" s="14" t="n">
        <v>836345</v>
      </c>
      <c r="S94" s="14" t="n">
        <v>1962384</v>
      </c>
      <c r="T94" s="14">
        <f>R94-S94</f>
        <v/>
      </c>
      <c r="U94" s="14">
        <f>U95+T94</f>
        <v/>
      </c>
      <c r="V94" s="14" t="n">
        <v>3188700</v>
      </c>
    </row>
    <row r="95">
      <c r="A95" s="14" t="n">
        <v>4</v>
      </c>
      <c r="B95" s="15" t="n">
        <v>46154</v>
      </c>
      <c r="C95" s="14" t="n">
        <v>115400</v>
      </c>
      <c r="D95" s="14" t="n">
        <v>5820259</v>
      </c>
      <c r="E95" s="14">
        <f>C95-D95</f>
        <v/>
      </c>
      <c r="F95" s="14">
        <f>F96+E95</f>
        <v/>
      </c>
      <c r="G95" s="14" t="n">
        <v>223420342</v>
      </c>
      <c r="H95" s="14" t="n">
        <v>48700</v>
      </c>
      <c r="I95" s="14" t="n">
        <v>13095</v>
      </c>
      <c r="J95" s="14">
        <f>H95-I95</f>
        <v/>
      </c>
      <c r="K95" s="14">
        <f>K96+J95</f>
        <v/>
      </c>
      <c r="L95" s="14" t="n">
        <v>7023712</v>
      </c>
      <c r="M95" s="14" t="n">
        <v>2122318</v>
      </c>
      <c r="N95" s="14" t="n">
        <v>421860</v>
      </c>
      <c r="O95" s="14">
        <f>M95-N95</f>
        <v/>
      </c>
      <c r="P95" s="14">
        <f>P96+O95</f>
        <v/>
      </c>
      <c r="Q95" s="14" t="n">
        <v>432212469</v>
      </c>
      <c r="R95" s="14" t="n">
        <v>511200</v>
      </c>
      <c r="S95" s="14" t="n">
        <v>2551300</v>
      </c>
      <c r="T95" s="14">
        <f>R95-S95</f>
        <v/>
      </c>
      <c r="U95" s="14">
        <f>U96+T95</f>
        <v/>
      </c>
      <c r="V95" s="14" t="n">
        <v>2941600</v>
      </c>
    </row>
    <row r="96">
      <c r="A96" s="14" t="n">
        <v>5</v>
      </c>
      <c r="B96" s="15" t="n">
        <v>46153</v>
      </c>
      <c r="C96" s="14" t="n">
        <v>658600</v>
      </c>
      <c r="D96" s="14" t="n">
        <v>6375505</v>
      </c>
      <c r="E96" s="14">
        <f>C96-D96</f>
        <v/>
      </c>
      <c r="F96" s="14">
        <f>F97+E96</f>
        <v/>
      </c>
      <c r="G96" s="14" t="n">
        <v>217378871</v>
      </c>
      <c r="H96" s="14" t="n">
        <v>311900</v>
      </c>
      <c r="I96" s="14" t="n">
        <v>288100</v>
      </c>
      <c r="J96" s="14">
        <f>H96-I96</f>
        <v/>
      </c>
      <c r="K96" s="14">
        <f>K97+J96</f>
        <v/>
      </c>
      <c r="L96" s="14" t="n">
        <v>7008099</v>
      </c>
      <c r="M96" s="14" t="n">
        <v>2260903</v>
      </c>
      <c r="N96" s="14" t="n">
        <v>1025500</v>
      </c>
      <c r="O96" s="14">
        <f>M96-N96</f>
        <v/>
      </c>
      <c r="P96" s="14">
        <f>P97+O96</f>
        <v/>
      </c>
      <c r="Q96" s="14" t="n">
        <v>433912927</v>
      </c>
      <c r="R96" s="14" t="n">
        <v>701000</v>
      </c>
      <c r="S96" s="14" t="n">
        <v>948100</v>
      </c>
      <c r="T96" s="14">
        <f>R96-S96</f>
        <v/>
      </c>
      <c r="U96" s="14">
        <f>U97+T96</f>
        <v/>
      </c>
      <c r="V96" s="14" t="n">
        <v>2547500</v>
      </c>
    </row>
    <row r="97">
      <c r="A97" s="14" t="n">
        <v>6</v>
      </c>
      <c r="B97" s="15" t="n">
        <v>46150</v>
      </c>
      <c r="C97" s="14" t="n">
        <v>1803650</v>
      </c>
      <c r="D97" s="14" t="n">
        <v>7845121</v>
      </c>
      <c r="E97" s="14">
        <f>C97-D97</f>
        <v/>
      </c>
      <c r="F97" s="14">
        <f>F98+E97</f>
        <v/>
      </c>
      <c r="G97" s="14" t="n">
        <v>204449429</v>
      </c>
      <c r="H97" s="14" t="n">
        <v>9900</v>
      </c>
      <c r="I97" s="14" t="n">
        <v>61118</v>
      </c>
      <c r="J97" s="14">
        <f>H97-I97</f>
        <v/>
      </c>
      <c r="K97" s="14">
        <f>K98+J97</f>
        <v/>
      </c>
      <c r="L97" s="14" t="n">
        <v>7031899</v>
      </c>
      <c r="M97" s="14" t="n">
        <v>2279600</v>
      </c>
      <c r="N97" s="14" t="n">
        <v>1246918</v>
      </c>
      <c r="O97" s="14">
        <f>M97-N97</f>
        <v/>
      </c>
      <c r="P97" s="14">
        <f>P98+O97</f>
        <v/>
      </c>
      <c r="Q97" s="14" t="n">
        <v>435148330</v>
      </c>
      <c r="R97" s="14" t="n">
        <v>1016300</v>
      </c>
      <c r="S97" s="14" t="n">
        <v>1410400</v>
      </c>
      <c r="T97" s="14">
        <f>R97-S97</f>
        <v/>
      </c>
      <c r="U97" s="14">
        <f>U98+T97</f>
        <v/>
      </c>
      <c r="V97" s="14" t="n">
        <v>1586400</v>
      </c>
    </row>
    <row r="98">
      <c r="A98" s="14" t="n">
        <v>7</v>
      </c>
      <c r="B98" s="15" t="n">
        <v>46149</v>
      </c>
      <c r="C98" s="14" t="n">
        <v>1900200</v>
      </c>
      <c r="D98" s="14" t="n">
        <v>14829642</v>
      </c>
      <c r="E98" s="14">
        <f>C98-D98</f>
        <v/>
      </c>
      <c r="F98" s="14">
        <f>F99+E98</f>
        <v/>
      </c>
      <c r="G98" s="14" t="n">
        <v>195087417</v>
      </c>
      <c r="H98" s="14" t="n">
        <v>238250</v>
      </c>
      <c r="I98" s="14" t="n">
        <v>177102</v>
      </c>
      <c r="J98" s="14">
        <f>H98-I98</f>
        <v/>
      </c>
      <c r="K98" s="14">
        <f>K99+J98</f>
        <v/>
      </c>
      <c r="L98" s="14" t="n">
        <v>7031899</v>
      </c>
      <c r="M98" s="14" t="n">
        <v>3439200</v>
      </c>
      <c r="N98" s="14" t="n">
        <v>2469140</v>
      </c>
      <c r="O98" s="14">
        <f>M98-N98</f>
        <v/>
      </c>
      <c r="P98" s="14">
        <f>P99+O98</f>
        <v/>
      </c>
      <c r="Q98" s="14" t="n">
        <v>433615317</v>
      </c>
      <c r="R98" s="14" t="n">
        <v>382700</v>
      </c>
      <c r="S98" s="14" t="n">
        <v>1343800</v>
      </c>
      <c r="T98" s="14">
        <f>R98-S98</f>
        <v/>
      </c>
      <c r="U98" s="14">
        <f>U99+T98</f>
        <v/>
      </c>
      <c r="V98" s="14" t="n">
        <v>1016300</v>
      </c>
    </row>
    <row r="99">
      <c r="A99" s="14" t="n">
        <v>8</v>
      </c>
      <c r="B99" s="15" t="n">
        <v>46148</v>
      </c>
      <c r="C99" s="14" t="n">
        <v>2863100</v>
      </c>
      <c r="D99" s="14" t="n">
        <v>12225112</v>
      </c>
      <c r="E99" s="14">
        <f>C99-D99</f>
        <v/>
      </c>
      <c r="F99" s="14">
        <f>F100+E99</f>
        <v/>
      </c>
      <c r="G99" s="14" t="n">
        <v>176282427</v>
      </c>
      <c r="H99" s="14" t="n">
        <v>39400</v>
      </c>
      <c r="I99" s="14" t="n">
        <v>8026</v>
      </c>
      <c r="J99" s="14">
        <f>H99-I99</f>
        <v/>
      </c>
      <c r="K99" s="14">
        <f>K100+J99</f>
        <v/>
      </c>
      <c r="L99" s="14" t="n">
        <v>6570747</v>
      </c>
      <c r="M99" s="14" t="n">
        <v>2763500</v>
      </c>
      <c r="N99" s="14" t="n">
        <v>5329195</v>
      </c>
      <c r="O99" s="14">
        <f>M99-N99</f>
        <v/>
      </c>
      <c r="P99" s="14">
        <f>P100+O99</f>
        <v/>
      </c>
      <c r="Q99" s="14" t="n">
        <v>434531727</v>
      </c>
      <c r="R99" s="14" t="n">
        <v>161500</v>
      </c>
      <c r="S99" s="14" t="n">
        <v>731600</v>
      </c>
      <c r="T99" s="14">
        <f>R99-S99</f>
        <v/>
      </c>
      <c r="U99" s="14">
        <f>U100+T99</f>
        <v/>
      </c>
      <c r="V99" s="14" t="n">
        <v>928400</v>
      </c>
    </row>
    <row r="100">
      <c r="A100" s="14" t="n">
        <v>9</v>
      </c>
      <c r="B100" s="15" t="n">
        <v>46147</v>
      </c>
      <c r="C100" s="14" t="n">
        <v>696910</v>
      </c>
      <c r="D100" s="14" t="n">
        <v>19501900</v>
      </c>
      <c r="E100" s="14">
        <f>C100-D100</f>
        <v/>
      </c>
      <c r="F100" s="14">
        <f>F101+E100</f>
        <v/>
      </c>
      <c r="G100" s="14" t="n">
        <v>161652832</v>
      </c>
      <c r="H100" s="14" t="n">
        <v>16800</v>
      </c>
      <c r="I100" s="14" t="n">
        <v>539100</v>
      </c>
      <c r="J100" s="14">
        <f>H100-I100</f>
        <v/>
      </c>
      <c r="K100" s="14">
        <f>K101+J100</f>
        <v/>
      </c>
      <c r="L100" s="14" t="n">
        <v>5772021</v>
      </c>
      <c r="M100" s="14" t="n">
        <v>2047900</v>
      </c>
      <c r="N100" s="14" t="n">
        <v>2101550</v>
      </c>
      <c r="O100" s="14">
        <f>M100-N100</f>
        <v/>
      </c>
      <c r="P100" s="14">
        <f>P101+O100</f>
        <v/>
      </c>
      <c r="Q100" s="14" t="n">
        <v>434341107</v>
      </c>
      <c r="R100" s="14" t="n">
        <v>12100</v>
      </c>
      <c r="S100" s="14" t="n">
        <v>100000</v>
      </c>
      <c r="T100" s="14">
        <f>R100-S100</f>
        <v/>
      </c>
      <c r="U100" s="14">
        <f>U101+T100</f>
        <v/>
      </c>
      <c r="V100" s="14" t="n">
        <v>161800</v>
      </c>
    </row>
    <row r="101">
      <c r="A101" s="14" t="n">
        <v>10</v>
      </c>
      <c r="B101" s="15" t="n">
        <v>46146</v>
      </c>
      <c r="C101" s="14" t="n">
        <v>1609700</v>
      </c>
      <c r="D101" s="14" t="n">
        <v>16239295</v>
      </c>
      <c r="E101" s="14">
        <f>C101-D101</f>
        <v/>
      </c>
      <c r="F101" s="14">
        <f>F102+E101</f>
        <v/>
      </c>
      <c r="G101" s="14" t="n">
        <v>156988190</v>
      </c>
      <c r="H101" s="14" t="n">
        <v>27500</v>
      </c>
      <c r="I101" s="14" t="n">
        <v>857600</v>
      </c>
      <c r="J101" s="14">
        <f>H101-I101</f>
        <v/>
      </c>
      <c r="K101" s="14">
        <f>K102+J101</f>
        <v/>
      </c>
      <c r="L101" s="14" t="n">
        <v>4478132</v>
      </c>
      <c r="M101" s="14" t="n">
        <v>354238</v>
      </c>
      <c r="N101" s="14" t="n">
        <v>544858</v>
      </c>
      <c r="O101" s="14">
        <f>M101-N101</f>
        <v/>
      </c>
      <c r="P101" s="14">
        <f>P102+O101</f>
        <v/>
      </c>
      <c r="Q101" s="14" t="n">
        <v>432608775</v>
      </c>
      <c r="R101" s="14" t="n">
        <v>2169900</v>
      </c>
      <c r="S101" s="14" t="n">
        <v>2936500</v>
      </c>
      <c r="T101" s="14">
        <f>R101-S101</f>
        <v/>
      </c>
      <c r="U101" s="14">
        <f>U102+T101</f>
        <v/>
      </c>
      <c r="V101" s="14" t="n">
        <v>15300</v>
      </c>
    </row>
    <row r="102">
      <c r="A102" s="14" t="n">
        <v>11</v>
      </c>
      <c r="B102" s="15" t="n">
        <v>46141</v>
      </c>
      <c r="C102" s="14" t="n">
        <v>4643800</v>
      </c>
      <c r="D102" s="14" t="n">
        <v>9308442</v>
      </c>
      <c r="E102" s="14">
        <f>C102-D102</f>
        <v/>
      </c>
      <c r="F102" s="14">
        <f>F103+E102</f>
        <v/>
      </c>
      <c r="G102" s="14" t="n">
        <v>154511290</v>
      </c>
      <c r="H102" s="14" t="n">
        <v>46800</v>
      </c>
      <c r="I102" s="14" t="n">
        <v>1340689</v>
      </c>
      <c r="J102" s="14">
        <f>H102-I102</f>
        <v/>
      </c>
      <c r="K102" s="14">
        <f>K103+J102</f>
        <v/>
      </c>
      <c r="L102" s="14" t="n">
        <v>3602932</v>
      </c>
      <c r="M102" s="14" t="n">
        <v>1025600</v>
      </c>
      <c r="N102" s="14" t="n">
        <v>2757932</v>
      </c>
      <c r="O102" s="14">
        <f>M102-N102</f>
        <v/>
      </c>
      <c r="P102" s="14">
        <f>P103+O102</f>
        <v/>
      </c>
      <c r="Q102" s="14" t="n">
        <v>430221624</v>
      </c>
      <c r="R102" s="14" t="n">
        <v>1140300</v>
      </c>
      <c r="S102" s="14" t="n">
        <v>1286800</v>
      </c>
      <c r="T102" s="14">
        <f>R102-S102</f>
        <v/>
      </c>
      <c r="U102" s="14">
        <f>U103+T102</f>
        <v/>
      </c>
      <c r="V102" s="14" t="n">
        <v>15300</v>
      </c>
    </row>
    <row r="103">
      <c r="A103" s="14" t="n">
        <v>12</v>
      </c>
      <c r="B103" s="15" t="n">
        <v>46140</v>
      </c>
      <c r="C103" s="14" t="n">
        <v>9425100</v>
      </c>
      <c r="D103" s="14" t="n">
        <v>11896500</v>
      </c>
      <c r="E103" s="14">
        <f>C103-D103</f>
        <v/>
      </c>
      <c r="F103" s="14">
        <f>F104+E103</f>
        <v/>
      </c>
      <c r="G103" s="14" t="n">
        <v>142633605</v>
      </c>
      <c r="H103" s="14" t="n">
        <v>10700</v>
      </c>
      <c r="I103" s="14" t="n">
        <v>885900</v>
      </c>
      <c r="J103" s="14">
        <f>H103-I103</f>
        <v/>
      </c>
      <c r="K103" s="14">
        <f>K104+J103</f>
        <v/>
      </c>
      <c r="L103" s="14" t="n">
        <v>3337692</v>
      </c>
      <c r="M103" s="14" t="n">
        <v>195557</v>
      </c>
      <c r="N103" s="14" t="n">
        <v>2582708</v>
      </c>
      <c r="O103" s="14">
        <f>M103-N103</f>
        <v/>
      </c>
      <c r="P103" s="14">
        <f>P104+O103</f>
        <v/>
      </c>
      <c r="Q103" s="14" t="n">
        <v>428827876</v>
      </c>
      <c r="R103" s="14" t="n">
        <v>223200</v>
      </c>
      <c r="S103" s="14" t="n">
        <v>215300</v>
      </c>
      <c r="T103" s="14">
        <f>R103-S103</f>
        <v/>
      </c>
      <c r="U103" s="14">
        <f>U104+T103</f>
        <v/>
      </c>
      <c r="V103" s="14" t="n">
        <v>15300</v>
      </c>
    </row>
    <row r="104">
      <c r="A104" s="14" t="n">
        <v>13</v>
      </c>
      <c r="B104" s="15" t="n">
        <v>46136</v>
      </c>
      <c r="C104" s="14" t="n">
        <v>1675618</v>
      </c>
      <c r="D104" s="14" t="n">
        <v>13553303</v>
      </c>
      <c r="E104" s="14">
        <f>C104-D104</f>
        <v/>
      </c>
      <c r="F104" s="14">
        <f>F105+E104</f>
        <v/>
      </c>
      <c r="G104" s="14" t="n">
        <v>135153505</v>
      </c>
      <c r="H104" s="14" t="n">
        <v>24300</v>
      </c>
      <c r="I104" s="14" t="n">
        <v>289540</v>
      </c>
      <c r="J104" s="14">
        <f>H104-I104</f>
        <v/>
      </c>
      <c r="K104" s="14">
        <f>K105+J104</f>
        <v/>
      </c>
      <c r="L104" s="14" t="n">
        <v>3123281</v>
      </c>
      <c r="M104" s="14" t="n">
        <v>328500</v>
      </c>
      <c r="N104" s="14" t="n">
        <v>1722248</v>
      </c>
      <c r="O104" s="14">
        <f>M104-N104</f>
        <v/>
      </c>
      <c r="P104" s="14">
        <f>P105+O104</f>
        <v/>
      </c>
      <c r="Q104" s="14" t="n">
        <v>426093176</v>
      </c>
      <c r="R104" s="14" t="n">
        <v>1065399</v>
      </c>
      <c r="S104" s="14" t="n">
        <v>56300</v>
      </c>
      <c r="T104" s="14">
        <f>R104-S104</f>
        <v/>
      </c>
      <c r="U104" s="14">
        <f>U105+T104</f>
        <v/>
      </c>
      <c r="V104" s="14" t="n">
        <v>23200</v>
      </c>
    </row>
    <row r="105">
      <c r="A105" s="14" t="n">
        <v>14</v>
      </c>
      <c r="B105" s="15" t="n">
        <v>46135</v>
      </c>
      <c r="C105" s="14" t="n">
        <v>1212100</v>
      </c>
      <c r="D105" s="14" t="n">
        <v>8692200</v>
      </c>
      <c r="E105" s="14">
        <f>C105-D105</f>
        <v/>
      </c>
      <c r="F105" s="14">
        <f>F106+E105</f>
        <v/>
      </c>
      <c r="G105" s="14" t="n">
        <v>134181206</v>
      </c>
      <c r="H105" s="14" t="n">
        <v>14800</v>
      </c>
      <c r="I105" s="14" t="n">
        <v>229211</v>
      </c>
      <c r="J105" s="14">
        <f>H105-I105</f>
        <v/>
      </c>
      <c r="K105" s="14">
        <f>K106+J105</f>
        <v/>
      </c>
      <c r="L105" s="14" t="n">
        <v>3041044</v>
      </c>
      <c r="M105" s="14" t="n">
        <v>590700</v>
      </c>
      <c r="N105" s="14" t="n">
        <v>3325400</v>
      </c>
      <c r="O105" s="14">
        <f>M105-N105</f>
        <v/>
      </c>
      <c r="P105" s="14">
        <f>P106+O105</f>
        <v/>
      </c>
      <c r="Q105" s="14" t="n">
        <v>426093176</v>
      </c>
      <c r="R105" s="14" t="n">
        <v>1202301</v>
      </c>
      <c r="S105" s="14" t="n">
        <v>516500</v>
      </c>
      <c r="T105" s="14">
        <f>R105-S105</f>
        <v/>
      </c>
      <c r="U105" s="14">
        <f>U106+T105</f>
        <v/>
      </c>
      <c r="V105" s="14" t="n">
        <v>1032299</v>
      </c>
    </row>
    <row r="106">
      <c r="A106" s="14" t="n">
        <v>15</v>
      </c>
      <c r="B106" s="15" t="n">
        <v>46134</v>
      </c>
      <c r="C106" s="14" t="n">
        <v>2743341</v>
      </c>
      <c r="D106" s="14" t="n">
        <v>3715640</v>
      </c>
      <c r="E106" s="14">
        <f>C106-D106</f>
        <v/>
      </c>
      <c r="F106" s="14">
        <f>F107+E106</f>
        <v/>
      </c>
      <c r="G106" s="14" t="n">
        <v>131251906</v>
      </c>
      <c r="H106" s="14" t="n">
        <v>32108</v>
      </c>
      <c r="I106" s="14" t="n">
        <v>114345</v>
      </c>
      <c r="J106" s="14">
        <f>H106-I106</f>
        <v/>
      </c>
      <c r="K106" s="14">
        <f>K107+J106</f>
        <v/>
      </c>
      <c r="L106" s="14" t="n">
        <v>2855144</v>
      </c>
      <c r="M106" s="14" t="n">
        <v>1719221</v>
      </c>
      <c r="N106" s="14" t="n">
        <v>970646</v>
      </c>
      <c r="O106" s="14">
        <f>M106-N106</f>
        <v/>
      </c>
      <c r="P106" s="14">
        <f>P107+O106</f>
        <v/>
      </c>
      <c r="Q106" s="14" t="n">
        <v>425991769</v>
      </c>
      <c r="R106" s="14" t="n">
        <v>520000</v>
      </c>
      <c r="S106" s="14" t="n">
        <v>100</v>
      </c>
      <c r="T106" s="14">
        <f>R106-S106</f>
        <v/>
      </c>
      <c r="U106" s="14">
        <f>U107+T106</f>
        <v/>
      </c>
      <c r="V106" s="14" t="n">
        <v>800301</v>
      </c>
    </row>
    <row r="107">
      <c r="A107" s="14" t="n">
        <v>16</v>
      </c>
      <c r="B107" s="15" t="n">
        <v>46133</v>
      </c>
      <c r="C107" s="14" t="n">
        <v>839600</v>
      </c>
      <c r="D107" s="14" t="n">
        <v>3768900</v>
      </c>
      <c r="E107" s="14">
        <f>C107-D107</f>
        <v/>
      </c>
      <c r="F107" s="14">
        <f>F108+E107</f>
        <v/>
      </c>
      <c r="G107" s="14" t="n">
        <v>129676301</v>
      </c>
      <c r="H107" s="14" t="n">
        <v>8100</v>
      </c>
      <c r="I107" s="14" t="n">
        <v>194000</v>
      </c>
      <c r="J107" s="14">
        <f>H107-I107</f>
        <v/>
      </c>
      <c r="K107" s="14">
        <f>K108+J107</f>
        <v/>
      </c>
      <c r="L107" s="14" t="n">
        <v>2868244</v>
      </c>
      <c r="M107" s="14" t="n">
        <v>986400</v>
      </c>
      <c r="N107" s="14" t="n">
        <v>1087807</v>
      </c>
      <c r="O107" s="14">
        <f>M107-N107</f>
        <v/>
      </c>
      <c r="P107" s="14">
        <f>P108+O107</f>
        <v/>
      </c>
      <c r="Q107" s="14" t="n">
        <v>421887314</v>
      </c>
      <c r="R107" s="14" t="n">
        <v>511501</v>
      </c>
      <c r="S107" s="14" t="n">
        <v>1429300</v>
      </c>
      <c r="T107" s="14">
        <f>R107-S107</f>
        <v/>
      </c>
      <c r="U107" s="14">
        <f>U108+T107</f>
        <v/>
      </c>
      <c r="V107" s="14" t="n">
        <v>520001</v>
      </c>
    </row>
    <row r="108">
      <c r="A108" s="14" t="n">
        <v>17</v>
      </c>
      <c r="B108" s="15" t="n">
        <v>46132</v>
      </c>
      <c r="C108" s="14" t="n">
        <v>2266600</v>
      </c>
      <c r="D108" s="14" t="n">
        <v>3867605</v>
      </c>
      <c r="E108" s="14">
        <f>C108-D108</f>
        <v/>
      </c>
      <c r="F108" s="14">
        <f>F109+E108</f>
        <v/>
      </c>
      <c r="G108" s="14" t="n">
        <v>128818151</v>
      </c>
      <c r="H108" s="14" t="n">
        <v>483901</v>
      </c>
      <c r="I108" s="14" t="n">
        <v>24915</v>
      </c>
      <c r="J108" s="14">
        <f>H108-I108</f>
        <v/>
      </c>
      <c r="K108" s="14">
        <f>K109+J108</f>
        <v/>
      </c>
      <c r="L108" s="14" t="n">
        <v>2868244</v>
      </c>
      <c r="M108" s="14" t="n">
        <v>463400</v>
      </c>
      <c r="N108" s="14" t="n">
        <v>5348330</v>
      </c>
      <c r="O108" s="14">
        <f>M108-N108</f>
        <v/>
      </c>
      <c r="P108" s="14">
        <f>P109+O108</f>
        <v/>
      </c>
      <c r="Q108" s="14" t="n">
        <v>421887314</v>
      </c>
      <c r="R108" s="14" t="n">
        <v>1272500</v>
      </c>
      <c r="S108" s="14" t="n">
        <v>2072700</v>
      </c>
      <c r="T108" s="14">
        <f>R108-S108</f>
        <v/>
      </c>
      <c r="U108" s="14">
        <f>U109+T108</f>
        <v/>
      </c>
      <c r="V108" s="14" t="n">
        <v>520001</v>
      </c>
    </row>
    <row r="109">
      <c r="A109" s="14" t="n">
        <v>18</v>
      </c>
      <c r="B109" s="15" t="n">
        <v>46129</v>
      </c>
      <c r="C109" s="14" t="n">
        <v>262500</v>
      </c>
      <c r="D109" s="14" t="n">
        <v>1120650</v>
      </c>
      <c r="E109" s="14">
        <f>C109-D109</f>
        <v/>
      </c>
      <c r="F109" s="14">
        <f>F110+E109</f>
        <v/>
      </c>
      <c r="G109" s="14" t="n">
        <v>128818151</v>
      </c>
      <c r="H109" s="14" t="n">
        <v>81100</v>
      </c>
      <c r="I109" s="14" t="n">
        <v>6400</v>
      </c>
      <c r="J109" s="14">
        <f>H109-I109</f>
        <v/>
      </c>
      <c r="K109" s="14">
        <f>K110+J109</f>
        <v/>
      </c>
      <c r="L109" s="14" t="n">
        <v>1980160</v>
      </c>
      <c r="M109" s="14" t="n">
        <v>1636437</v>
      </c>
      <c r="N109" s="14" t="n">
        <v>1545400</v>
      </c>
      <c r="O109" s="14">
        <f>M109-N109</f>
        <v/>
      </c>
      <c r="P109" s="14">
        <f>P110+O109</f>
        <v/>
      </c>
      <c r="Q109" s="14" t="n">
        <v>421887314</v>
      </c>
      <c r="R109" s="14" t="n">
        <v>364200</v>
      </c>
      <c r="S109" s="14" t="n">
        <v>265600</v>
      </c>
      <c r="T109" s="14">
        <f>R109-S109</f>
        <v/>
      </c>
      <c r="U109" s="14">
        <f>U110+T109</f>
        <v/>
      </c>
      <c r="V109" s="14" t="n">
        <v>505000</v>
      </c>
    </row>
    <row r="110">
      <c r="A110" s="14" t="n">
        <v>19</v>
      </c>
      <c r="B110" s="15" t="n">
        <v>46128</v>
      </c>
      <c r="C110" s="14" t="n">
        <v>7580380</v>
      </c>
      <c r="D110" s="14" t="n">
        <v>4518000</v>
      </c>
      <c r="E110" s="14">
        <f>C110-D110</f>
        <v/>
      </c>
      <c r="F110" s="14">
        <f>F111+E110</f>
        <v/>
      </c>
      <c r="G110" s="14" t="n">
        <v>127566071</v>
      </c>
      <c r="H110" s="14" t="n">
        <v>110980</v>
      </c>
      <c r="I110" s="14" t="n">
        <v>1458050</v>
      </c>
      <c r="J110" s="14">
        <f>H110-I110</f>
        <v/>
      </c>
      <c r="K110" s="14">
        <f>K111+J110</f>
        <v/>
      </c>
      <c r="L110" s="14" t="n">
        <v>2039180</v>
      </c>
      <c r="M110" s="14" t="n">
        <v>3073705</v>
      </c>
      <c r="N110" s="14" t="n">
        <v>1471510</v>
      </c>
      <c r="O110" s="14">
        <f>M110-N110</f>
        <v/>
      </c>
      <c r="P110" s="14">
        <f>P111+O110</f>
        <v/>
      </c>
      <c r="Q110" s="14" t="n">
        <v>421976863</v>
      </c>
      <c r="R110" s="14" t="n">
        <v>800</v>
      </c>
      <c r="S110" s="14" t="n">
        <v>15801</v>
      </c>
      <c r="T110" s="14">
        <f>R110-S110</f>
        <v/>
      </c>
      <c r="U110" s="14">
        <f>U111+T110</f>
        <v/>
      </c>
      <c r="V110" s="14" t="n">
        <v>338600</v>
      </c>
    </row>
    <row r="111">
      <c r="A111" s="14" t="n">
        <v>20</v>
      </c>
      <c r="B111" s="15" t="n">
        <v>46127</v>
      </c>
      <c r="C111" s="14" t="n">
        <v>150020</v>
      </c>
      <c r="D111" s="14" t="n">
        <v>1406300</v>
      </c>
      <c r="E111" s="14">
        <f>C111-D111</f>
        <v/>
      </c>
      <c r="F111" s="14">
        <f>F112+E111</f>
        <v/>
      </c>
      <c r="G111" s="14" t="n">
        <v>129846627</v>
      </c>
      <c r="H111" s="14" t="n">
        <v>9600</v>
      </c>
      <c r="I111" s="14" t="n">
        <v>25280</v>
      </c>
      <c r="J111" s="14">
        <f>H111-I111</f>
        <v/>
      </c>
      <c r="K111" s="14">
        <f>K112+J111</f>
        <v/>
      </c>
      <c r="L111" s="14" t="n">
        <v>1043700</v>
      </c>
      <c r="M111" s="14" t="n">
        <v>931522</v>
      </c>
      <c r="N111" s="14" t="n">
        <v>937410</v>
      </c>
      <c r="O111" s="14">
        <f>M111-N111</f>
        <v/>
      </c>
      <c r="P111" s="14">
        <f>P112+O111</f>
        <v/>
      </c>
      <c r="Q111" s="14" t="n">
        <v>423532058</v>
      </c>
      <c r="R111" s="14" t="n">
        <v>800</v>
      </c>
      <c r="S111" s="14" t="n">
        <v>265800</v>
      </c>
      <c r="T111" s="14">
        <f>R111-S111</f>
        <v/>
      </c>
      <c r="U111" s="14">
        <f>U112+T111</f>
        <v/>
      </c>
      <c r="V111" s="14" t="n">
        <v>800</v>
      </c>
    </row>
    <row r="112">
      <c r="A112" s="14" t="n">
        <v>21</v>
      </c>
      <c r="B112" s="15" t="n">
        <v>46126</v>
      </c>
      <c r="C112" s="14" t="n">
        <v>1720800</v>
      </c>
      <c r="D112" s="14" t="n">
        <v>2491824</v>
      </c>
      <c r="E112" s="14">
        <f>C112-D112</f>
        <v/>
      </c>
      <c r="F112" s="14">
        <f>F113+E112</f>
        <v/>
      </c>
      <c r="G112" s="14" t="n">
        <v>129567773</v>
      </c>
      <c r="H112" s="14" t="n">
        <v>34720</v>
      </c>
      <c r="I112" s="14" t="n">
        <v>1024600</v>
      </c>
      <c r="J112" s="14">
        <f>H112-I112</f>
        <v/>
      </c>
      <c r="K112" s="14">
        <f>K113+J112</f>
        <v/>
      </c>
      <c r="L112" s="14" t="n">
        <v>1043700</v>
      </c>
      <c r="M112" s="14" t="n">
        <v>1353200</v>
      </c>
      <c r="N112" s="14" t="n">
        <v>1388400</v>
      </c>
      <c r="O112" s="14">
        <f>M112-N112</f>
        <v/>
      </c>
      <c r="P112" s="14">
        <f>P113+O112</f>
        <v/>
      </c>
      <c r="Q112" s="14" t="n">
        <v>421237579</v>
      </c>
      <c r="R112" s="14" t="n">
        <v>331900</v>
      </c>
      <c r="S112" s="14" t="n">
        <v>669700</v>
      </c>
      <c r="T112" s="14">
        <f>R112-S112</f>
        <v/>
      </c>
      <c r="U112" s="14">
        <f>U113+T112</f>
        <v/>
      </c>
      <c r="V112" s="14" t="n">
        <v>800</v>
      </c>
    </row>
    <row r="113">
      <c r="A113" s="14" t="n">
        <v>22</v>
      </c>
      <c r="B113" s="15" t="n">
        <v>46125</v>
      </c>
      <c r="C113" s="14" t="n">
        <v>821420</v>
      </c>
      <c r="D113" s="14" t="n">
        <v>1092674</v>
      </c>
      <c r="E113" s="14">
        <f>C113-D113</f>
        <v/>
      </c>
      <c r="F113" s="14">
        <f>F114+E113</f>
        <v/>
      </c>
      <c r="G113" s="14" t="n">
        <v>128586473</v>
      </c>
      <c r="H113" s="14" t="n">
        <v>911400</v>
      </c>
      <c r="I113" s="14" t="n">
        <v>630800</v>
      </c>
      <c r="J113" s="14">
        <f>H113-I113</f>
        <v/>
      </c>
      <c r="K113" s="14">
        <f>K114+J113</f>
        <v/>
      </c>
      <c r="L113" s="14" t="n">
        <v>1043700</v>
      </c>
      <c r="M113" s="14" t="n">
        <v>1122532</v>
      </c>
      <c r="N113" s="14" t="n">
        <v>3404611</v>
      </c>
      <c r="O113" s="14">
        <f>M113-N113</f>
        <v/>
      </c>
      <c r="P113" s="14">
        <f>P114+O113</f>
        <v/>
      </c>
      <c r="Q113" s="14" t="n">
        <v>420000714</v>
      </c>
      <c r="R113" s="14" t="n">
        <v>516100</v>
      </c>
      <c r="S113" s="14" t="n">
        <v>800</v>
      </c>
      <c r="T113" s="14">
        <f>R113-S113</f>
        <v/>
      </c>
      <c r="U113" s="14">
        <f>U114+T113</f>
        <v/>
      </c>
      <c r="V113" s="14" t="n">
        <v>800</v>
      </c>
    </row>
    <row r="114">
      <c r="A114" s="14" t="n">
        <v>23</v>
      </c>
      <c r="B114" s="15" t="n">
        <v>46122</v>
      </c>
      <c r="C114" s="14" t="n">
        <v>149500</v>
      </c>
      <c r="D114" s="14" t="n">
        <v>1130800</v>
      </c>
      <c r="E114" s="14">
        <f>C114-D114</f>
        <v/>
      </c>
      <c r="F114" s="14">
        <f>F115+E114</f>
        <v/>
      </c>
      <c r="G114" s="14" t="n">
        <v>128586473</v>
      </c>
      <c r="H114" s="14" t="n">
        <v>292700</v>
      </c>
      <c r="I114" s="14" t="n">
        <v>61400</v>
      </c>
      <c r="J114" s="14">
        <f>H114-I114</f>
        <v/>
      </c>
      <c r="K114" s="14">
        <f>K115+J114</f>
        <v/>
      </c>
      <c r="L114" s="14" t="n">
        <v>911500</v>
      </c>
      <c r="M114" s="14" t="n">
        <v>1838135</v>
      </c>
      <c r="N114" s="14" t="n">
        <v>3075000</v>
      </c>
      <c r="O114" s="14">
        <f>M114-N114</f>
        <v/>
      </c>
      <c r="P114" s="14">
        <f>P115+O114</f>
        <v/>
      </c>
      <c r="Q114" s="14" t="n">
        <v>418896864</v>
      </c>
      <c r="R114" s="14" t="n">
        <v>6803158</v>
      </c>
      <c r="S114" s="14" t="n">
        <v>24300</v>
      </c>
      <c r="T114" s="14">
        <f>R114-S114</f>
        <v/>
      </c>
      <c r="U114" s="14">
        <f>U115+T114</f>
        <v/>
      </c>
      <c r="V114" s="14" t="n">
        <v>516100</v>
      </c>
    </row>
    <row r="115">
      <c r="A115" s="14" t="n">
        <v>24</v>
      </c>
      <c r="B115" s="15" t="n">
        <v>46121</v>
      </c>
      <c r="C115" s="14" t="n">
        <v>676500</v>
      </c>
      <c r="D115" s="14" t="n">
        <v>194900</v>
      </c>
      <c r="E115" s="14">
        <f>C115-D115</f>
        <v/>
      </c>
      <c r="F115" s="14">
        <f>F116+E115</f>
        <v/>
      </c>
      <c r="G115" s="14" t="n">
        <v>128586473</v>
      </c>
      <c r="H115" s="14" t="n">
        <v>193800</v>
      </c>
      <c r="I115" s="14" t="n">
        <v>606600</v>
      </c>
      <c r="J115" s="14">
        <f>H115-I115</f>
        <v/>
      </c>
      <c r="K115" s="14">
        <f>K116+J115</f>
        <v/>
      </c>
      <c r="L115" s="14" t="n">
        <v>292700</v>
      </c>
      <c r="M115" s="14" t="n">
        <v>1824200</v>
      </c>
      <c r="N115" s="14" t="n">
        <v>2928050</v>
      </c>
      <c r="O115" s="14">
        <f>M115-N115</f>
        <v/>
      </c>
      <c r="P115" s="14">
        <f>P116+O115</f>
        <v/>
      </c>
      <c r="Q115" s="14" t="n">
        <v>417894732</v>
      </c>
      <c r="R115" s="14" t="n">
        <v>2693030</v>
      </c>
      <c r="S115" s="14" t="n">
        <v>505000</v>
      </c>
      <c r="T115" s="14">
        <f>R115-S115</f>
        <v/>
      </c>
      <c r="U115" s="14">
        <f>U116+T115</f>
        <v/>
      </c>
      <c r="V115" s="14" t="n">
        <v>7294958</v>
      </c>
    </row>
    <row r="116">
      <c r="A116" s="14" t="n">
        <v>25</v>
      </c>
      <c r="B116" s="15" t="n">
        <v>46120</v>
      </c>
      <c r="C116" s="14" t="n">
        <v>4359120</v>
      </c>
      <c r="D116" s="14" t="n">
        <v>821300</v>
      </c>
      <c r="E116" s="14">
        <f>C116-D116</f>
        <v/>
      </c>
      <c r="F116" s="14">
        <f>F117+E116</f>
        <v/>
      </c>
      <c r="G116" s="14" t="n">
        <v>125584473</v>
      </c>
      <c r="H116" s="14" t="n">
        <v>193600</v>
      </c>
      <c r="I116" s="14" t="n">
        <v>1043700</v>
      </c>
      <c r="J116" s="14">
        <f>H116-I116</f>
        <v/>
      </c>
      <c r="K116" s="14">
        <f>K117+J116</f>
        <v/>
      </c>
      <c r="L116" s="14" t="n">
        <v>194000</v>
      </c>
      <c r="M116" s="14" t="n">
        <v>3573070</v>
      </c>
      <c r="N116" s="14" t="n">
        <v>4575202</v>
      </c>
      <c r="O116" s="14">
        <f>M116-N116</f>
        <v/>
      </c>
      <c r="P116" s="14">
        <f>P117+O116</f>
        <v/>
      </c>
      <c r="Q116" s="14" t="n">
        <v>417122132</v>
      </c>
      <c r="R116" s="14" t="n">
        <v>3700692</v>
      </c>
      <c r="S116" s="14" t="n">
        <v>1272800</v>
      </c>
      <c r="T116" s="14">
        <f>R116-S116</f>
        <v/>
      </c>
      <c r="U116" s="14">
        <f>U117+T116</f>
        <v/>
      </c>
      <c r="V116" s="14" t="n">
        <v>3264211</v>
      </c>
    </row>
    <row r="117">
      <c r="A117" s="14" t="n">
        <v>26</v>
      </c>
      <c r="B117" s="15" t="n">
        <v>46119</v>
      </c>
      <c r="C117" s="14" t="n">
        <v>215500</v>
      </c>
      <c r="D117" s="14" t="n">
        <v>3699100</v>
      </c>
      <c r="E117" s="14">
        <f>C117-D117</f>
        <v/>
      </c>
      <c r="F117" s="14">
        <f>F118+E117</f>
        <v/>
      </c>
      <c r="G117" s="14" t="n">
        <v>127831995</v>
      </c>
      <c r="H117" s="14" t="n">
        <v>31200</v>
      </c>
      <c r="I117" s="14" t="n">
        <v>129900</v>
      </c>
      <c r="J117" s="14">
        <f>H117-I117</f>
        <v/>
      </c>
      <c r="K117" s="14">
        <f>K118+J117</f>
        <v/>
      </c>
      <c r="L117" s="14" t="n">
        <v>194000</v>
      </c>
      <c r="M117" s="14" t="n">
        <v>1041100</v>
      </c>
      <c r="N117" s="14" t="n">
        <v>1813700</v>
      </c>
      <c r="O117" s="14">
        <f>M117-N117</f>
        <v/>
      </c>
      <c r="P117" s="14">
        <f>P118+O117</f>
        <v/>
      </c>
      <c r="Q117" s="14" t="n">
        <v>415439132</v>
      </c>
      <c r="R117" s="14" t="n">
        <v>1076823</v>
      </c>
      <c r="S117" s="14" t="n">
        <v>7295600</v>
      </c>
      <c r="T117" s="14">
        <f>R117-S117</f>
        <v/>
      </c>
      <c r="U117" s="14">
        <f>U118+T117</f>
        <v/>
      </c>
      <c r="V117" s="14" t="n">
        <v>2437992</v>
      </c>
    </row>
    <row r="118">
      <c r="A118" s="14" t="n">
        <v>27</v>
      </c>
      <c r="B118" s="15" t="n">
        <v>46118</v>
      </c>
      <c r="C118" s="14" t="n">
        <v>447300</v>
      </c>
      <c r="D118" s="14" t="n">
        <v>1737598</v>
      </c>
      <c r="E118" s="14">
        <f>C118-D118</f>
        <v/>
      </c>
      <c r="F118" s="14">
        <f>F119+E118</f>
        <v/>
      </c>
      <c r="G118" s="14" t="n">
        <v>127828195</v>
      </c>
      <c r="H118" s="14" t="n">
        <v>802400</v>
      </c>
      <c r="I118" s="14" t="n">
        <v>98600</v>
      </c>
      <c r="J118" s="14">
        <f>H118-I118</f>
        <v/>
      </c>
      <c r="K118" s="14">
        <f>K119+J118</f>
        <v/>
      </c>
      <c r="L118" s="14" t="n">
        <v>179700</v>
      </c>
      <c r="M118" s="14" t="n">
        <v>1429200</v>
      </c>
      <c r="N118" s="14" t="n">
        <v>3112200</v>
      </c>
      <c r="O118" s="14">
        <f>M118-N118</f>
        <v/>
      </c>
      <c r="P118" s="14">
        <f>P119+O118</f>
        <v/>
      </c>
      <c r="Q118" s="14" t="n">
        <v>408840052</v>
      </c>
      <c r="R118" s="14" t="n">
        <v>321103</v>
      </c>
      <c r="S118" s="14" t="n">
        <v>3575214</v>
      </c>
      <c r="T118" s="14">
        <f>R118-S118</f>
        <v/>
      </c>
      <c r="U118" s="14">
        <f>U119+T118</f>
        <v/>
      </c>
      <c r="V118" s="14" t="n">
        <v>73324</v>
      </c>
    </row>
    <row r="119">
      <c r="A119" s="14" t="n">
        <v>28</v>
      </c>
      <c r="B119" s="15" t="n">
        <v>46115</v>
      </c>
      <c r="C119" s="14" t="n">
        <v>5487183</v>
      </c>
      <c r="D119" s="14" t="n">
        <v>1514800</v>
      </c>
      <c r="E119" s="14">
        <f>C119-D119</f>
        <v/>
      </c>
      <c r="F119" s="14">
        <f>F120+E119</f>
        <v/>
      </c>
      <c r="G119" s="14" t="n">
        <v>127828195</v>
      </c>
      <c r="H119" s="14" t="n">
        <v>133900</v>
      </c>
      <c r="I119" s="14" t="n">
        <v>146300</v>
      </c>
      <c r="J119" s="14">
        <f>H119-I119</f>
        <v/>
      </c>
      <c r="K119" s="14">
        <f>K120+J119</f>
        <v/>
      </c>
      <c r="L119" s="14" t="n">
        <v>802700</v>
      </c>
      <c r="M119" s="14" t="n">
        <v>2214920</v>
      </c>
      <c r="N119" s="14" t="n">
        <v>8805700</v>
      </c>
      <c r="O119" s="14">
        <f>M119-N119</f>
        <v/>
      </c>
      <c r="P119" s="14">
        <f>P120+O119</f>
        <v/>
      </c>
      <c r="Q119" s="14" t="n">
        <v>408835852</v>
      </c>
      <c r="R119" s="14" t="n">
        <v>3110632</v>
      </c>
      <c r="S119" s="14" t="n">
        <v>5475300</v>
      </c>
      <c r="T119" s="14">
        <f>R119-S119</f>
        <v/>
      </c>
      <c r="U119" s="14">
        <f>U120+T119</f>
        <v/>
      </c>
      <c r="V119" s="14" t="n">
        <v>73324</v>
      </c>
    </row>
    <row r="120">
      <c r="A120" s="14" t="n">
        <v>29</v>
      </c>
      <c r="B120" s="15" t="n">
        <v>46114</v>
      </c>
      <c r="C120" s="14" t="n">
        <v>1182692</v>
      </c>
      <c r="D120" s="14" t="n">
        <v>890300</v>
      </c>
      <c r="E120" s="14">
        <f>C120-D120</f>
        <v/>
      </c>
      <c r="F120" s="14">
        <f>F121+E120</f>
        <v/>
      </c>
      <c r="G120" s="14" t="n">
        <v>131800578</v>
      </c>
      <c r="H120" s="14" t="n">
        <v>14400</v>
      </c>
      <c r="I120" s="14" t="n">
        <v>95200</v>
      </c>
      <c r="J120" s="14">
        <f>H120-I120</f>
        <v/>
      </c>
      <c r="K120" s="14">
        <f>K121+J120</f>
        <v/>
      </c>
      <c r="L120" s="14" t="n">
        <v>802700</v>
      </c>
      <c r="M120" s="14" t="n">
        <v>1820200</v>
      </c>
      <c r="N120" s="14" t="n">
        <v>279400</v>
      </c>
      <c r="O120" s="14">
        <f>M120-N120</f>
        <v/>
      </c>
      <c r="P120" s="14">
        <f>P121+O120</f>
        <v/>
      </c>
      <c r="Q120" s="14" t="n">
        <v>406940853</v>
      </c>
      <c r="R120" s="14" t="n">
        <v>145330</v>
      </c>
      <c r="S120" s="14" t="n">
        <v>108300</v>
      </c>
      <c r="T120" s="14">
        <f>R120-S120</f>
        <v/>
      </c>
      <c r="U120" s="14">
        <f>U121+T120</f>
        <v/>
      </c>
      <c r="V120" s="14" t="n">
        <v>10632</v>
      </c>
    </row>
    <row r="121">
      <c r="A121" s="14" t="n">
        <v>30</v>
      </c>
      <c r="B121" s="15" t="n">
        <v>46113</v>
      </c>
      <c r="C121" s="14" t="n">
        <v>2992800</v>
      </c>
      <c r="D121" s="14" t="n">
        <v>2634000</v>
      </c>
      <c r="E121" s="14">
        <f>C121-D121</f>
        <v/>
      </c>
      <c r="F121" s="14">
        <f>F122+E121</f>
        <v/>
      </c>
      <c r="G121" s="14" t="n">
        <v>129308567</v>
      </c>
      <c r="H121" s="14" t="n">
        <v>670700</v>
      </c>
      <c r="I121" s="14" t="n">
        <v>438500</v>
      </c>
      <c r="J121" s="14">
        <f>H121-I121</f>
        <v/>
      </c>
      <c r="K121" s="14">
        <f>K122+J121</f>
        <v/>
      </c>
      <c r="L121" s="14" t="n">
        <v>802700</v>
      </c>
      <c r="M121" s="14" t="n">
        <v>694001</v>
      </c>
      <c r="N121" s="14" t="n">
        <v>2584800</v>
      </c>
      <c r="O121" s="14">
        <f>M121-N121</f>
        <v/>
      </c>
      <c r="P121" s="14">
        <f>P122+O121</f>
        <v/>
      </c>
      <c r="Q121" s="14" t="n">
        <v>408485653</v>
      </c>
      <c r="R121" s="14" t="n">
        <v>201325</v>
      </c>
      <c r="S121" s="14" t="n">
        <v>264017</v>
      </c>
      <c r="T121" s="14">
        <f>R121-S121</f>
        <v/>
      </c>
      <c r="U121" s="14">
        <f>U122+T121</f>
        <v/>
      </c>
      <c r="V121" s="14" t="n">
        <v>45330</v>
      </c>
    </row>
    <row r="122">
      <c r="A122" s="14" t="n">
        <v>31</v>
      </c>
      <c r="B122" s="15" t="n">
        <v>46112</v>
      </c>
      <c r="C122" s="14" t="n">
        <v>1899361</v>
      </c>
      <c r="D122" s="14" t="n">
        <v>4687464</v>
      </c>
      <c r="E122" s="14">
        <f>C122-D122</f>
        <v/>
      </c>
      <c r="F122" s="14">
        <f>F123+E122</f>
        <v/>
      </c>
      <c r="G122" s="14" t="n">
        <v>129667367</v>
      </c>
      <c r="H122" s="14" t="n">
        <v>415000</v>
      </c>
      <c r="I122" s="14" t="n">
        <v>130300</v>
      </c>
      <c r="J122" s="14">
        <f>H122-I122</f>
        <v/>
      </c>
      <c r="K122" s="14">
        <f>K123+J122</f>
        <v/>
      </c>
      <c r="L122" s="14" t="n">
        <v>1034900</v>
      </c>
      <c r="M122" s="14" t="n">
        <v>4919900</v>
      </c>
      <c r="N122" s="14" t="n">
        <v>4146594</v>
      </c>
      <c r="O122" s="14">
        <f>M122-N122</f>
        <v/>
      </c>
      <c r="P122" s="14">
        <f>P123+O122</f>
        <v/>
      </c>
      <c r="Q122" s="14" t="n">
        <v>404330804</v>
      </c>
      <c r="R122" s="14" t="n">
        <v>430005</v>
      </c>
      <c r="S122" s="14" t="n">
        <v>432337</v>
      </c>
      <c r="T122" s="14">
        <f>R122-S122</f>
        <v/>
      </c>
      <c r="U122" s="14">
        <f>U123+T122</f>
        <v/>
      </c>
      <c r="V122" s="14" t="n">
        <v>19835</v>
      </c>
    </row>
    <row r="123">
      <c r="A123" s="14" t="n">
        <v>32</v>
      </c>
      <c r="B123" s="15" t="n">
        <v>46111</v>
      </c>
      <c r="C123" s="14" t="n">
        <v>2141555</v>
      </c>
      <c r="D123" s="14" t="n">
        <v>1131700</v>
      </c>
      <c r="E123" s="14">
        <f>C123-D123</f>
        <v/>
      </c>
      <c r="F123" s="14">
        <f>F124+E123</f>
        <v/>
      </c>
      <c r="G123" s="14" t="n">
        <v>129667367</v>
      </c>
      <c r="H123" s="14" t="n">
        <v>101000</v>
      </c>
      <c r="I123" s="14" t="n">
        <v>44800</v>
      </c>
      <c r="J123" s="14">
        <f>H123-I123</f>
        <v/>
      </c>
      <c r="K123" s="14">
        <f>K124+J123</f>
        <v/>
      </c>
      <c r="L123" s="14" t="n">
        <v>773700</v>
      </c>
      <c r="M123" s="14" t="n">
        <v>3367151</v>
      </c>
      <c r="N123" s="14" t="n">
        <v>7522000</v>
      </c>
      <c r="O123" s="14">
        <f>M123-N123</f>
        <v/>
      </c>
      <c r="P123" s="14">
        <f>P124+O123</f>
        <v/>
      </c>
      <c r="Q123" s="14" t="n">
        <v>405029010</v>
      </c>
      <c r="R123" s="14" t="n">
        <v>343205</v>
      </c>
      <c r="S123" s="14" t="n">
        <v>368700</v>
      </c>
      <c r="T123" s="14">
        <f>R123-S123</f>
        <v/>
      </c>
      <c r="U123" s="14">
        <f>U124+T123</f>
        <v/>
      </c>
      <c r="V123" s="14" t="n">
        <v>5</v>
      </c>
    </row>
    <row r="124" ht="15.95" customFormat="1" customHeight="1" s="2">
      <c r="A124" s="14" t="n">
        <v>33</v>
      </c>
      <c r="B124" s="15" t="n">
        <v>46108</v>
      </c>
      <c r="C124" s="14" t="n">
        <v>2361510</v>
      </c>
      <c r="D124" s="14" t="n">
        <v>85500</v>
      </c>
      <c r="E124" s="14">
        <f>C124-D124</f>
        <v/>
      </c>
      <c r="F124" s="14">
        <f>F125+E124</f>
        <v/>
      </c>
      <c r="G124" s="14" t="n">
        <v>130677222</v>
      </c>
      <c r="H124" s="14" t="n">
        <v>260400</v>
      </c>
      <c r="I124" s="14" t="n">
        <v>806300</v>
      </c>
      <c r="J124" s="14">
        <f>H124-I124</f>
        <v/>
      </c>
      <c r="K124" s="14">
        <f>K125+J124</f>
        <v/>
      </c>
      <c r="L124" s="14" t="n">
        <v>323300</v>
      </c>
      <c r="M124" s="14" t="n">
        <v>2405700</v>
      </c>
      <c r="N124" s="14" t="n">
        <v>2480800</v>
      </c>
      <c r="O124" s="14">
        <f>M124-N124</f>
        <v/>
      </c>
      <c r="P124" s="14">
        <f>P125+O124</f>
        <v/>
      </c>
      <c r="Q124" s="14" t="n">
        <v>404190710</v>
      </c>
      <c r="R124" s="14" t="n">
        <v>317505</v>
      </c>
      <c r="S124" s="14" t="n">
        <v>337335</v>
      </c>
      <c r="T124" s="14">
        <f>R124-S124</f>
        <v/>
      </c>
      <c r="U124" s="14">
        <f>U125+T124</f>
        <v/>
      </c>
      <c r="V124" s="14" t="n">
        <v>5</v>
      </c>
    </row>
    <row r="125" ht="15.95" customFormat="1" customHeight="1" s="2">
      <c r="A125" s="14" t="n">
        <v>34</v>
      </c>
      <c r="B125" s="15" t="n">
        <v>46107</v>
      </c>
      <c r="C125" s="14" t="n">
        <v>3029000</v>
      </c>
      <c r="D125" s="14" t="n">
        <v>659800</v>
      </c>
      <c r="E125" s="14">
        <f>C125-D125</f>
        <v/>
      </c>
      <c r="F125" s="14">
        <f>F126+E125</f>
        <v/>
      </c>
      <c r="G125" s="14" t="n">
        <v>132953232</v>
      </c>
      <c r="H125" s="14" t="n">
        <v>60900</v>
      </c>
      <c r="I125" s="14" t="n">
        <v>567500</v>
      </c>
      <c r="J125" s="14">
        <f>H125-I125</f>
        <v/>
      </c>
      <c r="K125" s="14">
        <f>K126+J125</f>
        <v/>
      </c>
      <c r="L125" s="14" t="n">
        <v>323300</v>
      </c>
      <c r="M125" s="14" t="n">
        <v>5156600</v>
      </c>
      <c r="N125" s="14" t="n">
        <v>5994900</v>
      </c>
      <c r="O125" s="14">
        <f>M125-N125</f>
        <v/>
      </c>
      <c r="P125" s="14">
        <f>P126+O125</f>
        <v/>
      </c>
      <c r="Q125" s="14" t="n">
        <v>404190710</v>
      </c>
      <c r="R125" s="14" t="n">
        <v>1326544</v>
      </c>
      <c r="S125" s="14" t="n">
        <v>1200000</v>
      </c>
      <c r="T125" s="14">
        <f>R125-S125</f>
        <v/>
      </c>
      <c r="U125" s="14">
        <f>U126+T125</f>
        <v/>
      </c>
      <c r="V125" s="14" t="n">
        <v>5</v>
      </c>
    </row>
    <row r="126" ht="15.95" customFormat="1" customHeight="1" s="2">
      <c r="A126" s="14" t="n">
        <v>35</v>
      </c>
      <c r="B126" s="15" t="n">
        <v>46106</v>
      </c>
      <c r="C126" s="14" t="n">
        <v>4372605</v>
      </c>
      <c r="D126" s="14" t="n">
        <v>2072339</v>
      </c>
      <c r="E126" s="14">
        <f>C126-D126</f>
        <v/>
      </c>
      <c r="F126" s="14">
        <f>F127+E126</f>
        <v/>
      </c>
      <c r="G126" s="14" t="n">
        <v>134792511</v>
      </c>
      <c r="H126" s="14" t="n">
        <v>2970329</v>
      </c>
      <c r="I126" s="14" t="n">
        <v>338500</v>
      </c>
      <c r="J126" s="14">
        <f>H126-I126</f>
        <v/>
      </c>
      <c r="K126" s="14">
        <f>K127+J126</f>
        <v/>
      </c>
      <c r="L126" s="14" t="n">
        <v>351300</v>
      </c>
      <c r="M126" s="14" t="n">
        <v>4316710</v>
      </c>
      <c r="N126" s="14" t="n">
        <v>2407252</v>
      </c>
      <c r="O126" s="14">
        <f>M126-N126</f>
        <v/>
      </c>
      <c r="P126" s="14">
        <f>P127+O126</f>
        <v/>
      </c>
      <c r="Q126" s="14" t="n">
        <v>404241310</v>
      </c>
      <c r="R126" s="14" t="n">
        <v>430883</v>
      </c>
      <c r="S126" s="14" t="n">
        <v>340774</v>
      </c>
      <c r="T126" s="14">
        <f>R126-S126</f>
        <v/>
      </c>
      <c r="U126" s="14">
        <f>U127+T126</f>
        <v/>
      </c>
      <c r="V126" s="14" t="n">
        <v>126549</v>
      </c>
    </row>
    <row r="127" ht="15.95" customFormat="1" customHeight="1" s="2">
      <c r="A127" s="14" t="n">
        <v>36</v>
      </c>
      <c r="B127" s="15" t="n">
        <v>46105</v>
      </c>
      <c r="C127" s="14" t="n">
        <v>6402306</v>
      </c>
      <c r="D127" s="14" t="n">
        <v>6986227</v>
      </c>
      <c r="E127" s="14">
        <f>C127-D127</f>
        <v/>
      </c>
      <c r="F127" s="14">
        <f>F128+E127</f>
        <v/>
      </c>
      <c r="G127" s="14" t="n">
        <v>137123477</v>
      </c>
      <c r="H127" s="14" t="n">
        <v>196900</v>
      </c>
      <c r="I127" s="14" t="n">
        <v>16400</v>
      </c>
      <c r="J127" s="14">
        <f>H127-I127</f>
        <v/>
      </c>
      <c r="K127" s="14">
        <f>K128+J127</f>
        <v/>
      </c>
      <c r="L127" s="14" t="n">
        <v>2995129</v>
      </c>
      <c r="M127" s="14" t="n">
        <v>5383800</v>
      </c>
      <c r="N127" s="14" t="n">
        <v>4240774</v>
      </c>
      <c r="O127" s="14">
        <f>M127-N127</f>
        <v/>
      </c>
      <c r="P127" s="14">
        <f>P128+O127</f>
        <v/>
      </c>
      <c r="Q127" s="14" t="n">
        <v>406167468</v>
      </c>
      <c r="R127" s="14" t="n">
        <v>1726865</v>
      </c>
      <c r="S127" s="14" t="n">
        <v>1726840</v>
      </c>
      <c r="T127" s="14">
        <f>R127-S127</f>
        <v/>
      </c>
      <c r="U127" s="14">
        <f>U128+T127</f>
        <v/>
      </c>
      <c r="V127" s="14" t="n">
        <v>90183</v>
      </c>
    </row>
    <row r="128" ht="15.95" customFormat="1" customHeight="1" s="2">
      <c r="A128" s="14" t="n">
        <v>37</v>
      </c>
      <c r="B128" s="15" t="n">
        <v>46104</v>
      </c>
      <c r="C128" s="14" t="n">
        <v>6429310</v>
      </c>
      <c r="D128" s="14" t="n">
        <v>5125300</v>
      </c>
      <c r="E128" s="14">
        <f>C128-D128</f>
        <v/>
      </c>
      <c r="F128" s="14">
        <f>F129+E128</f>
        <v/>
      </c>
      <c r="G128" s="14" t="n">
        <v>131300165</v>
      </c>
      <c r="H128" s="14" t="n">
        <v>329900</v>
      </c>
      <c r="I128" s="14" t="n">
        <v>331900</v>
      </c>
      <c r="J128" s="14">
        <f>H128-I128</f>
        <v/>
      </c>
      <c r="K128" s="14">
        <f>K129+J128</f>
        <v/>
      </c>
      <c r="L128" s="14" t="n">
        <v>3175629</v>
      </c>
      <c r="M128" s="14" t="n">
        <v>2517000</v>
      </c>
      <c r="N128" s="14" t="n">
        <v>2238794</v>
      </c>
      <c r="O128" s="14">
        <f>M128-N128</f>
        <v/>
      </c>
      <c r="P128" s="14">
        <f>P129+O128</f>
        <v/>
      </c>
      <c r="Q128" s="14" t="n">
        <v>405872768</v>
      </c>
      <c r="R128" s="14" t="n">
        <v>8259025</v>
      </c>
      <c r="S128" s="14" t="n">
        <v>8385500</v>
      </c>
      <c r="T128" s="14">
        <f>R128-S128</f>
        <v/>
      </c>
      <c r="U128" s="14">
        <f>U129+T128</f>
        <v/>
      </c>
      <c r="V128" s="14" t="n">
        <v>25</v>
      </c>
    </row>
    <row r="129" ht="15.95" customFormat="1" customHeight="1" s="2">
      <c r="A129" s="14" t="n">
        <v>38</v>
      </c>
      <c r="B129" s="15" t="n">
        <v>46101</v>
      </c>
      <c r="C129" s="14" t="n">
        <v>1729501</v>
      </c>
      <c r="D129" s="14" t="n">
        <v>7552813</v>
      </c>
      <c r="E129" s="14">
        <f>C129-D129</f>
        <v/>
      </c>
      <c r="F129" s="14">
        <f>F130+E129</f>
        <v/>
      </c>
      <c r="G129" s="14" t="n">
        <v>132604175</v>
      </c>
      <c r="H129" s="14" t="n">
        <v>1029100</v>
      </c>
      <c r="I129" s="14" t="n">
        <v>301700</v>
      </c>
      <c r="J129" s="14">
        <f>H129-I129</f>
        <v/>
      </c>
      <c r="K129" s="14">
        <f>K130+J129</f>
        <v/>
      </c>
      <c r="L129" s="14" t="n">
        <v>1894529</v>
      </c>
      <c r="M129" s="14" t="n">
        <v>1819174</v>
      </c>
      <c r="N129" s="14" t="n">
        <v>3252700</v>
      </c>
      <c r="O129" s="14">
        <f>M129-N129</f>
        <v/>
      </c>
      <c r="P129" s="14">
        <f>P130+O129</f>
        <v/>
      </c>
      <c r="Q129" s="14" t="n">
        <v>406150974</v>
      </c>
      <c r="R129" s="14" t="n">
        <v>4269825</v>
      </c>
      <c r="S129" s="14" t="n">
        <v>4360008</v>
      </c>
      <c r="T129" s="14">
        <f>R129-S129</f>
        <v/>
      </c>
      <c r="U129" s="14">
        <f>U130+T129</f>
        <v/>
      </c>
      <c r="V129" s="14" t="n">
        <v>25</v>
      </c>
    </row>
    <row r="130" ht="15.95" customFormat="1" customHeight="1" s="2">
      <c r="A130" s="14" t="n">
        <v>39</v>
      </c>
      <c r="B130" s="15" t="n">
        <v>46100</v>
      </c>
      <c r="C130" s="14" t="n">
        <v>6855179</v>
      </c>
      <c r="D130" s="14" t="n">
        <v>2877613</v>
      </c>
      <c r="E130" s="14">
        <f>C130-D130</f>
        <v/>
      </c>
      <c r="F130" s="14">
        <f>F131+E130</f>
        <v/>
      </c>
      <c r="G130" s="14" t="n">
        <v>132248331</v>
      </c>
      <c r="H130" s="14" t="n">
        <v>108000</v>
      </c>
      <c r="I130" s="14" t="n">
        <v>1389100</v>
      </c>
      <c r="J130" s="14">
        <f>H130-I130</f>
        <v/>
      </c>
      <c r="K130" s="14">
        <f>K131+J130</f>
        <v/>
      </c>
      <c r="L130" s="14" t="n">
        <v>2565929</v>
      </c>
      <c r="M130" s="14" t="n">
        <v>2402180</v>
      </c>
      <c r="N130" s="14" t="n">
        <v>1894800</v>
      </c>
      <c r="O130" s="14">
        <f>M130-N130</f>
        <v/>
      </c>
      <c r="P130" s="14">
        <f>P131+O130</f>
        <v/>
      </c>
      <c r="Q130" s="14" t="n">
        <v>406028774</v>
      </c>
      <c r="R130" s="14" t="n">
        <v>134341</v>
      </c>
      <c r="S130" s="14" t="n">
        <v>134325</v>
      </c>
      <c r="T130" s="14">
        <f>R130-S130</f>
        <v/>
      </c>
      <c r="U130" s="14">
        <f>U131+T130</f>
        <v/>
      </c>
      <c r="V130" s="14" t="n">
        <v>25</v>
      </c>
    </row>
    <row r="131" ht="15.95" customFormat="1" customHeight="1" s="2">
      <c r="A131" s="14" t="n">
        <v>40</v>
      </c>
      <c r="B131" s="15" t="n">
        <v>46099</v>
      </c>
      <c r="C131" s="14" t="n">
        <v>2153901</v>
      </c>
      <c r="D131" s="14" t="n">
        <v>2401745</v>
      </c>
      <c r="E131" s="14">
        <f>C131-D131</f>
        <v/>
      </c>
      <c r="F131" s="14">
        <f>F132+E131</f>
        <v/>
      </c>
      <c r="G131" s="14" t="n">
        <v>136109897</v>
      </c>
      <c r="H131" s="14" t="n">
        <v>352100</v>
      </c>
      <c r="I131" s="14" t="n">
        <v>130200</v>
      </c>
      <c r="J131" s="14">
        <f>H131-I131</f>
        <v/>
      </c>
      <c r="K131" s="14">
        <f>K132+J131</f>
        <v/>
      </c>
      <c r="L131" s="14" t="n">
        <v>2446608</v>
      </c>
      <c r="M131" s="14" t="n">
        <v>1005560</v>
      </c>
      <c r="N131" s="14" t="n">
        <v>925200</v>
      </c>
      <c r="O131" s="14">
        <f>M131-N131</f>
        <v/>
      </c>
      <c r="P131" s="14">
        <f>P132+O131</f>
        <v/>
      </c>
      <c r="Q131" s="14" t="n">
        <v>406176122</v>
      </c>
      <c r="R131" s="14" t="n">
        <v>71</v>
      </c>
      <c r="S131" s="14" t="n">
        <v>30</v>
      </c>
      <c r="T131" s="14">
        <f>R131-S131</f>
        <v/>
      </c>
      <c r="U131" s="14">
        <f>U132+T131</f>
        <v/>
      </c>
      <c r="V131" s="14" t="n">
        <v>41</v>
      </c>
    </row>
    <row r="132" ht="15.95" customHeight="1">
      <c r="A132" s="14" t="n">
        <v>41</v>
      </c>
      <c r="B132" s="15" t="n">
        <v>46098</v>
      </c>
      <c r="C132" s="14" t="n">
        <v>2191000</v>
      </c>
      <c r="D132" s="14" t="n">
        <v>1341900</v>
      </c>
      <c r="E132" s="14">
        <f>C132-D132</f>
        <v/>
      </c>
      <c r="F132" s="14">
        <f>F133+E132</f>
        <v/>
      </c>
      <c r="G132" s="14" t="n">
        <v>136109897</v>
      </c>
      <c r="H132" s="14" t="n">
        <v>656400</v>
      </c>
      <c r="I132" s="14" t="n">
        <v>717821</v>
      </c>
      <c r="J132" s="14">
        <f>H132-I132</f>
        <v/>
      </c>
      <c r="K132" s="14">
        <f>K133+J132</f>
        <v/>
      </c>
      <c r="L132" s="14" t="n">
        <v>2459608</v>
      </c>
      <c r="M132" s="14" t="n">
        <v>1360450</v>
      </c>
      <c r="N132" s="14" t="n">
        <v>1593982</v>
      </c>
      <c r="O132" s="14">
        <f>M132-N132</f>
        <v/>
      </c>
      <c r="P132" s="14">
        <f>P133+O132</f>
        <v/>
      </c>
      <c r="Q132" s="14" t="n">
        <v>406071202</v>
      </c>
      <c r="R132" s="14" t="n">
        <v>10147</v>
      </c>
      <c r="S132" s="14" t="n">
        <v>50</v>
      </c>
      <c r="T132" s="14">
        <f>R132-S132</f>
        <v/>
      </c>
      <c r="U132" s="14">
        <f>U133+T132</f>
        <v/>
      </c>
      <c r="V132" s="14" t="n">
        <v>71</v>
      </c>
    </row>
    <row r="133" ht="15.95" customHeight="1">
      <c r="A133" s="14" t="n">
        <v>42</v>
      </c>
      <c r="B133" s="15" t="n">
        <v>46097</v>
      </c>
      <c r="C133" s="14" t="n">
        <v>4344321</v>
      </c>
      <c r="D133" s="14" t="n">
        <v>2920700</v>
      </c>
      <c r="E133" s="14">
        <f>C133-D133</f>
        <v/>
      </c>
      <c r="F133" s="14">
        <f>F134+E133</f>
        <v/>
      </c>
      <c r="G133" s="14" t="n">
        <v>136942797</v>
      </c>
      <c r="H133" s="14" t="n">
        <v>130500</v>
      </c>
      <c r="I133" s="14" t="n">
        <v>339400</v>
      </c>
      <c r="J133" s="14">
        <f>H133-I133</f>
        <v/>
      </c>
      <c r="K133" s="14">
        <f>K134+J133</f>
        <v/>
      </c>
      <c r="L133" s="14" t="n">
        <v>2451208</v>
      </c>
      <c r="M133" s="14" t="n">
        <v>908820</v>
      </c>
      <c r="N133" s="14" t="n">
        <v>1094100</v>
      </c>
      <c r="O133" s="14">
        <f>M133-N133</f>
        <v/>
      </c>
      <c r="P133" s="14">
        <f>P134+O133</f>
        <v/>
      </c>
      <c r="Q133" s="14" t="n">
        <v>406053502</v>
      </c>
      <c r="R133" s="14" t="n">
        <v>196632</v>
      </c>
      <c r="S133" s="14" t="n">
        <v>196643</v>
      </c>
      <c r="T133" s="14">
        <f>R133-S133</f>
        <v/>
      </c>
      <c r="U133" s="14">
        <f>U134+T133</f>
        <v/>
      </c>
      <c r="V133" s="14" t="n">
        <v>10147</v>
      </c>
    </row>
    <row r="134" ht="15.95" customHeight="1">
      <c r="A134" s="14" t="n">
        <v>43</v>
      </c>
      <c r="B134" s="15" t="n">
        <v>46094</v>
      </c>
      <c r="C134" s="14" t="n">
        <v>7548600</v>
      </c>
      <c r="D134" s="14" t="n">
        <v>2437600</v>
      </c>
      <c r="E134" s="14">
        <f>C134-D134</f>
        <v/>
      </c>
      <c r="F134" s="14">
        <f>F135+E134</f>
        <v/>
      </c>
      <c r="G134" s="14" t="n">
        <v>138044519</v>
      </c>
      <c r="H134" s="14" t="n">
        <v>7280100</v>
      </c>
      <c r="I134" s="14" t="n">
        <v>368100</v>
      </c>
      <c r="J134" s="14">
        <f>H134-I134</f>
        <v/>
      </c>
      <c r="K134" s="14">
        <f>K135+J134</f>
        <v/>
      </c>
      <c r="L134" s="14" t="n">
        <v>1777908</v>
      </c>
      <c r="M134" s="14" t="n">
        <v>3478900</v>
      </c>
      <c r="N134" s="14" t="n">
        <v>1847600</v>
      </c>
      <c r="O134" s="14">
        <f>M134-N134</f>
        <v/>
      </c>
      <c r="P134" s="14">
        <f>P135+O134</f>
        <v/>
      </c>
      <c r="Q134" s="14" t="n">
        <v>404842941</v>
      </c>
      <c r="R134" s="14" t="n">
        <v>21805</v>
      </c>
      <c r="S134" s="14" t="n">
        <v>21826</v>
      </c>
      <c r="T134" s="14">
        <f>R134-S134</f>
        <v/>
      </c>
      <c r="U134" s="14">
        <f>U135+T134</f>
        <v/>
      </c>
      <c r="V134" s="14" t="n">
        <v>32</v>
      </c>
    </row>
    <row r="135" ht="15.95" customHeight="1">
      <c r="A135" s="14" t="n">
        <v>44</v>
      </c>
      <c r="B135" s="15" t="n">
        <v>46093</v>
      </c>
      <c r="C135" s="14" t="n">
        <v>3343701</v>
      </c>
      <c r="D135" s="14" t="n">
        <v>3665600</v>
      </c>
      <c r="E135" s="14">
        <f>C135-D135</f>
        <v/>
      </c>
      <c r="F135" s="14">
        <f>F136+E135</f>
        <v/>
      </c>
      <c r="G135" s="14" t="n">
        <v>143151719</v>
      </c>
      <c r="H135" s="14" t="n">
        <v>4500</v>
      </c>
      <c r="I135" s="14" t="n">
        <v>677800</v>
      </c>
      <c r="J135" s="14">
        <f>H135-I135</f>
        <v/>
      </c>
      <c r="K135" s="14">
        <f>K136+J135</f>
        <v/>
      </c>
      <c r="L135" s="14" t="n">
        <v>8688008</v>
      </c>
      <c r="M135" s="14" t="n">
        <v>2246945</v>
      </c>
      <c r="N135" s="14" t="n">
        <v>3453306</v>
      </c>
      <c r="O135" s="14">
        <f>M135-N135</f>
        <v/>
      </c>
      <c r="P135" s="14">
        <f>P136+O135</f>
        <v/>
      </c>
      <c r="Q135" s="14" t="n">
        <v>406458341</v>
      </c>
      <c r="R135" s="14" t="n">
        <v>1720532</v>
      </c>
      <c r="S135" s="14" t="n">
        <v>1730647</v>
      </c>
      <c r="T135" s="14">
        <f>R135-S135</f>
        <v/>
      </c>
      <c r="U135" s="14">
        <f>U136+T135</f>
        <v/>
      </c>
      <c r="V135" s="14" t="n">
        <v>32</v>
      </c>
    </row>
    <row r="136" ht="15.95" customHeight="1">
      <c r="A136" s="14" t="n">
        <v>45</v>
      </c>
      <c r="B136" s="15" t="n">
        <v>46092</v>
      </c>
      <c r="C136" s="14" t="n">
        <v>7970801</v>
      </c>
      <c r="D136" s="14" t="n">
        <v>2992200</v>
      </c>
      <c r="E136" s="14">
        <f>C136-D136</f>
        <v/>
      </c>
      <c r="F136" s="14">
        <f>F137+E136</f>
        <v/>
      </c>
      <c r="G136" s="14" t="n">
        <v>143151719</v>
      </c>
      <c r="H136" s="14" t="n">
        <v>1139800</v>
      </c>
      <c r="I136" s="14" t="n">
        <v>88400</v>
      </c>
      <c r="J136" s="14">
        <f>H136-I136</f>
        <v/>
      </c>
      <c r="K136" s="14">
        <f>K137+J136</f>
        <v/>
      </c>
      <c r="L136" s="14" t="n">
        <v>8288108</v>
      </c>
      <c r="M136" s="14" t="n">
        <v>6550438</v>
      </c>
      <c r="N136" s="14" t="n">
        <v>4259200</v>
      </c>
      <c r="O136" s="14">
        <f>M136-N136</f>
        <v/>
      </c>
      <c r="P136" s="14">
        <f>P137+O136</f>
        <v/>
      </c>
      <c r="Q136" s="14" t="n">
        <v>400360479</v>
      </c>
      <c r="R136" s="14" t="n">
        <v>5184967</v>
      </c>
      <c r="S136" s="14" t="n">
        <v>5027032</v>
      </c>
      <c r="T136" s="14">
        <f>R136-S136</f>
        <v/>
      </c>
      <c r="U136" s="14">
        <f>U137+T136</f>
        <v/>
      </c>
      <c r="V136" s="14" t="n">
        <v>32</v>
      </c>
    </row>
    <row r="137" ht="15.95" customHeight="1">
      <c r="A137" s="14" t="n">
        <v>46</v>
      </c>
      <c r="B137" s="15" t="n">
        <v>46091</v>
      </c>
      <c r="C137" s="14" t="n">
        <v>5281302</v>
      </c>
      <c r="D137" s="14" t="n">
        <v>1107800</v>
      </c>
      <c r="E137" s="14">
        <f>C137-D137</f>
        <v/>
      </c>
      <c r="F137" s="14">
        <f>F138+E137</f>
        <v/>
      </c>
      <c r="G137" s="14" t="n">
        <v>146153831</v>
      </c>
      <c r="H137" s="14" t="n">
        <v>437400</v>
      </c>
      <c r="I137" s="14" t="n">
        <v>837300</v>
      </c>
      <c r="J137" s="14">
        <f>H137-I137</f>
        <v/>
      </c>
      <c r="K137" s="14">
        <f>K138+J137</f>
        <v/>
      </c>
      <c r="L137" s="14" t="n">
        <v>9277508</v>
      </c>
      <c r="M137" s="14" t="n">
        <v>2558038</v>
      </c>
      <c r="N137" s="14" t="n">
        <v>8639900</v>
      </c>
      <c r="O137" s="14">
        <f>M137-N137</f>
        <v/>
      </c>
      <c r="P137" s="14">
        <f>P138+O137</f>
        <v/>
      </c>
      <c r="Q137" s="14" t="n">
        <v>402647517</v>
      </c>
      <c r="R137" s="14" t="n">
        <v>1650127</v>
      </c>
      <c r="S137" s="14" t="n">
        <v>1567</v>
      </c>
      <c r="T137" s="14">
        <f>R137-S137</f>
        <v/>
      </c>
      <c r="U137" s="14">
        <f>U138+T137</f>
        <v/>
      </c>
      <c r="V137" s="14" t="n">
        <v>157967</v>
      </c>
    </row>
    <row r="138" ht="15.95" customHeight="1">
      <c r="A138" s="14" t="n">
        <v>47</v>
      </c>
      <c r="B138" s="15" t="n">
        <v>46090</v>
      </c>
      <c r="C138" s="14" t="n">
        <v>1389711</v>
      </c>
      <c r="D138" s="14" t="n">
        <v>3366200</v>
      </c>
      <c r="E138" s="14">
        <f>C138-D138</f>
        <v/>
      </c>
      <c r="F138" s="14">
        <f>F139+E138</f>
        <v/>
      </c>
      <c r="G138" s="14" t="n">
        <v>149784833</v>
      </c>
      <c r="H138" s="14" t="n">
        <v>436900</v>
      </c>
      <c r="I138" s="14" t="n">
        <v>498900</v>
      </c>
      <c r="J138" s="14">
        <f>H138-I138</f>
        <v/>
      </c>
      <c r="K138" s="14">
        <f>K139+J138</f>
        <v/>
      </c>
      <c r="L138" s="14" t="n">
        <v>9277508</v>
      </c>
      <c r="M138" s="14" t="n">
        <v>4810953</v>
      </c>
      <c r="N138" s="14" t="n">
        <v>4459600</v>
      </c>
      <c r="O138" s="14">
        <f>M138-N138</f>
        <v/>
      </c>
      <c r="P138" s="14">
        <f>P139+O138</f>
        <v/>
      </c>
      <c r="Q138" s="14" t="n">
        <v>399283597</v>
      </c>
      <c r="R138" s="14" t="n">
        <v>7301445</v>
      </c>
      <c r="S138" s="14" t="n">
        <v>5766734</v>
      </c>
      <c r="T138" s="14">
        <f>R138-S138</f>
        <v/>
      </c>
      <c r="U138" s="14">
        <f>U139+T138</f>
        <v/>
      </c>
      <c r="V138" s="14" t="n">
        <v>1650127</v>
      </c>
    </row>
    <row r="139" ht="15.95" customHeight="1">
      <c r="A139" s="14" t="n">
        <v>48</v>
      </c>
      <c r="B139" s="15" t="n">
        <v>46087</v>
      </c>
      <c r="C139" s="14" t="n">
        <v>914800</v>
      </c>
      <c r="D139" s="14" t="n">
        <v>1457300</v>
      </c>
      <c r="E139" s="14">
        <f>C139-D139</f>
        <v/>
      </c>
      <c r="F139" s="14">
        <f>F140+E139</f>
        <v/>
      </c>
      <c r="G139" s="14" t="n">
        <v>148872535</v>
      </c>
      <c r="H139" s="14" t="n">
        <v>302500</v>
      </c>
      <c r="I139" s="14" t="n">
        <v>32700</v>
      </c>
      <c r="J139" s="14">
        <f>H139-I139</f>
        <v/>
      </c>
      <c r="K139" s="14">
        <f>K140+J139</f>
        <v/>
      </c>
      <c r="L139" s="14" t="n">
        <v>9277508</v>
      </c>
      <c r="M139" s="14" t="n">
        <v>1335080</v>
      </c>
      <c r="N139" s="14" t="n">
        <v>4699000</v>
      </c>
      <c r="O139" s="14">
        <f>M139-N139</f>
        <v/>
      </c>
      <c r="P139" s="14">
        <f>P140+O139</f>
        <v/>
      </c>
      <c r="Q139" s="14" t="n">
        <v>399381966</v>
      </c>
      <c r="R139" s="14" t="n">
        <v>185000</v>
      </c>
      <c r="S139" s="14" t="n">
        <v>341400</v>
      </c>
      <c r="T139" s="14">
        <f>R139-S139</f>
        <v/>
      </c>
      <c r="U139" s="14">
        <f>U140+T139</f>
        <v/>
      </c>
      <c r="V139" s="14" t="n">
        <v>1534745</v>
      </c>
    </row>
    <row r="140" ht="15.95" customHeight="1">
      <c r="A140" s="14" t="n">
        <v>49</v>
      </c>
      <c r="B140" s="15" t="n">
        <v>46086</v>
      </c>
      <c r="C140" s="14" t="n">
        <v>749930</v>
      </c>
      <c r="D140" s="14" t="n">
        <v>1662228</v>
      </c>
      <c r="E140" s="14">
        <f>C140-D140</f>
        <v/>
      </c>
      <c r="F140" s="14">
        <f>F141+E140</f>
        <v/>
      </c>
      <c r="G140" s="14" t="n">
        <v>148872535</v>
      </c>
      <c r="H140" s="14" t="n">
        <v>216800</v>
      </c>
      <c r="I140" s="14" t="n">
        <v>54600</v>
      </c>
      <c r="J140" s="14">
        <f>H140-I140</f>
        <v/>
      </c>
      <c r="K140" s="14">
        <f>K141+J140</f>
        <v/>
      </c>
      <c r="L140" s="14" t="n">
        <v>9381028</v>
      </c>
      <c r="M140" s="14" t="n">
        <v>4782716</v>
      </c>
      <c r="N140" s="14" t="n">
        <v>5031500</v>
      </c>
      <c r="O140" s="14">
        <f>M140-N140</f>
        <v/>
      </c>
      <c r="P140" s="14">
        <f>P141+O140</f>
        <v/>
      </c>
      <c r="Q140" s="14" t="n">
        <v>396016916</v>
      </c>
      <c r="R140" s="14" t="n">
        <v>0</v>
      </c>
      <c r="S140" s="14" t="n">
        <v>1650093</v>
      </c>
      <c r="T140" s="14">
        <f>R140-S140</f>
        <v/>
      </c>
      <c r="U140" s="14">
        <f>U141+T140</f>
        <v/>
      </c>
      <c r="V140" s="14" t="n">
        <v>0</v>
      </c>
    </row>
    <row r="141" ht="15.95" customHeight="1">
      <c r="A141" s="14" t="n">
        <v>50</v>
      </c>
      <c r="B141" s="15" t="n">
        <v>46085</v>
      </c>
      <c r="C141" s="14" t="n">
        <v>6507800</v>
      </c>
      <c r="D141" s="14" t="n">
        <v>5872020</v>
      </c>
      <c r="E141" s="14">
        <f>C141-D141</f>
        <v/>
      </c>
      <c r="F141" s="14">
        <f>F142+E141</f>
        <v/>
      </c>
      <c r="G141" s="14" t="n">
        <v>144135835</v>
      </c>
      <c r="H141" s="14" t="n">
        <v>122680</v>
      </c>
      <c r="I141" s="14" t="n">
        <v>288960</v>
      </c>
      <c r="J141" s="14">
        <f>H141-I141</f>
        <v/>
      </c>
      <c r="K141" s="14">
        <f>K142+J141</f>
        <v/>
      </c>
      <c r="L141" s="14" t="n">
        <v>9123228</v>
      </c>
      <c r="M141" s="14" t="n">
        <v>2209300</v>
      </c>
      <c r="N141" s="14" t="n">
        <v>5574350</v>
      </c>
      <c r="O141" s="14">
        <f>M141-N141</f>
        <v/>
      </c>
      <c r="P141" s="14">
        <f>P142+O141</f>
        <v/>
      </c>
      <c r="Q141" s="14" t="n">
        <v>395987416</v>
      </c>
      <c r="R141" s="14" t="n">
        <v>0</v>
      </c>
      <c r="S141" s="14" t="n">
        <v>1570120</v>
      </c>
      <c r="T141" s="14">
        <f>R141-S141</f>
        <v/>
      </c>
      <c r="U141" s="14">
        <f>U142+T141</f>
        <v/>
      </c>
      <c r="V141" s="14" t="n">
        <v>0</v>
      </c>
    </row>
    <row r="142" ht="15.95" customHeight="1">
      <c r="A142" s="14" t="n">
        <v>51</v>
      </c>
      <c r="B142" s="15" t="n">
        <v>46084</v>
      </c>
      <c r="C142" s="14" t="n">
        <v>193900</v>
      </c>
      <c r="D142" s="14" t="n">
        <v>4930600</v>
      </c>
      <c r="E142" s="14">
        <f>C142-D142</f>
        <v/>
      </c>
      <c r="F142" s="14">
        <f>F143+E142</f>
        <v/>
      </c>
      <c r="G142" s="14" t="n">
        <v>143250815</v>
      </c>
      <c r="H142" s="14" t="n">
        <v>26900</v>
      </c>
      <c r="I142" s="14" t="n">
        <v>446900</v>
      </c>
      <c r="J142" s="14">
        <f>H142-I142</f>
        <v/>
      </c>
      <c r="K142" s="14">
        <f>K143+J142</f>
        <v/>
      </c>
      <c r="L142" s="14" t="n">
        <v>8415628</v>
      </c>
      <c r="M142" s="14" t="n">
        <v>8450100</v>
      </c>
      <c r="N142" s="14" t="n">
        <v>2927500</v>
      </c>
      <c r="O142" s="14">
        <f>M142-N142</f>
        <v/>
      </c>
      <c r="P142" s="14">
        <f>P143+O142</f>
        <v/>
      </c>
      <c r="Q142" s="14" t="n">
        <v>401520616</v>
      </c>
      <c r="R142" s="14" t="n">
        <v>85000</v>
      </c>
      <c r="S142" s="14" t="n">
        <v>90000</v>
      </c>
      <c r="T142" s="14">
        <f>R142-S142</f>
        <v/>
      </c>
      <c r="U142" s="14">
        <f>U143+T142</f>
        <v/>
      </c>
      <c r="V142" s="14" t="n">
        <v>0</v>
      </c>
    </row>
    <row r="143" ht="15.95" customHeight="1">
      <c r="A143" s="14" t="n">
        <v>52</v>
      </c>
      <c r="B143" s="15" t="n">
        <v>46083</v>
      </c>
      <c r="C143" s="14" t="n">
        <v>573100</v>
      </c>
      <c r="D143" s="14" t="n">
        <v>2093900</v>
      </c>
      <c r="E143" s="14">
        <f>C143-D143</f>
        <v/>
      </c>
      <c r="F143" s="14">
        <f>F144+E143</f>
        <v/>
      </c>
      <c r="G143" s="14" t="n">
        <v>141538396</v>
      </c>
      <c r="H143" s="14" t="n">
        <v>226400</v>
      </c>
      <c r="I143" s="14" t="n">
        <v>502974</v>
      </c>
      <c r="J143" s="14">
        <f>H143-I143</f>
        <v/>
      </c>
      <c r="K143" s="14">
        <f>K144+J143</f>
        <v/>
      </c>
      <c r="L143" s="14" t="n">
        <v>8190828</v>
      </c>
      <c r="M143" s="14" t="n">
        <v>7972900</v>
      </c>
      <c r="N143" s="14" t="n">
        <v>3898000</v>
      </c>
      <c r="O143" s="14">
        <f>M143-N143</f>
        <v/>
      </c>
      <c r="P143" s="14">
        <f>P144+O143</f>
        <v/>
      </c>
      <c r="Q143" s="14" t="n">
        <v>405595516</v>
      </c>
      <c r="R143" s="14" t="n">
        <v>1633570</v>
      </c>
      <c r="S143" s="14" t="n">
        <v>1593115</v>
      </c>
      <c r="T143" s="14">
        <f>R143-S143</f>
        <v/>
      </c>
      <c r="U143" s="14">
        <f>U144+T143</f>
        <v/>
      </c>
      <c r="V143" s="14" t="n">
        <v>75680</v>
      </c>
    </row>
    <row r="144" ht="15.95" customHeight="1">
      <c r="A144" s="14" t="n">
        <v>53</v>
      </c>
      <c r="B144" s="15" t="n">
        <v>46080</v>
      </c>
      <c r="C144" s="14" t="n">
        <v>6744100</v>
      </c>
      <c r="D144" s="14" t="n">
        <v>2760304</v>
      </c>
      <c r="E144" s="14">
        <f>C144-D144</f>
        <v/>
      </c>
      <c r="F144" s="14">
        <f>F145+E144</f>
        <v/>
      </c>
      <c r="G144" s="14" t="n">
        <v>141538396</v>
      </c>
      <c r="H144" s="14" t="n">
        <v>6800</v>
      </c>
      <c r="I144" s="14" t="n">
        <v>437826</v>
      </c>
      <c r="J144" s="14">
        <f>H144-I144</f>
        <v/>
      </c>
      <c r="K144" s="14">
        <f>K145+J144</f>
        <v/>
      </c>
      <c r="L144" s="14" t="n">
        <v>8190828</v>
      </c>
      <c r="M144" s="14" t="n">
        <v>5449492</v>
      </c>
      <c r="N144" s="14" t="n">
        <v>238000</v>
      </c>
      <c r="O144" s="14">
        <f>M144-N144</f>
        <v/>
      </c>
      <c r="P144" s="14">
        <f>P145+O144</f>
        <v/>
      </c>
      <c r="Q144" s="14" t="n">
        <v>405595516</v>
      </c>
      <c r="R144" s="14" t="n">
        <v>1231347</v>
      </c>
      <c r="S144" s="14" t="n">
        <v>1225620</v>
      </c>
      <c r="T144" s="14">
        <f>R144-S144</f>
        <v/>
      </c>
      <c r="U144" s="14">
        <f>U145+T144</f>
        <v/>
      </c>
      <c r="V144" s="14" t="n">
        <v>75680</v>
      </c>
    </row>
    <row r="145" ht="15.95" customHeight="1">
      <c r="A145" s="14" t="n">
        <v>54</v>
      </c>
      <c r="B145" s="15" t="n">
        <v>46079</v>
      </c>
      <c r="C145" s="14" t="n">
        <v>3193251</v>
      </c>
      <c r="D145" s="14" t="n">
        <v>4905670</v>
      </c>
      <c r="E145" s="14">
        <f>C145-D145</f>
        <v/>
      </c>
      <c r="F145" s="14">
        <f>F146+E145</f>
        <v/>
      </c>
      <c r="G145" s="14" t="n">
        <v>145522192</v>
      </c>
      <c r="H145" s="14" t="n">
        <v>379700</v>
      </c>
      <c r="I145" s="14" t="n">
        <v>604500</v>
      </c>
      <c r="J145" s="14">
        <f>H145-I145</f>
        <v/>
      </c>
      <c r="K145" s="14">
        <f>K146+J145</f>
        <v/>
      </c>
      <c r="L145" s="14" t="n">
        <v>8190828</v>
      </c>
      <c r="M145" s="14" t="n">
        <v>3379345</v>
      </c>
      <c r="N145" s="14" t="n">
        <v>1695000</v>
      </c>
      <c r="O145" s="14">
        <f>M145-N145</f>
        <v/>
      </c>
      <c r="P145" s="14">
        <f>P146+O145</f>
        <v/>
      </c>
      <c r="Q145" s="14" t="n">
        <v>408318089</v>
      </c>
      <c r="R145" s="14" t="n">
        <v>516848</v>
      </c>
      <c r="S145" s="14" t="n">
        <v>501409</v>
      </c>
      <c r="T145" s="14">
        <f>R145-S145</f>
        <v/>
      </c>
      <c r="U145" s="14">
        <f>U146+T145</f>
        <v/>
      </c>
      <c r="V145" s="14" t="n">
        <v>6384</v>
      </c>
    </row>
    <row r="146" ht="15.95" customHeight="1">
      <c r="A146" s="14" t="n">
        <v>55</v>
      </c>
      <c r="B146" s="15" t="n">
        <v>46078</v>
      </c>
      <c r="C146" s="14" t="n">
        <v>3916561</v>
      </c>
      <c r="D146" s="14" t="n">
        <v>3293965</v>
      </c>
      <c r="E146" s="14">
        <f>C146-D146</f>
        <v/>
      </c>
      <c r="F146" s="14">
        <f>F147+E146</f>
        <v/>
      </c>
      <c r="G146" s="14" t="n">
        <v>145522192</v>
      </c>
      <c r="H146" s="14" t="n">
        <v>976600</v>
      </c>
      <c r="I146" s="14" t="n">
        <v>382900</v>
      </c>
      <c r="J146" s="14">
        <f>H146-I146</f>
        <v/>
      </c>
      <c r="K146" s="14">
        <f>K147+J146</f>
        <v/>
      </c>
      <c r="L146" s="14" t="n">
        <v>7333590</v>
      </c>
      <c r="M146" s="14" t="n">
        <v>2762175</v>
      </c>
      <c r="N146" s="14" t="n">
        <v>5251094</v>
      </c>
      <c r="O146" s="14">
        <f>M146-N146</f>
        <v/>
      </c>
      <c r="P146" s="14">
        <f>P147+O146</f>
        <v/>
      </c>
      <c r="Q146" s="14" t="n">
        <v>410024634</v>
      </c>
      <c r="R146" s="14" t="n">
        <v>3619825</v>
      </c>
      <c r="S146" s="14" t="n">
        <v>3694848</v>
      </c>
      <c r="T146" s="14">
        <f>R146-S146</f>
        <v/>
      </c>
      <c r="U146" s="14">
        <f>U147+T146</f>
        <v/>
      </c>
      <c r="V146" s="14" t="n">
        <v>16848</v>
      </c>
    </row>
    <row r="147" ht="15.95" customHeight="1">
      <c r="A147" s="14" t="n">
        <v>56</v>
      </c>
      <c r="B147" s="15" t="n">
        <v>46077</v>
      </c>
      <c r="C147" s="14" t="n">
        <v>9985239</v>
      </c>
      <c r="D147" s="14" t="n">
        <v>8141634</v>
      </c>
      <c r="E147" s="14">
        <f>C147-D147</f>
        <v/>
      </c>
      <c r="F147" s="14">
        <f>F148+E147</f>
        <v/>
      </c>
      <c r="G147" s="14" t="n">
        <v>144332488</v>
      </c>
      <c r="H147" s="14" t="n">
        <v>39800</v>
      </c>
      <c r="I147" s="14" t="n">
        <v>897038</v>
      </c>
      <c r="J147" s="14">
        <f>H147-I147</f>
        <v/>
      </c>
      <c r="K147" s="14">
        <f>K148+J147</f>
        <v/>
      </c>
      <c r="L147" s="14" t="n">
        <v>7927290</v>
      </c>
      <c r="M147" s="14" t="n">
        <v>3689415</v>
      </c>
      <c r="N147" s="14" t="n">
        <v>265088</v>
      </c>
      <c r="O147" s="14">
        <f>M147-N147</f>
        <v/>
      </c>
      <c r="P147" s="14">
        <f>P148+O147</f>
        <v/>
      </c>
      <c r="Q147" s="14" t="n">
        <v>404783645</v>
      </c>
      <c r="R147" s="14" t="n">
        <v>228025</v>
      </c>
      <c r="S147" s="14" t="n">
        <v>233000</v>
      </c>
      <c r="T147" s="14">
        <f>R147-S147</f>
        <v/>
      </c>
      <c r="U147" s="14">
        <f>U148+T147</f>
        <v/>
      </c>
      <c r="V147" s="14" t="n">
        <v>25</v>
      </c>
    </row>
    <row r="148" ht="15.95" customHeight="1">
      <c r="A148" s="14" t="n">
        <v>57</v>
      </c>
      <c r="B148" s="15" t="n">
        <v>46076</v>
      </c>
      <c r="C148" s="14" t="n">
        <v>4101600</v>
      </c>
      <c r="D148" s="14" t="n">
        <v>5913900</v>
      </c>
      <c r="E148" s="14">
        <f>C148-D148</f>
        <v/>
      </c>
      <c r="F148" s="14">
        <f>F149+E148</f>
        <v/>
      </c>
      <c r="G148" s="14" t="n">
        <v>141543993</v>
      </c>
      <c r="H148" s="14" t="n">
        <v>253100</v>
      </c>
      <c r="I148" s="14" t="n">
        <v>5700</v>
      </c>
      <c r="J148" s="14">
        <f>H148-I148</f>
        <v/>
      </c>
      <c r="K148" s="14">
        <f>K149+J148</f>
        <v/>
      </c>
      <c r="L148" s="14" t="n">
        <v>7923490</v>
      </c>
      <c r="M148" s="14" t="n">
        <v>2360725</v>
      </c>
      <c r="N148" s="14" t="n">
        <v>7748614</v>
      </c>
      <c r="O148" s="14">
        <f>M148-N148</f>
        <v/>
      </c>
      <c r="P148" s="14">
        <f>P149+O148</f>
        <v/>
      </c>
      <c r="Q148" s="14" t="n">
        <v>408199772</v>
      </c>
      <c r="R148" s="14" t="n">
        <v>86400</v>
      </c>
      <c r="S148" s="14" t="n">
        <v>103223</v>
      </c>
      <c r="T148" s="14">
        <f>R148-S148</f>
        <v/>
      </c>
      <c r="U148" s="14">
        <f>U149+T148</f>
        <v/>
      </c>
      <c r="V148" s="14" t="n">
        <v>25</v>
      </c>
    </row>
    <row r="149" ht="15.95" customHeight="1">
      <c r="A149" s="14" t="n">
        <v>58</v>
      </c>
      <c r="B149" s="15" t="n">
        <v>46066</v>
      </c>
      <c r="C149" s="14" t="n">
        <v>4288500</v>
      </c>
      <c r="D149" s="14" t="n">
        <v>8913000</v>
      </c>
      <c r="E149" s="14">
        <f>C149-D149</f>
        <v/>
      </c>
      <c r="F149" s="14">
        <f>F150+E149</f>
        <v/>
      </c>
      <c r="G149" s="14" t="n">
        <v>135794564</v>
      </c>
      <c r="H149" s="14" t="n">
        <v>148600</v>
      </c>
      <c r="I149" s="14" t="n">
        <v>106200</v>
      </c>
      <c r="J149" s="14">
        <f>H149-I149</f>
        <v/>
      </c>
      <c r="K149" s="14">
        <f>K150+J149</f>
        <v/>
      </c>
      <c r="L149" s="14" t="n">
        <v>7966590</v>
      </c>
      <c r="M149" s="14" t="n">
        <v>2014891</v>
      </c>
      <c r="N149" s="14" t="n">
        <v>1207100</v>
      </c>
      <c r="O149" s="14">
        <f>M149-N149</f>
        <v/>
      </c>
      <c r="P149" s="14">
        <f>P150+O149</f>
        <v/>
      </c>
      <c r="Q149" s="14" t="n">
        <v>407695972</v>
      </c>
      <c r="R149" s="14" t="n">
        <v>1029835</v>
      </c>
      <c r="S149" s="14" t="n">
        <v>1021200</v>
      </c>
      <c r="T149" s="14">
        <f>R149-S149</f>
        <v/>
      </c>
      <c r="U149" s="14">
        <f>U150+T149</f>
        <v/>
      </c>
      <c r="V149" s="14" t="n">
        <v>0</v>
      </c>
    </row>
    <row r="150" ht="15.95" customHeight="1">
      <c r="A150" s="14" t="n">
        <v>59</v>
      </c>
      <c r="B150" s="15" t="n">
        <v>46065</v>
      </c>
      <c r="C150" s="14" t="n">
        <v>4403510</v>
      </c>
      <c r="D150" s="14" t="n">
        <v>10152939</v>
      </c>
      <c r="E150" s="14">
        <f>C150-D150</f>
        <v/>
      </c>
      <c r="F150" s="14">
        <f>F151+E150</f>
        <v/>
      </c>
      <c r="G150" s="14" t="n">
        <v>129976142</v>
      </c>
      <c r="H150" s="14" t="n">
        <v>209000</v>
      </c>
      <c r="I150" s="14" t="n">
        <v>413300</v>
      </c>
      <c r="J150" s="14">
        <f>H150-I150</f>
        <v/>
      </c>
      <c r="K150" s="14">
        <f>K151+J150</f>
        <v/>
      </c>
      <c r="L150" s="14" t="n">
        <v>7966970</v>
      </c>
      <c r="M150" s="14" t="n">
        <v>645500</v>
      </c>
      <c r="N150" s="14" t="n">
        <v>1068500</v>
      </c>
      <c r="O150" s="14">
        <f>M150-N150</f>
        <v/>
      </c>
      <c r="P150" s="14">
        <f>P151+O150</f>
        <v/>
      </c>
      <c r="Q150" s="14" t="n">
        <v>406200469</v>
      </c>
      <c r="R150" s="14" t="n">
        <v>36</v>
      </c>
      <c r="S150" s="14" t="n">
        <v>61</v>
      </c>
      <c r="T150" s="14">
        <f>R150-S150</f>
        <v/>
      </c>
      <c r="U150" s="14">
        <f>U151+T150</f>
        <v/>
      </c>
      <c r="V150" s="14" t="n">
        <v>36</v>
      </c>
    </row>
    <row r="151" ht="15.95" customHeight="1">
      <c r="A151" s="14" t="n">
        <v>60</v>
      </c>
      <c r="B151" s="15" t="n">
        <v>46064</v>
      </c>
      <c r="C151" s="14" t="n">
        <v>6655786</v>
      </c>
      <c r="D151" s="14" t="n">
        <v>7046970</v>
      </c>
      <c r="E151" s="14">
        <f>C151-D151</f>
        <v/>
      </c>
      <c r="F151" s="14">
        <f>F152+E151</f>
        <v/>
      </c>
      <c r="G151" s="14" t="n">
        <v>129976142</v>
      </c>
      <c r="H151" s="14" t="n">
        <v>732000</v>
      </c>
      <c r="I151" s="14" t="n">
        <v>9800</v>
      </c>
      <c r="J151" s="14">
        <f>H151-I151</f>
        <v/>
      </c>
      <c r="K151" s="14">
        <f>K152+J151</f>
        <v/>
      </c>
      <c r="L151" s="14" t="n">
        <v>7966970</v>
      </c>
      <c r="M151" s="14" t="n">
        <v>6874700</v>
      </c>
      <c r="N151" s="14" t="n">
        <v>1080120</v>
      </c>
      <c r="O151" s="14">
        <f>M151-N151</f>
        <v/>
      </c>
      <c r="P151" s="14">
        <f>P152+O151</f>
        <v/>
      </c>
      <c r="Q151" s="14" t="n">
        <v>406200469</v>
      </c>
      <c r="R151" s="14" t="n">
        <v>10018</v>
      </c>
      <c r="S151" s="14" t="n">
        <v>36</v>
      </c>
      <c r="T151" s="14">
        <f>R151-S151</f>
        <v/>
      </c>
      <c r="U151" s="14">
        <f>U152+T151</f>
        <v/>
      </c>
      <c r="V151" s="14" t="n">
        <v>36</v>
      </c>
    </row>
    <row r="152" ht="15.95" customHeight="1">
      <c r="A152" s="14" t="n">
        <v>61</v>
      </c>
      <c r="B152" s="15" t="n">
        <v>46063</v>
      </c>
      <c r="C152" s="14" t="n">
        <v>2344500</v>
      </c>
      <c r="D152" s="14" t="n">
        <v>7771738</v>
      </c>
      <c r="E152" s="14">
        <f>C152-D152</f>
        <v/>
      </c>
      <c r="F152" s="14">
        <f>F153+E152</f>
        <v/>
      </c>
      <c r="G152" s="14" t="n">
        <v>127178742</v>
      </c>
      <c r="H152" s="14" t="n">
        <v>6200</v>
      </c>
      <c r="I152" s="14" t="n">
        <v>48220</v>
      </c>
      <c r="J152" s="14">
        <f>H152-I152</f>
        <v/>
      </c>
      <c r="K152" s="14">
        <f>K153+J152</f>
        <v/>
      </c>
      <c r="L152" s="14" t="n">
        <v>7505037</v>
      </c>
      <c r="M152" s="14" t="n">
        <v>144010</v>
      </c>
      <c r="N152" s="14" t="n">
        <v>2399704</v>
      </c>
      <c r="O152" s="14">
        <f>M152-N152</f>
        <v/>
      </c>
      <c r="P152" s="14">
        <f>P153+O152</f>
        <v/>
      </c>
      <c r="Q152" s="14" t="n">
        <v>409207349</v>
      </c>
      <c r="R152" s="14" t="n">
        <v>396</v>
      </c>
      <c r="S152" s="14" t="n">
        <v>8995</v>
      </c>
      <c r="T152" s="14">
        <f>R152-S152</f>
        <v/>
      </c>
      <c r="U152" s="14">
        <f>U153+T152</f>
        <v/>
      </c>
      <c r="V152" s="14" t="n">
        <v>10018</v>
      </c>
    </row>
    <row r="153" ht="15.95" customHeight="1">
      <c r="A153" s="14" t="n">
        <v>62</v>
      </c>
      <c r="B153" s="15" t="n">
        <v>46062</v>
      </c>
      <c r="C153" s="14" t="n">
        <v>755900</v>
      </c>
      <c r="D153" s="14" t="n">
        <v>3553300</v>
      </c>
      <c r="E153" s="14">
        <f>C153-D153</f>
        <v/>
      </c>
      <c r="F153" s="14">
        <f>F154+E153</f>
        <v/>
      </c>
      <c r="G153" s="14" t="n">
        <v>114957442</v>
      </c>
      <c r="H153" s="14" t="n">
        <v>25200</v>
      </c>
      <c r="I153" s="14" t="n">
        <v>1209333</v>
      </c>
      <c r="J153" s="14">
        <f>H153-I153</f>
        <v/>
      </c>
      <c r="K153" s="14">
        <f>K154+J153</f>
        <v/>
      </c>
      <c r="L153" s="14" t="n">
        <v>5823138</v>
      </c>
      <c r="M153" s="14" t="n">
        <v>428600</v>
      </c>
      <c r="N153" s="14" t="n">
        <v>3197800</v>
      </c>
      <c r="O153" s="14">
        <f>M153-N153</f>
        <v/>
      </c>
      <c r="P153" s="14">
        <f>P154+O153</f>
        <v/>
      </c>
      <c r="Q153" s="14" t="n">
        <v>405073749</v>
      </c>
      <c r="R153" s="14" t="n">
        <v>314148</v>
      </c>
      <c r="S153" s="14" t="n">
        <v>366</v>
      </c>
      <c r="T153" s="14">
        <f>R153-S153</f>
        <v/>
      </c>
      <c r="U153" s="14">
        <f>U154+T153</f>
        <v/>
      </c>
      <c r="V153" s="14" t="n">
        <v>314178</v>
      </c>
    </row>
    <row r="154" ht="15.95" customHeight="1">
      <c r="A154" s="14" t="n">
        <v>63</v>
      </c>
      <c r="B154" s="15" t="n">
        <v>46059</v>
      </c>
      <c r="C154" s="14" t="n">
        <v>395700</v>
      </c>
      <c r="D154" s="14" t="n">
        <v>8221800</v>
      </c>
      <c r="E154" s="14">
        <f>C154-D154</f>
        <v/>
      </c>
      <c r="F154" s="14">
        <f>F155+E154</f>
        <v/>
      </c>
      <c r="G154" s="14" t="n">
        <v>106765468</v>
      </c>
      <c r="H154" s="14" t="n">
        <v>47000</v>
      </c>
      <c r="I154" s="14" t="n">
        <v>1402600</v>
      </c>
      <c r="J154" s="14">
        <f>H154-I154</f>
        <v/>
      </c>
      <c r="K154" s="14">
        <f>K155+J154</f>
        <v/>
      </c>
      <c r="L154" s="14" t="n">
        <v>5505798</v>
      </c>
      <c r="M154" s="14" t="n">
        <v>256100</v>
      </c>
      <c r="N154" s="14" t="n">
        <v>2742300</v>
      </c>
      <c r="O154" s="14">
        <f>M154-N154</f>
        <v/>
      </c>
      <c r="P154" s="14">
        <f>P155+O154</f>
        <v/>
      </c>
      <c r="Q154" s="14" t="n">
        <v>400504769</v>
      </c>
      <c r="R154" s="14" t="n">
        <v>1183378</v>
      </c>
      <c r="S154" s="14" t="n">
        <v>1193000</v>
      </c>
      <c r="T154" s="14">
        <f>R154-S154</f>
        <v/>
      </c>
      <c r="U154" s="14">
        <f>U155+T154</f>
        <v/>
      </c>
      <c r="V154" s="14" t="n">
        <v>1978</v>
      </c>
    </row>
    <row r="155" ht="15.95" customHeight="1">
      <c r="A155" s="14" t="n">
        <v>64</v>
      </c>
      <c r="B155" s="15" t="n">
        <v>46058</v>
      </c>
      <c r="C155" s="14" t="n">
        <v>160100</v>
      </c>
      <c r="D155" s="14" t="n">
        <v>4561500</v>
      </c>
      <c r="E155" s="14">
        <f>C155-D155</f>
        <v/>
      </c>
      <c r="F155" s="14">
        <f>F156+E155</f>
        <v/>
      </c>
      <c r="G155" s="14" t="n">
        <v>106765468</v>
      </c>
      <c r="H155" s="14" t="n">
        <v>428101</v>
      </c>
      <c r="I155" s="14" t="n">
        <v>756400</v>
      </c>
      <c r="J155" s="14">
        <f>H155-I155</f>
        <v/>
      </c>
      <c r="K155" s="14">
        <f>K156+J155</f>
        <v/>
      </c>
      <c r="L155" s="14" t="n">
        <v>5505798</v>
      </c>
      <c r="M155" s="14" t="n">
        <v>171000</v>
      </c>
      <c r="N155" s="14" t="n">
        <v>1842800</v>
      </c>
      <c r="O155" s="14">
        <f>M155-N155</f>
        <v/>
      </c>
      <c r="P155" s="14">
        <f>P156+O155</f>
        <v/>
      </c>
      <c r="Q155" s="14" t="n">
        <v>400504769</v>
      </c>
      <c r="R155" s="14" t="n">
        <v>756900</v>
      </c>
      <c r="S155" s="14" t="n">
        <v>158500</v>
      </c>
      <c r="T155" s="14">
        <f>R155-S155</f>
        <v/>
      </c>
      <c r="U155" s="14">
        <f>U156+T155</f>
        <v/>
      </c>
      <c r="V155" s="14" t="n">
        <v>1978</v>
      </c>
    </row>
    <row r="156" ht="15.95" customHeight="1">
      <c r="A156" s="14" t="n">
        <v>65</v>
      </c>
      <c r="B156" s="15" t="n">
        <v>46057</v>
      </c>
      <c r="C156" s="14" t="n">
        <v>1238926</v>
      </c>
      <c r="D156" s="14" t="n">
        <v>9427100</v>
      </c>
      <c r="E156" s="14">
        <f>C156-D156</f>
        <v/>
      </c>
      <c r="F156" s="14">
        <f>F157+E156</f>
        <v/>
      </c>
      <c r="G156" s="14" t="n">
        <v>101515481</v>
      </c>
      <c r="H156" s="14" t="n">
        <v>467160</v>
      </c>
      <c r="I156" s="14" t="n">
        <v>782600</v>
      </c>
      <c r="J156" s="14">
        <f>H156-I156</f>
        <v/>
      </c>
      <c r="K156" s="14">
        <f>K157+J156</f>
        <v/>
      </c>
      <c r="L156" s="14" t="n">
        <v>3437980</v>
      </c>
      <c r="M156" s="14" t="n">
        <v>166600</v>
      </c>
      <c r="N156" s="14" t="n">
        <v>4731480</v>
      </c>
      <c r="O156" s="14">
        <f>M156-N156</f>
        <v/>
      </c>
      <c r="P156" s="14">
        <f>P157+O156</f>
        <v/>
      </c>
      <c r="Q156" s="14" t="n">
        <v>400504769</v>
      </c>
      <c r="R156" s="14" t="n">
        <v>3052300</v>
      </c>
      <c r="S156" s="14" t="n">
        <v>3364500</v>
      </c>
      <c r="T156" s="14">
        <f>R156-S156</f>
        <v/>
      </c>
      <c r="U156" s="14">
        <f>U157+T156</f>
        <v/>
      </c>
      <c r="V156" s="14" t="n">
        <v>600378</v>
      </c>
    </row>
    <row r="157" ht="15.95" customHeight="1">
      <c r="A157" s="14" t="n">
        <v>66</v>
      </c>
      <c r="B157" s="15" t="n">
        <v>46056</v>
      </c>
      <c r="C157" s="14" t="n">
        <v>1275013</v>
      </c>
      <c r="D157" s="14" t="n">
        <v>6525000</v>
      </c>
      <c r="E157" s="14">
        <f>C157-D157</f>
        <v/>
      </c>
      <c r="F157" s="14">
        <f>F158+E157</f>
        <v/>
      </c>
      <c r="G157" s="14" t="n">
        <v>96432494</v>
      </c>
      <c r="H157" s="14" t="n">
        <v>364590</v>
      </c>
      <c r="I157" s="14" t="n">
        <v>2432408</v>
      </c>
      <c r="J157" s="14">
        <f>H157-I157</f>
        <v/>
      </c>
      <c r="K157" s="14">
        <f>K158+J157</f>
        <v/>
      </c>
      <c r="L157" s="14" t="n">
        <v>2839080</v>
      </c>
      <c r="M157" s="14" t="n">
        <v>1474900</v>
      </c>
      <c r="N157" s="14" t="n">
        <v>1009848</v>
      </c>
      <c r="O157" s="14">
        <f>M157-N157</f>
        <v/>
      </c>
      <c r="P157" s="14">
        <f>P158+O157</f>
        <v/>
      </c>
      <c r="Q157" s="14" t="n">
        <v>398602870</v>
      </c>
      <c r="R157" s="14" t="n">
        <v>1258123</v>
      </c>
      <c r="S157" s="14" t="n">
        <v>1048300</v>
      </c>
      <c r="T157" s="14">
        <f>R157-S157</f>
        <v/>
      </c>
      <c r="U157" s="14">
        <f>U158+T157</f>
        <v/>
      </c>
      <c r="V157" s="14" t="n">
        <v>22800</v>
      </c>
    </row>
    <row r="158" ht="15.95" customHeight="1">
      <c r="A158" s="14" t="n">
        <v>67</v>
      </c>
      <c r="B158" s="15" t="n">
        <v>46055</v>
      </c>
      <c r="C158" s="14" t="n">
        <v>1162013</v>
      </c>
      <c r="D158" s="14" t="n">
        <v>6245000</v>
      </c>
      <c r="E158" s="14">
        <f>C158-D158</f>
        <v/>
      </c>
      <c r="F158" s="14">
        <f>F159+E158</f>
        <v/>
      </c>
      <c r="G158" s="14" t="n">
        <v>91945215</v>
      </c>
      <c r="H158" s="14" t="n">
        <v>41200</v>
      </c>
      <c r="I158" s="14" t="n">
        <v>640100</v>
      </c>
      <c r="J158" s="14">
        <f>H158-I158</f>
        <v/>
      </c>
      <c r="K158" s="14">
        <f>K159+J158</f>
        <v/>
      </c>
      <c r="L158" s="14" t="n">
        <v>2839080</v>
      </c>
      <c r="M158" s="14" t="n">
        <v>642001</v>
      </c>
      <c r="N158" s="14" t="n">
        <v>2543900</v>
      </c>
      <c r="O158" s="14">
        <f>M158-N158</f>
        <v/>
      </c>
      <c r="P158" s="14">
        <f>P159+O158</f>
        <v/>
      </c>
      <c r="Q158" s="14" t="n">
        <v>398144217</v>
      </c>
      <c r="R158" s="14" t="n">
        <v>2195722</v>
      </c>
      <c r="S158" s="14" t="n">
        <v>2773300</v>
      </c>
      <c r="T158" s="14">
        <f>R158-S158</f>
        <v/>
      </c>
      <c r="U158" s="14">
        <f>U159+T158</f>
        <v/>
      </c>
      <c r="V158" s="14" t="n">
        <v>228123</v>
      </c>
    </row>
    <row r="159" ht="15.95" customHeight="1">
      <c r="A159" s="14" t="n">
        <v>68</v>
      </c>
      <c r="B159" s="15" t="n">
        <v>46052</v>
      </c>
      <c r="C159" s="14" t="n">
        <v>2158168</v>
      </c>
      <c r="D159" s="14" t="n">
        <v>6645447</v>
      </c>
      <c r="E159" s="14">
        <f>C159-D159</f>
        <v/>
      </c>
      <c r="F159" s="14">
        <f>F160+E159</f>
        <v/>
      </c>
      <c r="G159" s="14" t="n">
        <v>82912274</v>
      </c>
      <c r="H159" s="14" t="n">
        <v>299601</v>
      </c>
      <c r="I159" s="14" t="n">
        <v>51300</v>
      </c>
      <c r="J159" s="14">
        <f>H159-I159</f>
        <v/>
      </c>
      <c r="K159" s="14">
        <f>K160+J159</f>
        <v/>
      </c>
      <c r="L159" s="14" t="n">
        <v>2562980</v>
      </c>
      <c r="M159" s="14" t="n">
        <v>468390</v>
      </c>
      <c r="N159" s="14" t="n">
        <v>1392095</v>
      </c>
      <c r="O159" s="14">
        <f>M159-N159</f>
        <v/>
      </c>
      <c r="P159" s="14">
        <f>P160+O159</f>
        <v/>
      </c>
      <c r="Q159" s="14" t="n">
        <v>397243626</v>
      </c>
      <c r="R159" s="14" t="n">
        <v>47000</v>
      </c>
      <c r="S159" s="14" t="n">
        <v>51500</v>
      </c>
      <c r="T159" s="14">
        <f>R159-S159</f>
        <v/>
      </c>
      <c r="U159" s="14">
        <f>U160+T159</f>
        <v/>
      </c>
      <c r="V159" s="14" t="n">
        <v>23422</v>
      </c>
    </row>
    <row r="160" ht="15.95" customHeight="1">
      <c r="A160" s="14" t="n">
        <v>69</v>
      </c>
      <c r="B160" s="15" t="n">
        <v>46051</v>
      </c>
      <c r="C160" s="14" t="n">
        <v>3161400</v>
      </c>
      <c r="D160" s="14" t="n">
        <v>12194341</v>
      </c>
      <c r="E160" s="14">
        <f>C160-D160</f>
        <v/>
      </c>
      <c r="F160" s="14">
        <f>F161+E160</f>
        <v/>
      </c>
      <c r="G160" s="14" t="n">
        <v>74305524</v>
      </c>
      <c r="H160" s="14" t="n">
        <v>668100</v>
      </c>
      <c r="I160" s="14" t="n">
        <v>944200</v>
      </c>
      <c r="J160" s="14">
        <f>H160-I160</f>
        <v/>
      </c>
      <c r="K160" s="14">
        <f>K161+J160</f>
        <v/>
      </c>
      <c r="L160" s="14" t="n">
        <v>2167586</v>
      </c>
      <c r="M160" s="14" t="n">
        <v>905709</v>
      </c>
      <c r="N160" s="14" t="n">
        <v>1806300</v>
      </c>
      <c r="O160" s="14">
        <f>M160-N160</f>
        <v/>
      </c>
      <c r="P160" s="14">
        <f>P161+O160</f>
        <v/>
      </c>
      <c r="Q160" s="14" t="n">
        <v>396415228</v>
      </c>
      <c r="R160" s="14" t="n">
        <v>600099</v>
      </c>
      <c r="S160" s="14" t="n">
        <v>804800</v>
      </c>
      <c r="T160" s="14">
        <f>R160-S160</f>
        <v/>
      </c>
      <c r="U160" s="14">
        <f>U161+T160</f>
        <v/>
      </c>
      <c r="V160" s="14" t="n">
        <v>99</v>
      </c>
    </row>
    <row r="161" ht="15.95" customHeight="1">
      <c r="A161" s="14" t="n">
        <v>70</v>
      </c>
      <c r="B161" s="15" t="n">
        <v>46050</v>
      </c>
      <c r="C161" s="14" t="n">
        <v>18462350</v>
      </c>
      <c r="D161" s="14" t="n">
        <v>27069100</v>
      </c>
      <c r="E161" s="14">
        <f>C161-D161</f>
        <v/>
      </c>
      <c r="F161" s="14">
        <f>F162+E161</f>
        <v/>
      </c>
      <c r="G161" s="14" t="n">
        <v>72833607</v>
      </c>
      <c r="H161" s="14" t="n">
        <v>326505</v>
      </c>
      <c r="I161" s="14" t="n">
        <v>970200</v>
      </c>
      <c r="J161" s="14">
        <f>H161-I161</f>
        <v/>
      </c>
      <c r="K161" s="14">
        <f>K162+J161</f>
        <v/>
      </c>
      <c r="L161" s="14" t="n">
        <v>1881498</v>
      </c>
      <c r="M161" s="14" t="n">
        <v>3320402</v>
      </c>
      <c r="N161" s="14" t="n">
        <v>4148800</v>
      </c>
      <c r="O161" s="14">
        <f>M161-N161</f>
        <v/>
      </c>
      <c r="P161" s="14">
        <f>P162+O161</f>
        <v/>
      </c>
      <c r="Q161" s="14" t="n">
        <v>396405527</v>
      </c>
      <c r="R161" s="14" t="n">
        <v>3341299</v>
      </c>
      <c r="S161" s="14" t="n">
        <v>3364622</v>
      </c>
      <c r="T161" s="14">
        <f>R161-S161</f>
        <v/>
      </c>
      <c r="U161" s="14">
        <f>U162+T161</f>
        <v/>
      </c>
      <c r="V161" s="14" t="n">
        <v>99</v>
      </c>
    </row>
    <row r="162" ht="15.95" customHeight="1">
      <c r="A162" s="14" t="n">
        <v>71</v>
      </c>
      <c r="B162" s="15" t="n">
        <v>46049</v>
      </c>
      <c r="C162" s="14" t="n">
        <v>3179340</v>
      </c>
      <c r="D162" s="14" t="n">
        <v>4651257</v>
      </c>
      <c r="E162" s="14">
        <f>C162-D162</f>
        <v/>
      </c>
      <c r="F162" s="14">
        <f>F163+E162</f>
        <v/>
      </c>
      <c r="G162" s="14" t="n">
        <v>72368147</v>
      </c>
      <c r="H162" s="14" t="n">
        <v>43472</v>
      </c>
      <c r="I162" s="14" t="n">
        <v>329560</v>
      </c>
      <c r="J162" s="14">
        <f>H162-I162</f>
        <v/>
      </c>
      <c r="K162" s="14">
        <f>K163+J162</f>
        <v/>
      </c>
      <c r="L162" s="14" t="n">
        <v>1576296</v>
      </c>
      <c r="M162" s="14" t="n">
        <v>1936900</v>
      </c>
      <c r="N162" s="14" t="n">
        <v>1946601</v>
      </c>
      <c r="O162" s="14">
        <f>M162-N162</f>
        <v/>
      </c>
      <c r="P162" s="14">
        <f>P163+O162</f>
        <v/>
      </c>
      <c r="Q162" s="14" t="n">
        <v>395368719</v>
      </c>
      <c r="R162" s="14" t="n">
        <v>1923607</v>
      </c>
      <c r="S162" s="14" t="n">
        <v>1921099</v>
      </c>
      <c r="T162" s="14">
        <f>R162-S162</f>
        <v/>
      </c>
      <c r="U162" s="14">
        <f>U163+T162</f>
        <v/>
      </c>
      <c r="V162" s="14" t="n">
        <v>99</v>
      </c>
    </row>
    <row r="163">
      <c r="A163" s="14" t="n">
        <v>72</v>
      </c>
      <c r="B163" s="15" t="n">
        <v>46048</v>
      </c>
      <c r="C163" s="14" t="n">
        <v>4057040</v>
      </c>
      <c r="D163" s="14" t="n">
        <v>4522500</v>
      </c>
      <c r="E163" s="14">
        <f>C163-D163</f>
        <v/>
      </c>
      <c r="F163" s="14">
        <f>F164+E163</f>
        <v/>
      </c>
      <c r="G163" s="14" t="n">
        <v>72368147</v>
      </c>
      <c r="H163" s="14" t="n">
        <v>43698</v>
      </c>
      <c r="I163" s="14" t="n">
        <v>348900</v>
      </c>
      <c r="J163" s="14">
        <f>H163-I163</f>
        <v/>
      </c>
      <c r="K163" s="14">
        <f>K164+J163</f>
        <v/>
      </c>
      <c r="L163" s="14" t="n">
        <v>1169272</v>
      </c>
      <c r="M163" s="14" t="n">
        <v>5804710</v>
      </c>
      <c r="N163" s="14" t="n">
        <v>6841518</v>
      </c>
      <c r="O163" s="14">
        <f>M163-N163</f>
        <v/>
      </c>
      <c r="P163" s="14">
        <f>P164+O163</f>
        <v/>
      </c>
      <c r="Q163" s="14" t="n">
        <v>392344310</v>
      </c>
      <c r="R163" s="14" t="n">
        <v>3165260</v>
      </c>
      <c r="S163" s="14" t="n">
        <v>3147200</v>
      </c>
      <c r="T163" s="14">
        <f>R163-S163</f>
        <v/>
      </c>
      <c r="U163" s="14">
        <f>U164+T163</f>
        <v/>
      </c>
      <c r="V163" s="14" t="n">
        <v>2607</v>
      </c>
    </row>
    <row r="164">
      <c r="A164" s="14" t="n">
        <v>73</v>
      </c>
      <c r="B164" s="15" t="n">
        <v>46045</v>
      </c>
      <c r="C164" s="14" t="n">
        <v>6102200</v>
      </c>
      <c r="D164" s="14" t="n">
        <v>2445600</v>
      </c>
      <c r="E164" s="14">
        <f>C164-D164</f>
        <v/>
      </c>
      <c r="F164" s="14">
        <f>F165+E164</f>
        <v/>
      </c>
      <c r="G164" s="14" t="n">
        <v>72084507</v>
      </c>
      <c r="H164" s="14" t="n">
        <v>40300</v>
      </c>
      <c r="I164" s="14" t="n">
        <v>447324</v>
      </c>
      <c r="J164" s="14">
        <f>H164-I164</f>
        <v/>
      </c>
      <c r="K164" s="14">
        <f>K165+J164</f>
        <v/>
      </c>
      <c r="L164" s="14" t="n">
        <v>990440</v>
      </c>
      <c r="M164" s="14" t="n">
        <v>812000</v>
      </c>
      <c r="N164" s="14" t="n">
        <v>3874909</v>
      </c>
      <c r="O164" s="14">
        <f>M164-N164</f>
        <v/>
      </c>
      <c r="P164" s="14">
        <f>P165+O164</f>
        <v/>
      </c>
      <c r="Q164" s="14" t="n">
        <v>392344310</v>
      </c>
      <c r="R164" s="14" t="n">
        <v>35200</v>
      </c>
      <c r="S164" s="14" t="n">
        <v>20600</v>
      </c>
      <c r="T164" s="14">
        <f>R164-S164</f>
        <v/>
      </c>
      <c r="U164" s="14">
        <f>U165+T164</f>
        <v/>
      </c>
      <c r="V164" s="14" t="n">
        <v>20667</v>
      </c>
    </row>
    <row r="165">
      <c r="A165" s="14" t="n">
        <v>74</v>
      </c>
      <c r="B165" s="15" t="n">
        <v>46044</v>
      </c>
      <c r="C165" s="14" t="n">
        <v>3554400</v>
      </c>
      <c r="D165" s="14" t="n">
        <v>3838040</v>
      </c>
      <c r="E165" s="14">
        <f>C165-D165</f>
        <v/>
      </c>
      <c r="F165" s="14">
        <f>F166+E165</f>
        <v/>
      </c>
      <c r="G165" s="14" t="n">
        <v>75741107</v>
      </c>
      <c r="H165" s="14" t="n">
        <v>369968</v>
      </c>
      <c r="I165" s="14" t="n">
        <v>548800</v>
      </c>
      <c r="J165" s="14">
        <f>H165-I165</f>
        <v/>
      </c>
      <c r="K165" s="14">
        <f>K166+J165</f>
        <v/>
      </c>
      <c r="L165" s="14" t="n">
        <v>754391</v>
      </c>
      <c r="M165" s="14" t="n">
        <v>3426001</v>
      </c>
      <c r="N165" s="14" t="n">
        <v>2064343</v>
      </c>
      <c r="O165" s="14">
        <f>M165-N165</f>
        <v/>
      </c>
      <c r="P165" s="14">
        <f>P166+O165</f>
        <v/>
      </c>
      <c r="Q165" s="14" t="n">
        <v>392344310</v>
      </c>
      <c r="R165" s="14" t="n">
        <v>15420000</v>
      </c>
      <c r="S165" s="14" t="n">
        <v>15400200</v>
      </c>
      <c r="T165" s="14">
        <f>R165-S165</f>
        <v/>
      </c>
      <c r="U165" s="14">
        <f>U166+T165</f>
        <v/>
      </c>
      <c r="V165" s="14" t="n">
        <v>35267</v>
      </c>
    </row>
    <row r="166">
      <c r="A166" s="14" t="n">
        <v>75</v>
      </c>
      <c r="B166" s="15" t="n">
        <v>46043</v>
      </c>
      <c r="C166" s="14" t="n">
        <v>4908510</v>
      </c>
      <c r="D166" s="14" t="n">
        <v>1482400</v>
      </c>
      <c r="E166" s="14">
        <f>C166-D166</f>
        <v/>
      </c>
      <c r="F166" s="14">
        <f>F167+E166</f>
        <v/>
      </c>
      <c r="G166" s="14" t="n">
        <v>75748107</v>
      </c>
      <c r="H166" s="14" t="n">
        <v>232751</v>
      </c>
      <c r="I166" s="14" t="n">
        <v>468800</v>
      </c>
      <c r="J166" s="14">
        <f>H166-I166</f>
        <v/>
      </c>
      <c r="K166" s="14">
        <f>K167+J166</f>
        <v/>
      </c>
      <c r="L166" s="14" t="n">
        <v>427651</v>
      </c>
      <c r="M166" s="14" t="n">
        <v>4430991</v>
      </c>
      <c r="N166" s="14" t="n">
        <v>1638020</v>
      </c>
      <c r="O166" s="14">
        <f>M166-N166</f>
        <v/>
      </c>
      <c r="P166" s="14">
        <f>P167+O166</f>
        <v/>
      </c>
      <c r="Q166" s="14" t="n">
        <v>393768568</v>
      </c>
      <c r="R166" s="14" t="n">
        <v>2606900</v>
      </c>
      <c r="S166" s="14" t="n">
        <v>2598323</v>
      </c>
      <c r="T166" s="14">
        <f>R166-S166</f>
        <v/>
      </c>
      <c r="U166" s="14">
        <f>U167+T166</f>
        <v/>
      </c>
      <c r="V166" s="14" t="n">
        <v>20023</v>
      </c>
    </row>
    <row r="167">
      <c r="A167" s="14" t="n">
        <v>76</v>
      </c>
      <c r="B167" s="15" t="n">
        <v>46042</v>
      </c>
      <c r="C167" s="14" t="n">
        <v>7963755</v>
      </c>
      <c r="D167" s="14" t="n">
        <v>3677579</v>
      </c>
      <c r="E167" s="14">
        <f>C167-D167</f>
        <v/>
      </c>
      <c r="F167" s="14">
        <f>F168+E167</f>
        <v/>
      </c>
      <c r="G167" s="14" t="n">
        <v>79174217</v>
      </c>
      <c r="H167" s="14" t="n">
        <v>678109</v>
      </c>
      <c r="I167" s="14" t="n">
        <v>1004849</v>
      </c>
      <c r="J167" s="14">
        <f>H167-I167</f>
        <v/>
      </c>
      <c r="K167" s="14">
        <f>K168+J167</f>
        <v/>
      </c>
      <c r="L167" s="14" t="n">
        <v>294451</v>
      </c>
      <c r="M167" s="14" t="n">
        <v>11176608</v>
      </c>
      <c r="N167" s="14" t="n">
        <v>5983767</v>
      </c>
      <c r="O167" s="14">
        <f>M167-N167</f>
        <v/>
      </c>
      <c r="P167" s="14">
        <f>P168+O167</f>
        <v/>
      </c>
      <c r="Q167" s="14" t="n">
        <v>396600039</v>
      </c>
      <c r="R167" s="14" t="n">
        <v>5162615</v>
      </c>
      <c r="S167" s="14" t="n">
        <v>5197659</v>
      </c>
      <c r="T167" s="14">
        <f>R167-S167</f>
        <v/>
      </c>
      <c r="U167" s="14">
        <f>U168+T167</f>
        <v/>
      </c>
      <c r="V167" s="14" t="n">
        <v>26900</v>
      </c>
    </row>
    <row r="168">
      <c r="A168" s="14" t="n">
        <v>77</v>
      </c>
      <c r="B168" s="15" t="n">
        <v>46041</v>
      </c>
      <c r="C168" s="14" t="n">
        <v>3721638</v>
      </c>
      <c r="D168" s="14" t="n">
        <v>820400</v>
      </c>
      <c r="E168" s="14">
        <f>C168-D168</f>
        <v/>
      </c>
      <c r="F168" s="14">
        <f>F169+E168</f>
        <v/>
      </c>
      <c r="G168" s="14" t="n">
        <v>81408488</v>
      </c>
      <c r="H168" s="14" t="n">
        <v>140800</v>
      </c>
      <c r="I168" s="14" t="n">
        <v>274000</v>
      </c>
      <c r="J168" s="14">
        <f>H168-I168</f>
        <v/>
      </c>
      <c r="K168" s="14">
        <f>K169+J168</f>
        <v/>
      </c>
      <c r="L168" s="14" t="n">
        <v>142760</v>
      </c>
      <c r="M168" s="14" t="n">
        <v>4254305</v>
      </c>
      <c r="N168" s="14" t="n">
        <v>1754620</v>
      </c>
      <c r="O168" s="14">
        <f>M168-N168</f>
        <v/>
      </c>
      <c r="P168" s="14">
        <f>P169+O168</f>
        <v/>
      </c>
      <c r="Q168" s="14" t="n">
        <v>400195480</v>
      </c>
      <c r="R168" s="14" t="n">
        <v>0</v>
      </c>
      <c r="S168" s="14" t="n">
        <v>1700</v>
      </c>
      <c r="T168" s="14">
        <f>R168-S168</f>
        <v/>
      </c>
      <c r="U168" s="14">
        <f>U169+T168</f>
        <v/>
      </c>
      <c r="V168" s="14" t="n">
        <v>0</v>
      </c>
    </row>
    <row r="169">
      <c r="A169" s="14" t="n">
        <v>78</v>
      </c>
      <c r="B169" s="15" t="n">
        <v>46038</v>
      </c>
      <c r="C169" s="14" t="n">
        <v>1509500</v>
      </c>
      <c r="D169" s="14" t="n">
        <v>3561405</v>
      </c>
      <c r="E169" s="14">
        <f>C169-D169</f>
        <v/>
      </c>
      <c r="F169" s="14">
        <f>F170+E169</f>
        <v/>
      </c>
      <c r="G169" s="14" t="n">
        <v>78989289</v>
      </c>
      <c r="H169" s="14" t="n">
        <v>129209</v>
      </c>
      <c r="I169" s="14" t="n">
        <v>280900</v>
      </c>
      <c r="J169" s="14">
        <f>H169-I169</f>
        <v/>
      </c>
      <c r="K169" s="14">
        <f>K170+J169</f>
        <v/>
      </c>
      <c r="L169" s="14" t="n">
        <v>131500</v>
      </c>
      <c r="M169" s="14" t="n">
        <v>3718200</v>
      </c>
      <c r="N169" s="14" t="n">
        <v>5336300</v>
      </c>
      <c r="O169" s="14">
        <f>M169-N169</f>
        <v/>
      </c>
      <c r="P169" s="14">
        <f>P170+O169</f>
        <v/>
      </c>
      <c r="Q169" s="14" t="n">
        <v>401371666</v>
      </c>
      <c r="R169" s="14" t="n">
        <v>656300</v>
      </c>
      <c r="S169" s="14" t="n">
        <v>683200</v>
      </c>
      <c r="T169" s="14">
        <f>R169-S169</f>
        <v/>
      </c>
      <c r="U169" s="14">
        <f>U170+T169</f>
        <v/>
      </c>
      <c r="V169" s="14" t="n">
        <v>0</v>
      </c>
    </row>
    <row r="170">
      <c r="A170" s="14" t="n">
        <v>79</v>
      </c>
      <c r="B170" s="15" t="n">
        <v>46037</v>
      </c>
      <c r="C170" s="14" t="n">
        <v>2454100</v>
      </c>
      <c r="D170" s="14" t="n">
        <v>3674837</v>
      </c>
      <c r="E170" s="14">
        <f>C170-D170</f>
        <v/>
      </c>
      <c r="F170" s="14">
        <f>F171+E170</f>
        <v/>
      </c>
      <c r="G170" s="14" t="n">
        <v>78989289</v>
      </c>
      <c r="H170" s="14" t="n">
        <v>361824</v>
      </c>
      <c r="I170" s="14" t="n">
        <v>2400</v>
      </c>
      <c r="J170" s="14">
        <f>H170-I170</f>
        <v/>
      </c>
      <c r="K170" s="14">
        <f>K171+J170</f>
        <v/>
      </c>
      <c r="L170" s="14" t="n">
        <v>131500</v>
      </c>
      <c r="M170" s="14" t="n">
        <v>3799201</v>
      </c>
      <c r="N170" s="14" t="n">
        <v>3894000</v>
      </c>
      <c r="O170" s="14">
        <f>M170-N170</f>
        <v/>
      </c>
      <c r="P170" s="14">
        <f>P171+O170</f>
        <v/>
      </c>
      <c r="Q170" s="14" t="n">
        <v>401371666</v>
      </c>
      <c r="R170" s="14" t="n">
        <v>199203</v>
      </c>
      <c r="S170" s="14" t="n">
        <v>190000</v>
      </c>
      <c r="T170" s="14">
        <f>R170-S170</f>
        <v/>
      </c>
      <c r="U170" s="14">
        <f>U171+T170</f>
        <v/>
      </c>
      <c r="V170" s="14" t="n">
        <v>0</v>
      </c>
    </row>
    <row r="171">
      <c r="A171" s="14" t="n">
        <v>80</v>
      </c>
      <c r="B171" s="15" t="n">
        <v>46036</v>
      </c>
      <c r="C171" s="14" t="n">
        <v>745820</v>
      </c>
      <c r="D171" s="14" t="n">
        <v>4845520</v>
      </c>
      <c r="E171" s="14">
        <f>C171-D171</f>
        <v/>
      </c>
      <c r="F171" s="14">
        <f>F172+E171</f>
        <v/>
      </c>
      <c r="G171" s="14" t="n">
        <v>73650818</v>
      </c>
      <c r="H171" s="14" t="n">
        <v>19040</v>
      </c>
      <c r="I171" s="14" t="n">
        <v>30300</v>
      </c>
      <c r="J171" s="14">
        <f>H171-I171</f>
        <v/>
      </c>
      <c r="K171" s="14">
        <f>K172+J171</f>
        <v/>
      </c>
      <c r="L171" s="14" t="n">
        <v>362224</v>
      </c>
      <c r="M171" s="14" t="n">
        <v>3195620</v>
      </c>
      <c r="N171" s="14" t="n">
        <v>4453920</v>
      </c>
      <c r="O171" s="14">
        <f>M171-N171</f>
        <v/>
      </c>
      <c r="P171" s="14">
        <f>P172+O171</f>
        <v/>
      </c>
      <c r="Q171" s="14" t="n">
        <v>401371666</v>
      </c>
      <c r="R171" s="14" t="n">
        <v>995600</v>
      </c>
      <c r="S171" s="14" t="n">
        <v>869403</v>
      </c>
      <c r="T171" s="14">
        <f>R171-S171</f>
        <v/>
      </c>
      <c r="U171" s="14">
        <f>U172+T171</f>
        <v/>
      </c>
      <c r="V171" s="14" t="n">
        <v>9203</v>
      </c>
    </row>
    <row r="172">
      <c r="A172" s="14" t="n">
        <v>81</v>
      </c>
      <c r="B172" s="15" t="n">
        <v>46035</v>
      </c>
      <c r="C172" s="14" t="n">
        <v>1641920</v>
      </c>
      <c r="D172" s="14" t="n">
        <v>6980391</v>
      </c>
      <c r="E172" s="14">
        <f>C172-D172</f>
        <v/>
      </c>
      <c r="F172" s="14">
        <f>F173+E172</f>
        <v/>
      </c>
      <c r="G172" s="14" t="n">
        <v>73650818</v>
      </c>
      <c r="H172" s="14" t="n">
        <v>15000</v>
      </c>
      <c r="I172" s="14" t="n">
        <v>143700</v>
      </c>
      <c r="J172" s="14">
        <f>H172-I172</f>
        <v/>
      </c>
      <c r="K172" s="14">
        <f>K173+J172</f>
        <v/>
      </c>
      <c r="L172" s="14" t="n">
        <v>19830</v>
      </c>
      <c r="M172" s="14" t="n">
        <v>11604000</v>
      </c>
      <c r="N172" s="14" t="n">
        <v>5037600</v>
      </c>
      <c r="O172" s="14">
        <f>M172-N172</f>
        <v/>
      </c>
      <c r="P172" s="14">
        <f>P173+O172</f>
        <v/>
      </c>
      <c r="Q172" s="14" t="n">
        <v>401371666</v>
      </c>
      <c r="R172" s="14" t="n">
        <v>1479582</v>
      </c>
      <c r="S172" s="14" t="n">
        <v>1065200</v>
      </c>
      <c r="T172" s="14">
        <f>R172-S172</f>
        <v/>
      </c>
      <c r="U172" s="14">
        <f>U173+T172</f>
        <v/>
      </c>
      <c r="V172" s="14" t="n">
        <v>135400</v>
      </c>
    </row>
    <row r="173">
      <c r="A173" s="14" t="n">
        <v>82</v>
      </c>
      <c r="B173" s="15" t="n">
        <v>46034</v>
      </c>
      <c r="C173" s="14" t="n">
        <v>4993853</v>
      </c>
      <c r="D173" s="14" t="n">
        <v>4677078</v>
      </c>
      <c r="E173" s="14">
        <f>C173-D173</f>
        <v/>
      </c>
      <c r="F173" s="14">
        <f>F174+E173</f>
        <v/>
      </c>
      <c r="G173" s="14" t="n">
        <v>73570920</v>
      </c>
      <c r="H173" s="14" t="n">
        <v>19001</v>
      </c>
      <c r="I173" s="14" t="n">
        <v>361395</v>
      </c>
      <c r="J173" s="14">
        <f>H173-I173</f>
        <v/>
      </c>
      <c r="K173" s="14">
        <f>K174+J173</f>
        <v/>
      </c>
      <c r="L173" s="14" t="n">
        <v>19200</v>
      </c>
      <c r="M173" s="14" t="n">
        <v>10862200</v>
      </c>
      <c r="N173" s="14" t="n">
        <v>1683836</v>
      </c>
      <c r="O173" s="14">
        <f>M173-N173</f>
        <v/>
      </c>
      <c r="P173" s="14">
        <f>P174+O173</f>
        <v/>
      </c>
      <c r="Q173" s="14" t="n">
        <v>407870013</v>
      </c>
      <c r="R173" s="14" t="n">
        <v>14600</v>
      </c>
      <c r="S173" s="14" t="n">
        <v>1000</v>
      </c>
      <c r="T173" s="14">
        <f>R173-S173</f>
        <v/>
      </c>
      <c r="U173" s="14">
        <f>U174+T173</f>
        <v/>
      </c>
      <c r="V173" s="14" t="n">
        <v>549782</v>
      </c>
    </row>
    <row r="174" ht="15.75" customHeight="1">
      <c r="A174" s="14" t="n">
        <v>83</v>
      </c>
      <c r="B174" s="15" t="n">
        <v>46031</v>
      </c>
      <c r="C174" s="14" t="n">
        <v>3455002</v>
      </c>
      <c r="D174" s="14" t="n">
        <v>3534900</v>
      </c>
      <c r="E174" s="14">
        <f>C174-D174</f>
        <v/>
      </c>
      <c r="F174" s="14">
        <f>F175+E174</f>
        <v/>
      </c>
      <c r="G174" s="14" t="n">
        <v>70514660</v>
      </c>
      <c r="H174" s="14" t="n">
        <v>17</v>
      </c>
      <c r="I174" s="14" t="n">
        <v>647</v>
      </c>
      <c r="J174" s="14">
        <f>H174-I174</f>
        <v/>
      </c>
      <c r="K174" s="14">
        <f>K175+J174</f>
        <v/>
      </c>
      <c r="L174" s="14" t="n">
        <v>19200</v>
      </c>
      <c r="M174" s="14" t="n">
        <v>1930442</v>
      </c>
      <c r="N174" s="14" t="n">
        <v>1998495</v>
      </c>
      <c r="O174" s="14">
        <f>M174-N174</f>
        <v/>
      </c>
      <c r="P174" s="14">
        <f>P175+O174</f>
        <v/>
      </c>
      <c r="Q174" s="14" t="n">
        <v>417080077</v>
      </c>
      <c r="R174" s="14" t="n">
        <v>3332939</v>
      </c>
      <c r="S174" s="14" t="n">
        <v>464600</v>
      </c>
      <c r="T174" s="14">
        <f>R174-S174</f>
        <v/>
      </c>
      <c r="U174" s="14">
        <f>U175+T174</f>
        <v/>
      </c>
      <c r="V174" s="14" t="n">
        <v>14600</v>
      </c>
    </row>
    <row r="175" ht="15.75" customHeight="1">
      <c r="A175" s="14" t="n">
        <v>84</v>
      </c>
      <c r="B175" s="15" t="n">
        <v>46030</v>
      </c>
      <c r="C175" s="14" t="n">
        <v>2332065</v>
      </c>
      <c r="D175" s="14" t="n">
        <v>5705100</v>
      </c>
      <c r="E175" s="14">
        <f>C175-D175</f>
        <v/>
      </c>
      <c r="F175" s="14">
        <f>F176+E175</f>
        <v/>
      </c>
      <c r="G175" s="14" t="n">
        <v>67242060</v>
      </c>
      <c r="H175" s="14" t="n">
        <v>35600</v>
      </c>
      <c r="I175" s="14" t="n">
        <v>1000</v>
      </c>
      <c r="J175" s="14">
        <f>H175-I175</f>
        <v/>
      </c>
      <c r="K175" s="14">
        <f>K176+J175</f>
        <v/>
      </c>
      <c r="L175" s="14" t="n">
        <v>35500</v>
      </c>
      <c r="M175" s="14" t="n">
        <v>2987000</v>
      </c>
      <c r="N175" s="14" t="n">
        <v>964811</v>
      </c>
      <c r="O175" s="14">
        <f>M175-N175</f>
        <v/>
      </c>
      <c r="P175" s="14">
        <f>P176+O175</f>
        <v/>
      </c>
      <c r="Q175" s="14" t="n">
        <v>418657646</v>
      </c>
      <c r="R175" s="14" t="n">
        <v>1628219</v>
      </c>
      <c r="S175" s="14" t="n">
        <v>2177001</v>
      </c>
      <c r="T175" s="14">
        <f>R175-S175</f>
        <v/>
      </c>
      <c r="U175" s="14">
        <f>U176+T175</f>
        <v/>
      </c>
      <c r="V175" s="14" t="n">
        <v>2808920</v>
      </c>
    </row>
    <row r="176" ht="15.75" customHeight="1">
      <c r="A176" s="14" t="n">
        <v>85</v>
      </c>
      <c r="B176" s="15" t="n">
        <v>46029</v>
      </c>
      <c r="C176" s="14" t="n">
        <v>5437860</v>
      </c>
      <c r="D176" s="14" t="n">
        <v>3293000</v>
      </c>
      <c r="E176" s="14">
        <f>C176-D176</f>
        <v/>
      </c>
      <c r="F176" s="14">
        <f>F177+E176</f>
        <v/>
      </c>
      <c r="G176" s="14" t="n">
        <v>68656860</v>
      </c>
      <c r="H176" s="14" t="n">
        <v>100</v>
      </c>
      <c r="I176" s="14" t="n">
        <v>18300</v>
      </c>
      <c r="J176" s="14">
        <f>H176-I176</f>
        <v/>
      </c>
      <c r="K176" s="14">
        <f>K177+J176</f>
        <v/>
      </c>
      <c r="L176" s="14" t="n">
        <v>35600</v>
      </c>
      <c r="M176" s="14" t="n">
        <v>5724842</v>
      </c>
      <c r="N176" s="14" t="n">
        <v>700133</v>
      </c>
      <c r="O176" s="14">
        <f>M176-N176</f>
        <v/>
      </c>
      <c r="P176" s="14">
        <f>P177+O176</f>
        <v/>
      </c>
      <c r="Q176" s="14" t="n">
        <v>419129766</v>
      </c>
      <c r="R176" s="14" t="n">
        <v>166000</v>
      </c>
      <c r="S176" s="14" t="n">
        <v>74019</v>
      </c>
      <c r="T176" s="14">
        <f>R176-S176</f>
        <v/>
      </c>
      <c r="U176" s="14">
        <f>U177+T176</f>
        <v/>
      </c>
      <c r="V176" s="14" t="n">
        <v>14119</v>
      </c>
    </row>
    <row r="177" ht="15.75" customHeight="1">
      <c r="A177" s="14" t="n">
        <v>86</v>
      </c>
      <c r="B177" s="15" t="n">
        <v>46028</v>
      </c>
      <c r="C177" s="14" t="n">
        <v>1367000</v>
      </c>
      <c r="D177" s="14" t="n">
        <v>3224800</v>
      </c>
      <c r="E177" s="14">
        <f>C177-D177</f>
        <v/>
      </c>
      <c r="F177" s="14">
        <f>F178+E177</f>
        <v/>
      </c>
      <c r="G177" s="14" t="n">
        <v>70801720</v>
      </c>
      <c r="H177" s="14" t="n">
        <v>9506</v>
      </c>
      <c r="I177" s="14" t="n">
        <v>0</v>
      </c>
      <c r="J177" s="14">
        <f>H177-I177</f>
        <v/>
      </c>
      <c r="K177" s="14">
        <f>K178+J177</f>
        <v/>
      </c>
      <c r="L177" s="14" t="n">
        <v>100</v>
      </c>
      <c r="M177" s="14" t="n">
        <v>7566200</v>
      </c>
      <c r="N177" s="14" t="n">
        <v>1712243</v>
      </c>
      <c r="O177" s="14">
        <f>M177-N177</f>
        <v/>
      </c>
      <c r="P177" s="14">
        <f>P178+O177</f>
        <v/>
      </c>
      <c r="Q177" s="14" t="n">
        <v>421928265</v>
      </c>
      <c r="R177" s="14" t="n">
        <v>198500</v>
      </c>
      <c r="S177" s="14" t="n">
        <v>3067320</v>
      </c>
      <c r="T177" s="14">
        <f>R177-S177</f>
        <v/>
      </c>
      <c r="U177" s="14">
        <f>U178+T177</f>
        <v/>
      </c>
      <c r="V177" s="14" t="n">
        <v>106100</v>
      </c>
    </row>
    <row r="178" ht="15.75" customHeight="1">
      <c r="A178" s="14" t="n">
        <v>87</v>
      </c>
      <c r="B178" s="15" t="n">
        <v>46027</v>
      </c>
      <c r="C178" s="14" t="n">
        <v>1627190</v>
      </c>
      <c r="D178" s="14" t="n">
        <v>901706</v>
      </c>
      <c r="E178" s="14">
        <f>C178-D178</f>
        <v/>
      </c>
      <c r="F178" s="14" t="n"/>
      <c r="G178" s="14" t="n">
        <v>70801720</v>
      </c>
      <c r="H178" s="14" t="n">
        <v>5300</v>
      </c>
      <c r="I178" s="14" t="n">
        <v>40800</v>
      </c>
      <c r="J178" s="14">
        <f>H178-I178</f>
        <v/>
      </c>
      <c r="K178" s="14" t="n"/>
      <c r="L178" s="14" t="n">
        <v>9606</v>
      </c>
      <c r="M178" s="14" t="n">
        <v>435400</v>
      </c>
      <c r="N178" s="14" t="n">
        <v>2700510</v>
      </c>
      <c r="O178" s="14">
        <f>M178-N178</f>
        <v/>
      </c>
      <c r="P178" s="14" t="n"/>
      <c r="Q178" s="14" t="n">
        <v>427782222</v>
      </c>
      <c r="R178" s="14" t="n">
        <v>332209</v>
      </c>
      <c r="S178" s="14" t="n">
        <v>202950</v>
      </c>
      <c r="T178" s="14">
        <f>R178-S178</f>
        <v/>
      </c>
      <c r="U178" s="14" t="n"/>
      <c r="V178" s="14" t="n">
        <v>106100</v>
      </c>
    </row>
    <row r="179" ht="15.75" customHeight="1">
      <c r="C179" s="3" t="n"/>
      <c r="D179" s="3" t="n"/>
      <c r="E179" s="3" t="n"/>
      <c r="F179" s="3" t="n"/>
      <c r="G179" s="3" t="n"/>
      <c r="H179" s="3" t="n"/>
      <c r="I179" s="3" t="n"/>
    </row>
    <row r="180" ht="15.75" customHeight="1">
      <c r="C180" s="4" t="n"/>
      <c r="D180" s="4" t="n"/>
      <c r="E180" s="4" t="n"/>
      <c r="F180" s="4" t="n"/>
      <c r="G180" s="4" t="n"/>
      <c r="H180" s="4" t="n"/>
      <c r="I180" s="4" t="n"/>
    </row>
    <row r="181" ht="15.75" customHeight="1">
      <c r="A181" s="3" t="inlineStr">
        <is>
          <t>Contact</t>
        </is>
      </c>
      <c r="B181" s="3" t="n"/>
      <c r="C181" s="4" t="n"/>
      <c r="D181" s="4" t="n"/>
      <c r="E181" s="4" t="n"/>
      <c r="F181" s="4" t="n"/>
      <c r="G181" s="4" t="n"/>
      <c r="H181" s="4" t="n"/>
      <c r="I181" s="4" t="n"/>
    </row>
    <row r="182" ht="15.75" customHeight="1">
      <c r="A182" s="3" t="inlineStr">
        <is>
          <t>CÔNG TY CỔ PHẦN FIINGROUP VIỆT NAM</t>
        </is>
      </c>
      <c r="B182" s="3" t="n"/>
      <c r="C182" s="5" t="n"/>
      <c r="D182" s="5" t="n"/>
      <c r="E182" s="5" t="n"/>
      <c r="F182" s="5" t="n"/>
      <c r="G182" s="5" t="n"/>
      <c r="H182" s="5" t="n"/>
      <c r="I182" s="5" t="n"/>
    </row>
    <row r="183" ht="15.75" customHeight="1">
      <c r="A183" s="4" t="inlineStr">
        <is>
          <t>Trụ sở: Tầng 10, Tòa nhà PeakView, 36 Hoàng Cầu, Đống Đa, Hà Nội, Việt Nam</t>
        </is>
      </c>
      <c r="B183" s="4" t="n"/>
    </row>
    <row r="184" ht="15.75" customHeight="1">
      <c r="A184" s="4" t="inlineStr">
        <is>
          <t>Chi nhánh: Tầng 16, Tòa nhà Bitexco Financial Tower, số 2 Hải Triều , Phường Bến Nghé, Quận 1, TP. Hồ Chí Minh, Việt Nam</t>
        </is>
      </c>
      <c r="B184" s="4" t="n"/>
      <c r="C184" s="3" t="n"/>
      <c r="D184" s="3" t="n"/>
      <c r="E184" s="3" t="n"/>
      <c r="F184" s="3" t="n"/>
      <c r="G184" s="3" t="n"/>
      <c r="H184" s="3" t="n"/>
      <c r="I184" s="3" t="n"/>
    </row>
    <row r="185">
      <c r="A185" s="1" t="inlineStr">
        <is>
          <t>Website: https://fiingroup.vn</t>
        </is>
      </c>
      <c r="B185" s="5" t="n"/>
      <c r="C185" s="4" t="n"/>
      <c r="D185" s="4" t="n"/>
      <c r="E185" s="4" t="n"/>
      <c r="F185" s="4" t="n"/>
      <c r="G185" s="4" t="n"/>
      <c r="H185" s="4" t="n"/>
      <c r="I185" s="4" t="n"/>
    </row>
    <row r="186">
      <c r="A186" t="inlineStr">
        <is>
          <t>mailto:fiinpro.support@fiingroup.vn</t>
        </is>
      </c>
      <c r="C186" s="5" t="n"/>
      <c r="D186" s="5" t="n"/>
      <c r="E186" s="5" t="n"/>
      <c r="F186" s="5" t="n"/>
      <c r="G186" s="5" t="n"/>
      <c r="H186" s="5" t="n"/>
      <c r="I186" s="5" t="n"/>
    </row>
    <row r="187">
      <c r="A187" s="3" t="inlineStr">
        <is>
          <t>TRUNG TÂM CHĂM SÓC KHÁCH HÀNG</t>
        </is>
      </c>
      <c r="B187" s="3" t="n"/>
    </row>
    <row r="188">
      <c r="A188" s="4" t="inlineStr">
        <is>
          <t>T: (84-24) - 3562 6962 - Ext: 103</t>
        </is>
      </c>
      <c r="B188" s="4" t="n"/>
    </row>
    <row r="189">
      <c r="A189" s="1" t="inlineStr">
        <is>
          <t>Email: fiinpro.support@fiingroup.vn</t>
        </is>
      </c>
      <c r="B189" s="5" t="n"/>
      <c r="C189" s="5" t="n"/>
      <c r="D189" s="5" t="n"/>
      <c r="E189" s="5" t="n"/>
      <c r="F189" s="5" t="n"/>
      <c r="G189" s="5" t="n"/>
      <c r="H189" s="5" t="n"/>
      <c r="I189" s="5" t="n"/>
      <c r="J189" s="2" t="n"/>
      <c r="K189" s="2" t="n"/>
      <c r="L189" s="2" t="n"/>
    </row>
    <row r="190">
      <c r="A190" t="inlineStr">
        <is>
          <t>https://fiingroup.vn/</t>
        </is>
      </c>
    </row>
    <row r="191"/>
    <row r="192"/>
    <row r="193"/>
    <row r="194">
      <c r="A194" t="inlineStr">
        <is>
          <t>mailto:fiinpro.support@fiingroup.vn</t>
        </is>
      </c>
    </row>
    <row r="195">
      <c r="A195" t="inlineStr">
        <is>
          <t>https://fiingroup.vn/</t>
        </is>
      </c>
    </row>
    <row r="196"/>
    <row r="197"/>
    <row r="198"/>
    <row r="199">
      <c r="A199" t="inlineStr">
        <is>
          <t>mailto:fiinpro.support@fiingroup.vn</t>
        </is>
      </c>
    </row>
  </sheetData>
  <autoFilter ref="A9:V9">
    <sortState ref="A10:V96">
      <sortCondition descending="1" ref="B9:B96"/>
    </sortState>
  </autoFilter>
  <mergeCells count="4">
    <mergeCell ref="M8:Q8"/>
    <mergeCell ref="C8:G8"/>
    <mergeCell ref="H8:L8"/>
    <mergeCell ref="R8:V8"/>
  </mergeCells>
  <hyperlinks>
    <hyperlink xmlns:r="http://schemas.openxmlformats.org/officeDocument/2006/relationships" ref="A130" display="https://fiingroup.vn/" r:id="rId1"/>
    <hyperlink xmlns:r="http://schemas.openxmlformats.org/officeDocument/2006/relationships" ref="A134" display="mailto:fiinpro.support@fiingroup.vn" r:id="rId2"/>
  </hyperlinks>
  <pageMargins left="0.7" right="0.7" top="0.75" bottom="0.75" header="0.3" footer="0.3"/>
  <pageSetup orientation="portrait"/>
  <drawing xmlns:r="http://schemas.openxmlformats.org/officeDocument/2006/relationships" r:id="rId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K173"/>
  <sheetViews>
    <sheetView workbookViewId="0">
      <selection activeCell="H9" sqref="H9"/>
    </sheetView>
  </sheetViews>
  <sheetFormatPr baseColWidth="8" defaultColWidth="11.42578125" defaultRowHeight="15"/>
  <cols>
    <col width="11.7109375" bestFit="1" customWidth="1" min="2" max="2"/>
    <col width="11.7109375" bestFit="1" customWidth="1" min="4" max="5"/>
    <col width="11.7109375" bestFit="1" customWidth="1" min="8" max="8"/>
    <col width="11.7109375" bestFit="1" customWidth="1" min="10" max="11"/>
  </cols>
  <sheetData>
    <row r="4" ht="17.1" customHeight="1">
      <c r="A4" s="12" t="inlineStr">
        <is>
          <t>Ngày</t>
        </is>
      </c>
      <c r="B4" s="12" t="inlineStr">
        <is>
          <t>ACB</t>
        </is>
      </c>
      <c r="C4" s="12" t="inlineStr">
        <is>
          <t>VIB</t>
        </is>
      </c>
      <c r="D4" s="12" t="inlineStr">
        <is>
          <t>VPB</t>
        </is>
      </c>
      <c r="E4" s="12" t="inlineStr">
        <is>
          <t>TCB</t>
        </is>
      </c>
      <c r="H4" s="12" t="inlineStr">
        <is>
          <t>ACB</t>
        </is>
      </c>
      <c r="I4" s="12" t="inlineStr">
        <is>
          <t>VIB</t>
        </is>
      </c>
      <c r="J4" s="12" t="inlineStr">
        <is>
          <t>VPB</t>
        </is>
      </c>
      <c r="K4" s="12" t="inlineStr">
        <is>
          <t>TCB</t>
        </is>
      </c>
    </row>
    <row r="5">
      <c r="A5" s="17" t="n">
        <v>46276</v>
      </c>
      <c r="B5" s="16" t="n">
        <v>-262721036</v>
      </c>
      <c r="C5" s="16" t="n">
        <v>-53598471</v>
      </c>
      <c r="D5" s="16" t="n">
        <v>-146857711</v>
      </c>
      <c r="E5" s="16" t="n">
        <v>-121214897</v>
      </c>
      <c r="F5" s="17" t="inlineStr"/>
      <c r="G5" s="26" t="inlineStr">
        <is>
          <t>Tháng 3</t>
        </is>
      </c>
      <c r="H5" s="16">
        <f>IFERROR(SUMIFS(Sheet1!$E$10:$E$5000,Sheet1!$B$10:$B$5000,"&gt;="&amp;DATE(YEAR(MAX(Sheet1!$B$10:$B$5000)),VALUE(SUBSTITUTE($G5,"Tháng ","")),1),Sheet1!$B$10:$B$5000,"&lt;"&amp;EDATE(DATE(YEAR(MAX(Sheet1!$B$10:$B$5000)),VALUE(SUBSTITUTE($G5,"Tháng ","")),1),1)),0)</f>
        <v/>
      </c>
      <c r="I5" s="16">
        <f>IFERROR(SUMIFS(Sheet1!$J$10:$J$5000,Sheet1!$B$10:$B$5000,"&gt;="&amp;DATE(YEAR(MAX(Sheet1!$B$10:$B$5000)),VALUE(SUBSTITUTE($G5,"Tháng ","")),1),Sheet1!$B$10:$B$5000,"&lt;"&amp;EDATE(DATE(YEAR(MAX(Sheet1!$B$10:$B$5000)),VALUE(SUBSTITUTE($G5,"Tháng ","")),1),1)),0)</f>
        <v/>
      </c>
      <c r="J5" s="16">
        <f>IFERROR(SUMIFS(Sheet1!$O$10:$O$5000,Sheet1!$B$10:$B$5000,"&gt;="&amp;DATE(YEAR(MAX(Sheet1!$B$10:$B$5000)),VALUE(SUBSTITUTE($G5,"Tháng ","")),1),Sheet1!$B$10:$B$5000,"&lt;"&amp;EDATE(DATE(YEAR(MAX(Sheet1!$B$10:$B$5000)),VALUE(SUBSTITUTE($G5,"Tháng ","")),1),1)),0)</f>
        <v/>
      </c>
      <c r="K5" s="16">
        <f>IFERROR(SUMIFS(Sheet1!$T$10:$T$5000,Sheet1!$B$10:$B$5000,"&gt;="&amp;DATE(YEAR(MAX(Sheet1!$B$10:$B$5000)),VALUE(SUBSTITUTE($G5,"Tháng ","")),1),Sheet1!$B$10:$B$5000,"&lt;"&amp;EDATE(DATE(YEAR(MAX(Sheet1!$B$10:$B$5000)),VALUE(SUBSTITUTE($G5,"Tháng ","")),1),1)),0)</f>
        <v/>
      </c>
    </row>
    <row r="6">
      <c r="A6" s="17" t="n">
        <v>46275</v>
      </c>
      <c r="B6" s="16" t="n">
        <v>-261740523</v>
      </c>
      <c r="C6" s="16" t="n">
        <v>-53386316</v>
      </c>
      <c r="D6" s="16" t="n">
        <v>-142016896</v>
      </c>
      <c r="E6" s="16" t="n">
        <v>-122272076</v>
      </c>
      <c r="F6" s="17" t="inlineStr"/>
      <c r="G6" s="26" t="inlineStr">
        <is>
          <t>Tháng 4</t>
        </is>
      </c>
      <c r="H6" s="16">
        <f>IFERROR(SUMIFS(Sheet1!$E$10:$E$5000,Sheet1!$B$10:$B$5000,"&gt;="&amp;DATE(YEAR(MAX(Sheet1!$B$10:$B$5000)),VALUE(SUBSTITUTE($G6,"Tháng ","")),1),Sheet1!$B$10:$B$5000,"&lt;"&amp;EDATE(DATE(YEAR(MAX(Sheet1!$B$10:$B$5000)),VALUE(SUBSTITUTE($G6,"Tháng ","")),1),1)),0)</f>
        <v/>
      </c>
      <c r="I6" s="16">
        <f>IFERROR(SUMIFS(Sheet1!$J$10:$J$5000,Sheet1!$B$10:$B$5000,"&gt;="&amp;DATE(YEAR(MAX(Sheet1!$B$10:$B$5000)),VALUE(SUBSTITUTE($G6,"Tháng ","")),1),Sheet1!$B$10:$B$5000,"&lt;"&amp;EDATE(DATE(YEAR(MAX(Sheet1!$B$10:$B$5000)),VALUE(SUBSTITUTE($G6,"Tháng ","")),1),1)),0)</f>
        <v/>
      </c>
      <c r="J6" s="16">
        <f>IFERROR(SUMIFS(Sheet1!$O$10:$O$5000,Sheet1!$B$10:$B$5000,"&gt;="&amp;DATE(YEAR(MAX(Sheet1!$B$10:$B$5000)),VALUE(SUBSTITUTE($G6,"Tháng ","")),1),Sheet1!$B$10:$B$5000,"&lt;"&amp;EDATE(DATE(YEAR(MAX(Sheet1!$B$10:$B$5000)),VALUE(SUBSTITUTE($G6,"Tháng ","")),1),1)),0)</f>
        <v/>
      </c>
      <c r="K6" s="16">
        <f>IFERROR(SUMIFS(Sheet1!$T$10:$T$5000,Sheet1!$B$10:$B$5000,"&gt;="&amp;DATE(YEAR(MAX(Sheet1!$B$10:$B$5000)),VALUE(SUBSTITUTE($G6,"Tháng ","")),1),Sheet1!$B$10:$B$5000,"&lt;"&amp;EDATE(DATE(YEAR(MAX(Sheet1!$B$10:$B$5000)),VALUE(SUBSTITUTE($G6,"Tháng ","")),1),1)),0)</f>
        <v/>
      </c>
    </row>
    <row r="7">
      <c r="A7" s="17" t="n">
        <v>46274</v>
      </c>
      <c r="B7" s="16" t="n">
        <v>-262288292</v>
      </c>
      <c r="C7" s="16" t="n">
        <v>-53299281</v>
      </c>
      <c r="D7" s="16" t="n">
        <v>-143055092</v>
      </c>
      <c r="E7" s="16" t="n">
        <v>-123221976</v>
      </c>
      <c r="F7" s="17" t="inlineStr"/>
      <c r="G7" s="26" t="inlineStr">
        <is>
          <t>Tháng 5</t>
        </is>
      </c>
      <c r="H7" s="16">
        <f>IFERROR(SUMIFS(Sheet1!$E$10:$E$5000,Sheet1!$B$10:$B$5000,"&gt;="&amp;DATE(YEAR(MAX(Sheet1!$B$10:$B$5000)),VALUE(SUBSTITUTE($G7,"Tháng ","")),1),Sheet1!$B$10:$B$5000,"&lt;"&amp;EDATE(DATE(YEAR(MAX(Sheet1!$B$10:$B$5000)),VALUE(SUBSTITUTE($G7,"Tháng ","")),1),1)),0)</f>
        <v/>
      </c>
      <c r="I7" s="16">
        <f>IFERROR(SUMIFS(Sheet1!$J$10:$J$5000,Sheet1!$B$10:$B$5000,"&gt;="&amp;DATE(YEAR(MAX(Sheet1!$B$10:$B$5000)),VALUE(SUBSTITUTE($G7,"Tháng ","")),1),Sheet1!$B$10:$B$5000,"&lt;"&amp;EDATE(DATE(YEAR(MAX(Sheet1!$B$10:$B$5000)),VALUE(SUBSTITUTE($G7,"Tháng ","")),1),1)),0)</f>
        <v/>
      </c>
      <c r="J7" s="16">
        <f>IFERROR(SUMIFS(Sheet1!$O$10:$O$5000,Sheet1!$B$10:$B$5000,"&gt;="&amp;DATE(YEAR(MAX(Sheet1!$B$10:$B$5000)),VALUE(SUBSTITUTE($G7,"Tháng ","")),1),Sheet1!$B$10:$B$5000,"&lt;"&amp;EDATE(DATE(YEAR(MAX(Sheet1!$B$10:$B$5000)),VALUE(SUBSTITUTE($G7,"Tháng ","")),1),1)),0)</f>
        <v/>
      </c>
      <c r="K7" s="16">
        <f>IFERROR(SUMIFS(Sheet1!$T$10:$T$5000,Sheet1!$B$10:$B$5000,"&gt;="&amp;DATE(YEAR(MAX(Sheet1!$B$10:$B$5000)),VALUE(SUBSTITUTE($G7,"Tháng ","")),1),Sheet1!$B$10:$B$5000,"&lt;"&amp;EDATE(DATE(YEAR(MAX(Sheet1!$B$10:$B$5000)),VALUE(SUBSTITUTE($G7,"Tháng ","")),1),1)),0)</f>
        <v/>
      </c>
    </row>
    <row r="8">
      <c r="A8" s="17" t="n">
        <v>46273</v>
      </c>
      <c r="B8" s="16" t="n">
        <v>-261580192</v>
      </c>
      <c r="C8" s="16" t="n">
        <v>-55249581</v>
      </c>
      <c r="D8" s="16" t="n">
        <v>-141227292</v>
      </c>
      <c r="E8" s="16" t="n">
        <v>-126529244</v>
      </c>
      <c r="F8" s="17" t="inlineStr"/>
      <c r="G8" s="26" t="inlineStr">
        <is>
          <t>Tháng 6</t>
        </is>
      </c>
      <c r="H8" s="16">
        <f>IFERROR(SUMIFS(Sheet1!$E$10:$E$5000,Sheet1!$B$10:$B$5000,"&gt;="&amp;DATE(YEAR(MAX(Sheet1!$B$10:$B$5000)),VALUE(SUBSTITUTE($G8,"Tháng ","")),1),Sheet1!$B$10:$B$5000,"&lt;"&amp;EDATE(DATE(YEAR(MAX(Sheet1!$B$10:$B$5000)),VALUE(SUBSTITUTE($G8,"Tháng ","")),1),1)),0)</f>
        <v/>
      </c>
      <c r="I8" s="16">
        <f>IFERROR(SUMIFS(Sheet1!$J$10:$J$5000,Sheet1!$B$10:$B$5000,"&gt;="&amp;DATE(YEAR(MAX(Sheet1!$B$10:$B$5000)),VALUE(SUBSTITUTE($G8,"Tháng ","")),1),Sheet1!$B$10:$B$5000,"&lt;"&amp;EDATE(DATE(YEAR(MAX(Sheet1!$B$10:$B$5000)),VALUE(SUBSTITUTE($G8,"Tháng ","")),1),1)),0)</f>
        <v/>
      </c>
      <c r="J8" s="16">
        <f>IFERROR(SUMIFS(Sheet1!$O$10:$O$5000,Sheet1!$B$10:$B$5000,"&gt;="&amp;DATE(YEAR(MAX(Sheet1!$B$10:$B$5000)),VALUE(SUBSTITUTE($G8,"Tháng ","")),1),Sheet1!$B$10:$B$5000,"&lt;"&amp;EDATE(DATE(YEAR(MAX(Sheet1!$B$10:$B$5000)),VALUE(SUBSTITUTE($G8,"Tháng ","")),1),1)),0)</f>
        <v/>
      </c>
      <c r="K8" s="16">
        <f>IFERROR(SUMIFS(Sheet1!$T$10:$T$5000,Sheet1!$B$10:$B$5000,"&gt;="&amp;DATE(YEAR(MAX(Sheet1!$B$10:$B$5000)),VALUE(SUBSTITUTE($G8,"Tháng ","")),1),Sheet1!$B$10:$B$5000,"&lt;"&amp;EDATE(DATE(YEAR(MAX(Sheet1!$B$10:$B$5000)),VALUE(SUBSTITUTE($G8,"Tháng ","")),1),1)),0)</f>
        <v/>
      </c>
    </row>
    <row r="9">
      <c r="A9" s="17" t="n">
        <v>46272</v>
      </c>
      <c r="B9" s="16" t="n">
        <v>-261927904</v>
      </c>
      <c r="C9" s="16" t="n">
        <v>-58071513</v>
      </c>
      <c r="D9" s="16" t="n">
        <v>-138393645</v>
      </c>
      <c r="E9" s="16" t="n">
        <v>-126375411</v>
      </c>
      <c r="F9" s="17" t="inlineStr"/>
      <c r="G9" s="26" t="inlineStr">
        <is>
          <t>Tháng 7</t>
        </is>
      </c>
      <c r="H9" s="16">
        <f>IFERROR(SUMIFS(Sheet1!$E$10:$E$5000,Sheet1!$B$10:$B$5000,"&gt;="&amp;DATE(YEAR(MAX(Sheet1!$B$10:$B$5000)),VALUE(SUBSTITUTE($G9,"Tháng ","")),1),Sheet1!$B$10:$B$5000,"&lt;"&amp;EDATE(DATE(YEAR(MAX(Sheet1!$B$10:$B$5000)),VALUE(SUBSTITUTE($G9,"Tháng ","")),1),1)),0)</f>
        <v/>
      </c>
      <c r="I9" s="16">
        <f>IFERROR(SUMIFS(Sheet1!$J$10:$J$5000,Sheet1!$B$10:$B$5000,"&gt;="&amp;DATE(YEAR(MAX(Sheet1!$B$10:$B$5000)),VALUE(SUBSTITUTE($G9,"Tháng ","")),1),Sheet1!$B$10:$B$5000,"&lt;"&amp;EDATE(DATE(YEAR(MAX(Sheet1!$B$10:$B$5000)),VALUE(SUBSTITUTE($G9,"Tháng ","")),1),1)),0)</f>
        <v/>
      </c>
      <c r="J9" s="16">
        <f>IFERROR(SUMIFS(Sheet1!$O$10:$O$5000,Sheet1!$B$10:$B$5000,"&gt;="&amp;DATE(YEAR(MAX(Sheet1!$B$10:$B$5000)),VALUE(SUBSTITUTE($G9,"Tháng ","")),1),Sheet1!$B$10:$B$5000,"&lt;"&amp;EDATE(DATE(YEAR(MAX(Sheet1!$B$10:$B$5000)),VALUE(SUBSTITUTE($G9,"Tháng ","")),1),1)),0)</f>
        <v/>
      </c>
      <c r="K9" s="16">
        <f>IFERROR(SUMIFS(Sheet1!$T$10:$T$5000,Sheet1!$B$10:$B$5000,"&gt;="&amp;DATE(YEAR(MAX(Sheet1!$B$10:$B$5000)),VALUE(SUBSTITUTE($G9,"Tháng ","")),1),Sheet1!$B$10:$B$5000,"&lt;"&amp;EDATE(DATE(YEAR(MAX(Sheet1!$B$10:$B$5000)),VALUE(SUBSTITUTE($G9,"Tháng ","")),1),1)),0)</f>
        <v/>
      </c>
    </row>
    <row r="10">
      <c r="A10" s="17" t="n">
        <v>46269</v>
      </c>
      <c r="B10" s="16" t="n">
        <v>-261836464</v>
      </c>
      <c r="C10" s="16" t="n">
        <v>-57584513</v>
      </c>
      <c r="D10" s="16" t="n">
        <v>-139632825</v>
      </c>
      <c r="E10" s="16" t="n">
        <v>-125877341</v>
      </c>
      <c r="F10" s="17" t="n"/>
      <c r="G10" s="26" t="inlineStr">
        <is>
          <t>Tháng 8</t>
        </is>
      </c>
      <c r="H10" s="16">
        <f>IFERROR(SUMIFS(Sheet1!$E$10:$E$5000,Sheet1!$B$10:$B$5000,"&gt;="&amp;DATE(YEAR(MAX(Sheet1!$B$10:$B$5000)),VALUE(SUBSTITUTE($G10,"Tháng ","")),1),Sheet1!$B$10:$B$5000,"&lt;"&amp;EDATE(DATE(YEAR(MAX(Sheet1!$B$10:$B$5000)),VALUE(SUBSTITUTE($G10,"Tháng ","")),1),1)),0)</f>
        <v/>
      </c>
      <c r="I10" s="16">
        <f>IFERROR(SUMIFS(Sheet1!$J$10:$J$5000,Sheet1!$B$10:$B$5000,"&gt;="&amp;DATE(YEAR(MAX(Sheet1!$B$10:$B$5000)),VALUE(SUBSTITUTE($G10,"Tháng ","")),1),Sheet1!$B$10:$B$5000,"&lt;"&amp;EDATE(DATE(YEAR(MAX(Sheet1!$B$10:$B$5000)),VALUE(SUBSTITUTE($G10,"Tháng ","")),1),1)),0)</f>
        <v/>
      </c>
      <c r="J10" s="16">
        <f>IFERROR(SUMIFS(Sheet1!$O$10:$O$5000,Sheet1!$B$10:$B$5000,"&gt;="&amp;DATE(YEAR(MAX(Sheet1!$B$10:$B$5000)),VALUE(SUBSTITUTE($G10,"Tháng ","")),1),Sheet1!$B$10:$B$5000,"&lt;"&amp;EDATE(DATE(YEAR(MAX(Sheet1!$B$10:$B$5000)),VALUE(SUBSTITUTE($G10,"Tháng ","")),1),1)),0)</f>
        <v/>
      </c>
      <c r="K10" s="16">
        <f>IFERROR(SUMIFS(Sheet1!$T$10:$T$5000,Sheet1!$B$10:$B$5000,"&gt;="&amp;DATE(YEAR(MAX(Sheet1!$B$10:$B$5000)),VALUE(SUBSTITUTE($G10,"Tháng ","")),1),Sheet1!$B$10:$B$5000,"&lt;"&amp;EDATE(DATE(YEAR(MAX(Sheet1!$B$10:$B$5000)),VALUE(SUBSTITUTE($G10,"Tháng ","")),1),1)),0)</f>
        <v/>
      </c>
    </row>
    <row r="11">
      <c r="A11" s="17" t="n">
        <v>46268</v>
      </c>
      <c r="B11" s="16" t="n">
        <v>-259424996</v>
      </c>
      <c r="C11" s="16" t="n">
        <v>-59560513</v>
      </c>
      <c r="D11" s="16" t="n">
        <v>-143162925</v>
      </c>
      <c r="E11" s="16" t="n">
        <v>-126178341</v>
      </c>
      <c r="F11" s="17" t="n"/>
      <c r="G11" s="30" t="inlineStr">
        <is>
          <t>Tháng 9</t>
        </is>
      </c>
      <c r="H11" s="16">
        <f>IFERROR(SUMIFS(Sheet1!$E$10:$E$5000,Sheet1!$B$10:$B$5000,"&gt;="&amp;DATE(YEAR(MAX(Sheet1!$B$10:$B$5000)),VALUE(SUBSTITUTE($G11,"Tháng ","")),1),Sheet1!$B$10:$B$5000,"&lt;"&amp;EDATE(DATE(YEAR(MAX(Sheet1!$B$10:$B$5000)),VALUE(SUBSTITUTE($G11,"Tháng ","")),1),1)),0)</f>
        <v/>
      </c>
      <c r="I11" s="16">
        <f>IFERROR(SUMIFS(Sheet1!$J$10:$J$5000,Sheet1!$B$10:$B$5000,"&gt;="&amp;DATE(YEAR(MAX(Sheet1!$B$10:$B$5000)),VALUE(SUBSTITUTE($G11,"Tháng ","")),1),Sheet1!$B$10:$B$5000,"&lt;"&amp;EDATE(DATE(YEAR(MAX(Sheet1!$B$10:$B$5000)),VALUE(SUBSTITUTE($G11,"Tháng ","")),1),1)),0)</f>
        <v/>
      </c>
      <c r="J11" s="16">
        <f>IFERROR(SUMIFS(Sheet1!$O$10:$O$5000,Sheet1!$B$10:$B$5000,"&gt;="&amp;DATE(YEAR(MAX(Sheet1!$B$10:$B$5000)),VALUE(SUBSTITUTE($G11,"Tháng ","")),1),Sheet1!$B$10:$B$5000,"&lt;"&amp;EDATE(DATE(YEAR(MAX(Sheet1!$B$10:$B$5000)),VALUE(SUBSTITUTE($G11,"Tháng ","")),1),1)),0)</f>
        <v/>
      </c>
      <c r="K11" s="16">
        <f>IFERROR(SUMIFS(Sheet1!$T$10:$T$5000,Sheet1!$B$10:$B$5000,"&gt;="&amp;DATE(YEAR(MAX(Sheet1!$B$10:$B$5000)),VALUE(SUBSTITUTE($G11,"Tháng ","")),1),Sheet1!$B$10:$B$5000,"&lt;"&amp;EDATE(DATE(YEAR(MAX(Sheet1!$B$10:$B$5000)),VALUE(SUBSTITUTE($G11,"Tháng ","")),1),1)),0)</f>
        <v/>
      </c>
    </row>
    <row r="12">
      <c r="A12" s="17" t="n">
        <v>46262</v>
      </c>
      <c r="B12" s="16" t="n">
        <v>-255746144</v>
      </c>
      <c r="C12" s="16" t="n">
        <v>-59442513</v>
      </c>
      <c r="D12" s="16" t="n">
        <v>-136805703</v>
      </c>
      <c r="E12" s="16" t="n">
        <v>-121418011</v>
      </c>
      <c r="F12" s="17" t="n"/>
      <c r="G12" s="26" t="inlineStr">
        <is>
          <t>Từ đầu năm</t>
        </is>
      </c>
      <c r="H12" s="16">
        <f>IFERROR(SUMIFS(Sheet1!$E$10:$E$5000,Sheet1!$B$10:$B$5000,"&gt;="&amp;DATE(YEAR(MAX(Sheet1!$B$10:$B$5000)),1,1),Sheet1!$B$10:$B$5000,"&lt;="&amp;MAX(Sheet1!$B$10:$B$5000)),0)</f>
        <v/>
      </c>
      <c r="I12" s="16">
        <f>IFERROR(SUMIFS(Sheet1!$J$10:$J$5000,Sheet1!$B$10:$B$5000,"&gt;="&amp;DATE(YEAR(MAX(Sheet1!$B$10:$B$5000)),1,1),Sheet1!$B$10:$B$5000,"&lt;="&amp;MAX(Sheet1!$B$10:$B$5000)),0)</f>
        <v/>
      </c>
      <c r="J12" s="16">
        <f>IFERROR(SUMIFS(Sheet1!$O$10:$O$5000,Sheet1!$B$10:$B$5000,"&gt;="&amp;DATE(YEAR(MAX(Sheet1!$B$10:$B$5000)),1,1),Sheet1!$B$10:$B$5000,"&lt;="&amp;MAX(Sheet1!$B$10:$B$5000)),0)</f>
        <v/>
      </c>
      <c r="K12" s="16">
        <f>IFERROR(SUMIFS(Sheet1!$T$10:$T$5000,Sheet1!$B$10:$B$5000,"&gt;="&amp;DATE(YEAR(MAX(Sheet1!$B$10:$B$5000)),1,1),Sheet1!$B$10:$B$5000,"&lt;="&amp;MAX(Sheet1!$B$10:$B$5000)),0)</f>
        <v/>
      </c>
    </row>
    <row r="13">
      <c r="A13" s="17" t="n">
        <v>46261</v>
      </c>
      <c r="B13" s="16" t="n">
        <v>-256495518</v>
      </c>
      <c r="C13" s="16" t="n">
        <v>-59056713</v>
      </c>
      <c r="D13" s="16" t="n">
        <v>-140876157</v>
      </c>
      <c r="E13" s="16" t="n">
        <v>-127803903</v>
      </c>
      <c r="F13" s="17" t="n"/>
      <c r="G13" s="23" t="n"/>
      <c r="H13" s="24" t="n"/>
      <c r="I13" s="24" t="n"/>
      <c r="J13" s="24" t="n"/>
      <c r="K13" s="24" t="n"/>
    </row>
    <row r="14">
      <c r="A14" s="17" t="n">
        <v>46260</v>
      </c>
      <c r="B14" s="16" t="n">
        <v>-256761848</v>
      </c>
      <c r="C14" s="16" t="n">
        <v>-58117213</v>
      </c>
      <c r="D14" s="16" t="n">
        <v>-144632957</v>
      </c>
      <c r="E14" s="16" t="n">
        <v>-140834302</v>
      </c>
      <c r="F14" s="17" t="n"/>
      <c r="G14" s="23" t="n"/>
      <c r="H14" s="24" t="n"/>
      <c r="I14" s="24" t="n"/>
      <c r="J14" s="24" t="n"/>
      <c r="K14" s="24" t="n"/>
    </row>
    <row r="15">
      <c r="A15" s="17" t="n">
        <v>46259</v>
      </c>
      <c r="B15" s="16" t="n">
        <v>-253266947</v>
      </c>
      <c r="C15" s="16" t="n">
        <v>-58748908</v>
      </c>
      <c r="D15" s="16" t="n">
        <v>-144267366</v>
      </c>
      <c r="E15" s="16" t="n">
        <v>-144838602</v>
      </c>
      <c r="F15" s="17" t="n"/>
      <c r="G15" s="23" t="n"/>
      <c r="H15" s="24" t="n"/>
      <c r="I15" s="24" t="n"/>
      <c r="J15" s="24" t="n"/>
      <c r="K15" s="24" t="n"/>
    </row>
    <row r="16">
      <c r="A16" s="17" t="n">
        <v>46258</v>
      </c>
      <c r="B16" s="16" t="n">
        <v>-251637499</v>
      </c>
      <c r="C16" s="16" t="n">
        <v>-58774204</v>
      </c>
      <c r="D16" s="16" t="n">
        <v>-144572665</v>
      </c>
      <c r="E16" s="16" t="n">
        <v>-141691242</v>
      </c>
      <c r="F16" s="17" t="n"/>
      <c r="G16" s="23" t="n"/>
      <c r="H16" s="24" t="n"/>
      <c r="I16" s="24" t="n"/>
      <c r="J16" s="24" t="n"/>
      <c r="K16" s="24" t="n"/>
    </row>
    <row r="17">
      <c r="A17" s="17" t="n">
        <v>46255</v>
      </c>
      <c r="B17" s="16" t="n">
        <v>-251648160</v>
      </c>
      <c r="C17" s="16" t="n">
        <v>-58587404</v>
      </c>
      <c r="D17" s="16" t="n">
        <v>-147122948</v>
      </c>
      <c r="E17" s="16" t="n">
        <v>-142441470</v>
      </c>
      <c r="F17" s="17" t="n"/>
      <c r="G17" s="20" t="n"/>
      <c r="H17" s="21" t="n"/>
      <c r="I17" s="21" t="n"/>
      <c r="J17" s="21" t="n"/>
      <c r="K17" s="21" t="n"/>
    </row>
    <row r="18">
      <c r="A18" s="17" t="n">
        <v>46254</v>
      </c>
      <c r="B18" s="16" t="n">
        <v>-252253270</v>
      </c>
      <c r="C18" s="16" t="n">
        <v>-59104304</v>
      </c>
      <c r="D18" s="16" t="n">
        <v>-144995548</v>
      </c>
      <c r="E18" s="16" t="n">
        <v>-142435545</v>
      </c>
      <c r="F18" s="17" t="n"/>
      <c r="G18" s="20" t="n"/>
      <c r="H18" s="21" t="n"/>
      <c r="I18" s="21" t="n"/>
      <c r="J18" s="21" t="n"/>
      <c r="K18" s="21" t="n"/>
    </row>
    <row r="19">
      <c r="A19" s="17" t="n">
        <v>46253</v>
      </c>
      <c r="B19" s="16" t="n">
        <v>-250925594</v>
      </c>
      <c r="C19" s="16" t="n">
        <v>-59093391</v>
      </c>
      <c r="D19" s="16" t="n">
        <v>-141502699</v>
      </c>
      <c r="E19" s="16" t="n">
        <v>-142710899</v>
      </c>
      <c r="F19" s="17" t="n"/>
      <c r="G19" s="20" t="n"/>
      <c r="H19" s="21" t="n"/>
      <c r="I19" s="21" t="n"/>
      <c r="J19" s="21" t="n"/>
      <c r="K19" s="21" t="n"/>
    </row>
    <row r="20">
      <c r="A20" s="17" t="n">
        <v>46252</v>
      </c>
      <c r="B20" s="16" t="n">
        <v>-248490772</v>
      </c>
      <c r="C20" s="16" t="n">
        <v>-58845113</v>
      </c>
      <c r="D20" s="16" t="n">
        <v>-137528720</v>
      </c>
      <c r="E20" s="16" t="n">
        <v>-143183271</v>
      </c>
      <c r="F20" s="17" t="n"/>
      <c r="G20" s="19" t="n"/>
      <c r="H20" s="19" t="n"/>
      <c r="I20" s="19" t="n"/>
      <c r="J20" s="19" t="n"/>
      <c r="K20" s="19" t="n"/>
    </row>
    <row r="21">
      <c r="A21" s="17" t="n">
        <v>46251</v>
      </c>
      <c r="B21" s="16" t="n">
        <v>-247412377</v>
      </c>
      <c r="C21" s="16" t="n">
        <v>-58401713</v>
      </c>
      <c r="D21" s="16" t="n">
        <v>-132791020</v>
      </c>
      <c r="E21" s="16" t="n">
        <v>-143487171</v>
      </c>
      <c r="F21" s="17" t="n"/>
      <c r="G21" s="19" t="n"/>
      <c r="H21" s="19" t="n"/>
      <c r="I21" s="19" t="n"/>
      <c r="J21" s="19" t="n"/>
      <c r="K21" s="19" t="n"/>
    </row>
    <row r="22">
      <c r="A22" s="17" t="n">
        <v>46248</v>
      </c>
      <c r="B22" s="16" t="n">
        <v>-243042795</v>
      </c>
      <c r="C22" s="16" t="n">
        <v>-58617113</v>
      </c>
      <c r="D22" s="16" t="n">
        <v>-131973120</v>
      </c>
      <c r="E22" s="16" t="n">
        <v>-145360756</v>
      </c>
      <c r="F22" s="17" t="n"/>
      <c r="G22" s="19" t="n"/>
      <c r="H22" s="19" t="n"/>
      <c r="I22" s="19" t="n"/>
      <c r="J22" s="19" t="n"/>
      <c r="K22" s="19" t="n"/>
    </row>
    <row r="23">
      <c r="A23" s="17" t="n">
        <v>46247</v>
      </c>
      <c r="B23" s="16" t="n">
        <v>-241493624</v>
      </c>
      <c r="C23" s="16" t="n">
        <v>-58274312</v>
      </c>
      <c r="D23" s="16" t="n">
        <v>-130360620</v>
      </c>
      <c r="E23" s="16" t="n">
        <v>-148204387</v>
      </c>
      <c r="F23" s="17" t="n"/>
      <c r="G23" s="19" t="n"/>
      <c r="H23" s="19" t="n"/>
      <c r="I23" s="19" t="n"/>
      <c r="J23" s="19" t="n"/>
      <c r="K23" s="19" t="n"/>
    </row>
    <row r="24">
      <c r="A24" s="17" t="n">
        <v>46246</v>
      </c>
      <c r="B24" s="16" t="n">
        <v>-237363355</v>
      </c>
      <c r="C24" s="16" t="n">
        <v>-58444912</v>
      </c>
      <c r="D24" s="16" t="n">
        <v>-129105741</v>
      </c>
      <c r="E24" s="16" t="n">
        <v>-142850551</v>
      </c>
      <c r="F24" s="17" t="n"/>
      <c r="G24" s="19" t="n"/>
      <c r="H24" s="19" t="n"/>
      <c r="I24" s="19" t="n"/>
      <c r="J24" s="19" t="n"/>
      <c r="K24" s="19" t="n"/>
    </row>
    <row r="25">
      <c r="A25" s="17" t="n">
        <v>46245</v>
      </c>
      <c r="B25" s="16" t="n">
        <v>-234729868</v>
      </c>
      <c r="C25" s="16" t="n">
        <v>-58503212</v>
      </c>
      <c r="D25" s="16" t="n">
        <v>-128626941</v>
      </c>
      <c r="E25" s="16" t="n">
        <v>-141191357</v>
      </c>
      <c r="F25" s="17" t="n"/>
      <c r="G25" s="19" t="n"/>
      <c r="H25" s="19" t="n"/>
      <c r="I25" s="19" t="n"/>
      <c r="J25" s="19" t="n"/>
      <c r="K25" s="19" t="n"/>
    </row>
    <row r="26">
      <c r="A26" s="17" t="n">
        <v>46244</v>
      </c>
      <c r="B26" s="16" t="n">
        <v>-232225298</v>
      </c>
      <c r="C26" s="16" t="n">
        <v>-58445512</v>
      </c>
      <c r="D26" s="16" t="n">
        <v>-127262241</v>
      </c>
      <c r="E26" s="16" t="n">
        <v>-134064057</v>
      </c>
      <c r="F26" s="17" t="n"/>
      <c r="G26" s="19" t="n"/>
      <c r="H26" s="19" t="n"/>
      <c r="I26" s="19" t="n"/>
      <c r="J26" s="19" t="n"/>
      <c r="K26" s="19" t="n"/>
    </row>
    <row r="27">
      <c r="A27" s="17" t="n">
        <v>46241</v>
      </c>
      <c r="B27" s="16" t="n">
        <v>-232041619</v>
      </c>
      <c r="C27" s="16" t="n">
        <v>-58723112</v>
      </c>
      <c r="D27" s="16" t="n">
        <v>-126038627</v>
      </c>
      <c r="E27" s="16" t="n">
        <v>-122273732</v>
      </c>
      <c r="F27" s="17" t="n"/>
      <c r="G27" s="19" t="n"/>
      <c r="H27" s="19" t="n"/>
      <c r="I27" s="19" t="n"/>
      <c r="J27" s="19" t="n"/>
      <c r="K27" s="19" t="n"/>
    </row>
    <row r="28">
      <c r="A28" s="17" t="n">
        <v>46240</v>
      </c>
      <c r="B28" s="16" t="n">
        <v>-232070517</v>
      </c>
      <c r="C28" s="16" t="n">
        <v>-58919512</v>
      </c>
      <c r="D28" s="16" t="n">
        <v>-117811277</v>
      </c>
      <c r="E28" s="16" t="n">
        <v>-114774332</v>
      </c>
      <c r="F28" s="17" t="n"/>
      <c r="G28" s="19" t="n"/>
      <c r="H28" s="19" t="n"/>
      <c r="I28" s="19" t="n"/>
      <c r="J28" s="19" t="n"/>
      <c r="K28" s="19" t="n"/>
    </row>
    <row r="29">
      <c r="A29" s="17" t="n">
        <v>46239</v>
      </c>
      <c r="B29" s="16" t="n">
        <v>-230244176</v>
      </c>
      <c r="C29" s="16" t="n">
        <v>-58101712</v>
      </c>
      <c r="D29" s="16" t="n">
        <v>-113038970</v>
      </c>
      <c r="E29" s="16" t="n">
        <v>-113775511</v>
      </c>
      <c r="F29" s="17" t="n"/>
      <c r="G29" s="19" t="n"/>
      <c r="H29" s="19" t="n"/>
      <c r="I29" s="19" t="n"/>
      <c r="J29" s="19" t="n"/>
      <c r="K29" s="19" t="n"/>
    </row>
    <row r="30">
      <c r="A30" s="17" t="n">
        <v>46238</v>
      </c>
      <c r="B30" s="16" t="n">
        <v>-230470897</v>
      </c>
      <c r="C30" s="16" t="n">
        <v>-54860950</v>
      </c>
      <c r="D30" s="16" t="n">
        <v>-109188570</v>
      </c>
      <c r="E30" s="16" t="n">
        <v>-113339641</v>
      </c>
      <c r="F30" s="17" t="n"/>
      <c r="G30" s="18" t="n"/>
      <c r="H30" s="18" t="n"/>
      <c r="I30" s="18" t="n"/>
      <c r="J30" s="18" t="n"/>
      <c r="K30" s="18" t="n"/>
    </row>
    <row r="31">
      <c r="A31" s="17" t="n">
        <v>46237</v>
      </c>
      <c r="B31" s="16" t="n">
        <v>-229389797</v>
      </c>
      <c r="C31" s="16" t="n">
        <v>-54094509</v>
      </c>
      <c r="D31" s="16" t="n">
        <v>-105614152</v>
      </c>
      <c r="E31" s="16" t="n">
        <v>-111284052</v>
      </c>
      <c r="F31" s="17" t="n"/>
      <c r="G31" s="18" t="n"/>
      <c r="H31" s="18" t="n"/>
      <c r="I31" s="18" t="n"/>
      <c r="J31" s="18" t="n"/>
      <c r="K31" s="18" t="n"/>
    </row>
    <row r="32">
      <c r="A32" s="17" t="n">
        <v>46234</v>
      </c>
      <c r="B32" s="16" t="n">
        <v>-228820850</v>
      </c>
      <c r="C32" s="16" t="n">
        <v>-53116009</v>
      </c>
      <c r="D32" s="16" t="n">
        <v>-103383042</v>
      </c>
      <c r="E32" s="16" t="n">
        <v>-108872152</v>
      </c>
      <c r="F32" s="17" t="n"/>
      <c r="G32" s="18" t="n"/>
      <c r="H32" s="18" t="n"/>
      <c r="I32" s="18" t="n"/>
      <c r="J32" s="18" t="n"/>
      <c r="K32" s="18" t="n"/>
    </row>
    <row r="33">
      <c r="A33" s="17" t="n">
        <v>46233</v>
      </c>
      <c r="B33" s="16" t="n">
        <v>-226166195</v>
      </c>
      <c r="C33" s="16" t="n">
        <v>-52451609</v>
      </c>
      <c r="D33" s="16" t="n">
        <v>-100645842</v>
      </c>
      <c r="E33" s="16" t="n">
        <v>-106417212</v>
      </c>
      <c r="F33" s="17" t="n"/>
      <c r="G33" s="18" t="n"/>
      <c r="H33" s="18" t="n"/>
      <c r="I33" s="18" t="n"/>
      <c r="J33" s="18" t="n"/>
      <c r="K33" s="18" t="n"/>
    </row>
    <row r="34">
      <c r="A34" s="17" t="n">
        <v>46232</v>
      </c>
      <c r="B34" s="16" t="n">
        <v>-223340221</v>
      </c>
      <c r="C34" s="16" t="n">
        <v>-52275609</v>
      </c>
      <c r="D34" s="16" t="n">
        <v>-99845242</v>
      </c>
      <c r="E34" s="16" t="n">
        <v>-101439572</v>
      </c>
      <c r="F34" s="17" t="n"/>
      <c r="G34" s="18" t="n"/>
      <c r="H34" s="18" t="n"/>
      <c r="I34" s="18" t="n"/>
      <c r="J34" s="18" t="n"/>
      <c r="K34" s="18" t="n"/>
    </row>
    <row r="35">
      <c r="A35" s="17" t="n">
        <v>46231</v>
      </c>
      <c r="B35" s="16" t="n">
        <v>-221288105</v>
      </c>
      <c r="C35" s="16" t="n">
        <v>-51674809</v>
      </c>
      <c r="D35" s="16" t="n">
        <v>-98244669</v>
      </c>
      <c r="E35" s="16" t="n">
        <v>-99722237</v>
      </c>
      <c r="F35" s="17" t="n"/>
    </row>
    <row r="36">
      <c r="A36" s="17" t="n">
        <v>46230</v>
      </c>
      <c r="B36" s="16" t="n">
        <v>-221455305</v>
      </c>
      <c r="C36" s="16" t="n">
        <v>-51938739</v>
      </c>
      <c r="D36" s="16" t="n">
        <v>-95950569</v>
      </c>
      <c r="E36" s="16" t="n">
        <v>-98296067</v>
      </c>
      <c r="F36" s="17" t="n"/>
    </row>
    <row r="37">
      <c r="A37" s="17" t="n">
        <v>46227</v>
      </c>
      <c r="B37" s="16" t="n">
        <v>-219446840</v>
      </c>
      <c r="C37" s="16" t="n">
        <v>-51173038</v>
      </c>
      <c r="D37" s="16" t="n">
        <v>-92048908</v>
      </c>
      <c r="E37" s="16" t="n">
        <v>-95802052</v>
      </c>
      <c r="F37" s="17" t="n"/>
    </row>
    <row r="38">
      <c r="A38" s="17" t="n">
        <v>46226</v>
      </c>
      <c r="B38" s="16" t="n">
        <v>-217405628</v>
      </c>
      <c r="C38" s="16" t="n">
        <v>-50217438</v>
      </c>
      <c r="D38" s="16" t="n">
        <v>-88884218</v>
      </c>
      <c r="E38" s="16" t="n">
        <v>-93165183</v>
      </c>
      <c r="F38" s="17" t="n"/>
    </row>
    <row r="39">
      <c r="A39" s="17" t="n">
        <v>46225</v>
      </c>
      <c r="B39" s="16" t="n">
        <v>-216717633</v>
      </c>
      <c r="C39" s="16" t="n">
        <v>-50918738</v>
      </c>
      <c r="D39" s="16" t="n">
        <v>-85458418</v>
      </c>
      <c r="E39" s="16" t="n">
        <v>-89095983</v>
      </c>
      <c r="F39" s="17" t="n"/>
    </row>
    <row r="40">
      <c r="A40" s="17" t="n">
        <v>46224</v>
      </c>
      <c r="B40" s="16" t="n">
        <v>-208230618</v>
      </c>
      <c r="C40" s="16" t="n">
        <v>-43181457</v>
      </c>
      <c r="D40" s="16" t="n">
        <v>-79036418</v>
      </c>
      <c r="E40" s="16" t="n">
        <v>-86859003</v>
      </c>
      <c r="F40" s="17" t="n"/>
    </row>
    <row r="41">
      <c r="A41" s="17" t="n">
        <v>46223</v>
      </c>
      <c r="B41" s="16" t="n">
        <v>-205358184</v>
      </c>
      <c r="C41" s="16" t="n">
        <v>-43121557</v>
      </c>
      <c r="D41" s="16" t="n">
        <v>-78326318</v>
      </c>
      <c r="E41" s="16" t="n">
        <v>-84880803</v>
      </c>
      <c r="F41" s="17" t="n"/>
    </row>
    <row r="42">
      <c r="A42" s="17" t="n">
        <v>46220</v>
      </c>
      <c r="B42" s="16" t="n">
        <v>-204814940</v>
      </c>
      <c r="C42" s="16" t="n">
        <v>-43122557</v>
      </c>
      <c r="D42" s="16" t="n">
        <v>-75775396</v>
      </c>
      <c r="E42" s="16" t="n">
        <v>-84106403</v>
      </c>
      <c r="F42" s="17" t="n"/>
    </row>
    <row r="43">
      <c r="A43" s="17" t="n">
        <v>46219</v>
      </c>
      <c r="B43" s="16" t="n">
        <v>-203046034</v>
      </c>
      <c r="C43" s="16" t="n">
        <v>-43065002</v>
      </c>
      <c r="D43" s="16" t="n">
        <v>-73314064</v>
      </c>
      <c r="E43" s="16" t="n">
        <v>-81239214</v>
      </c>
      <c r="F43" s="17" t="n"/>
    </row>
    <row r="44">
      <c r="A44" s="17" t="n">
        <v>46218</v>
      </c>
      <c r="B44" s="16" t="n">
        <v>-212292749</v>
      </c>
      <c r="C44" s="16" t="n">
        <v>-43206702</v>
      </c>
      <c r="D44" s="16" t="n">
        <v>-69979264</v>
      </c>
      <c r="E44" s="16" t="n">
        <v>-79324614</v>
      </c>
      <c r="F44" s="17" t="n"/>
    </row>
    <row r="45">
      <c r="A45" s="17" t="n">
        <v>46217</v>
      </c>
      <c r="B45" s="16" t="n">
        <v>-211634609</v>
      </c>
      <c r="C45" s="16" t="n">
        <v>-41711096</v>
      </c>
      <c r="D45" s="16" t="n">
        <v>-67887683</v>
      </c>
      <c r="E45" s="16" t="n">
        <v>-77278528</v>
      </c>
      <c r="F45" s="17" t="n"/>
    </row>
    <row r="46">
      <c r="A46" s="17" t="n">
        <v>46216</v>
      </c>
      <c r="B46" s="16" t="n">
        <v>-212809913</v>
      </c>
      <c r="C46" s="16" t="n">
        <v>-40812822</v>
      </c>
      <c r="D46" s="16" t="n">
        <v>-64661633</v>
      </c>
      <c r="E46" s="16" t="n">
        <v>-75927128</v>
      </c>
      <c r="F46" s="17" t="n"/>
    </row>
    <row r="47">
      <c r="A47" s="17" t="n">
        <v>46213</v>
      </c>
      <c r="B47" s="16" t="n">
        <v>-211848913</v>
      </c>
      <c r="C47" s="16" t="n">
        <v>-37646222</v>
      </c>
      <c r="D47" s="16" t="n">
        <v>-60808803</v>
      </c>
      <c r="E47" s="16" t="n">
        <v>-77450644</v>
      </c>
      <c r="F47" s="17" t="n"/>
    </row>
    <row r="48">
      <c r="A48" s="17" t="n">
        <v>46212</v>
      </c>
      <c r="B48" s="16" t="n">
        <v>-210848101</v>
      </c>
      <c r="C48" s="16" t="n">
        <v>-36359222</v>
      </c>
      <c r="D48" s="16" t="n">
        <v>-57763851</v>
      </c>
      <c r="E48" s="16" t="n">
        <v>-76422044</v>
      </c>
      <c r="F48" s="17" t="n"/>
    </row>
    <row r="49">
      <c r="A49" s="17" t="n">
        <v>46211</v>
      </c>
      <c r="B49" s="16" t="n">
        <v>-211658965</v>
      </c>
      <c r="C49" s="16" t="n">
        <v>-36155523</v>
      </c>
      <c r="D49" s="16" t="n">
        <v>-55261651</v>
      </c>
      <c r="E49" s="16" t="n">
        <v>-73725759</v>
      </c>
      <c r="F49" s="17" t="n"/>
    </row>
    <row r="50">
      <c r="A50" s="17" t="n">
        <v>46210</v>
      </c>
      <c r="B50" s="16" t="n">
        <v>-213004287</v>
      </c>
      <c r="C50" s="16" t="n">
        <v>-34355023</v>
      </c>
      <c r="D50" s="16" t="n">
        <v>-50831041</v>
      </c>
      <c r="E50" s="16" t="n">
        <v>-70409537</v>
      </c>
      <c r="F50" s="17" t="n"/>
    </row>
    <row r="51">
      <c r="A51" s="17" t="n">
        <v>46209</v>
      </c>
      <c r="B51" s="16" t="n">
        <v>-213586287</v>
      </c>
      <c r="C51" s="16" t="n">
        <v>-34304215</v>
      </c>
      <c r="D51" s="16" t="n">
        <v>-50272241</v>
      </c>
      <c r="E51" s="16" t="n">
        <v>-70384837</v>
      </c>
      <c r="F51" s="17" t="n"/>
    </row>
    <row r="52">
      <c r="A52" s="17" t="n">
        <v>46206</v>
      </c>
      <c r="B52" s="16" t="n">
        <v>-213435567</v>
      </c>
      <c r="C52" s="16" t="n">
        <v>-32145579</v>
      </c>
      <c r="D52" s="16" t="n">
        <v>-51631820</v>
      </c>
      <c r="E52" s="16" t="n">
        <v>-70716727</v>
      </c>
      <c r="F52" s="17" t="n"/>
    </row>
    <row r="53">
      <c r="A53" s="17" t="n">
        <v>46205</v>
      </c>
      <c r="B53" s="16" t="n">
        <v>-211479145</v>
      </c>
      <c r="C53" s="16" t="n">
        <v>-28784823</v>
      </c>
      <c r="D53" s="16" t="n">
        <v>-53073120</v>
      </c>
      <c r="E53" s="16" t="n">
        <v>-68027275</v>
      </c>
      <c r="F53" s="17" t="n"/>
    </row>
    <row r="54">
      <c r="A54" s="17" t="n">
        <v>46204</v>
      </c>
      <c r="B54" s="16" t="n">
        <v>-209036645</v>
      </c>
      <c r="C54" s="16" t="n">
        <v>-29069801</v>
      </c>
      <c r="D54" s="16" t="n">
        <v>-52073220</v>
      </c>
      <c r="E54" s="16" t="n">
        <v>-65639295</v>
      </c>
      <c r="F54" s="17" t="n"/>
    </row>
    <row r="55">
      <c r="A55" s="17" t="n">
        <v>46203</v>
      </c>
      <c r="B55" s="16" t="n">
        <v>-208776582</v>
      </c>
      <c r="C55" s="16" t="n">
        <v>-28063201</v>
      </c>
      <c r="D55" s="16" t="n">
        <v>-63886910</v>
      </c>
      <c r="E55" s="16" t="n">
        <v>-65124495</v>
      </c>
      <c r="F55" s="17" t="n"/>
    </row>
    <row r="56">
      <c r="A56" s="17" t="n">
        <v>46202</v>
      </c>
      <c r="B56" s="16" t="n">
        <v>-208827182</v>
      </c>
      <c r="C56" s="16" t="n">
        <v>-28563201</v>
      </c>
      <c r="D56" s="16" t="n">
        <v>-52105810</v>
      </c>
      <c r="E56" s="16" t="n">
        <v>-64071995</v>
      </c>
      <c r="F56" s="17" t="n"/>
    </row>
    <row r="57">
      <c r="A57" s="17" t="n">
        <v>46199</v>
      </c>
      <c r="B57" s="16" t="n">
        <v>-209568902</v>
      </c>
      <c r="C57" s="16" t="n">
        <v>-28432349</v>
      </c>
      <c r="D57" s="16" t="n">
        <v>-50659849</v>
      </c>
      <c r="E57" s="16" t="n">
        <v>-62855005</v>
      </c>
      <c r="F57" s="17" t="n"/>
    </row>
    <row r="58">
      <c r="A58" s="17" t="n">
        <v>46198</v>
      </c>
      <c r="B58" s="16" t="n">
        <v>-212571402</v>
      </c>
      <c r="C58" s="16" t="n">
        <v>-28283249</v>
      </c>
      <c r="D58" s="16" t="n">
        <v>-50811149</v>
      </c>
      <c r="E58" s="16" t="n">
        <v>-62289006</v>
      </c>
      <c r="F58" s="17" t="n"/>
    </row>
    <row r="59">
      <c r="A59" s="17" t="n">
        <v>46197</v>
      </c>
      <c r="B59" s="16" t="n">
        <v>-212583312</v>
      </c>
      <c r="C59" s="16" t="n">
        <v>-28207749</v>
      </c>
      <c r="D59" s="16" t="n">
        <v>-51081349</v>
      </c>
      <c r="E59" s="16" t="n">
        <v>-62540437</v>
      </c>
      <c r="F59" s="17" t="n"/>
    </row>
    <row r="60">
      <c r="A60" s="17" t="n">
        <v>46196</v>
      </c>
      <c r="B60" s="16" t="n">
        <v>-212524841</v>
      </c>
      <c r="C60" s="16" t="n">
        <v>-27060238</v>
      </c>
      <c r="D60" s="16" t="n">
        <v>-47689994</v>
      </c>
      <c r="E60" s="16" t="n">
        <v>-60387976</v>
      </c>
      <c r="F60" s="17" t="n"/>
    </row>
    <row r="61">
      <c r="A61" s="17" t="n">
        <v>46195</v>
      </c>
      <c r="B61" s="16" t="n">
        <v>-214105191</v>
      </c>
      <c r="C61" s="16" t="n">
        <v>-27496112</v>
      </c>
      <c r="D61" s="16" t="n">
        <v>-48488356</v>
      </c>
      <c r="E61" s="16" t="n">
        <v>-55603186</v>
      </c>
      <c r="F61" s="17" t="n"/>
    </row>
    <row r="62">
      <c r="A62" s="17" t="n">
        <v>46192</v>
      </c>
      <c r="B62" s="16" t="n">
        <v>-212524130</v>
      </c>
      <c r="C62" s="16" t="n">
        <v>-27163966</v>
      </c>
      <c r="D62" s="16" t="n">
        <v>-46853758</v>
      </c>
      <c r="E62" s="16" t="n">
        <v>-54096364</v>
      </c>
      <c r="F62" s="17" t="n"/>
    </row>
    <row r="63">
      <c r="A63" s="17" t="n">
        <v>46191</v>
      </c>
      <c r="B63" s="16" t="n">
        <v>-211438239</v>
      </c>
      <c r="C63" s="16" t="n">
        <v>-26891966</v>
      </c>
      <c r="D63" s="16" t="n">
        <v>-44331459</v>
      </c>
      <c r="E63" s="16" t="n">
        <v>-49951307</v>
      </c>
      <c r="F63" s="17" t="n"/>
    </row>
    <row r="64">
      <c r="A64" s="17" t="n">
        <v>46190</v>
      </c>
      <c r="B64" s="16" t="n">
        <v>-212457002</v>
      </c>
      <c r="C64" s="16" t="n">
        <v>-23994099</v>
      </c>
      <c r="D64" s="16" t="n">
        <v>-40800931</v>
      </c>
      <c r="E64" s="16" t="n">
        <v>-44855287</v>
      </c>
      <c r="F64" s="17" t="n"/>
    </row>
    <row r="65">
      <c r="A65" s="17" t="n">
        <v>46189</v>
      </c>
      <c r="B65" s="16" t="n">
        <v>-214116604</v>
      </c>
      <c r="C65" s="16" t="n">
        <v>-21708299</v>
      </c>
      <c r="D65" s="16" t="n">
        <v>-38600101</v>
      </c>
      <c r="E65" s="16" t="n">
        <v>-38786737</v>
      </c>
      <c r="F65" s="17" t="n"/>
    </row>
    <row r="66">
      <c r="A66" s="17" t="n">
        <v>46188</v>
      </c>
      <c r="B66" s="16" t="n">
        <v>-213438533</v>
      </c>
      <c r="C66" s="16" t="n">
        <v>-20550972</v>
      </c>
      <c r="D66" s="16" t="n">
        <v>-35486993</v>
      </c>
      <c r="E66" s="16" t="n">
        <v>-35869676</v>
      </c>
      <c r="F66" s="17" t="n"/>
    </row>
    <row r="67">
      <c r="A67" s="17" t="n">
        <v>46185</v>
      </c>
      <c r="B67" s="16" t="n">
        <v>-210600455</v>
      </c>
      <c r="C67" s="16" t="n">
        <v>-20181948</v>
      </c>
      <c r="D67" s="16" t="n">
        <v>-31005993</v>
      </c>
      <c r="E67" s="16" t="n">
        <v>-34485461</v>
      </c>
      <c r="F67" s="17" t="n"/>
    </row>
    <row r="68">
      <c r="A68" s="17" t="n">
        <v>46184</v>
      </c>
      <c r="B68" s="16" t="n">
        <v>-212458075</v>
      </c>
      <c r="C68" s="16" t="n">
        <v>-19763748</v>
      </c>
      <c r="D68" s="16" t="n">
        <v>-28882993</v>
      </c>
      <c r="E68" s="16" t="n">
        <v>-34631805</v>
      </c>
      <c r="F68" s="17" t="n"/>
    </row>
    <row r="69">
      <c r="A69" s="17" t="n">
        <v>46183</v>
      </c>
      <c r="B69" s="16" t="n">
        <v>-212518138</v>
      </c>
      <c r="C69" s="16" t="n">
        <v>-19604617</v>
      </c>
      <c r="D69" s="16" t="n">
        <v>-27586974</v>
      </c>
      <c r="E69" s="16" t="n">
        <v>-33536243</v>
      </c>
      <c r="F69" s="17" t="n"/>
    </row>
    <row r="70">
      <c r="A70" s="17" t="n">
        <v>46182</v>
      </c>
      <c r="B70" s="16" t="n">
        <v>-211417564</v>
      </c>
      <c r="C70" s="16" t="n">
        <v>-18921478</v>
      </c>
      <c r="D70" s="16" t="n">
        <v>-24616974</v>
      </c>
      <c r="E70" s="16" t="n">
        <v>-32634543</v>
      </c>
      <c r="F70" s="25" t="n"/>
    </row>
    <row r="71">
      <c r="A71" s="17" t="n">
        <v>46181</v>
      </c>
      <c r="B71" s="16" t="n">
        <v>-209113625</v>
      </c>
      <c r="C71" s="16" t="n">
        <v>-17276268</v>
      </c>
      <c r="D71" s="16" t="n">
        <v>-23428974</v>
      </c>
      <c r="E71" s="16" t="n">
        <v>-29457664</v>
      </c>
      <c r="F71" s="25" t="n"/>
    </row>
    <row r="72">
      <c r="A72" s="17" t="n">
        <v>46178</v>
      </c>
      <c r="B72" s="16" t="n">
        <v>-212970478</v>
      </c>
      <c r="C72" s="16" t="n">
        <v>-16987292</v>
      </c>
      <c r="D72" s="16" t="n">
        <v>-20334679</v>
      </c>
      <c r="E72" s="16" t="n">
        <v>-27429632</v>
      </c>
      <c r="F72" s="25" t="n"/>
    </row>
    <row r="73">
      <c r="A73" s="17" t="n">
        <v>46177</v>
      </c>
      <c r="B73" s="16" t="n">
        <v>-222745790</v>
      </c>
      <c r="C73" s="16" t="n">
        <v>-15811992</v>
      </c>
      <c r="D73" s="16" t="n">
        <v>-18334379</v>
      </c>
      <c r="E73" s="16" t="n">
        <v>-26076832</v>
      </c>
      <c r="F73" s="25" t="n"/>
    </row>
    <row r="74">
      <c r="A74" s="17" t="n">
        <v>46176</v>
      </c>
      <c r="B74" s="16" t="n">
        <v>-219333138</v>
      </c>
      <c r="C74" s="16" t="n">
        <v>-14193560</v>
      </c>
      <c r="D74" s="16" t="n">
        <v>-15221264</v>
      </c>
      <c r="E74" s="16" t="n">
        <v>-24044232</v>
      </c>
      <c r="F74" s="25" t="n"/>
    </row>
    <row r="75">
      <c r="A75" s="17" t="n">
        <v>46175</v>
      </c>
      <c r="B75" s="16" t="n">
        <v>-204055521</v>
      </c>
      <c r="C75" s="16" t="n">
        <v>-13859923</v>
      </c>
      <c r="D75" s="16" t="n">
        <v>-11970264</v>
      </c>
      <c r="E75" s="16" t="n">
        <v>-21400012</v>
      </c>
    </row>
    <row r="76">
      <c r="A76" s="17" t="n">
        <v>46174</v>
      </c>
      <c r="B76" s="16" t="n">
        <v>-199302447</v>
      </c>
      <c r="C76" s="16" t="n">
        <v>-12395302</v>
      </c>
      <c r="D76" s="16" t="n">
        <v>-8097812</v>
      </c>
      <c r="E76" s="16" t="n">
        <v>-19454632</v>
      </c>
    </row>
    <row r="77">
      <c r="A77" s="17" t="n">
        <v>46171</v>
      </c>
      <c r="B77" s="16" t="n">
        <v>-194902147</v>
      </c>
      <c r="C77" s="16" t="n">
        <v>-12225136</v>
      </c>
      <c r="D77" s="16" t="n">
        <v>-6666912</v>
      </c>
      <c r="E77" s="16" t="n">
        <v>-18857777</v>
      </c>
    </row>
    <row r="78">
      <c r="A78" s="17" t="n">
        <v>46170</v>
      </c>
      <c r="B78" s="16" t="n">
        <v>-192161797</v>
      </c>
      <c r="C78" s="16" t="n">
        <v>-11250936</v>
      </c>
      <c r="D78" s="16" t="n">
        <v>-4048791</v>
      </c>
      <c r="E78" s="16" t="n">
        <v>-18066662</v>
      </c>
    </row>
    <row r="79">
      <c r="A79" s="17" t="n">
        <v>46169</v>
      </c>
      <c r="B79" s="16" t="n">
        <v>-196522742</v>
      </c>
      <c r="C79" s="16" t="n">
        <v>-10888073</v>
      </c>
      <c r="D79" s="16" t="n">
        <v>-3229818</v>
      </c>
      <c r="E79" s="16" t="n">
        <v>-17010280</v>
      </c>
    </row>
    <row r="80">
      <c r="A80" s="17" t="n">
        <v>46168</v>
      </c>
      <c r="B80" s="16" t="n">
        <v>-198953538</v>
      </c>
      <c r="C80" s="16" t="n">
        <v>-10419173</v>
      </c>
      <c r="D80" s="16" t="n">
        <v>-4461038</v>
      </c>
      <c r="E80" s="16" t="n">
        <v>-15949782</v>
      </c>
    </row>
    <row r="81">
      <c r="A81" s="17" t="n">
        <v>46167</v>
      </c>
      <c r="B81" s="16" t="n">
        <v>-200971549</v>
      </c>
      <c r="C81" s="16" t="n">
        <v>-9284694</v>
      </c>
      <c r="D81" s="16" t="n">
        <v>-5194525</v>
      </c>
      <c r="E81" s="16" t="n">
        <v>-15913782</v>
      </c>
    </row>
    <row r="82">
      <c r="A82" s="17" t="n">
        <v>46164</v>
      </c>
      <c r="B82" s="16" t="n">
        <v>-195153269</v>
      </c>
      <c r="C82" s="16" t="n">
        <v>-9303624</v>
      </c>
      <c r="D82" s="16" t="n">
        <v>-4929767</v>
      </c>
      <c r="E82" s="16" t="n">
        <v>-16010744</v>
      </c>
    </row>
    <row r="83">
      <c r="A83" s="17" t="n">
        <v>46163</v>
      </c>
      <c r="B83" s="16" t="n">
        <v>-198195118</v>
      </c>
      <c r="C83" s="16" t="n">
        <v>-7734224</v>
      </c>
      <c r="D83" s="16" t="n">
        <v>-4018067</v>
      </c>
      <c r="E83" s="16" t="n">
        <v>-15356274</v>
      </c>
    </row>
    <row r="84">
      <c r="A84" s="17" t="n">
        <v>46162</v>
      </c>
      <c r="B84" s="16" t="n">
        <v>-192384602</v>
      </c>
      <c r="C84" s="16" t="n">
        <v>-6971624</v>
      </c>
      <c r="D84" s="16" t="n">
        <v>-14561667</v>
      </c>
      <c r="E84" s="16" t="n">
        <v>-12342524</v>
      </c>
    </row>
    <row r="85">
      <c r="A85" s="17" t="n">
        <v>46161</v>
      </c>
      <c r="B85" s="16" t="n">
        <v>-186119288</v>
      </c>
      <c r="C85" s="16" t="n">
        <v>-7001412</v>
      </c>
      <c r="D85" s="16" t="n">
        <v>-11151922</v>
      </c>
      <c r="E85" s="16" t="n">
        <v>-9229437</v>
      </c>
    </row>
    <row r="86">
      <c r="A86" s="17" t="n">
        <v>46160</v>
      </c>
      <c r="B86" s="16" t="n">
        <v>-179543956</v>
      </c>
      <c r="C86" s="16" t="n">
        <v>-6871949</v>
      </c>
      <c r="D86" s="16" t="n">
        <v>-6917529</v>
      </c>
      <c r="E86" s="16" t="n">
        <v>-8089545</v>
      </c>
    </row>
    <row r="87">
      <c r="A87" s="17" t="n">
        <v>46157</v>
      </c>
      <c r="B87" s="16" t="n">
        <v>-172159517</v>
      </c>
      <c r="C87" s="16" t="n">
        <v>-7073370</v>
      </c>
      <c r="D87" s="16" t="n">
        <v>-4993782</v>
      </c>
      <c r="E87" s="16" t="n">
        <v>-8885675</v>
      </c>
    </row>
    <row r="88">
      <c r="A88" s="17" t="n">
        <v>46156</v>
      </c>
      <c r="B88" s="16" t="n">
        <v>-171828666</v>
      </c>
      <c r="C88" s="16" t="n">
        <v>-7018506</v>
      </c>
      <c r="D88" s="16" t="n">
        <v>-1592137</v>
      </c>
      <c r="E88" s="16" t="n">
        <v>-10014225</v>
      </c>
    </row>
    <row r="89">
      <c r="A89" s="17" t="n">
        <v>46155</v>
      </c>
      <c r="B89" s="16" t="n">
        <v>-175428286</v>
      </c>
      <c r="C89" s="16" t="n">
        <v>-6894906</v>
      </c>
      <c r="D89" s="16" t="n">
        <v>-3800037</v>
      </c>
      <c r="E89" s="16" t="n">
        <v>-6324339</v>
      </c>
    </row>
    <row r="90">
      <c r="A90" s="17" t="n">
        <v>46154</v>
      </c>
      <c r="B90" s="16" t="n">
        <v>-163888486</v>
      </c>
      <c r="C90" s="16" t="n">
        <v>-6898306</v>
      </c>
      <c r="D90" s="16" t="n">
        <v>-2220137</v>
      </c>
      <c r="E90" s="16" t="n">
        <v>-5198300</v>
      </c>
    </row>
    <row r="91">
      <c r="A91" s="17" t="n">
        <v>46153</v>
      </c>
      <c r="B91" s="16" t="n">
        <v>-158183627</v>
      </c>
      <c r="C91" s="16" t="n">
        <v>-6933911</v>
      </c>
      <c r="D91" s="16" t="n">
        <v>-3920595</v>
      </c>
      <c r="E91" s="16" t="n">
        <v>-3158200</v>
      </c>
    </row>
    <row r="92">
      <c r="A92" s="17" t="n">
        <v>46150</v>
      </c>
      <c r="B92" s="16" t="n">
        <v>-152466722</v>
      </c>
      <c r="C92" s="16" t="n">
        <v>-6957711</v>
      </c>
      <c r="D92" s="16" t="n">
        <v>-5155998</v>
      </c>
      <c r="E92" s="16" t="n">
        <v>-2911100</v>
      </c>
    </row>
    <row r="93">
      <c r="A93" s="17" t="n">
        <v>46149</v>
      </c>
      <c r="B93" s="16" t="n">
        <v>-146425251</v>
      </c>
      <c r="C93" s="16" t="n">
        <v>-6906493</v>
      </c>
      <c r="D93" s="16" t="n">
        <v>-6188680</v>
      </c>
      <c r="E93" s="16" t="n">
        <v>-2517000</v>
      </c>
    </row>
    <row r="94">
      <c r="A94" s="17" t="n">
        <v>46148</v>
      </c>
      <c r="B94" s="16" t="n">
        <v>-133495809</v>
      </c>
      <c r="C94" s="16" t="n">
        <v>-6967641</v>
      </c>
      <c r="D94" s="16" t="n">
        <v>-7158740</v>
      </c>
      <c r="E94" s="16" t="n">
        <v>-1555900</v>
      </c>
    </row>
    <row r="95">
      <c r="A95" s="17" t="n">
        <v>46147</v>
      </c>
      <c r="B95" s="16" t="n">
        <v>-124133797</v>
      </c>
      <c r="C95" s="16" t="n">
        <v>-6999015</v>
      </c>
      <c r="D95" s="16" t="n">
        <v>-4593045</v>
      </c>
      <c r="E95" s="16" t="n">
        <v>-985800</v>
      </c>
    </row>
    <row r="96">
      <c r="A96" s="17" t="n">
        <v>46146</v>
      </c>
      <c r="B96" s="16" t="n">
        <v>-105328807</v>
      </c>
      <c r="C96" s="16" t="n">
        <v>-6476715</v>
      </c>
      <c r="D96" s="16" t="n">
        <v>-4539395</v>
      </c>
      <c r="E96" s="16" t="n">
        <v>-897900</v>
      </c>
    </row>
    <row r="97">
      <c r="A97" s="17" t="n">
        <v>46141</v>
      </c>
      <c r="B97" s="16" t="n">
        <v>-90699212</v>
      </c>
      <c r="C97" s="16" t="n">
        <v>-5646615</v>
      </c>
      <c r="D97" s="16" t="n">
        <v>-4348775</v>
      </c>
      <c r="E97" s="16" t="n">
        <v>-131300</v>
      </c>
    </row>
    <row r="98">
      <c r="A98" s="17" t="n">
        <v>46140</v>
      </c>
      <c r="B98" s="16" t="n">
        <v>-86034570</v>
      </c>
      <c r="C98" s="16" t="n">
        <v>-4352726</v>
      </c>
      <c r="D98" s="16" t="n">
        <v>-2616443</v>
      </c>
      <c r="E98" s="16" t="n">
        <v>15200</v>
      </c>
    </row>
    <row r="99">
      <c r="A99" s="17" t="n">
        <v>46136</v>
      </c>
      <c r="B99" s="16" t="n">
        <v>-83563170</v>
      </c>
      <c r="C99" s="16" t="n">
        <v>-3477526</v>
      </c>
      <c r="D99" s="16" t="n">
        <v>-229292</v>
      </c>
      <c r="E99" s="16" t="n">
        <v>7300</v>
      </c>
    </row>
    <row r="100">
      <c r="A100" s="17" t="n">
        <v>46135</v>
      </c>
      <c r="B100" s="16" t="n">
        <v>-71685485</v>
      </c>
      <c r="C100" s="16" t="n">
        <v>-3212286</v>
      </c>
      <c r="D100" s="16" t="n">
        <v>1164456</v>
      </c>
      <c r="E100" s="16" t="n">
        <v>-1001799</v>
      </c>
    </row>
    <row r="101">
      <c r="A101" s="17" t="n">
        <v>46134</v>
      </c>
      <c r="B101" s="16" t="n">
        <v>-64205385</v>
      </c>
      <c r="C101" s="16" t="n">
        <v>-2997875</v>
      </c>
      <c r="D101" s="16" t="n">
        <v>3899156</v>
      </c>
      <c r="E101" s="16" t="n">
        <v>-1687600</v>
      </c>
    </row>
    <row r="102">
      <c r="A102" s="17" t="n">
        <v>46133</v>
      </c>
      <c r="B102" s="16" t="n">
        <v>-63233086</v>
      </c>
      <c r="C102" s="16" t="n">
        <v>-2915638</v>
      </c>
      <c r="D102" s="16" t="n">
        <v>3150581</v>
      </c>
      <c r="E102" s="16" t="n">
        <v>-2207500</v>
      </c>
    </row>
    <row r="103">
      <c r="A103" s="17" t="n">
        <v>46132</v>
      </c>
      <c r="B103" s="16" t="n">
        <v>-60303786</v>
      </c>
      <c r="C103" s="16" t="n">
        <v>-2729738</v>
      </c>
      <c r="D103" s="16" t="n">
        <v>3251988</v>
      </c>
      <c r="E103" s="16" t="n">
        <v>-1289701</v>
      </c>
    </row>
    <row r="104">
      <c r="A104" s="17" t="n">
        <v>46129</v>
      </c>
      <c r="B104" s="16" t="n">
        <v>-58702781</v>
      </c>
      <c r="C104" s="16" t="n">
        <v>-3188724</v>
      </c>
      <c r="D104" s="16" t="n">
        <v>8136918</v>
      </c>
      <c r="E104" s="16" t="n">
        <v>-489501</v>
      </c>
    </row>
    <row r="105">
      <c r="A105" s="17" t="n">
        <v>46128</v>
      </c>
      <c r="B105" s="16" t="n">
        <v>-57844631</v>
      </c>
      <c r="C105" s="16" t="n">
        <v>-3263424</v>
      </c>
      <c r="D105" s="16" t="n">
        <v>8045881</v>
      </c>
      <c r="E105" s="16" t="n">
        <v>-588101</v>
      </c>
    </row>
    <row r="106">
      <c r="A106" s="17" t="n">
        <v>46127</v>
      </c>
      <c r="B106" s="16" t="n">
        <v>-60907011</v>
      </c>
      <c r="C106" s="16" t="n">
        <v>-1916354</v>
      </c>
      <c r="D106" s="16" t="n">
        <v>6443686</v>
      </c>
      <c r="E106" s="16" t="n">
        <v>-573100</v>
      </c>
    </row>
    <row r="107">
      <c r="A107" s="17" t="n">
        <v>46126</v>
      </c>
      <c r="B107" s="16" t="n">
        <v>-59650731</v>
      </c>
      <c r="C107" s="16" t="n">
        <v>-1900674</v>
      </c>
      <c r="D107" s="16" t="n">
        <v>6449574</v>
      </c>
      <c r="E107" s="16" t="n">
        <v>-308100</v>
      </c>
    </row>
    <row r="108">
      <c r="A108" s="17" t="n">
        <v>46125</v>
      </c>
      <c r="B108" s="16" t="n">
        <v>-58879707</v>
      </c>
      <c r="C108" s="16" t="n">
        <v>-910794</v>
      </c>
      <c r="D108" s="16" t="n">
        <v>6484774</v>
      </c>
      <c r="E108" s="16" t="n">
        <v>29700</v>
      </c>
    </row>
    <row r="109">
      <c r="A109" s="17" t="n">
        <v>46122</v>
      </c>
      <c r="B109" s="16" t="n">
        <v>-58608453</v>
      </c>
      <c r="C109" s="16" t="n">
        <v>-1191394</v>
      </c>
      <c r="D109" s="16" t="n">
        <v>8766853</v>
      </c>
      <c r="E109" s="16" t="n">
        <v>-485600</v>
      </c>
    </row>
    <row r="110">
      <c r="A110" s="17" t="n">
        <v>46121</v>
      </c>
      <c r="B110" s="16" t="n">
        <v>-57627153</v>
      </c>
      <c r="C110" s="16" t="n">
        <v>-1422694</v>
      </c>
      <c r="D110" s="16" t="n">
        <v>10003718</v>
      </c>
      <c r="E110" s="16" t="n">
        <v>-7264458</v>
      </c>
    </row>
    <row r="111">
      <c r="A111" s="17" t="n">
        <v>46120</v>
      </c>
      <c r="B111" s="16" t="n">
        <v>-58108753</v>
      </c>
      <c r="C111" s="16" t="n">
        <v>-1009894</v>
      </c>
      <c r="D111" s="16" t="n">
        <v>11107568</v>
      </c>
      <c r="E111" s="16" t="n">
        <v>-9452488</v>
      </c>
    </row>
    <row r="112">
      <c r="A112" s="17" t="n">
        <v>46119</v>
      </c>
      <c r="B112" s="16" t="n">
        <v>-61646573</v>
      </c>
      <c r="C112" s="16" t="n">
        <v>-159794</v>
      </c>
      <c r="D112" s="16" t="n">
        <v>12109700</v>
      </c>
      <c r="E112" s="16" t="n">
        <v>-11880380</v>
      </c>
    </row>
    <row r="113">
      <c r="A113" s="17" t="n">
        <v>46118</v>
      </c>
      <c r="B113" s="16" t="n">
        <v>-58162973</v>
      </c>
      <c r="C113" s="16" t="n">
        <v>-61094</v>
      </c>
      <c r="D113" s="16" t="n">
        <v>12882300</v>
      </c>
      <c r="E113" s="16" t="n">
        <v>-5661603</v>
      </c>
    </row>
    <row r="114">
      <c r="A114" s="17" t="n">
        <v>46115</v>
      </c>
      <c r="B114" s="16" t="n">
        <v>-56872675</v>
      </c>
      <c r="C114" s="16" t="n">
        <v>-764894</v>
      </c>
      <c r="D114" s="16" t="n">
        <v>14565300</v>
      </c>
      <c r="E114" s="16" t="n">
        <v>-2407492</v>
      </c>
    </row>
    <row r="115">
      <c r="A115" s="17" t="n">
        <v>46114</v>
      </c>
      <c r="B115" s="16" t="n">
        <v>-60845058</v>
      </c>
      <c r="C115" s="16" t="n">
        <v>-752494</v>
      </c>
      <c r="D115" s="16" t="n">
        <v>21156080</v>
      </c>
      <c r="E115" s="16" t="n">
        <v>-42824</v>
      </c>
    </row>
    <row r="116">
      <c r="A116" s="17" t="n">
        <v>46113</v>
      </c>
      <c r="B116" s="16" t="n">
        <v>-61137450</v>
      </c>
      <c r="C116" s="16" t="n">
        <v>-671694</v>
      </c>
      <c r="D116" s="16" t="n">
        <v>19615280</v>
      </c>
      <c r="E116" s="16" t="n">
        <v>-79854</v>
      </c>
    </row>
    <row r="117">
      <c r="A117" s="17" t="n">
        <v>46112</v>
      </c>
      <c r="B117" s="16" t="n">
        <v>-61496250</v>
      </c>
      <c r="C117" s="16" t="n">
        <v>-903894</v>
      </c>
      <c r="D117" s="16" t="n">
        <v>21506079</v>
      </c>
      <c r="E117" s="16" t="n">
        <v>-17162</v>
      </c>
    </row>
    <row r="118">
      <c r="A118" s="17" t="n">
        <v>46111</v>
      </c>
      <c r="B118" s="16" t="n">
        <v>-58708147</v>
      </c>
      <c r="C118" s="16" t="n">
        <v>-1188594</v>
      </c>
      <c r="D118" s="16" t="n">
        <v>20732773</v>
      </c>
      <c r="E118" s="16" t="n">
        <v>-14830</v>
      </c>
    </row>
    <row r="119">
      <c r="A119" s="17" t="n">
        <v>46108</v>
      </c>
      <c r="B119" s="16" t="n">
        <v>-59718002</v>
      </c>
      <c r="C119" s="16" t="n">
        <v>-1244794</v>
      </c>
      <c r="D119" s="16" t="n">
        <v>24887622</v>
      </c>
      <c r="E119" s="16" t="n">
        <v>10665</v>
      </c>
    </row>
    <row r="120">
      <c r="A120" s="17" t="n">
        <v>46107</v>
      </c>
      <c r="B120" s="16" t="n">
        <v>-61994012</v>
      </c>
      <c r="C120" s="16" t="n">
        <v>-698894</v>
      </c>
      <c r="D120" s="16" t="n">
        <v>24962722</v>
      </c>
      <c r="E120" s="16" t="n">
        <v>30495</v>
      </c>
    </row>
    <row r="121">
      <c r="A121" s="17" t="n">
        <v>46106</v>
      </c>
      <c r="B121" s="16" t="n">
        <v>-64363212</v>
      </c>
      <c r="C121" s="16" t="n">
        <v>-192294</v>
      </c>
      <c r="D121" s="16" t="n">
        <v>25801022</v>
      </c>
      <c r="E121" s="16" t="n">
        <v>-96049</v>
      </c>
    </row>
    <row r="122">
      <c r="A122" s="17" t="n">
        <v>46105</v>
      </c>
      <c r="B122" s="16" t="n">
        <v>-66663478</v>
      </c>
      <c r="C122" s="16" t="n">
        <v>-2824123</v>
      </c>
      <c r="D122" s="16" t="n">
        <v>23891564</v>
      </c>
      <c r="E122" s="16" t="n">
        <v>-186158</v>
      </c>
    </row>
    <row r="123">
      <c r="A123" s="17" t="n">
        <v>46104</v>
      </c>
      <c r="B123" s="16" t="n">
        <v>-66079557</v>
      </c>
      <c r="C123" s="16" t="n">
        <v>-3004623</v>
      </c>
      <c r="D123" s="16" t="n">
        <v>22748538</v>
      </c>
      <c r="E123" s="16" t="n">
        <v>-186183</v>
      </c>
    </row>
    <row r="124">
      <c r="A124" s="17" t="n">
        <v>46101</v>
      </c>
      <c r="B124" s="16" t="n">
        <v>-67383567</v>
      </c>
      <c r="C124" s="16" t="n">
        <v>-3002623</v>
      </c>
      <c r="D124" s="16" t="n">
        <v>22470332</v>
      </c>
      <c r="E124" s="16" t="n">
        <v>-59708</v>
      </c>
    </row>
    <row r="125">
      <c r="A125" s="17" t="n">
        <v>46100</v>
      </c>
      <c r="B125" s="16" t="n">
        <v>-61560255</v>
      </c>
      <c r="C125" s="16" t="n">
        <v>-3730023</v>
      </c>
      <c r="D125" s="16" t="n">
        <v>23903858</v>
      </c>
      <c r="E125" s="16" t="n">
        <v>30475</v>
      </c>
    </row>
    <row r="126">
      <c r="A126" s="17" t="n">
        <v>46099</v>
      </c>
      <c r="B126" s="16" t="n">
        <v>-65537821</v>
      </c>
      <c r="C126" s="16" t="n">
        <v>-2448923</v>
      </c>
      <c r="D126" s="16" t="n">
        <v>23396478</v>
      </c>
      <c r="E126" s="16" t="n">
        <v>30459</v>
      </c>
    </row>
    <row r="127">
      <c r="A127" s="17" t="n">
        <v>46098</v>
      </c>
      <c r="B127" s="16" t="n">
        <v>-65289977</v>
      </c>
      <c r="C127" s="16" t="n">
        <v>-2670823</v>
      </c>
      <c r="D127" s="16" t="n">
        <v>23316118</v>
      </c>
      <c r="E127" s="16" t="n">
        <v>30418</v>
      </c>
    </row>
    <row r="128">
      <c r="A128" s="17" t="n">
        <v>46097</v>
      </c>
      <c r="B128" s="16" t="n">
        <v>-66139077</v>
      </c>
      <c r="C128" s="16" t="n">
        <v>-2609402</v>
      </c>
      <c r="D128" s="16" t="n">
        <v>23549650</v>
      </c>
      <c r="E128" s="16" t="n">
        <v>20321</v>
      </c>
    </row>
    <row r="129">
      <c r="A129" s="17" t="n">
        <v>46094</v>
      </c>
      <c r="B129" s="16" t="n">
        <v>-67562698</v>
      </c>
      <c r="C129" s="16" t="n">
        <v>-2400502</v>
      </c>
      <c r="D129" s="16" t="n">
        <v>23734930</v>
      </c>
      <c r="E129" s="16" t="n">
        <v>20332</v>
      </c>
    </row>
    <row r="130">
      <c r="A130" s="17" t="n">
        <v>46093</v>
      </c>
      <c r="B130" s="16" t="n">
        <v>-72673698</v>
      </c>
      <c r="C130" s="16" t="n">
        <v>-9312502</v>
      </c>
      <c r="D130" s="16" t="n">
        <v>22103630</v>
      </c>
      <c r="E130" s="16" t="n">
        <v>20353</v>
      </c>
    </row>
    <row r="131">
      <c r="A131" s="17" t="n">
        <v>46092</v>
      </c>
      <c r="B131" s="16" t="n">
        <v>-72351799</v>
      </c>
      <c r="C131" s="16" t="n">
        <v>-8639202</v>
      </c>
      <c r="D131" s="16" t="n">
        <v>23309991</v>
      </c>
      <c r="E131" s="16" t="n">
        <v>30468</v>
      </c>
    </row>
    <row r="132">
      <c r="A132" s="17" t="n">
        <v>46091</v>
      </c>
      <c r="B132" s="16" t="n">
        <v>-77330400</v>
      </c>
      <c r="C132" s="16" t="n">
        <v>-9690602</v>
      </c>
      <c r="D132" s="16" t="n">
        <v>21018753</v>
      </c>
      <c r="E132" s="16" t="n">
        <v>-127467</v>
      </c>
    </row>
    <row r="133">
      <c r="A133" s="17" t="n">
        <v>46090</v>
      </c>
      <c r="B133" s="16" t="n">
        <v>-81503902</v>
      </c>
      <c r="C133" s="16" t="n">
        <v>-9290702</v>
      </c>
      <c r="D133" s="16" t="n">
        <v>27100615</v>
      </c>
      <c r="E133" s="16" t="n">
        <v>-1776027</v>
      </c>
    </row>
    <row r="134">
      <c r="A134" s="17" t="n">
        <v>46087</v>
      </c>
      <c r="B134" s="16" t="n">
        <v>-79527413</v>
      </c>
      <c r="C134" s="16" t="n">
        <v>-9228702</v>
      </c>
      <c r="D134" s="16" t="n">
        <v>26749262</v>
      </c>
      <c r="E134" s="16" t="n">
        <v>-3310738</v>
      </c>
    </row>
    <row r="135">
      <c r="A135" s="17" t="n">
        <v>46086</v>
      </c>
      <c r="B135" s="16" t="n">
        <v>-78984913</v>
      </c>
      <c r="C135" s="16" t="n">
        <v>-9498502</v>
      </c>
      <c r="D135" s="16" t="n">
        <v>30113182</v>
      </c>
      <c r="E135" s="16" t="n">
        <v>-3154338</v>
      </c>
    </row>
    <row r="136">
      <c r="A136" s="17" t="n">
        <v>46085</v>
      </c>
      <c r="B136" s="16" t="n">
        <v>-78072615</v>
      </c>
      <c r="C136" s="16" t="n">
        <v>-9660702</v>
      </c>
      <c r="D136" s="16" t="n">
        <v>30361966</v>
      </c>
      <c r="E136" s="16" t="n">
        <v>-1504245</v>
      </c>
    </row>
    <row r="137">
      <c r="A137" s="17" t="n">
        <v>46084</v>
      </c>
      <c r="B137" s="16" t="n">
        <v>-78708395</v>
      </c>
      <c r="C137" s="16" t="n">
        <v>-9494422</v>
      </c>
      <c r="D137" s="16" t="n">
        <v>33727016</v>
      </c>
      <c r="E137" s="16" t="n">
        <v>65875</v>
      </c>
    </row>
    <row r="138">
      <c r="A138" s="17" t="n">
        <v>46083</v>
      </c>
      <c r="B138" s="16" t="n">
        <v>-73971695</v>
      </c>
      <c r="C138" s="16" t="n">
        <v>-9074422</v>
      </c>
      <c r="D138" s="16" t="n">
        <v>28204416</v>
      </c>
      <c r="E138" s="16" t="n">
        <v>70875</v>
      </c>
    </row>
    <row r="139">
      <c r="A139" s="17" t="n">
        <v>46080</v>
      </c>
      <c r="B139" s="16" t="n">
        <v>-72450895</v>
      </c>
      <c r="C139" s="16" t="n">
        <v>-8797848</v>
      </c>
      <c r="D139" s="16" t="n">
        <v>24129516</v>
      </c>
      <c r="E139" s="16" t="n">
        <v>30420</v>
      </c>
    </row>
    <row r="140">
      <c r="A140" s="17" t="n">
        <v>46079</v>
      </c>
      <c r="B140" s="16" t="n">
        <v>-76434691</v>
      </c>
      <c r="C140" s="16" t="n">
        <v>-8366822</v>
      </c>
      <c r="D140" s="16" t="n">
        <v>18918024</v>
      </c>
      <c r="E140" s="16" t="n">
        <v>24693</v>
      </c>
    </row>
    <row r="141">
      <c r="A141" s="17" t="n">
        <v>46078</v>
      </c>
      <c r="B141" s="16" t="n">
        <v>-74722272</v>
      </c>
      <c r="C141" s="16" t="n">
        <v>-8142022</v>
      </c>
      <c r="D141" s="16" t="n">
        <v>17233679</v>
      </c>
      <c r="E141" s="16" t="n">
        <v>9254</v>
      </c>
    </row>
    <row r="142">
      <c r="A142" s="17" t="n">
        <v>46077</v>
      </c>
      <c r="B142" s="16" t="n">
        <v>-75344868</v>
      </c>
      <c r="C142" s="16" t="n">
        <v>-8735722</v>
      </c>
      <c r="D142" s="16" t="n">
        <v>19722598</v>
      </c>
      <c r="E142" s="16" t="n">
        <v>84277</v>
      </c>
    </row>
    <row r="143">
      <c r="A143" s="17" t="n">
        <v>46076</v>
      </c>
      <c r="B143" s="16" t="n">
        <v>-77188473</v>
      </c>
      <c r="C143" s="16" t="n">
        <v>-7878484</v>
      </c>
      <c r="D143" s="16" t="n">
        <v>16298271</v>
      </c>
      <c r="E143" s="16" t="n">
        <v>89252</v>
      </c>
    </row>
    <row r="144">
      <c r="A144" s="17" t="n">
        <v>46066</v>
      </c>
      <c r="B144" s="16" t="n">
        <v>-75376173</v>
      </c>
      <c r="C144" s="16" t="n">
        <v>-8125884</v>
      </c>
      <c r="D144" s="16" t="n">
        <v>21686160</v>
      </c>
      <c r="E144" s="16" t="n">
        <v>106075</v>
      </c>
    </row>
    <row r="145">
      <c r="A145" s="17" t="n">
        <v>46065</v>
      </c>
      <c r="B145" s="16" t="n">
        <v>-70751673</v>
      </c>
      <c r="C145" s="16" t="n">
        <v>-8168284</v>
      </c>
      <c r="D145" s="16" t="n">
        <v>20878369</v>
      </c>
      <c r="E145" s="16" t="n">
        <v>97440</v>
      </c>
    </row>
    <row r="146">
      <c r="A146" s="17" t="n">
        <v>46064</v>
      </c>
      <c r="B146" s="16" t="n">
        <v>-65002244</v>
      </c>
      <c r="C146" s="16" t="n">
        <v>-7963984</v>
      </c>
      <c r="D146" s="16" t="n">
        <v>21301369</v>
      </c>
      <c r="E146" s="16" t="n">
        <v>97465</v>
      </c>
    </row>
    <row r="147">
      <c r="A147" s="17" t="n">
        <v>46063</v>
      </c>
      <c r="B147" s="16" t="n">
        <v>-64611060</v>
      </c>
      <c r="C147" s="16" t="n">
        <v>-8686184</v>
      </c>
      <c r="D147" s="16" t="n">
        <v>15506789</v>
      </c>
      <c r="E147" s="16" t="n">
        <v>87483</v>
      </c>
    </row>
    <row r="148">
      <c r="A148" s="17" t="n">
        <v>46062</v>
      </c>
      <c r="B148" s="16" t="n">
        <v>-59183822</v>
      </c>
      <c r="C148" s="16" t="n">
        <v>-8644164</v>
      </c>
      <c r="D148" s="16" t="n">
        <v>17762483</v>
      </c>
      <c r="E148" s="16" t="n">
        <v>96082</v>
      </c>
    </row>
    <row r="149">
      <c r="A149" s="17" t="n">
        <v>46059</v>
      </c>
      <c r="B149" s="16" t="n">
        <v>-56386422</v>
      </c>
      <c r="C149" s="16" t="n">
        <v>-7460031</v>
      </c>
      <c r="D149" s="16" t="n">
        <v>20531683</v>
      </c>
      <c r="E149" s="16" t="n">
        <v>-217700</v>
      </c>
    </row>
    <row r="150">
      <c r="A150" s="17" t="n">
        <v>46058</v>
      </c>
      <c r="B150" s="16" t="n">
        <v>-48560322</v>
      </c>
      <c r="C150" s="16" t="n">
        <v>-6104431</v>
      </c>
      <c r="D150" s="16" t="n">
        <v>23017883</v>
      </c>
      <c r="E150" s="16" t="n">
        <v>-208078</v>
      </c>
    </row>
    <row r="151">
      <c r="A151" s="17" t="n">
        <v>46057</v>
      </c>
      <c r="B151" s="16" t="n">
        <v>-44158922</v>
      </c>
      <c r="C151" s="16" t="n">
        <v>-5776132</v>
      </c>
      <c r="D151" s="16" t="n">
        <v>24689683</v>
      </c>
      <c r="E151" s="16" t="n">
        <v>-806478</v>
      </c>
    </row>
    <row r="152">
      <c r="A152" s="17" t="n">
        <v>46056</v>
      </c>
      <c r="B152" s="16" t="n">
        <v>-35970748</v>
      </c>
      <c r="C152" s="16" t="n">
        <v>-5460692</v>
      </c>
      <c r="D152" s="16" t="n">
        <v>29254563</v>
      </c>
      <c r="E152" s="16" t="n">
        <v>-494278</v>
      </c>
    </row>
    <row r="153">
      <c r="A153" s="17" t="n">
        <v>46055</v>
      </c>
      <c r="B153" s="16" t="n">
        <v>-30720761</v>
      </c>
      <c r="C153" s="16" t="n">
        <v>-3392874</v>
      </c>
      <c r="D153" s="16" t="n">
        <v>28789511</v>
      </c>
      <c r="E153" s="16" t="n">
        <v>-704101</v>
      </c>
    </row>
    <row r="154">
      <c r="A154" s="17" t="n">
        <v>46052</v>
      </c>
      <c r="B154" s="16" t="n">
        <v>-25637774</v>
      </c>
      <c r="C154" s="16" t="n">
        <v>-2793974</v>
      </c>
      <c r="D154" s="16" t="n">
        <v>30691410</v>
      </c>
      <c r="E154" s="16" t="n">
        <v>-126523</v>
      </c>
    </row>
    <row r="155">
      <c r="A155" s="17" t="n">
        <v>46051</v>
      </c>
      <c r="B155" s="16" t="n">
        <v>-21150495</v>
      </c>
      <c r="C155" s="16" t="n">
        <v>-3042275</v>
      </c>
      <c r="D155" s="16" t="n">
        <v>31615115</v>
      </c>
      <c r="E155" s="16" t="n">
        <v>-122023</v>
      </c>
    </row>
    <row r="156">
      <c r="A156" s="17" t="n">
        <v>46050</v>
      </c>
      <c r="B156" s="16" t="n">
        <v>-12117554</v>
      </c>
      <c r="C156" s="16" t="n">
        <v>-2766175</v>
      </c>
      <c r="D156" s="16" t="n">
        <v>32515706</v>
      </c>
      <c r="E156" s="16" t="n">
        <v>82678</v>
      </c>
    </row>
    <row r="157">
      <c r="A157" s="17" t="n">
        <v>46049</v>
      </c>
      <c r="B157" s="16" t="n">
        <v>-3510804</v>
      </c>
      <c r="C157" s="16" t="n">
        <v>-2122480</v>
      </c>
      <c r="D157" s="16" t="n">
        <v>33344104</v>
      </c>
      <c r="E157" s="16" t="n">
        <v>106001</v>
      </c>
    </row>
    <row r="158">
      <c r="A158" s="17" t="n">
        <v>46048</v>
      </c>
      <c r="B158" s="16" t="n">
        <v>-2038887</v>
      </c>
      <c r="C158" s="16" t="n">
        <v>-1836392</v>
      </c>
      <c r="D158" s="16" t="n">
        <v>33353805</v>
      </c>
      <c r="E158" s="16" t="n">
        <v>103493</v>
      </c>
    </row>
    <row r="159">
      <c r="A159" s="17" t="n">
        <v>46045</v>
      </c>
      <c r="B159" s="16" t="n">
        <v>-1573427</v>
      </c>
      <c r="C159" s="16" t="n">
        <v>-1531190</v>
      </c>
      <c r="D159" s="16" t="n">
        <v>34390613</v>
      </c>
      <c r="E159" s="16" t="n">
        <v>85433</v>
      </c>
    </row>
    <row r="160">
      <c r="A160" s="17" t="n">
        <v>46044</v>
      </c>
      <c r="B160" s="16" t="n">
        <v>-5230027</v>
      </c>
      <c r="C160" s="16" t="n">
        <v>-1124166</v>
      </c>
      <c r="D160" s="16" t="n">
        <v>37453522</v>
      </c>
      <c r="E160" s="16" t="n">
        <v>70833</v>
      </c>
    </row>
    <row r="161">
      <c r="A161" s="17" t="n">
        <v>46043</v>
      </c>
      <c r="B161" s="16" t="n">
        <v>-4946387</v>
      </c>
      <c r="C161" s="16" t="n">
        <v>-945334</v>
      </c>
      <c r="D161" s="16" t="n">
        <v>36091864</v>
      </c>
      <c r="E161" s="16" t="n">
        <v>51033</v>
      </c>
    </row>
    <row r="162">
      <c r="A162" s="17" t="n">
        <v>46042</v>
      </c>
      <c r="B162" s="16" t="n">
        <v>-8372497</v>
      </c>
      <c r="C162" s="16" t="n">
        <v>-709285</v>
      </c>
      <c r="D162" s="16" t="n">
        <v>33298893</v>
      </c>
      <c r="E162" s="16" t="n">
        <v>42456</v>
      </c>
    </row>
    <row r="163">
      <c r="A163" s="17" t="n">
        <v>46041</v>
      </c>
      <c r="B163" s="16" t="n">
        <v>-12658673</v>
      </c>
      <c r="C163" s="16" t="n">
        <v>-382545</v>
      </c>
      <c r="D163" s="16" t="n">
        <v>28106052</v>
      </c>
      <c r="E163" s="16" t="n">
        <v>77500</v>
      </c>
    </row>
    <row r="164">
      <c r="A164" s="17" t="n">
        <v>46038</v>
      </c>
      <c r="B164" s="16" t="n">
        <v>-15559911</v>
      </c>
      <c r="C164" s="16" t="n">
        <v>-249345</v>
      </c>
      <c r="D164" s="16" t="n">
        <v>25606367</v>
      </c>
      <c r="E164" s="16" t="n">
        <v>79200</v>
      </c>
    </row>
    <row r="165">
      <c r="A165" s="17" t="n">
        <v>46037</v>
      </c>
      <c r="B165" s="16" t="n">
        <v>-13508006</v>
      </c>
      <c r="C165" s="16" t="n">
        <v>-97654</v>
      </c>
      <c r="D165" s="16" t="n">
        <v>27224467</v>
      </c>
      <c r="E165" s="16" t="n">
        <v>106100</v>
      </c>
    </row>
    <row r="166">
      <c r="A166" s="17" t="n">
        <v>46036</v>
      </c>
      <c r="B166" s="16" t="n">
        <v>-12287269</v>
      </c>
      <c r="C166" s="16" t="n">
        <v>-457078</v>
      </c>
      <c r="D166" s="16" t="n">
        <v>27319266</v>
      </c>
      <c r="E166" s="16" t="n">
        <v>96897</v>
      </c>
    </row>
    <row r="167">
      <c r="A167" s="17" t="n">
        <v>46035</v>
      </c>
      <c r="B167" s="16" t="n">
        <v>-8187569</v>
      </c>
      <c r="C167" s="16" t="n">
        <v>-445818</v>
      </c>
      <c r="D167" s="16" t="n">
        <v>28577566</v>
      </c>
      <c r="E167" s="16" t="n">
        <v>-29300</v>
      </c>
    </row>
    <row r="168">
      <c r="A168" s="17" t="n">
        <v>46034</v>
      </c>
      <c r="B168" s="16" t="n">
        <v>-2849098</v>
      </c>
      <c r="C168" s="16" t="n">
        <v>-317118</v>
      </c>
      <c r="D168" s="16" t="n">
        <v>22011166</v>
      </c>
      <c r="E168" s="16" t="n">
        <v>-443682</v>
      </c>
    </row>
    <row r="169">
      <c r="A169" s="17" t="n">
        <v>46031</v>
      </c>
      <c r="B169" s="16" t="n">
        <v>-3165873</v>
      </c>
      <c r="C169" s="16" t="n">
        <v>25276</v>
      </c>
      <c r="D169" s="16" t="n">
        <v>12832802</v>
      </c>
      <c r="E169" s="16" t="n">
        <v>-457282</v>
      </c>
    </row>
    <row r="170">
      <c r="A170" s="17" t="n">
        <v>46030</v>
      </c>
      <c r="B170" s="16" t="n">
        <v>-3085975</v>
      </c>
      <c r="C170" s="16" t="n">
        <v>25906</v>
      </c>
      <c r="D170" s="16" t="n">
        <v>12900855</v>
      </c>
      <c r="E170" s="16" t="n">
        <v>-3325621</v>
      </c>
    </row>
    <row r="171">
      <c r="A171" s="17" t="n">
        <v>46029</v>
      </c>
      <c r="B171" s="16" t="n">
        <v>287060</v>
      </c>
      <c r="C171" s="16" t="n">
        <v>-8694</v>
      </c>
      <c r="D171" s="16" t="n">
        <v>10878666</v>
      </c>
      <c r="E171" s="16" t="n">
        <v>-2776839</v>
      </c>
    </row>
    <row r="172">
      <c r="A172" s="17" t="n">
        <v>46028</v>
      </c>
      <c r="B172" s="16" t="n">
        <v>-1857800</v>
      </c>
      <c r="C172" s="16" t="n">
        <v>9506</v>
      </c>
      <c r="D172" s="16" t="n">
        <v>5853957</v>
      </c>
      <c r="E172" s="16" t="n">
        <v>-2868820</v>
      </c>
    </row>
    <row r="173">
      <c r="A173" s="17" t="n">
        <v>46027</v>
      </c>
      <c r="B173" s="16" t="n"/>
      <c r="C173" s="16" t="n"/>
      <c r="D173" s="16" t="n"/>
      <c r="E173" s="16" t="n"/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FiinPro-X</dc:creator>
  <dcterms:created xsi:type="dcterms:W3CDTF">2019-10-07T03:46:21Z</dcterms:created>
  <dcterms:modified xsi:type="dcterms:W3CDTF">2026-09-11T10:32:50Z</dcterms:modified>
  <cp:lastModifiedBy>Đặng Việt Long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0x0101007CEE3B9C5488B34E9CE3D8D8035958D8</vt:lpwstr>
  </property>
</Properties>
</file>