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ngmac/Library/CloudStorage/GoogleDrive-dangvietlong229@gmail.com/My Drive/Documents/Python Utilities/BCTT Tuan/nn ban rong/"/>
    </mc:Choice>
  </mc:AlternateContent>
  <xr:revisionPtr revIDLastSave="0" documentId="13_ncr:1_{E09DA151-080B-3745-BF16-70C1D9078455}" xr6:coauthVersionLast="47" xr6:coauthVersionMax="47" xr10:uidLastSave="{00000000-0000-0000-0000-000000000000}"/>
  <bookViews>
    <workbookView xWindow="0" yWindow="500" windowWidth="35840" windowHeight="2048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Sheet1!$A$9:$V$9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2" l="1"/>
  <c r="K9" i="2"/>
  <c r="I9" i="2"/>
  <c r="H9" i="2"/>
  <c r="K10" i="2"/>
  <c r="J10" i="2"/>
  <c r="I10" i="2"/>
  <c r="H10" i="2"/>
  <c r="K8" i="2"/>
  <c r="J8" i="2"/>
  <c r="I8" i="2"/>
  <c r="H8" i="2"/>
  <c r="K7" i="2"/>
  <c r="J7" i="2"/>
  <c r="I7" i="2"/>
  <c r="H7" i="2"/>
  <c r="K6" i="2"/>
  <c r="J6" i="2"/>
  <c r="I6" i="2"/>
  <c r="H6" i="2"/>
  <c r="K5" i="2"/>
  <c r="J5" i="2"/>
  <c r="I5" i="2"/>
  <c r="H5" i="2"/>
  <c r="T151" i="1"/>
  <c r="O151" i="1"/>
  <c r="J151" i="1"/>
  <c r="E151" i="1"/>
  <c r="U150" i="1"/>
  <c r="U149" i="1" s="1"/>
  <c r="U148" i="1" s="1"/>
  <c r="U147" i="1" s="1"/>
  <c r="U146" i="1" s="1"/>
  <c r="U145" i="1" s="1"/>
  <c r="T150" i="1"/>
  <c r="O150" i="1"/>
  <c r="P150" i="1" s="1"/>
  <c r="P149" i="1" s="1"/>
  <c r="P148" i="1" s="1"/>
  <c r="P147" i="1" s="1"/>
  <c r="P146" i="1" s="1"/>
  <c r="P145" i="1" s="1"/>
  <c r="P144" i="1" s="1"/>
  <c r="P143" i="1" s="1"/>
  <c r="P142" i="1" s="1"/>
  <c r="P141" i="1" s="1"/>
  <c r="P140" i="1" s="1"/>
  <c r="P139" i="1" s="1"/>
  <c r="P138" i="1" s="1"/>
  <c r="P137" i="1" s="1"/>
  <c r="P136" i="1" s="1"/>
  <c r="P135" i="1" s="1"/>
  <c r="P134" i="1" s="1"/>
  <c r="P133" i="1" s="1"/>
  <c r="P132" i="1" s="1"/>
  <c r="P131" i="1" s="1"/>
  <c r="P130" i="1" s="1"/>
  <c r="P129" i="1" s="1"/>
  <c r="P128" i="1" s="1"/>
  <c r="P127" i="1" s="1"/>
  <c r="P126" i="1" s="1"/>
  <c r="P125" i="1" s="1"/>
  <c r="P124" i="1" s="1"/>
  <c r="P123" i="1" s="1"/>
  <c r="P122" i="1" s="1"/>
  <c r="P121" i="1" s="1"/>
  <c r="P120" i="1" s="1"/>
  <c r="P119" i="1" s="1"/>
  <c r="P118" i="1" s="1"/>
  <c r="P117" i="1" s="1"/>
  <c r="P116" i="1" s="1"/>
  <c r="P115" i="1" s="1"/>
  <c r="P114" i="1" s="1"/>
  <c r="P113" i="1" s="1"/>
  <c r="P112" i="1" s="1"/>
  <c r="P111" i="1" s="1"/>
  <c r="P110" i="1" s="1"/>
  <c r="P109" i="1" s="1"/>
  <c r="P108" i="1" s="1"/>
  <c r="P107" i="1" s="1"/>
  <c r="P106" i="1" s="1"/>
  <c r="P105" i="1" s="1"/>
  <c r="P104" i="1" s="1"/>
  <c r="P103" i="1" s="1"/>
  <c r="P102" i="1" s="1"/>
  <c r="P101" i="1" s="1"/>
  <c r="P100" i="1" s="1"/>
  <c r="P99" i="1" s="1"/>
  <c r="P98" i="1" s="1"/>
  <c r="P97" i="1" s="1"/>
  <c r="P96" i="1" s="1"/>
  <c r="P95" i="1" s="1"/>
  <c r="P94" i="1" s="1"/>
  <c r="P93" i="1" s="1"/>
  <c r="P92" i="1" s="1"/>
  <c r="P91" i="1" s="1"/>
  <c r="P90" i="1" s="1"/>
  <c r="P89" i="1" s="1"/>
  <c r="P88" i="1" s="1"/>
  <c r="P87" i="1" s="1"/>
  <c r="P86" i="1" s="1"/>
  <c r="P85" i="1" s="1"/>
  <c r="P84" i="1" s="1"/>
  <c r="P83" i="1" s="1"/>
  <c r="P82" i="1" s="1"/>
  <c r="P81" i="1" s="1"/>
  <c r="P80" i="1" s="1"/>
  <c r="P79" i="1" s="1"/>
  <c r="P78" i="1" s="1"/>
  <c r="P77" i="1" s="1"/>
  <c r="P76" i="1" s="1"/>
  <c r="P75" i="1" s="1"/>
  <c r="P74" i="1" s="1"/>
  <c r="P73" i="1" s="1"/>
  <c r="P72" i="1" s="1"/>
  <c r="P71" i="1" s="1"/>
  <c r="P70" i="1" s="1"/>
  <c r="P69" i="1" s="1"/>
  <c r="P68" i="1" s="1"/>
  <c r="P67" i="1" s="1"/>
  <c r="P66" i="1" s="1"/>
  <c r="P65" i="1" s="1"/>
  <c r="P64" i="1" s="1"/>
  <c r="P63" i="1" s="1"/>
  <c r="P62" i="1" s="1"/>
  <c r="P61" i="1" s="1"/>
  <c r="P60" i="1" s="1"/>
  <c r="P59" i="1" s="1"/>
  <c r="P58" i="1" s="1"/>
  <c r="P57" i="1" s="1"/>
  <c r="P56" i="1" s="1"/>
  <c r="P55" i="1" s="1"/>
  <c r="P54" i="1" s="1"/>
  <c r="P53" i="1" s="1"/>
  <c r="P52" i="1" s="1"/>
  <c r="P51" i="1" s="1"/>
  <c r="P50" i="1" s="1"/>
  <c r="P49" i="1" s="1"/>
  <c r="P48" i="1" s="1"/>
  <c r="P47" i="1" s="1"/>
  <c r="P46" i="1" s="1"/>
  <c r="P45" i="1" s="1"/>
  <c r="P44" i="1" s="1"/>
  <c r="P43" i="1" s="1"/>
  <c r="P42" i="1" s="1"/>
  <c r="P41" i="1" s="1"/>
  <c r="P40" i="1" s="1"/>
  <c r="P39" i="1" s="1"/>
  <c r="P38" i="1" s="1"/>
  <c r="P37" i="1" s="1"/>
  <c r="P36" i="1" s="1"/>
  <c r="P35" i="1" s="1"/>
  <c r="P34" i="1" s="1"/>
  <c r="P33" i="1" s="1"/>
  <c r="P32" i="1" s="1"/>
  <c r="P31" i="1" s="1"/>
  <c r="P30" i="1" s="1"/>
  <c r="P29" i="1" s="1"/>
  <c r="P28" i="1" s="1"/>
  <c r="P27" i="1" s="1"/>
  <c r="P26" i="1" s="1"/>
  <c r="P25" i="1" s="1"/>
  <c r="P24" i="1" s="1"/>
  <c r="P23" i="1" s="1"/>
  <c r="P22" i="1" s="1"/>
  <c r="P21" i="1" s="1"/>
  <c r="P20" i="1" s="1"/>
  <c r="P19" i="1" s="1"/>
  <c r="P18" i="1" s="1"/>
  <c r="P17" i="1" s="1"/>
  <c r="P16" i="1" s="1"/>
  <c r="P15" i="1" s="1"/>
  <c r="P14" i="1" s="1"/>
  <c r="P13" i="1" s="1"/>
  <c r="P12" i="1" s="1"/>
  <c r="P11" i="1" s="1"/>
  <c r="P10" i="1" s="1"/>
  <c r="K150" i="1"/>
  <c r="K149" i="1" s="1"/>
  <c r="K148" i="1" s="1"/>
  <c r="K147" i="1" s="1"/>
  <c r="K146" i="1" s="1"/>
  <c r="K145" i="1" s="1"/>
  <c r="K144" i="1" s="1"/>
  <c r="K143" i="1" s="1"/>
  <c r="K142" i="1" s="1"/>
  <c r="K141" i="1" s="1"/>
  <c r="J150" i="1"/>
  <c r="E150" i="1"/>
  <c r="F150" i="1" s="1"/>
  <c r="F149" i="1" s="1"/>
  <c r="F148" i="1" s="1"/>
  <c r="F147" i="1" s="1"/>
  <c r="F146" i="1" s="1"/>
  <c r="F145" i="1" s="1"/>
  <c r="F144" i="1" s="1"/>
  <c r="F143" i="1" s="1"/>
  <c r="F142" i="1" s="1"/>
  <c r="F141" i="1" s="1"/>
  <c r="F140" i="1" s="1"/>
  <c r="F139" i="1" s="1"/>
  <c r="F138" i="1" s="1"/>
  <c r="F137" i="1" s="1"/>
  <c r="F136" i="1" s="1"/>
  <c r="F135" i="1" s="1"/>
  <c r="F134" i="1" s="1"/>
  <c r="F133" i="1" s="1"/>
  <c r="F132" i="1" s="1"/>
  <c r="F131" i="1" s="1"/>
  <c r="F130" i="1" s="1"/>
  <c r="F129" i="1" s="1"/>
  <c r="F128" i="1" s="1"/>
  <c r="F127" i="1" s="1"/>
  <c r="F126" i="1" s="1"/>
  <c r="F125" i="1" s="1"/>
  <c r="F124" i="1" s="1"/>
  <c r="F123" i="1" s="1"/>
  <c r="F122" i="1" s="1"/>
  <c r="F121" i="1" s="1"/>
  <c r="F120" i="1" s="1"/>
  <c r="F119" i="1" s="1"/>
  <c r="F118" i="1" s="1"/>
  <c r="F117" i="1" s="1"/>
  <c r="F116" i="1" s="1"/>
  <c r="F115" i="1" s="1"/>
  <c r="F114" i="1" s="1"/>
  <c r="F113" i="1" s="1"/>
  <c r="F112" i="1" s="1"/>
  <c r="F111" i="1" s="1"/>
  <c r="F110" i="1" s="1"/>
  <c r="F109" i="1" s="1"/>
  <c r="F108" i="1" s="1"/>
  <c r="F107" i="1" s="1"/>
  <c r="F106" i="1" s="1"/>
  <c r="F105" i="1" s="1"/>
  <c r="F104" i="1" s="1"/>
  <c r="F103" i="1" s="1"/>
  <c r="F102" i="1" s="1"/>
  <c r="F101" i="1" s="1"/>
  <c r="F100" i="1" s="1"/>
  <c r="F99" i="1" s="1"/>
  <c r="F98" i="1" s="1"/>
  <c r="F97" i="1" s="1"/>
  <c r="F96" i="1" s="1"/>
  <c r="F95" i="1" s="1"/>
  <c r="F94" i="1" s="1"/>
  <c r="F93" i="1" s="1"/>
  <c r="F92" i="1" s="1"/>
  <c r="F91" i="1" s="1"/>
  <c r="F90" i="1" s="1"/>
  <c r="F89" i="1" s="1"/>
  <c r="F88" i="1" s="1"/>
  <c r="F87" i="1" s="1"/>
  <c r="F86" i="1" s="1"/>
  <c r="F85" i="1" s="1"/>
  <c r="F84" i="1" s="1"/>
  <c r="F83" i="1" s="1"/>
  <c r="F82" i="1" s="1"/>
  <c r="F81" i="1" s="1"/>
  <c r="F80" i="1" s="1"/>
  <c r="F79" i="1" s="1"/>
  <c r="F78" i="1" s="1"/>
  <c r="F77" i="1" s="1"/>
  <c r="F76" i="1" s="1"/>
  <c r="F75" i="1" s="1"/>
  <c r="F74" i="1" s="1"/>
  <c r="F73" i="1" s="1"/>
  <c r="F72" i="1" s="1"/>
  <c r="F71" i="1" s="1"/>
  <c r="F70" i="1" s="1"/>
  <c r="F69" i="1" s="1"/>
  <c r="F68" i="1" s="1"/>
  <c r="F67" i="1" s="1"/>
  <c r="F66" i="1" s="1"/>
  <c r="F65" i="1" s="1"/>
  <c r="F64" i="1" s="1"/>
  <c r="F63" i="1" s="1"/>
  <c r="F62" i="1" s="1"/>
  <c r="F61" i="1" s="1"/>
  <c r="F60" i="1" s="1"/>
  <c r="F59" i="1" s="1"/>
  <c r="F58" i="1" s="1"/>
  <c r="F57" i="1" s="1"/>
  <c r="F56" i="1" s="1"/>
  <c r="F55" i="1" s="1"/>
  <c r="F54" i="1" s="1"/>
  <c r="F53" i="1" s="1"/>
  <c r="F52" i="1" s="1"/>
  <c r="F51" i="1" s="1"/>
  <c r="F50" i="1" s="1"/>
  <c r="F49" i="1" s="1"/>
  <c r="F48" i="1" s="1"/>
  <c r="F47" i="1" s="1"/>
  <c r="F46" i="1" s="1"/>
  <c r="F45" i="1" s="1"/>
  <c r="F44" i="1" s="1"/>
  <c r="F43" i="1" s="1"/>
  <c r="F42" i="1" s="1"/>
  <c r="F41" i="1" s="1"/>
  <c r="F40" i="1" s="1"/>
  <c r="F39" i="1" s="1"/>
  <c r="F38" i="1" s="1"/>
  <c r="F37" i="1" s="1"/>
  <c r="F36" i="1" s="1"/>
  <c r="F35" i="1" s="1"/>
  <c r="F34" i="1" s="1"/>
  <c r="F33" i="1" s="1"/>
  <c r="F32" i="1" s="1"/>
  <c r="F31" i="1" s="1"/>
  <c r="F30" i="1" s="1"/>
  <c r="F29" i="1" s="1"/>
  <c r="F28" i="1" s="1"/>
  <c r="F27" i="1" s="1"/>
  <c r="F26" i="1" s="1"/>
  <c r="F25" i="1" s="1"/>
  <c r="F24" i="1" s="1"/>
  <c r="F23" i="1" s="1"/>
  <c r="F22" i="1" s="1"/>
  <c r="F21" i="1" s="1"/>
  <c r="F20" i="1" s="1"/>
  <c r="F19" i="1" s="1"/>
  <c r="F18" i="1" s="1"/>
  <c r="F17" i="1" s="1"/>
  <c r="F16" i="1" s="1"/>
  <c r="F15" i="1" s="1"/>
  <c r="F14" i="1" s="1"/>
  <c r="F13" i="1" s="1"/>
  <c r="F12" i="1" s="1"/>
  <c r="F11" i="1" s="1"/>
  <c r="F10" i="1" s="1"/>
  <c r="T149" i="1"/>
  <c r="O149" i="1"/>
  <c r="J149" i="1"/>
  <c r="E149" i="1"/>
  <c r="T148" i="1"/>
  <c r="O148" i="1"/>
  <c r="J148" i="1"/>
  <c r="E148" i="1"/>
  <c r="T147" i="1"/>
  <c r="O147" i="1"/>
  <c r="J147" i="1"/>
  <c r="E147" i="1"/>
  <c r="T146" i="1"/>
  <c r="O146" i="1"/>
  <c r="J146" i="1"/>
  <c r="E146" i="1"/>
  <c r="T145" i="1"/>
  <c r="O145" i="1"/>
  <c r="J145" i="1"/>
  <c r="E145" i="1"/>
  <c r="T144" i="1"/>
  <c r="O144" i="1"/>
  <c r="J144" i="1"/>
  <c r="E144" i="1"/>
  <c r="T143" i="1"/>
  <c r="O143" i="1"/>
  <c r="J143" i="1"/>
  <c r="E143" i="1"/>
  <c r="T142" i="1"/>
  <c r="O142" i="1"/>
  <c r="J142" i="1"/>
  <c r="E142" i="1"/>
  <c r="T141" i="1"/>
  <c r="O141" i="1"/>
  <c r="J141" i="1"/>
  <c r="E141" i="1"/>
  <c r="T140" i="1"/>
  <c r="O140" i="1"/>
  <c r="J140" i="1"/>
  <c r="E140" i="1"/>
  <c r="T139" i="1"/>
  <c r="O139" i="1"/>
  <c r="J139" i="1"/>
  <c r="E139" i="1"/>
  <c r="T138" i="1"/>
  <c r="O138" i="1"/>
  <c r="J138" i="1"/>
  <c r="E138" i="1"/>
  <c r="T137" i="1"/>
  <c r="O137" i="1"/>
  <c r="J137" i="1"/>
  <c r="E137" i="1"/>
  <c r="T136" i="1"/>
  <c r="O136" i="1"/>
  <c r="J136" i="1"/>
  <c r="E136" i="1"/>
  <c r="T135" i="1"/>
  <c r="O135" i="1"/>
  <c r="J135" i="1"/>
  <c r="E135" i="1"/>
  <c r="T134" i="1"/>
  <c r="O134" i="1"/>
  <c r="J134" i="1"/>
  <c r="E134" i="1"/>
  <c r="T133" i="1"/>
  <c r="O133" i="1"/>
  <c r="J133" i="1"/>
  <c r="E133" i="1"/>
  <c r="T132" i="1"/>
  <c r="O132" i="1"/>
  <c r="J132" i="1"/>
  <c r="E132" i="1"/>
  <c r="T131" i="1"/>
  <c r="O131" i="1"/>
  <c r="J131" i="1"/>
  <c r="E131" i="1"/>
  <c r="T130" i="1"/>
  <c r="O130" i="1"/>
  <c r="J130" i="1"/>
  <c r="E130" i="1"/>
  <c r="T129" i="1"/>
  <c r="O129" i="1"/>
  <c r="J129" i="1"/>
  <c r="E129" i="1"/>
  <c r="T128" i="1"/>
  <c r="O128" i="1"/>
  <c r="J128" i="1"/>
  <c r="E128" i="1"/>
  <c r="T127" i="1"/>
  <c r="O127" i="1"/>
  <c r="J127" i="1"/>
  <c r="E127" i="1"/>
  <c r="T126" i="1"/>
  <c r="O126" i="1"/>
  <c r="J126" i="1"/>
  <c r="E126" i="1"/>
  <c r="T125" i="1"/>
  <c r="O125" i="1"/>
  <c r="J125" i="1"/>
  <c r="E125" i="1"/>
  <c r="T124" i="1"/>
  <c r="O124" i="1"/>
  <c r="J124" i="1"/>
  <c r="E124" i="1"/>
  <c r="T123" i="1"/>
  <c r="O123" i="1"/>
  <c r="J123" i="1"/>
  <c r="E123" i="1"/>
  <c r="T122" i="1"/>
  <c r="O122" i="1"/>
  <c r="J122" i="1"/>
  <c r="E122" i="1"/>
  <c r="T121" i="1"/>
  <c r="O121" i="1"/>
  <c r="J121" i="1"/>
  <c r="E121" i="1"/>
  <c r="T120" i="1"/>
  <c r="O120" i="1"/>
  <c r="J120" i="1"/>
  <c r="E120" i="1"/>
  <c r="T119" i="1"/>
  <c r="O119" i="1"/>
  <c r="J119" i="1"/>
  <c r="E119" i="1"/>
  <c r="T118" i="1"/>
  <c r="O118" i="1"/>
  <c r="J118" i="1"/>
  <c r="E118" i="1"/>
  <c r="T117" i="1"/>
  <c r="O117" i="1"/>
  <c r="J117" i="1"/>
  <c r="E117" i="1"/>
  <c r="T116" i="1"/>
  <c r="O116" i="1"/>
  <c r="J116" i="1"/>
  <c r="E116" i="1"/>
  <c r="T115" i="1"/>
  <c r="O115" i="1"/>
  <c r="J115" i="1"/>
  <c r="E115" i="1"/>
  <c r="T114" i="1"/>
  <c r="O114" i="1"/>
  <c r="J114" i="1"/>
  <c r="E114" i="1"/>
  <c r="T113" i="1"/>
  <c r="O113" i="1"/>
  <c r="J113" i="1"/>
  <c r="E113" i="1"/>
  <c r="T112" i="1"/>
  <c r="O112" i="1"/>
  <c r="J112" i="1"/>
  <c r="E112" i="1"/>
  <c r="T111" i="1"/>
  <c r="O111" i="1"/>
  <c r="J111" i="1"/>
  <c r="E111" i="1"/>
  <c r="T110" i="1"/>
  <c r="O110" i="1"/>
  <c r="J110" i="1"/>
  <c r="E110" i="1"/>
  <c r="T109" i="1"/>
  <c r="O109" i="1"/>
  <c r="J109" i="1"/>
  <c r="E109" i="1"/>
  <c r="T108" i="1"/>
  <c r="O108" i="1"/>
  <c r="J108" i="1"/>
  <c r="E108" i="1"/>
  <c r="T107" i="1"/>
  <c r="O107" i="1"/>
  <c r="J107" i="1"/>
  <c r="E107" i="1"/>
  <c r="T106" i="1"/>
  <c r="O106" i="1"/>
  <c r="J106" i="1"/>
  <c r="E106" i="1"/>
  <c r="T105" i="1"/>
  <c r="O105" i="1"/>
  <c r="J105" i="1"/>
  <c r="E105" i="1"/>
  <c r="T104" i="1"/>
  <c r="O104" i="1"/>
  <c r="J104" i="1"/>
  <c r="E104" i="1"/>
  <c r="T103" i="1"/>
  <c r="O103" i="1"/>
  <c r="J103" i="1"/>
  <c r="E103" i="1"/>
  <c r="T102" i="1"/>
  <c r="O102" i="1"/>
  <c r="J102" i="1"/>
  <c r="E102" i="1"/>
  <c r="T101" i="1"/>
  <c r="O101" i="1"/>
  <c r="J101" i="1"/>
  <c r="E101" i="1"/>
  <c r="T100" i="1"/>
  <c r="O100" i="1"/>
  <c r="J100" i="1"/>
  <c r="E100" i="1"/>
  <c r="T99" i="1"/>
  <c r="O99" i="1"/>
  <c r="J99" i="1"/>
  <c r="E99" i="1"/>
  <c r="T98" i="1"/>
  <c r="O98" i="1"/>
  <c r="J98" i="1"/>
  <c r="E98" i="1"/>
  <c r="T97" i="1"/>
  <c r="O97" i="1"/>
  <c r="J97" i="1"/>
  <c r="E97" i="1"/>
  <c r="T96" i="1"/>
  <c r="O96" i="1"/>
  <c r="J96" i="1"/>
  <c r="E96" i="1"/>
  <c r="T95" i="1"/>
  <c r="O95" i="1"/>
  <c r="J95" i="1"/>
  <c r="E95" i="1"/>
  <c r="T94" i="1"/>
  <c r="O94" i="1"/>
  <c r="J94" i="1"/>
  <c r="E94" i="1"/>
  <c r="T93" i="1"/>
  <c r="O93" i="1"/>
  <c r="J93" i="1"/>
  <c r="E93" i="1"/>
  <c r="T92" i="1"/>
  <c r="O92" i="1"/>
  <c r="J92" i="1"/>
  <c r="E92" i="1"/>
  <c r="T91" i="1"/>
  <c r="O91" i="1"/>
  <c r="J91" i="1"/>
  <c r="E91" i="1"/>
  <c r="T90" i="1"/>
  <c r="O90" i="1"/>
  <c r="J90" i="1"/>
  <c r="E90" i="1"/>
  <c r="T89" i="1"/>
  <c r="O89" i="1"/>
  <c r="J89" i="1"/>
  <c r="E89" i="1"/>
  <c r="T88" i="1"/>
  <c r="O88" i="1"/>
  <c r="J88" i="1"/>
  <c r="E88" i="1"/>
  <c r="T87" i="1"/>
  <c r="O87" i="1"/>
  <c r="J87" i="1"/>
  <c r="E87" i="1"/>
  <c r="T86" i="1"/>
  <c r="O86" i="1"/>
  <c r="J86" i="1"/>
  <c r="E86" i="1"/>
  <c r="T85" i="1"/>
  <c r="O85" i="1"/>
  <c r="J85" i="1"/>
  <c r="E85" i="1"/>
  <c r="T84" i="1"/>
  <c r="O84" i="1"/>
  <c r="J84" i="1"/>
  <c r="E84" i="1"/>
  <c r="T83" i="1"/>
  <c r="O83" i="1"/>
  <c r="J83" i="1"/>
  <c r="E83" i="1"/>
  <c r="T82" i="1"/>
  <c r="O82" i="1"/>
  <c r="J82" i="1"/>
  <c r="E82" i="1"/>
  <c r="T81" i="1"/>
  <c r="O81" i="1"/>
  <c r="J81" i="1"/>
  <c r="E81" i="1"/>
  <c r="T80" i="1"/>
  <c r="O80" i="1"/>
  <c r="J80" i="1"/>
  <c r="E80" i="1"/>
  <c r="T79" i="1"/>
  <c r="O79" i="1"/>
  <c r="J79" i="1"/>
  <c r="E79" i="1"/>
  <c r="T78" i="1"/>
  <c r="O78" i="1"/>
  <c r="J78" i="1"/>
  <c r="E78" i="1"/>
  <c r="T77" i="1"/>
  <c r="O77" i="1"/>
  <c r="J77" i="1"/>
  <c r="E77" i="1"/>
  <c r="T76" i="1"/>
  <c r="O76" i="1"/>
  <c r="J76" i="1"/>
  <c r="E76" i="1"/>
  <c r="T75" i="1"/>
  <c r="O75" i="1"/>
  <c r="J75" i="1"/>
  <c r="E75" i="1"/>
  <c r="T74" i="1"/>
  <c r="O74" i="1"/>
  <c r="J74" i="1"/>
  <c r="E74" i="1"/>
  <c r="T73" i="1"/>
  <c r="O73" i="1"/>
  <c r="J73" i="1"/>
  <c r="E73" i="1"/>
  <c r="T72" i="1"/>
  <c r="O72" i="1"/>
  <c r="J72" i="1"/>
  <c r="E72" i="1"/>
  <c r="T71" i="1"/>
  <c r="O71" i="1"/>
  <c r="J71" i="1"/>
  <c r="E71" i="1"/>
  <c r="T70" i="1"/>
  <c r="O70" i="1"/>
  <c r="J70" i="1"/>
  <c r="E70" i="1"/>
  <c r="T69" i="1"/>
  <c r="O69" i="1"/>
  <c r="J69" i="1"/>
  <c r="E69" i="1"/>
  <c r="T68" i="1"/>
  <c r="O68" i="1"/>
  <c r="J68" i="1"/>
  <c r="E68" i="1"/>
  <c r="T67" i="1"/>
  <c r="O67" i="1"/>
  <c r="J67" i="1"/>
  <c r="E67" i="1"/>
  <c r="T66" i="1"/>
  <c r="O66" i="1"/>
  <c r="J66" i="1"/>
  <c r="E66" i="1"/>
  <c r="T65" i="1"/>
  <c r="O65" i="1"/>
  <c r="J65" i="1"/>
  <c r="E65" i="1"/>
  <c r="T64" i="1"/>
  <c r="O64" i="1"/>
  <c r="J64" i="1"/>
  <c r="E64" i="1"/>
  <c r="T63" i="1"/>
  <c r="O63" i="1"/>
  <c r="J63" i="1"/>
  <c r="E63" i="1"/>
  <c r="T62" i="1"/>
  <c r="O62" i="1"/>
  <c r="J62" i="1"/>
  <c r="E62" i="1"/>
  <c r="T61" i="1"/>
  <c r="O61" i="1"/>
  <c r="J61" i="1"/>
  <c r="E61" i="1"/>
  <c r="T60" i="1"/>
  <c r="O60" i="1"/>
  <c r="J60" i="1"/>
  <c r="E60" i="1"/>
  <c r="T59" i="1"/>
  <c r="O59" i="1"/>
  <c r="J59" i="1"/>
  <c r="E59" i="1"/>
  <c r="T58" i="1"/>
  <c r="O58" i="1"/>
  <c r="J58" i="1"/>
  <c r="E58" i="1"/>
  <c r="T57" i="1"/>
  <c r="O57" i="1"/>
  <c r="J57" i="1"/>
  <c r="E57" i="1"/>
  <c r="T56" i="1"/>
  <c r="O56" i="1"/>
  <c r="J56" i="1"/>
  <c r="E56" i="1"/>
  <c r="T55" i="1"/>
  <c r="O55" i="1"/>
  <c r="J55" i="1"/>
  <c r="E55" i="1"/>
  <c r="T54" i="1"/>
  <c r="O54" i="1"/>
  <c r="J54" i="1"/>
  <c r="E54" i="1"/>
  <c r="T53" i="1"/>
  <c r="O53" i="1"/>
  <c r="J53" i="1"/>
  <c r="E53" i="1"/>
  <c r="T52" i="1"/>
  <c r="O52" i="1"/>
  <c r="J52" i="1"/>
  <c r="E52" i="1"/>
  <c r="T51" i="1"/>
  <c r="O51" i="1"/>
  <c r="J51" i="1"/>
  <c r="E51" i="1"/>
  <c r="T50" i="1"/>
  <c r="O50" i="1"/>
  <c r="J50" i="1"/>
  <c r="E50" i="1"/>
  <c r="T49" i="1"/>
  <c r="O49" i="1"/>
  <c r="J49" i="1"/>
  <c r="E49" i="1"/>
  <c r="T48" i="1"/>
  <c r="O48" i="1"/>
  <c r="J48" i="1"/>
  <c r="E48" i="1"/>
  <c r="T47" i="1"/>
  <c r="O47" i="1"/>
  <c r="J47" i="1"/>
  <c r="E47" i="1"/>
  <c r="T46" i="1"/>
  <c r="O46" i="1"/>
  <c r="J46" i="1"/>
  <c r="E46" i="1"/>
  <c r="T45" i="1"/>
  <c r="O45" i="1"/>
  <c r="J45" i="1"/>
  <c r="E45" i="1"/>
  <c r="T44" i="1"/>
  <c r="O44" i="1"/>
  <c r="J44" i="1"/>
  <c r="E44" i="1"/>
  <c r="T43" i="1"/>
  <c r="O43" i="1"/>
  <c r="J43" i="1"/>
  <c r="E43" i="1"/>
  <c r="T42" i="1"/>
  <c r="O42" i="1"/>
  <c r="J42" i="1"/>
  <c r="E42" i="1"/>
  <c r="T41" i="1"/>
  <c r="O41" i="1"/>
  <c r="J41" i="1"/>
  <c r="E41" i="1"/>
  <c r="T40" i="1"/>
  <c r="O40" i="1"/>
  <c r="J40" i="1"/>
  <c r="E40" i="1"/>
  <c r="T39" i="1"/>
  <c r="O39" i="1"/>
  <c r="J39" i="1"/>
  <c r="E39" i="1"/>
  <c r="T38" i="1"/>
  <c r="O38" i="1"/>
  <c r="J38" i="1"/>
  <c r="E38" i="1"/>
  <c r="T37" i="1"/>
  <c r="O37" i="1"/>
  <c r="J37" i="1"/>
  <c r="E37" i="1"/>
  <c r="T36" i="1"/>
  <c r="O36" i="1"/>
  <c r="J36" i="1"/>
  <c r="E36" i="1"/>
  <c r="T35" i="1"/>
  <c r="O35" i="1"/>
  <c r="J35" i="1"/>
  <c r="E35" i="1"/>
  <c r="T34" i="1"/>
  <c r="O34" i="1"/>
  <c r="J34" i="1"/>
  <c r="E34" i="1"/>
  <c r="T33" i="1"/>
  <c r="O33" i="1"/>
  <c r="J33" i="1"/>
  <c r="E33" i="1"/>
  <c r="T32" i="1"/>
  <c r="O32" i="1"/>
  <c r="J32" i="1"/>
  <c r="E32" i="1"/>
  <c r="T31" i="1"/>
  <c r="O31" i="1"/>
  <c r="J31" i="1"/>
  <c r="E31" i="1"/>
  <c r="T30" i="1"/>
  <c r="O30" i="1"/>
  <c r="J30" i="1"/>
  <c r="E30" i="1"/>
  <c r="T29" i="1"/>
  <c r="O29" i="1"/>
  <c r="J29" i="1"/>
  <c r="E29" i="1"/>
  <c r="T28" i="1"/>
  <c r="O28" i="1"/>
  <c r="J28" i="1"/>
  <c r="E28" i="1"/>
  <c r="T27" i="1"/>
  <c r="O27" i="1"/>
  <c r="J27" i="1"/>
  <c r="E27" i="1"/>
  <c r="T26" i="1"/>
  <c r="O26" i="1"/>
  <c r="J26" i="1"/>
  <c r="E26" i="1"/>
  <c r="T25" i="1"/>
  <c r="O25" i="1"/>
  <c r="J25" i="1"/>
  <c r="E25" i="1"/>
  <c r="T24" i="1"/>
  <c r="O24" i="1"/>
  <c r="J24" i="1"/>
  <c r="E24" i="1"/>
  <c r="T23" i="1"/>
  <c r="O23" i="1"/>
  <c r="J23" i="1"/>
  <c r="E23" i="1"/>
  <c r="T22" i="1"/>
  <c r="O22" i="1"/>
  <c r="J22" i="1"/>
  <c r="E22" i="1"/>
  <c r="T21" i="1"/>
  <c r="O21" i="1"/>
  <c r="J21" i="1"/>
  <c r="E21" i="1"/>
  <c r="T20" i="1"/>
  <c r="O20" i="1"/>
  <c r="J20" i="1"/>
  <c r="E20" i="1"/>
  <c r="T19" i="1"/>
  <c r="O19" i="1"/>
  <c r="J19" i="1"/>
  <c r="E19" i="1"/>
  <c r="T18" i="1"/>
  <c r="O18" i="1"/>
  <c r="J18" i="1"/>
  <c r="E18" i="1"/>
  <c r="T17" i="1"/>
  <c r="O17" i="1"/>
  <c r="J17" i="1"/>
  <c r="E17" i="1"/>
  <c r="T16" i="1"/>
  <c r="O16" i="1"/>
  <c r="J16" i="1"/>
  <c r="E16" i="1"/>
  <c r="T15" i="1"/>
  <c r="O15" i="1"/>
  <c r="J15" i="1"/>
  <c r="E15" i="1"/>
  <c r="T14" i="1"/>
  <c r="O14" i="1"/>
  <c r="J14" i="1"/>
  <c r="E14" i="1"/>
  <c r="T13" i="1"/>
  <c r="O13" i="1"/>
  <c r="J13" i="1"/>
  <c r="E13" i="1"/>
  <c r="T12" i="1"/>
  <c r="O12" i="1"/>
  <c r="J12" i="1"/>
  <c r="E12" i="1"/>
  <c r="T11" i="1"/>
  <c r="O11" i="1"/>
  <c r="J11" i="1"/>
  <c r="E11" i="1"/>
  <c r="T10" i="1"/>
  <c r="O10" i="1"/>
  <c r="J10" i="1"/>
  <c r="E10" i="1"/>
  <c r="V6" i="1"/>
  <c r="Q6" i="1"/>
  <c r="L6" i="1"/>
  <c r="G6" i="1"/>
  <c r="K140" i="1" l="1"/>
  <c r="K139" i="1" s="1"/>
  <c r="K138" i="1" s="1"/>
  <c r="K137" i="1" s="1"/>
  <c r="K136" i="1" s="1"/>
  <c r="K135" i="1" s="1"/>
  <c r="K134" i="1" s="1"/>
  <c r="K133" i="1" s="1"/>
  <c r="K132" i="1" s="1"/>
  <c r="K131" i="1" s="1"/>
  <c r="K130" i="1" s="1"/>
  <c r="K129" i="1" s="1"/>
  <c r="K128" i="1" s="1"/>
  <c r="K127" i="1" s="1"/>
  <c r="K126" i="1" s="1"/>
  <c r="K125" i="1" s="1"/>
  <c r="K124" i="1" s="1"/>
  <c r="K123" i="1" s="1"/>
  <c r="K122" i="1" s="1"/>
  <c r="K121" i="1" s="1"/>
  <c r="K120" i="1" s="1"/>
  <c r="K119" i="1" s="1"/>
  <c r="K118" i="1" s="1"/>
  <c r="K117" i="1" s="1"/>
  <c r="K116" i="1" s="1"/>
  <c r="K115" i="1" s="1"/>
  <c r="K114" i="1" s="1"/>
  <c r="K113" i="1" s="1"/>
  <c r="K112" i="1" s="1"/>
  <c r="K111" i="1" s="1"/>
  <c r="K110" i="1" s="1"/>
  <c r="K109" i="1" s="1"/>
  <c r="K108" i="1" s="1"/>
  <c r="K107" i="1" s="1"/>
  <c r="K106" i="1" s="1"/>
  <c r="K105" i="1" s="1"/>
  <c r="K104" i="1" s="1"/>
  <c r="K103" i="1" s="1"/>
  <c r="K102" i="1" s="1"/>
  <c r="K101" i="1" s="1"/>
  <c r="K100" i="1" s="1"/>
  <c r="K99" i="1" s="1"/>
  <c r="K98" i="1" s="1"/>
  <c r="K97" i="1" s="1"/>
  <c r="K96" i="1" s="1"/>
  <c r="K95" i="1" s="1"/>
  <c r="K94" i="1" s="1"/>
  <c r="K93" i="1" s="1"/>
  <c r="K92" i="1" s="1"/>
  <c r="K91" i="1" s="1"/>
  <c r="K90" i="1" s="1"/>
  <c r="K89" i="1" s="1"/>
  <c r="K88" i="1" s="1"/>
  <c r="K87" i="1" s="1"/>
  <c r="K86" i="1" s="1"/>
  <c r="K85" i="1" s="1"/>
  <c r="K84" i="1" s="1"/>
  <c r="K83" i="1" s="1"/>
  <c r="K82" i="1" s="1"/>
  <c r="K81" i="1" s="1"/>
  <c r="K80" i="1" s="1"/>
  <c r="K79" i="1" s="1"/>
  <c r="K78" i="1" s="1"/>
  <c r="K77" i="1" s="1"/>
  <c r="K76" i="1" s="1"/>
  <c r="K75" i="1" s="1"/>
  <c r="K74" i="1" s="1"/>
  <c r="K73" i="1" s="1"/>
  <c r="K72" i="1" s="1"/>
  <c r="K71" i="1" s="1"/>
  <c r="K70" i="1" s="1"/>
  <c r="K69" i="1" s="1"/>
  <c r="K68" i="1" s="1"/>
  <c r="K67" i="1" s="1"/>
  <c r="K66" i="1" s="1"/>
  <c r="K65" i="1" s="1"/>
  <c r="K64" i="1" s="1"/>
  <c r="K63" i="1" s="1"/>
  <c r="K62" i="1" s="1"/>
  <c r="K61" i="1" s="1"/>
  <c r="K60" i="1" s="1"/>
  <c r="K59" i="1" s="1"/>
  <c r="K58" i="1" s="1"/>
  <c r="K57" i="1" s="1"/>
  <c r="K56" i="1" s="1"/>
  <c r="K55" i="1" s="1"/>
  <c r="K54" i="1" s="1"/>
  <c r="K53" i="1" s="1"/>
  <c r="K52" i="1" s="1"/>
  <c r="K51" i="1" s="1"/>
  <c r="K50" i="1" s="1"/>
  <c r="K49" i="1" s="1"/>
  <c r="K48" i="1" s="1"/>
  <c r="K47" i="1" s="1"/>
  <c r="K46" i="1" s="1"/>
  <c r="K45" i="1" s="1"/>
  <c r="K44" i="1" s="1"/>
  <c r="K43" i="1" s="1"/>
  <c r="K42" i="1" s="1"/>
  <c r="K41" i="1" s="1"/>
  <c r="K40" i="1" s="1"/>
  <c r="K39" i="1" s="1"/>
  <c r="K38" i="1" s="1"/>
  <c r="K37" i="1" s="1"/>
  <c r="K36" i="1" s="1"/>
  <c r="K35" i="1" s="1"/>
  <c r="K34" i="1" s="1"/>
  <c r="K33" i="1" s="1"/>
  <c r="K32" i="1" s="1"/>
  <c r="K31" i="1" s="1"/>
  <c r="K30" i="1" s="1"/>
  <c r="K29" i="1" s="1"/>
  <c r="K28" i="1" s="1"/>
  <c r="K27" i="1" s="1"/>
  <c r="K26" i="1" s="1"/>
  <c r="K25" i="1" s="1"/>
  <c r="K24" i="1" s="1"/>
  <c r="K23" i="1" s="1"/>
  <c r="K22" i="1" s="1"/>
  <c r="K21" i="1" s="1"/>
  <c r="K20" i="1" s="1"/>
  <c r="K19" i="1" s="1"/>
  <c r="K18" i="1" s="1"/>
  <c r="K17" i="1" s="1"/>
  <c r="K16" i="1" s="1"/>
  <c r="K15" i="1" s="1"/>
  <c r="K14" i="1" s="1"/>
  <c r="K13" i="1" s="1"/>
  <c r="K12" i="1" s="1"/>
  <c r="K11" i="1" s="1"/>
  <c r="K10" i="1" s="1"/>
  <c r="U144" i="1"/>
  <c r="U143" i="1" s="1"/>
  <c r="U142" i="1" s="1"/>
  <c r="U141" i="1" s="1"/>
  <c r="U140" i="1" s="1"/>
  <c r="U139" i="1" s="1"/>
  <c r="U138" i="1" s="1"/>
  <c r="U137" i="1" s="1"/>
  <c r="U136" i="1" s="1"/>
  <c r="U135" i="1" s="1"/>
  <c r="U134" i="1" s="1"/>
  <c r="U133" i="1" s="1"/>
  <c r="U132" i="1" s="1"/>
  <c r="U131" i="1" s="1"/>
  <c r="U130" i="1" s="1"/>
  <c r="U129" i="1" s="1"/>
  <c r="U128" i="1" s="1"/>
  <c r="U127" i="1" s="1"/>
  <c r="U126" i="1" s="1"/>
  <c r="U125" i="1" s="1"/>
  <c r="U124" i="1" s="1"/>
  <c r="U123" i="1" s="1"/>
  <c r="U122" i="1" s="1"/>
  <c r="U121" i="1" s="1"/>
  <c r="U120" i="1" s="1"/>
  <c r="U119" i="1" s="1"/>
  <c r="U118" i="1" s="1"/>
  <c r="U117" i="1" s="1"/>
  <c r="U116" i="1" s="1"/>
  <c r="U115" i="1" s="1"/>
  <c r="U114" i="1" s="1"/>
  <c r="U113" i="1" s="1"/>
  <c r="U112" i="1" s="1"/>
  <c r="U111" i="1" s="1"/>
  <c r="U110" i="1" s="1"/>
  <c r="U109" i="1" s="1"/>
  <c r="U108" i="1" s="1"/>
  <c r="U107" i="1" s="1"/>
  <c r="U106" i="1" s="1"/>
  <c r="U105" i="1" s="1"/>
  <c r="U104" i="1" s="1"/>
  <c r="U103" i="1" s="1"/>
  <c r="U102" i="1" s="1"/>
  <c r="U101" i="1" s="1"/>
  <c r="U100" i="1" s="1"/>
  <c r="U99" i="1" s="1"/>
  <c r="U98" i="1" s="1"/>
  <c r="U97" i="1" s="1"/>
  <c r="U96" i="1" s="1"/>
  <c r="U95" i="1" s="1"/>
  <c r="U94" i="1" s="1"/>
  <c r="U93" i="1" s="1"/>
  <c r="U92" i="1" s="1"/>
  <c r="U91" i="1" s="1"/>
  <c r="U90" i="1" s="1"/>
  <c r="U89" i="1" s="1"/>
  <c r="U88" i="1" s="1"/>
  <c r="U87" i="1" s="1"/>
  <c r="U86" i="1" s="1"/>
  <c r="U85" i="1" s="1"/>
  <c r="U84" i="1" s="1"/>
  <c r="U83" i="1" s="1"/>
  <c r="U82" i="1" s="1"/>
  <c r="U81" i="1" s="1"/>
  <c r="U80" i="1" s="1"/>
  <c r="U79" i="1" s="1"/>
  <c r="U78" i="1" s="1"/>
  <c r="U77" i="1" s="1"/>
  <c r="U76" i="1" s="1"/>
  <c r="U75" i="1" s="1"/>
  <c r="U74" i="1" s="1"/>
  <c r="U73" i="1" s="1"/>
  <c r="U72" i="1" s="1"/>
  <c r="U71" i="1" s="1"/>
  <c r="U70" i="1" s="1"/>
  <c r="U69" i="1" s="1"/>
  <c r="U68" i="1" s="1"/>
  <c r="U67" i="1" s="1"/>
  <c r="U66" i="1" s="1"/>
  <c r="U65" i="1" s="1"/>
  <c r="U64" i="1" s="1"/>
  <c r="U63" i="1" s="1"/>
  <c r="U62" i="1" s="1"/>
  <c r="U61" i="1" s="1"/>
  <c r="U60" i="1" s="1"/>
  <c r="U59" i="1" s="1"/>
  <c r="U58" i="1" s="1"/>
  <c r="U57" i="1" s="1"/>
  <c r="U56" i="1" s="1"/>
  <c r="U55" i="1" s="1"/>
  <c r="U54" i="1" s="1"/>
  <c r="U53" i="1" s="1"/>
  <c r="U52" i="1" s="1"/>
  <c r="U51" i="1" s="1"/>
  <c r="U50" i="1" s="1"/>
  <c r="U49" i="1" s="1"/>
  <c r="U48" i="1" s="1"/>
  <c r="U47" i="1" s="1"/>
  <c r="U46" i="1" s="1"/>
  <c r="U45" i="1" s="1"/>
  <c r="U44" i="1" s="1"/>
  <c r="U43" i="1" s="1"/>
  <c r="U42" i="1" s="1"/>
  <c r="U41" i="1" s="1"/>
  <c r="U40" i="1" s="1"/>
  <c r="U39" i="1" s="1"/>
  <c r="U38" i="1" s="1"/>
  <c r="U37" i="1" s="1"/>
  <c r="U36" i="1" s="1"/>
  <c r="U35" i="1" s="1"/>
  <c r="U34" i="1" s="1"/>
  <c r="U33" i="1" s="1"/>
  <c r="U32" i="1" s="1"/>
  <c r="U31" i="1" s="1"/>
  <c r="U30" i="1" s="1"/>
  <c r="U29" i="1" s="1"/>
  <c r="U28" i="1" s="1"/>
  <c r="U27" i="1" s="1"/>
  <c r="U26" i="1" s="1"/>
  <c r="U25" i="1" s="1"/>
  <c r="U24" i="1" s="1"/>
  <c r="U23" i="1" s="1"/>
  <c r="U22" i="1" s="1"/>
  <c r="U21" i="1" s="1"/>
  <c r="U20" i="1" s="1"/>
  <c r="U19" i="1" s="1"/>
  <c r="U18" i="1" s="1"/>
  <c r="U17" i="1" s="1"/>
  <c r="U16" i="1" s="1"/>
  <c r="U15" i="1" s="1"/>
  <c r="U14" i="1" s="1"/>
  <c r="U13" i="1" s="1"/>
  <c r="U12" i="1" s="1"/>
  <c r="U11" i="1" s="1"/>
  <c r="U10" i="1" s="1"/>
</calcChain>
</file>

<file path=xl/sharedStrings.xml><?xml version="1.0" encoding="utf-8"?>
<sst xmlns="http://schemas.openxmlformats.org/spreadsheetml/2006/main" count="65" uniqueCount="32">
  <si>
    <t>Tính năng</t>
  </si>
  <si>
    <t>DE - Dữ liệu giao dịch - Công ty</t>
  </si>
  <si>
    <t>Ngày trích xuất</t>
  </si>
  <si>
    <t>ACB</t>
  </si>
  <si>
    <t>VIB</t>
  </si>
  <si>
    <t>VPB</t>
  </si>
  <si>
    <t>TCB</t>
  </si>
  <si>
    <t>STT</t>
  </si>
  <si>
    <t>Ngày</t>
  </si>
  <si>
    <t>Khối lượng  NĐTNN mua (D)
Đơn vị: Cổ phiếu</t>
  </si>
  <si>
    <t>Khối lượng NĐTNN bán (D)
Đơn vị: Cổ phiếu</t>
  </si>
  <si>
    <t>KL ròng</t>
  </si>
  <si>
    <t>Luỹ kế</t>
  </si>
  <si>
    <t>Khối lượng khối ngoại còn được phép mua (D)
Đơn vị: Cổ phiếu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</si>
  <si>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</si>
  <si>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</si>
  <si>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</si>
  <si>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</si>
  <si>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</si>
  <si>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mailto:fiinpro.support@fiingroup.vn</t>
  </si>
  <si>
    <t>TRUNG TÂM CHĂM SÓC KHÁCH HÀNG</t>
  </si>
  <si>
    <t>T: (84-24) - 3562 6962 - Ext: 103</t>
  </si>
  <si>
    <t>Email: fiinpro.support@fiingroup.vn</t>
  </si>
  <si>
    <t>https://fiingroup.vn/</t>
  </si>
  <si>
    <t>Tháng 3</t>
  </si>
  <si>
    <t>Tháng 4</t>
  </si>
  <si>
    <t>Tháng 5</t>
  </si>
  <si>
    <t>Tháng 6</t>
  </si>
  <si>
    <t>Tháng 7</t>
  </si>
  <si>
    <t>Từ đầu năm</t>
  </si>
  <si>
    <t>slcplh</t>
  </si>
  <si>
    <t>room còn lại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</si>
</sst>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8"/>
    <xf numFmtId="43" fontId="6" fillId="0" borderId="8"/>
    <xf numFmtId="0" fontId="7" fillId="0" borderId="8"/>
  </cellStyleXfs>
  <cellXfs count="29">
    <xf numFmtId="0" fontId="0" fillId="0" borderId="0" xfId="0" applyBorder="1"/>
    <xf numFmtId="0" fontId="7" fillId="0" borderId="0" xfId="2" applyBorder="1"/>
    <xf numFmtId="0" fontId="3" fillId="0" borderId="0" xfId="0" applyFont="1" applyBorder="1"/>
    <xf numFmtId="0" fontId="2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1" fillId="3" borderId="1" xfId="0" applyFont="1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2" borderId="0" xfId="0" applyFill="1" applyBorder="1"/>
    <xf numFmtId="3" fontId="8" fillId="4" borderId="2" xfId="0" applyNumberFormat="1" applyFont="1" applyFill="1" applyBorder="1" applyAlignment="1">
      <alignment vertical="center"/>
    </xf>
    <xf numFmtId="164" fontId="8" fillId="4" borderId="2" xfId="0" applyNumberFormat="1" applyFont="1" applyFill="1" applyBorder="1" applyAlignment="1">
      <alignment vertical="center"/>
    </xf>
    <xf numFmtId="0" fontId="9" fillId="4" borderId="2" xfId="0" applyFont="1" applyFill="1" applyBorder="1" applyAlignment="1">
      <alignment vertical="center" wrapText="1"/>
    </xf>
    <xf numFmtId="0" fontId="10" fillId="4" borderId="2" xfId="0" applyFont="1" applyFill="1" applyBorder="1" applyAlignment="1">
      <alignment vertical="center" wrapText="1"/>
    </xf>
    <xf numFmtId="3" fontId="0" fillId="0" borderId="2" xfId="0" applyNumberFormat="1" applyBorder="1"/>
    <xf numFmtId="164" fontId="0" fillId="0" borderId="2" xfId="0" applyNumberFormat="1" applyBorder="1"/>
    <xf numFmtId="3" fontId="6" fillId="0" borderId="2" xfId="0" applyNumberFormat="1" applyFont="1" applyBorder="1"/>
    <xf numFmtId="164" fontId="6" fillId="0" borderId="2" xfId="0" applyNumberFormat="1" applyFont="1" applyBorder="1"/>
    <xf numFmtId="0" fontId="0" fillId="0" borderId="5" xfId="0" applyBorder="1"/>
    <xf numFmtId="0" fontId="6" fillId="0" borderId="5" xfId="0" applyFont="1" applyBorder="1"/>
    <xf numFmtId="0" fontId="6" fillId="0" borderId="6" xfId="0" applyFont="1" applyBorder="1"/>
    <xf numFmtId="3" fontId="6" fillId="0" borderId="6" xfId="0" applyNumberFormat="1" applyFont="1" applyBorder="1"/>
    <xf numFmtId="0" fontId="3" fillId="0" borderId="6" xfId="0" applyFont="1" applyBorder="1"/>
    <xf numFmtId="0" fontId="6" fillId="0" borderId="7" xfId="0" applyFont="1" applyBorder="1"/>
    <xf numFmtId="3" fontId="6" fillId="0" borderId="7" xfId="0" applyNumberFormat="1" applyFont="1" applyBorder="1"/>
    <xf numFmtId="164" fontId="6" fillId="0" borderId="8" xfId="0" applyNumberFormat="1" applyFont="1"/>
    <xf numFmtId="3" fontId="8" fillId="4" borderId="2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</cellXfs>
  <cellStyles count="3">
    <cellStyle name="Comma 2" xfId="1" xr:uid="{00000000-0005-0000-0000-000001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Khối</a:t>
            </a:r>
            <a:r>
              <a:rPr lang="en-US" baseline="0"/>
              <a:t> lượng bán ròng luỹ kế của NDTNN 2026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Sheet2!$B$4</c:f>
              <c:strCache>
                <c:ptCount val="1"/>
                <c:pt idx="0">
                  <c:v>ACB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Sheet2!$A$12:$A$108</c:f>
              <c:numCache>
                <c:formatCode>mm/dd/yyyy</c:formatCode>
                <c:ptCount val="97"/>
                <c:pt idx="0">
                  <c:v>46225</c:v>
                </c:pt>
                <c:pt idx="1">
                  <c:v>46224</c:v>
                </c:pt>
                <c:pt idx="2">
                  <c:v>46223</c:v>
                </c:pt>
                <c:pt idx="3">
                  <c:v>46220</c:v>
                </c:pt>
                <c:pt idx="4">
                  <c:v>46219</c:v>
                </c:pt>
                <c:pt idx="5">
                  <c:v>46218</c:v>
                </c:pt>
                <c:pt idx="6">
                  <c:v>46217</c:v>
                </c:pt>
                <c:pt idx="7">
                  <c:v>46216</c:v>
                </c:pt>
                <c:pt idx="8">
                  <c:v>46213</c:v>
                </c:pt>
                <c:pt idx="9">
                  <c:v>46212</c:v>
                </c:pt>
                <c:pt idx="10">
                  <c:v>46211</c:v>
                </c:pt>
                <c:pt idx="11">
                  <c:v>46210</c:v>
                </c:pt>
                <c:pt idx="12">
                  <c:v>46209</c:v>
                </c:pt>
                <c:pt idx="13">
                  <c:v>46206</c:v>
                </c:pt>
                <c:pt idx="14">
                  <c:v>46205</c:v>
                </c:pt>
                <c:pt idx="15">
                  <c:v>46204</c:v>
                </c:pt>
                <c:pt idx="16">
                  <c:v>46203</c:v>
                </c:pt>
                <c:pt idx="17">
                  <c:v>46202</c:v>
                </c:pt>
                <c:pt idx="18">
                  <c:v>46199</c:v>
                </c:pt>
                <c:pt idx="19">
                  <c:v>46198</c:v>
                </c:pt>
                <c:pt idx="20">
                  <c:v>46197</c:v>
                </c:pt>
                <c:pt idx="21">
                  <c:v>46196</c:v>
                </c:pt>
                <c:pt idx="22">
                  <c:v>46195</c:v>
                </c:pt>
                <c:pt idx="23">
                  <c:v>46192</c:v>
                </c:pt>
                <c:pt idx="24">
                  <c:v>46191</c:v>
                </c:pt>
                <c:pt idx="25">
                  <c:v>46190</c:v>
                </c:pt>
                <c:pt idx="26">
                  <c:v>46189</c:v>
                </c:pt>
                <c:pt idx="27">
                  <c:v>46188</c:v>
                </c:pt>
                <c:pt idx="28">
                  <c:v>46185</c:v>
                </c:pt>
                <c:pt idx="29">
                  <c:v>46184</c:v>
                </c:pt>
                <c:pt idx="30">
                  <c:v>46183</c:v>
                </c:pt>
                <c:pt idx="31">
                  <c:v>46182</c:v>
                </c:pt>
                <c:pt idx="32">
                  <c:v>46181</c:v>
                </c:pt>
                <c:pt idx="33">
                  <c:v>46178</c:v>
                </c:pt>
                <c:pt idx="34">
                  <c:v>46177</c:v>
                </c:pt>
                <c:pt idx="35">
                  <c:v>46176</c:v>
                </c:pt>
                <c:pt idx="36">
                  <c:v>46175</c:v>
                </c:pt>
                <c:pt idx="37">
                  <c:v>46174</c:v>
                </c:pt>
                <c:pt idx="38">
                  <c:v>46171</c:v>
                </c:pt>
                <c:pt idx="39">
                  <c:v>46170</c:v>
                </c:pt>
                <c:pt idx="40">
                  <c:v>46169</c:v>
                </c:pt>
                <c:pt idx="41">
                  <c:v>46168</c:v>
                </c:pt>
                <c:pt idx="42">
                  <c:v>46167</c:v>
                </c:pt>
                <c:pt idx="43">
                  <c:v>46164</c:v>
                </c:pt>
                <c:pt idx="44">
                  <c:v>46163</c:v>
                </c:pt>
                <c:pt idx="45">
                  <c:v>46162</c:v>
                </c:pt>
                <c:pt idx="46">
                  <c:v>46161</c:v>
                </c:pt>
                <c:pt idx="47">
                  <c:v>46160</c:v>
                </c:pt>
                <c:pt idx="48">
                  <c:v>46157</c:v>
                </c:pt>
                <c:pt idx="49">
                  <c:v>46156</c:v>
                </c:pt>
                <c:pt idx="50">
                  <c:v>46155</c:v>
                </c:pt>
                <c:pt idx="51">
                  <c:v>46154</c:v>
                </c:pt>
                <c:pt idx="52">
                  <c:v>46153</c:v>
                </c:pt>
                <c:pt idx="53">
                  <c:v>46150</c:v>
                </c:pt>
                <c:pt idx="54">
                  <c:v>46149</c:v>
                </c:pt>
                <c:pt idx="55">
                  <c:v>46148</c:v>
                </c:pt>
                <c:pt idx="56">
                  <c:v>46147</c:v>
                </c:pt>
                <c:pt idx="57">
                  <c:v>46146</c:v>
                </c:pt>
                <c:pt idx="58">
                  <c:v>46141</c:v>
                </c:pt>
                <c:pt idx="59">
                  <c:v>46140</c:v>
                </c:pt>
                <c:pt idx="60">
                  <c:v>46136</c:v>
                </c:pt>
                <c:pt idx="61">
                  <c:v>46135</c:v>
                </c:pt>
                <c:pt idx="62">
                  <c:v>46134</c:v>
                </c:pt>
                <c:pt idx="63">
                  <c:v>46133</c:v>
                </c:pt>
                <c:pt idx="64">
                  <c:v>46132</c:v>
                </c:pt>
                <c:pt idx="65">
                  <c:v>46129</c:v>
                </c:pt>
                <c:pt idx="66">
                  <c:v>46128</c:v>
                </c:pt>
                <c:pt idx="67">
                  <c:v>46127</c:v>
                </c:pt>
                <c:pt idx="68">
                  <c:v>46126</c:v>
                </c:pt>
                <c:pt idx="69">
                  <c:v>46125</c:v>
                </c:pt>
                <c:pt idx="70">
                  <c:v>46122</c:v>
                </c:pt>
                <c:pt idx="71">
                  <c:v>46121</c:v>
                </c:pt>
                <c:pt idx="72">
                  <c:v>46120</c:v>
                </c:pt>
                <c:pt idx="73">
                  <c:v>46119</c:v>
                </c:pt>
                <c:pt idx="74">
                  <c:v>46118</c:v>
                </c:pt>
                <c:pt idx="75">
                  <c:v>46115</c:v>
                </c:pt>
                <c:pt idx="76">
                  <c:v>46114</c:v>
                </c:pt>
                <c:pt idx="77">
                  <c:v>46113</c:v>
                </c:pt>
                <c:pt idx="78">
                  <c:v>46112</c:v>
                </c:pt>
                <c:pt idx="79">
                  <c:v>46111</c:v>
                </c:pt>
                <c:pt idx="80">
                  <c:v>46108</c:v>
                </c:pt>
                <c:pt idx="81">
                  <c:v>46107</c:v>
                </c:pt>
                <c:pt idx="82">
                  <c:v>46106</c:v>
                </c:pt>
                <c:pt idx="83">
                  <c:v>46105</c:v>
                </c:pt>
                <c:pt idx="84">
                  <c:v>46104</c:v>
                </c:pt>
                <c:pt idx="85">
                  <c:v>46101</c:v>
                </c:pt>
                <c:pt idx="86">
                  <c:v>46100</c:v>
                </c:pt>
                <c:pt idx="87">
                  <c:v>46099</c:v>
                </c:pt>
                <c:pt idx="88">
                  <c:v>46098</c:v>
                </c:pt>
                <c:pt idx="89">
                  <c:v>46097</c:v>
                </c:pt>
                <c:pt idx="90">
                  <c:v>46094</c:v>
                </c:pt>
                <c:pt idx="91">
                  <c:v>46093</c:v>
                </c:pt>
                <c:pt idx="92">
                  <c:v>46092</c:v>
                </c:pt>
                <c:pt idx="93">
                  <c:v>46091</c:v>
                </c:pt>
                <c:pt idx="94">
                  <c:v>46090</c:v>
                </c:pt>
                <c:pt idx="95">
                  <c:v>46087</c:v>
                </c:pt>
                <c:pt idx="96">
                  <c:v>46086</c:v>
                </c:pt>
              </c:numCache>
            </c:numRef>
          </c:cat>
          <c:val>
            <c:numRef>
              <c:f>Sheet2!$B$12:$B$108</c:f>
              <c:numCache>
                <c:formatCode>#,##0</c:formatCode>
                <c:ptCount val="97"/>
                <c:pt idx="0">
                  <c:v>-216717633</c:v>
                </c:pt>
                <c:pt idx="1">
                  <c:v>-208230618</c:v>
                </c:pt>
                <c:pt idx="2">
                  <c:v>-205358184</c:v>
                </c:pt>
                <c:pt idx="3">
                  <c:v>-204814940</c:v>
                </c:pt>
                <c:pt idx="4">
                  <c:v>-203046034</c:v>
                </c:pt>
                <c:pt idx="5">
                  <c:v>-212292749</c:v>
                </c:pt>
                <c:pt idx="6">
                  <c:v>-211634609</c:v>
                </c:pt>
                <c:pt idx="7">
                  <c:v>-212809913</c:v>
                </c:pt>
                <c:pt idx="8">
                  <c:v>-211848913</c:v>
                </c:pt>
                <c:pt idx="9">
                  <c:v>-210848101</c:v>
                </c:pt>
                <c:pt idx="10">
                  <c:v>-211658965</c:v>
                </c:pt>
                <c:pt idx="11">
                  <c:v>-213004287</c:v>
                </c:pt>
                <c:pt idx="12">
                  <c:v>-213586287</c:v>
                </c:pt>
                <c:pt idx="13">
                  <c:v>-213435567</c:v>
                </c:pt>
                <c:pt idx="14">
                  <c:v>-211479145</c:v>
                </c:pt>
                <c:pt idx="15">
                  <c:v>-209036645</c:v>
                </c:pt>
                <c:pt idx="16">
                  <c:v>-208776582</c:v>
                </c:pt>
                <c:pt idx="17">
                  <c:v>-208827182</c:v>
                </c:pt>
                <c:pt idx="18">
                  <c:v>-209568902</c:v>
                </c:pt>
                <c:pt idx="19">
                  <c:v>-212571402</c:v>
                </c:pt>
                <c:pt idx="20">
                  <c:v>-212583312</c:v>
                </c:pt>
                <c:pt idx="21">
                  <c:v>-212524841</c:v>
                </c:pt>
                <c:pt idx="22">
                  <c:v>-214105191</c:v>
                </c:pt>
                <c:pt idx="23">
                  <c:v>-212524130</c:v>
                </c:pt>
                <c:pt idx="24">
                  <c:v>-211438239</c:v>
                </c:pt>
                <c:pt idx="25">
                  <c:v>-212457002</c:v>
                </c:pt>
                <c:pt idx="26">
                  <c:v>-214116604</c:v>
                </c:pt>
                <c:pt idx="27">
                  <c:v>-213438533</c:v>
                </c:pt>
                <c:pt idx="28">
                  <c:v>-210600455</c:v>
                </c:pt>
                <c:pt idx="29">
                  <c:v>-212458075</c:v>
                </c:pt>
                <c:pt idx="30">
                  <c:v>-212518138</c:v>
                </c:pt>
                <c:pt idx="31">
                  <c:v>-211417564</c:v>
                </c:pt>
                <c:pt idx="32">
                  <c:v>-209113625</c:v>
                </c:pt>
                <c:pt idx="33">
                  <c:v>-212970478</c:v>
                </c:pt>
                <c:pt idx="34">
                  <c:v>-222745790</c:v>
                </c:pt>
                <c:pt idx="35">
                  <c:v>-219333138</c:v>
                </c:pt>
                <c:pt idx="36">
                  <c:v>-204055521</c:v>
                </c:pt>
                <c:pt idx="37">
                  <c:v>-199302447</c:v>
                </c:pt>
                <c:pt idx="38">
                  <c:v>-194902147</c:v>
                </c:pt>
                <c:pt idx="39">
                  <c:v>-192161797</c:v>
                </c:pt>
                <c:pt idx="40">
                  <c:v>-196522742</c:v>
                </c:pt>
                <c:pt idx="41">
                  <c:v>-198953538</c:v>
                </c:pt>
                <c:pt idx="42">
                  <c:v>-200971549</c:v>
                </c:pt>
                <c:pt idx="43">
                  <c:v>-195153269</c:v>
                </c:pt>
                <c:pt idx="44">
                  <c:v>-198195118</c:v>
                </c:pt>
                <c:pt idx="45">
                  <c:v>-192384602</c:v>
                </c:pt>
                <c:pt idx="46">
                  <c:v>-186119288</c:v>
                </c:pt>
                <c:pt idx="47">
                  <c:v>-179543956</c:v>
                </c:pt>
                <c:pt idx="48">
                  <c:v>-172159517</c:v>
                </c:pt>
                <c:pt idx="49">
                  <c:v>-171828666</c:v>
                </c:pt>
                <c:pt idx="50">
                  <c:v>-175428286</c:v>
                </c:pt>
                <c:pt idx="51">
                  <c:v>-163888486</c:v>
                </c:pt>
                <c:pt idx="52">
                  <c:v>-158183627</c:v>
                </c:pt>
                <c:pt idx="53">
                  <c:v>-152466722</c:v>
                </c:pt>
                <c:pt idx="54">
                  <c:v>-146425251</c:v>
                </c:pt>
                <c:pt idx="55">
                  <c:v>-133495809</c:v>
                </c:pt>
                <c:pt idx="56">
                  <c:v>-124133797</c:v>
                </c:pt>
                <c:pt idx="57">
                  <c:v>-105328807</c:v>
                </c:pt>
                <c:pt idx="58">
                  <c:v>-90699212</c:v>
                </c:pt>
                <c:pt idx="59">
                  <c:v>-86034570</c:v>
                </c:pt>
                <c:pt idx="60">
                  <c:v>-83563170</c:v>
                </c:pt>
                <c:pt idx="61">
                  <c:v>-71685485</c:v>
                </c:pt>
                <c:pt idx="62">
                  <c:v>-64205385</c:v>
                </c:pt>
                <c:pt idx="63">
                  <c:v>-63233086</c:v>
                </c:pt>
                <c:pt idx="64">
                  <c:v>-60303786</c:v>
                </c:pt>
                <c:pt idx="65">
                  <c:v>-58702781</c:v>
                </c:pt>
                <c:pt idx="66">
                  <c:v>-57844631</c:v>
                </c:pt>
                <c:pt idx="67">
                  <c:v>-60907011</c:v>
                </c:pt>
                <c:pt idx="68">
                  <c:v>-59650731</c:v>
                </c:pt>
                <c:pt idx="69">
                  <c:v>-58879707</c:v>
                </c:pt>
                <c:pt idx="70">
                  <c:v>-58608453</c:v>
                </c:pt>
                <c:pt idx="71">
                  <c:v>-57627153</c:v>
                </c:pt>
                <c:pt idx="72">
                  <c:v>-58108753</c:v>
                </c:pt>
                <c:pt idx="73">
                  <c:v>-61646573</c:v>
                </c:pt>
                <c:pt idx="74">
                  <c:v>-58162973</c:v>
                </c:pt>
                <c:pt idx="75">
                  <c:v>-56872675</c:v>
                </c:pt>
                <c:pt idx="76">
                  <c:v>-60845058</c:v>
                </c:pt>
                <c:pt idx="77">
                  <c:v>-61137450</c:v>
                </c:pt>
                <c:pt idx="78">
                  <c:v>-61496250</c:v>
                </c:pt>
                <c:pt idx="79">
                  <c:v>-58708147</c:v>
                </c:pt>
                <c:pt idx="80">
                  <c:v>-59718002</c:v>
                </c:pt>
                <c:pt idx="81">
                  <c:v>-61994012</c:v>
                </c:pt>
                <c:pt idx="82">
                  <c:v>-64363212</c:v>
                </c:pt>
                <c:pt idx="83">
                  <c:v>-66663478</c:v>
                </c:pt>
                <c:pt idx="84">
                  <c:v>-66079557</c:v>
                </c:pt>
                <c:pt idx="85">
                  <c:v>-67383567</c:v>
                </c:pt>
                <c:pt idx="86">
                  <c:v>-61560255</c:v>
                </c:pt>
                <c:pt idx="87">
                  <c:v>-65537821</c:v>
                </c:pt>
                <c:pt idx="88">
                  <c:v>-65289977</c:v>
                </c:pt>
                <c:pt idx="89">
                  <c:v>-66139077</c:v>
                </c:pt>
                <c:pt idx="90">
                  <c:v>-67562698</c:v>
                </c:pt>
                <c:pt idx="91">
                  <c:v>-72673698</c:v>
                </c:pt>
                <c:pt idx="92">
                  <c:v>-72351799</c:v>
                </c:pt>
                <c:pt idx="93">
                  <c:v>-77330400</c:v>
                </c:pt>
                <c:pt idx="94">
                  <c:v>-81503902</c:v>
                </c:pt>
                <c:pt idx="95">
                  <c:v>-79527413</c:v>
                </c:pt>
                <c:pt idx="96">
                  <c:v>-78984913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F4-A045-866A-C9C7F4F2D959}"/>
            </c:ext>
          </c:extLst>
        </c:ser>
        <c:ser>
          <c:idx val="1"/>
          <c:order val="1"/>
          <c:tx>
            <c:strRef>
              <c:f>Sheet2!$C$4</c:f>
              <c:strCache>
                <c:ptCount val="1"/>
                <c:pt idx="0">
                  <c:v>VIB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Sheet2!$A$12:$A$108</c:f>
              <c:numCache>
                <c:formatCode>mm/dd/yyyy</c:formatCode>
                <c:ptCount val="97"/>
                <c:pt idx="0">
                  <c:v>46225</c:v>
                </c:pt>
                <c:pt idx="1">
                  <c:v>46224</c:v>
                </c:pt>
                <c:pt idx="2">
                  <c:v>46223</c:v>
                </c:pt>
                <c:pt idx="3">
                  <c:v>46220</c:v>
                </c:pt>
                <c:pt idx="4">
                  <c:v>46219</c:v>
                </c:pt>
                <c:pt idx="5">
                  <c:v>46218</c:v>
                </c:pt>
                <c:pt idx="6">
                  <c:v>46217</c:v>
                </c:pt>
                <c:pt idx="7">
                  <c:v>46216</c:v>
                </c:pt>
                <c:pt idx="8">
                  <c:v>46213</c:v>
                </c:pt>
                <c:pt idx="9">
                  <c:v>46212</c:v>
                </c:pt>
                <c:pt idx="10">
                  <c:v>46211</c:v>
                </c:pt>
                <c:pt idx="11">
                  <c:v>46210</c:v>
                </c:pt>
                <c:pt idx="12">
                  <c:v>46209</c:v>
                </c:pt>
                <c:pt idx="13">
                  <c:v>46206</c:v>
                </c:pt>
                <c:pt idx="14">
                  <c:v>46205</c:v>
                </c:pt>
                <c:pt idx="15">
                  <c:v>46204</c:v>
                </c:pt>
                <c:pt idx="16">
                  <c:v>46203</c:v>
                </c:pt>
                <c:pt idx="17">
                  <c:v>46202</c:v>
                </c:pt>
                <c:pt idx="18">
                  <c:v>46199</c:v>
                </c:pt>
                <c:pt idx="19">
                  <c:v>46198</c:v>
                </c:pt>
                <c:pt idx="20">
                  <c:v>46197</c:v>
                </c:pt>
                <c:pt idx="21">
                  <c:v>46196</c:v>
                </c:pt>
                <c:pt idx="22">
                  <c:v>46195</c:v>
                </c:pt>
                <c:pt idx="23">
                  <c:v>46192</c:v>
                </c:pt>
                <c:pt idx="24">
                  <c:v>46191</c:v>
                </c:pt>
                <c:pt idx="25">
                  <c:v>46190</c:v>
                </c:pt>
                <c:pt idx="26">
                  <c:v>46189</c:v>
                </c:pt>
                <c:pt idx="27">
                  <c:v>46188</c:v>
                </c:pt>
                <c:pt idx="28">
                  <c:v>46185</c:v>
                </c:pt>
                <c:pt idx="29">
                  <c:v>46184</c:v>
                </c:pt>
                <c:pt idx="30">
                  <c:v>46183</c:v>
                </c:pt>
                <c:pt idx="31">
                  <c:v>46182</c:v>
                </c:pt>
                <c:pt idx="32">
                  <c:v>46181</c:v>
                </c:pt>
                <c:pt idx="33">
                  <c:v>46178</c:v>
                </c:pt>
                <c:pt idx="34">
                  <c:v>46177</c:v>
                </c:pt>
                <c:pt idx="35">
                  <c:v>46176</c:v>
                </c:pt>
                <c:pt idx="36">
                  <c:v>46175</c:v>
                </c:pt>
                <c:pt idx="37">
                  <c:v>46174</c:v>
                </c:pt>
                <c:pt idx="38">
                  <c:v>46171</c:v>
                </c:pt>
                <c:pt idx="39">
                  <c:v>46170</c:v>
                </c:pt>
                <c:pt idx="40">
                  <c:v>46169</c:v>
                </c:pt>
                <c:pt idx="41">
                  <c:v>46168</c:v>
                </c:pt>
                <c:pt idx="42">
                  <c:v>46167</c:v>
                </c:pt>
                <c:pt idx="43">
                  <c:v>46164</c:v>
                </c:pt>
                <c:pt idx="44">
                  <c:v>46163</c:v>
                </c:pt>
                <c:pt idx="45">
                  <c:v>46162</c:v>
                </c:pt>
                <c:pt idx="46">
                  <c:v>46161</c:v>
                </c:pt>
                <c:pt idx="47">
                  <c:v>46160</c:v>
                </c:pt>
                <c:pt idx="48">
                  <c:v>46157</c:v>
                </c:pt>
                <c:pt idx="49">
                  <c:v>46156</c:v>
                </c:pt>
                <c:pt idx="50">
                  <c:v>46155</c:v>
                </c:pt>
                <c:pt idx="51">
                  <c:v>46154</c:v>
                </c:pt>
                <c:pt idx="52">
                  <c:v>46153</c:v>
                </c:pt>
                <c:pt idx="53">
                  <c:v>46150</c:v>
                </c:pt>
                <c:pt idx="54">
                  <c:v>46149</c:v>
                </c:pt>
                <c:pt idx="55">
                  <c:v>46148</c:v>
                </c:pt>
                <c:pt idx="56">
                  <c:v>46147</c:v>
                </c:pt>
                <c:pt idx="57">
                  <c:v>46146</c:v>
                </c:pt>
                <c:pt idx="58">
                  <c:v>46141</c:v>
                </c:pt>
                <c:pt idx="59">
                  <c:v>46140</c:v>
                </c:pt>
                <c:pt idx="60">
                  <c:v>46136</c:v>
                </c:pt>
                <c:pt idx="61">
                  <c:v>46135</c:v>
                </c:pt>
                <c:pt idx="62">
                  <c:v>46134</c:v>
                </c:pt>
                <c:pt idx="63">
                  <c:v>46133</c:v>
                </c:pt>
                <c:pt idx="64">
                  <c:v>46132</c:v>
                </c:pt>
                <c:pt idx="65">
                  <c:v>46129</c:v>
                </c:pt>
                <c:pt idx="66">
                  <c:v>46128</c:v>
                </c:pt>
                <c:pt idx="67">
                  <c:v>46127</c:v>
                </c:pt>
                <c:pt idx="68">
                  <c:v>46126</c:v>
                </c:pt>
                <c:pt idx="69">
                  <c:v>46125</c:v>
                </c:pt>
                <c:pt idx="70">
                  <c:v>46122</c:v>
                </c:pt>
                <c:pt idx="71">
                  <c:v>46121</c:v>
                </c:pt>
                <c:pt idx="72">
                  <c:v>46120</c:v>
                </c:pt>
                <c:pt idx="73">
                  <c:v>46119</c:v>
                </c:pt>
                <c:pt idx="74">
                  <c:v>46118</c:v>
                </c:pt>
                <c:pt idx="75">
                  <c:v>46115</c:v>
                </c:pt>
                <c:pt idx="76">
                  <c:v>46114</c:v>
                </c:pt>
                <c:pt idx="77">
                  <c:v>46113</c:v>
                </c:pt>
                <c:pt idx="78">
                  <c:v>46112</c:v>
                </c:pt>
                <c:pt idx="79">
                  <c:v>46111</c:v>
                </c:pt>
                <c:pt idx="80">
                  <c:v>46108</c:v>
                </c:pt>
                <c:pt idx="81">
                  <c:v>46107</c:v>
                </c:pt>
                <c:pt idx="82">
                  <c:v>46106</c:v>
                </c:pt>
                <c:pt idx="83">
                  <c:v>46105</c:v>
                </c:pt>
                <c:pt idx="84">
                  <c:v>46104</c:v>
                </c:pt>
                <c:pt idx="85">
                  <c:v>46101</c:v>
                </c:pt>
                <c:pt idx="86">
                  <c:v>46100</c:v>
                </c:pt>
                <c:pt idx="87">
                  <c:v>46099</c:v>
                </c:pt>
                <c:pt idx="88">
                  <c:v>46098</c:v>
                </c:pt>
                <c:pt idx="89">
                  <c:v>46097</c:v>
                </c:pt>
                <c:pt idx="90">
                  <c:v>46094</c:v>
                </c:pt>
                <c:pt idx="91">
                  <c:v>46093</c:v>
                </c:pt>
                <c:pt idx="92">
                  <c:v>46092</c:v>
                </c:pt>
                <c:pt idx="93">
                  <c:v>46091</c:v>
                </c:pt>
                <c:pt idx="94">
                  <c:v>46090</c:v>
                </c:pt>
                <c:pt idx="95">
                  <c:v>46087</c:v>
                </c:pt>
                <c:pt idx="96">
                  <c:v>46086</c:v>
                </c:pt>
              </c:numCache>
            </c:numRef>
          </c:cat>
          <c:val>
            <c:numRef>
              <c:f>Sheet2!$C$12:$C$108</c:f>
              <c:numCache>
                <c:formatCode>#,##0</c:formatCode>
                <c:ptCount val="97"/>
                <c:pt idx="0">
                  <c:v>-50918738</c:v>
                </c:pt>
                <c:pt idx="1">
                  <c:v>-43181457</c:v>
                </c:pt>
                <c:pt idx="2">
                  <c:v>-43121557</c:v>
                </c:pt>
                <c:pt idx="3">
                  <c:v>-43122557</c:v>
                </c:pt>
                <c:pt idx="4">
                  <c:v>-43065002</c:v>
                </c:pt>
                <c:pt idx="5">
                  <c:v>-43206702</c:v>
                </c:pt>
                <c:pt idx="6">
                  <c:v>-41711096</c:v>
                </c:pt>
                <c:pt idx="7">
                  <c:v>-40812822</c:v>
                </c:pt>
                <c:pt idx="8">
                  <c:v>-37646222</c:v>
                </c:pt>
                <c:pt idx="9">
                  <c:v>-36359222</c:v>
                </c:pt>
                <c:pt idx="10">
                  <c:v>-36155523</c:v>
                </c:pt>
                <c:pt idx="11">
                  <c:v>-34355023</c:v>
                </c:pt>
                <c:pt idx="12">
                  <c:v>-34304215</c:v>
                </c:pt>
                <c:pt idx="13">
                  <c:v>-32145579</c:v>
                </c:pt>
                <c:pt idx="14">
                  <c:v>-28784823</c:v>
                </c:pt>
                <c:pt idx="15">
                  <c:v>-29069801</c:v>
                </c:pt>
                <c:pt idx="16">
                  <c:v>-28063201</c:v>
                </c:pt>
                <c:pt idx="17">
                  <c:v>-28563201</c:v>
                </c:pt>
                <c:pt idx="18">
                  <c:v>-28432349</c:v>
                </c:pt>
                <c:pt idx="19">
                  <c:v>-28283249</c:v>
                </c:pt>
                <c:pt idx="20">
                  <c:v>-28207749</c:v>
                </c:pt>
                <c:pt idx="21">
                  <c:v>-27060238</c:v>
                </c:pt>
                <c:pt idx="22">
                  <c:v>-27496112</c:v>
                </c:pt>
                <c:pt idx="23">
                  <c:v>-27163966</c:v>
                </c:pt>
                <c:pt idx="24">
                  <c:v>-26891966</c:v>
                </c:pt>
                <c:pt idx="25">
                  <c:v>-23994099</c:v>
                </c:pt>
                <c:pt idx="26">
                  <c:v>-21708299</c:v>
                </c:pt>
                <c:pt idx="27">
                  <c:v>-20550972</c:v>
                </c:pt>
                <c:pt idx="28">
                  <c:v>-20181948</c:v>
                </c:pt>
                <c:pt idx="29">
                  <c:v>-19763748</c:v>
                </c:pt>
                <c:pt idx="30">
                  <c:v>-19604617</c:v>
                </c:pt>
                <c:pt idx="31">
                  <c:v>-18921478</c:v>
                </c:pt>
                <c:pt idx="32">
                  <c:v>-17276268</c:v>
                </c:pt>
                <c:pt idx="33">
                  <c:v>-16987292</c:v>
                </c:pt>
                <c:pt idx="34">
                  <c:v>-15811992</c:v>
                </c:pt>
                <c:pt idx="35">
                  <c:v>-14193560</c:v>
                </c:pt>
                <c:pt idx="36">
                  <c:v>-13859923</c:v>
                </c:pt>
                <c:pt idx="37">
                  <c:v>-12395302</c:v>
                </c:pt>
                <c:pt idx="38">
                  <c:v>-12225136</c:v>
                </c:pt>
                <c:pt idx="39">
                  <c:v>-11250936</c:v>
                </c:pt>
                <c:pt idx="40">
                  <c:v>-10888073</c:v>
                </c:pt>
                <c:pt idx="41">
                  <c:v>-10419173</c:v>
                </c:pt>
                <c:pt idx="42">
                  <c:v>-9284694</c:v>
                </c:pt>
                <c:pt idx="43">
                  <c:v>-9303624</c:v>
                </c:pt>
                <c:pt idx="44">
                  <c:v>-7734224</c:v>
                </c:pt>
                <c:pt idx="45">
                  <c:v>-6971624</c:v>
                </c:pt>
                <c:pt idx="46">
                  <c:v>-7001412</c:v>
                </c:pt>
                <c:pt idx="47">
                  <c:v>-6871949</c:v>
                </c:pt>
                <c:pt idx="48">
                  <c:v>-7073370</c:v>
                </c:pt>
                <c:pt idx="49">
                  <c:v>-7018506</c:v>
                </c:pt>
                <c:pt idx="50">
                  <c:v>-6894906</c:v>
                </c:pt>
                <c:pt idx="51">
                  <c:v>-6898306</c:v>
                </c:pt>
                <c:pt idx="52">
                  <c:v>-6933911</c:v>
                </c:pt>
                <c:pt idx="53">
                  <c:v>-6957711</c:v>
                </c:pt>
                <c:pt idx="54">
                  <c:v>-6906493</c:v>
                </c:pt>
                <c:pt idx="55">
                  <c:v>-6967641</c:v>
                </c:pt>
                <c:pt idx="56">
                  <c:v>-6999015</c:v>
                </c:pt>
                <c:pt idx="57">
                  <c:v>-6476715</c:v>
                </c:pt>
                <c:pt idx="58">
                  <c:v>-5646615</c:v>
                </c:pt>
                <c:pt idx="59">
                  <c:v>-4352726</c:v>
                </c:pt>
                <c:pt idx="60">
                  <c:v>-3477526</c:v>
                </c:pt>
                <c:pt idx="61">
                  <c:v>-3212286</c:v>
                </c:pt>
                <c:pt idx="62">
                  <c:v>-2997875</c:v>
                </c:pt>
                <c:pt idx="63">
                  <c:v>-2915638</c:v>
                </c:pt>
                <c:pt idx="64">
                  <c:v>-2729738</c:v>
                </c:pt>
                <c:pt idx="65">
                  <c:v>-3188724</c:v>
                </c:pt>
                <c:pt idx="66">
                  <c:v>-3263424</c:v>
                </c:pt>
                <c:pt idx="67">
                  <c:v>-1916354</c:v>
                </c:pt>
                <c:pt idx="68">
                  <c:v>-1900674</c:v>
                </c:pt>
                <c:pt idx="69">
                  <c:v>-910794</c:v>
                </c:pt>
                <c:pt idx="70">
                  <c:v>-1191394</c:v>
                </c:pt>
                <c:pt idx="71">
                  <c:v>-1422694</c:v>
                </c:pt>
                <c:pt idx="72">
                  <c:v>-1009894</c:v>
                </c:pt>
                <c:pt idx="73">
                  <c:v>-159794</c:v>
                </c:pt>
                <c:pt idx="74">
                  <c:v>-61094</c:v>
                </c:pt>
                <c:pt idx="75">
                  <c:v>-764894</c:v>
                </c:pt>
                <c:pt idx="76">
                  <c:v>-752494</c:v>
                </c:pt>
                <c:pt idx="77">
                  <c:v>-671694</c:v>
                </c:pt>
                <c:pt idx="78">
                  <c:v>-903894</c:v>
                </c:pt>
                <c:pt idx="79">
                  <c:v>-1188594</c:v>
                </c:pt>
                <c:pt idx="80">
                  <c:v>-1244794</c:v>
                </c:pt>
                <c:pt idx="81">
                  <c:v>-698894</c:v>
                </c:pt>
                <c:pt idx="82">
                  <c:v>-192294</c:v>
                </c:pt>
                <c:pt idx="83">
                  <c:v>-2824123</c:v>
                </c:pt>
                <c:pt idx="84">
                  <c:v>-3004623</c:v>
                </c:pt>
                <c:pt idx="85">
                  <c:v>-3002623</c:v>
                </c:pt>
                <c:pt idx="86">
                  <c:v>-3730023</c:v>
                </c:pt>
                <c:pt idx="87">
                  <c:v>-2448923</c:v>
                </c:pt>
                <c:pt idx="88">
                  <c:v>-2670823</c:v>
                </c:pt>
                <c:pt idx="89">
                  <c:v>-2609402</c:v>
                </c:pt>
                <c:pt idx="90">
                  <c:v>-2400502</c:v>
                </c:pt>
                <c:pt idx="91">
                  <c:v>-9312502</c:v>
                </c:pt>
                <c:pt idx="92">
                  <c:v>-8639202</c:v>
                </c:pt>
                <c:pt idx="93">
                  <c:v>-9690602</c:v>
                </c:pt>
                <c:pt idx="94">
                  <c:v>-9290702</c:v>
                </c:pt>
                <c:pt idx="95">
                  <c:v>-9228702</c:v>
                </c:pt>
                <c:pt idx="96">
                  <c:v>-9498502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F4-A045-866A-C9C7F4F2D959}"/>
            </c:ext>
          </c:extLst>
        </c:ser>
        <c:ser>
          <c:idx val="2"/>
          <c:order val="2"/>
          <c:tx>
            <c:strRef>
              <c:f>Sheet2!$D$4</c:f>
              <c:strCache>
                <c:ptCount val="1"/>
                <c:pt idx="0">
                  <c:v>VPB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Sheet2!$A$12:$A$108</c:f>
              <c:numCache>
                <c:formatCode>mm/dd/yyyy</c:formatCode>
                <c:ptCount val="97"/>
                <c:pt idx="0">
                  <c:v>46225</c:v>
                </c:pt>
                <c:pt idx="1">
                  <c:v>46224</c:v>
                </c:pt>
                <c:pt idx="2">
                  <c:v>46223</c:v>
                </c:pt>
                <c:pt idx="3">
                  <c:v>46220</c:v>
                </c:pt>
                <c:pt idx="4">
                  <c:v>46219</c:v>
                </c:pt>
                <c:pt idx="5">
                  <c:v>46218</c:v>
                </c:pt>
                <c:pt idx="6">
                  <c:v>46217</c:v>
                </c:pt>
                <c:pt idx="7">
                  <c:v>46216</c:v>
                </c:pt>
                <c:pt idx="8">
                  <c:v>46213</c:v>
                </c:pt>
                <c:pt idx="9">
                  <c:v>46212</c:v>
                </c:pt>
                <c:pt idx="10">
                  <c:v>46211</c:v>
                </c:pt>
                <c:pt idx="11">
                  <c:v>46210</c:v>
                </c:pt>
                <c:pt idx="12">
                  <c:v>46209</c:v>
                </c:pt>
                <c:pt idx="13">
                  <c:v>46206</c:v>
                </c:pt>
                <c:pt idx="14">
                  <c:v>46205</c:v>
                </c:pt>
                <c:pt idx="15">
                  <c:v>46204</c:v>
                </c:pt>
                <c:pt idx="16">
                  <c:v>46203</c:v>
                </c:pt>
                <c:pt idx="17">
                  <c:v>46202</c:v>
                </c:pt>
                <c:pt idx="18">
                  <c:v>46199</c:v>
                </c:pt>
                <c:pt idx="19">
                  <c:v>46198</c:v>
                </c:pt>
                <c:pt idx="20">
                  <c:v>46197</c:v>
                </c:pt>
                <c:pt idx="21">
                  <c:v>46196</c:v>
                </c:pt>
                <c:pt idx="22">
                  <c:v>46195</c:v>
                </c:pt>
                <c:pt idx="23">
                  <c:v>46192</c:v>
                </c:pt>
                <c:pt idx="24">
                  <c:v>46191</c:v>
                </c:pt>
                <c:pt idx="25">
                  <c:v>46190</c:v>
                </c:pt>
                <c:pt idx="26">
                  <c:v>46189</c:v>
                </c:pt>
                <c:pt idx="27">
                  <c:v>46188</c:v>
                </c:pt>
                <c:pt idx="28">
                  <c:v>46185</c:v>
                </c:pt>
                <c:pt idx="29">
                  <c:v>46184</c:v>
                </c:pt>
                <c:pt idx="30">
                  <c:v>46183</c:v>
                </c:pt>
                <c:pt idx="31">
                  <c:v>46182</c:v>
                </c:pt>
                <c:pt idx="32">
                  <c:v>46181</c:v>
                </c:pt>
                <c:pt idx="33">
                  <c:v>46178</c:v>
                </c:pt>
                <c:pt idx="34">
                  <c:v>46177</c:v>
                </c:pt>
                <c:pt idx="35">
                  <c:v>46176</c:v>
                </c:pt>
                <c:pt idx="36">
                  <c:v>46175</c:v>
                </c:pt>
                <c:pt idx="37">
                  <c:v>46174</c:v>
                </c:pt>
                <c:pt idx="38">
                  <c:v>46171</c:v>
                </c:pt>
                <c:pt idx="39">
                  <c:v>46170</c:v>
                </c:pt>
                <c:pt idx="40">
                  <c:v>46169</c:v>
                </c:pt>
                <c:pt idx="41">
                  <c:v>46168</c:v>
                </c:pt>
                <c:pt idx="42">
                  <c:v>46167</c:v>
                </c:pt>
                <c:pt idx="43">
                  <c:v>46164</c:v>
                </c:pt>
                <c:pt idx="44">
                  <c:v>46163</c:v>
                </c:pt>
                <c:pt idx="45">
                  <c:v>46162</c:v>
                </c:pt>
                <c:pt idx="46">
                  <c:v>46161</c:v>
                </c:pt>
                <c:pt idx="47">
                  <c:v>46160</c:v>
                </c:pt>
                <c:pt idx="48">
                  <c:v>46157</c:v>
                </c:pt>
                <c:pt idx="49">
                  <c:v>46156</c:v>
                </c:pt>
                <c:pt idx="50">
                  <c:v>46155</c:v>
                </c:pt>
                <c:pt idx="51">
                  <c:v>46154</c:v>
                </c:pt>
                <c:pt idx="52">
                  <c:v>46153</c:v>
                </c:pt>
                <c:pt idx="53">
                  <c:v>46150</c:v>
                </c:pt>
                <c:pt idx="54">
                  <c:v>46149</c:v>
                </c:pt>
                <c:pt idx="55">
                  <c:v>46148</c:v>
                </c:pt>
                <c:pt idx="56">
                  <c:v>46147</c:v>
                </c:pt>
                <c:pt idx="57">
                  <c:v>46146</c:v>
                </c:pt>
                <c:pt idx="58">
                  <c:v>46141</c:v>
                </c:pt>
                <c:pt idx="59">
                  <c:v>46140</c:v>
                </c:pt>
                <c:pt idx="60">
                  <c:v>46136</c:v>
                </c:pt>
                <c:pt idx="61">
                  <c:v>46135</c:v>
                </c:pt>
                <c:pt idx="62">
                  <c:v>46134</c:v>
                </c:pt>
                <c:pt idx="63">
                  <c:v>46133</c:v>
                </c:pt>
                <c:pt idx="64">
                  <c:v>46132</c:v>
                </c:pt>
                <c:pt idx="65">
                  <c:v>46129</c:v>
                </c:pt>
                <c:pt idx="66">
                  <c:v>46128</c:v>
                </c:pt>
                <c:pt idx="67">
                  <c:v>46127</c:v>
                </c:pt>
                <c:pt idx="68">
                  <c:v>46126</c:v>
                </c:pt>
                <c:pt idx="69">
                  <c:v>46125</c:v>
                </c:pt>
                <c:pt idx="70">
                  <c:v>46122</c:v>
                </c:pt>
                <c:pt idx="71">
                  <c:v>46121</c:v>
                </c:pt>
                <c:pt idx="72">
                  <c:v>46120</c:v>
                </c:pt>
                <c:pt idx="73">
                  <c:v>46119</c:v>
                </c:pt>
                <c:pt idx="74">
                  <c:v>46118</c:v>
                </c:pt>
                <c:pt idx="75">
                  <c:v>46115</c:v>
                </c:pt>
                <c:pt idx="76">
                  <c:v>46114</c:v>
                </c:pt>
                <c:pt idx="77">
                  <c:v>46113</c:v>
                </c:pt>
                <c:pt idx="78">
                  <c:v>46112</c:v>
                </c:pt>
                <c:pt idx="79">
                  <c:v>46111</c:v>
                </c:pt>
                <c:pt idx="80">
                  <c:v>46108</c:v>
                </c:pt>
                <c:pt idx="81">
                  <c:v>46107</c:v>
                </c:pt>
                <c:pt idx="82">
                  <c:v>46106</c:v>
                </c:pt>
                <c:pt idx="83">
                  <c:v>46105</c:v>
                </c:pt>
                <c:pt idx="84">
                  <c:v>46104</c:v>
                </c:pt>
                <c:pt idx="85">
                  <c:v>46101</c:v>
                </c:pt>
                <c:pt idx="86">
                  <c:v>46100</c:v>
                </c:pt>
                <c:pt idx="87">
                  <c:v>46099</c:v>
                </c:pt>
                <c:pt idx="88">
                  <c:v>46098</c:v>
                </c:pt>
                <c:pt idx="89">
                  <c:v>46097</c:v>
                </c:pt>
                <c:pt idx="90">
                  <c:v>46094</c:v>
                </c:pt>
                <c:pt idx="91">
                  <c:v>46093</c:v>
                </c:pt>
                <c:pt idx="92">
                  <c:v>46092</c:v>
                </c:pt>
                <c:pt idx="93">
                  <c:v>46091</c:v>
                </c:pt>
                <c:pt idx="94">
                  <c:v>46090</c:v>
                </c:pt>
                <c:pt idx="95">
                  <c:v>46087</c:v>
                </c:pt>
                <c:pt idx="96">
                  <c:v>46086</c:v>
                </c:pt>
              </c:numCache>
            </c:numRef>
          </c:cat>
          <c:val>
            <c:numRef>
              <c:f>Sheet2!$D$12:$D$108</c:f>
              <c:numCache>
                <c:formatCode>#,##0</c:formatCode>
                <c:ptCount val="97"/>
                <c:pt idx="0">
                  <c:v>-85458418</c:v>
                </c:pt>
                <c:pt idx="1">
                  <c:v>-79036418</c:v>
                </c:pt>
                <c:pt idx="2">
                  <c:v>-78326318</c:v>
                </c:pt>
                <c:pt idx="3">
                  <c:v>-75775396</c:v>
                </c:pt>
                <c:pt idx="4">
                  <c:v>-73314064</c:v>
                </c:pt>
                <c:pt idx="5">
                  <c:v>-69979264</c:v>
                </c:pt>
                <c:pt idx="6">
                  <c:v>-67887683</c:v>
                </c:pt>
                <c:pt idx="7">
                  <c:v>-64661633</c:v>
                </c:pt>
                <c:pt idx="8">
                  <c:v>-60808803</c:v>
                </c:pt>
                <c:pt idx="9">
                  <c:v>-57763851</c:v>
                </c:pt>
                <c:pt idx="10">
                  <c:v>-55261651</c:v>
                </c:pt>
                <c:pt idx="11">
                  <c:v>-50831041</c:v>
                </c:pt>
                <c:pt idx="12">
                  <c:v>-50272241</c:v>
                </c:pt>
                <c:pt idx="13">
                  <c:v>-51631820</c:v>
                </c:pt>
                <c:pt idx="14">
                  <c:v>-53073120</c:v>
                </c:pt>
                <c:pt idx="15">
                  <c:v>-52073220</c:v>
                </c:pt>
                <c:pt idx="16">
                  <c:v>-63886910</c:v>
                </c:pt>
                <c:pt idx="17">
                  <c:v>-52105810</c:v>
                </c:pt>
                <c:pt idx="18">
                  <c:v>-50659849</c:v>
                </c:pt>
                <c:pt idx="19">
                  <c:v>-50811149</c:v>
                </c:pt>
                <c:pt idx="20">
                  <c:v>-51081349</c:v>
                </c:pt>
                <c:pt idx="21">
                  <c:v>-47689994</c:v>
                </c:pt>
                <c:pt idx="22">
                  <c:v>-48488356</c:v>
                </c:pt>
                <c:pt idx="23">
                  <c:v>-46853758</c:v>
                </c:pt>
                <c:pt idx="24">
                  <c:v>-44331459</c:v>
                </c:pt>
                <c:pt idx="25">
                  <c:v>-40800931</c:v>
                </c:pt>
                <c:pt idx="26">
                  <c:v>-38600101</c:v>
                </c:pt>
                <c:pt idx="27">
                  <c:v>-35486993</c:v>
                </c:pt>
                <c:pt idx="28">
                  <c:v>-31005993</c:v>
                </c:pt>
                <c:pt idx="29">
                  <c:v>-28882993</c:v>
                </c:pt>
                <c:pt idx="30">
                  <c:v>-27586974</c:v>
                </c:pt>
                <c:pt idx="31">
                  <c:v>-24616974</c:v>
                </c:pt>
                <c:pt idx="32">
                  <c:v>-23428974</c:v>
                </c:pt>
                <c:pt idx="33">
                  <c:v>-20334679</c:v>
                </c:pt>
                <c:pt idx="34">
                  <c:v>-18334379</c:v>
                </c:pt>
                <c:pt idx="35">
                  <c:v>-15221264</c:v>
                </c:pt>
                <c:pt idx="36">
                  <c:v>-11970264</c:v>
                </c:pt>
                <c:pt idx="37">
                  <c:v>-8097812</c:v>
                </c:pt>
                <c:pt idx="38">
                  <c:v>-6666912</c:v>
                </c:pt>
                <c:pt idx="39">
                  <c:v>-4048791</c:v>
                </c:pt>
                <c:pt idx="40">
                  <c:v>-3229818</c:v>
                </c:pt>
                <c:pt idx="41">
                  <c:v>-4461038</c:v>
                </c:pt>
                <c:pt idx="42">
                  <c:v>-5194525</c:v>
                </c:pt>
                <c:pt idx="43">
                  <c:v>-4929767</c:v>
                </c:pt>
                <c:pt idx="44">
                  <c:v>-4018067</c:v>
                </c:pt>
                <c:pt idx="45">
                  <c:v>-14561667</c:v>
                </c:pt>
                <c:pt idx="46">
                  <c:v>-11151922</c:v>
                </c:pt>
                <c:pt idx="47">
                  <c:v>-6917529</c:v>
                </c:pt>
                <c:pt idx="48">
                  <c:v>-4993782</c:v>
                </c:pt>
                <c:pt idx="49">
                  <c:v>-1592137</c:v>
                </c:pt>
                <c:pt idx="50">
                  <c:v>-3800037</c:v>
                </c:pt>
                <c:pt idx="51">
                  <c:v>-2220137</c:v>
                </c:pt>
                <c:pt idx="52">
                  <c:v>-3920595</c:v>
                </c:pt>
                <c:pt idx="53">
                  <c:v>-5155998</c:v>
                </c:pt>
                <c:pt idx="54">
                  <c:v>-6188680</c:v>
                </c:pt>
                <c:pt idx="55">
                  <c:v>-7158740</c:v>
                </c:pt>
                <c:pt idx="56">
                  <c:v>-4593045</c:v>
                </c:pt>
                <c:pt idx="57">
                  <c:v>-4539395</c:v>
                </c:pt>
                <c:pt idx="58">
                  <c:v>-4348775</c:v>
                </c:pt>
                <c:pt idx="59">
                  <c:v>-2616443</c:v>
                </c:pt>
                <c:pt idx="60">
                  <c:v>-229292</c:v>
                </c:pt>
                <c:pt idx="61">
                  <c:v>1164456</c:v>
                </c:pt>
                <c:pt idx="62">
                  <c:v>3899156</c:v>
                </c:pt>
                <c:pt idx="63">
                  <c:v>3150581</c:v>
                </c:pt>
                <c:pt idx="64">
                  <c:v>3251988</c:v>
                </c:pt>
                <c:pt idx="65">
                  <c:v>8136918</c:v>
                </c:pt>
                <c:pt idx="66">
                  <c:v>8045881</c:v>
                </c:pt>
                <c:pt idx="67">
                  <c:v>6443686</c:v>
                </c:pt>
                <c:pt idx="68">
                  <c:v>6449574</c:v>
                </c:pt>
                <c:pt idx="69">
                  <c:v>6484774</c:v>
                </c:pt>
                <c:pt idx="70">
                  <c:v>8766853</c:v>
                </c:pt>
                <c:pt idx="71">
                  <c:v>10003718</c:v>
                </c:pt>
                <c:pt idx="72">
                  <c:v>11107568</c:v>
                </c:pt>
                <c:pt idx="73">
                  <c:v>12109700</c:v>
                </c:pt>
                <c:pt idx="74">
                  <c:v>12882300</c:v>
                </c:pt>
                <c:pt idx="75">
                  <c:v>14565300</c:v>
                </c:pt>
                <c:pt idx="76">
                  <c:v>21156080</c:v>
                </c:pt>
                <c:pt idx="77">
                  <c:v>19615280</c:v>
                </c:pt>
                <c:pt idx="78">
                  <c:v>21506079</c:v>
                </c:pt>
                <c:pt idx="79">
                  <c:v>20732773</c:v>
                </c:pt>
                <c:pt idx="80">
                  <c:v>24887622</c:v>
                </c:pt>
                <c:pt idx="81">
                  <c:v>24962722</c:v>
                </c:pt>
                <c:pt idx="82">
                  <c:v>25801022</c:v>
                </c:pt>
                <c:pt idx="83">
                  <c:v>23891564</c:v>
                </c:pt>
                <c:pt idx="84">
                  <c:v>22748538</c:v>
                </c:pt>
                <c:pt idx="85">
                  <c:v>22470332</c:v>
                </c:pt>
                <c:pt idx="86">
                  <c:v>23903858</c:v>
                </c:pt>
                <c:pt idx="87">
                  <c:v>23396478</c:v>
                </c:pt>
                <c:pt idx="88">
                  <c:v>23316118</c:v>
                </c:pt>
                <c:pt idx="89">
                  <c:v>23549650</c:v>
                </c:pt>
                <c:pt idx="90">
                  <c:v>23734930</c:v>
                </c:pt>
                <c:pt idx="91">
                  <c:v>22103630</c:v>
                </c:pt>
                <c:pt idx="92">
                  <c:v>23309991</c:v>
                </c:pt>
                <c:pt idx="93">
                  <c:v>21018753</c:v>
                </c:pt>
                <c:pt idx="94">
                  <c:v>27100615</c:v>
                </c:pt>
                <c:pt idx="95">
                  <c:v>26749262</c:v>
                </c:pt>
                <c:pt idx="96">
                  <c:v>30113182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F4-A045-866A-C9C7F4F2D959}"/>
            </c:ext>
          </c:extLst>
        </c:ser>
        <c:ser>
          <c:idx val="3"/>
          <c:order val="3"/>
          <c:tx>
            <c:strRef>
              <c:f>Sheet2!$E$4</c:f>
              <c:strCache>
                <c:ptCount val="1"/>
                <c:pt idx="0">
                  <c:v>TCB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Sheet2!$A$12:$A$108</c:f>
              <c:numCache>
                <c:formatCode>mm/dd/yyyy</c:formatCode>
                <c:ptCount val="97"/>
                <c:pt idx="0">
                  <c:v>46225</c:v>
                </c:pt>
                <c:pt idx="1">
                  <c:v>46224</c:v>
                </c:pt>
                <c:pt idx="2">
                  <c:v>46223</c:v>
                </c:pt>
                <c:pt idx="3">
                  <c:v>46220</c:v>
                </c:pt>
                <c:pt idx="4">
                  <c:v>46219</c:v>
                </c:pt>
                <c:pt idx="5">
                  <c:v>46218</c:v>
                </c:pt>
                <c:pt idx="6">
                  <c:v>46217</c:v>
                </c:pt>
                <c:pt idx="7">
                  <c:v>46216</c:v>
                </c:pt>
                <c:pt idx="8">
                  <c:v>46213</c:v>
                </c:pt>
                <c:pt idx="9">
                  <c:v>46212</c:v>
                </c:pt>
                <c:pt idx="10">
                  <c:v>46211</c:v>
                </c:pt>
                <c:pt idx="11">
                  <c:v>46210</c:v>
                </c:pt>
                <c:pt idx="12">
                  <c:v>46209</c:v>
                </c:pt>
                <c:pt idx="13">
                  <c:v>46206</c:v>
                </c:pt>
                <c:pt idx="14">
                  <c:v>46205</c:v>
                </c:pt>
                <c:pt idx="15">
                  <c:v>46204</c:v>
                </c:pt>
                <c:pt idx="16">
                  <c:v>46203</c:v>
                </c:pt>
                <c:pt idx="17">
                  <c:v>46202</c:v>
                </c:pt>
                <c:pt idx="18">
                  <c:v>46199</c:v>
                </c:pt>
                <c:pt idx="19">
                  <c:v>46198</c:v>
                </c:pt>
                <c:pt idx="20">
                  <c:v>46197</c:v>
                </c:pt>
                <c:pt idx="21">
                  <c:v>46196</c:v>
                </c:pt>
                <c:pt idx="22">
                  <c:v>46195</c:v>
                </c:pt>
                <c:pt idx="23">
                  <c:v>46192</c:v>
                </c:pt>
                <c:pt idx="24">
                  <c:v>46191</c:v>
                </c:pt>
                <c:pt idx="25">
                  <c:v>46190</c:v>
                </c:pt>
                <c:pt idx="26">
                  <c:v>46189</c:v>
                </c:pt>
                <c:pt idx="27">
                  <c:v>46188</c:v>
                </c:pt>
                <c:pt idx="28">
                  <c:v>46185</c:v>
                </c:pt>
                <c:pt idx="29">
                  <c:v>46184</c:v>
                </c:pt>
                <c:pt idx="30">
                  <c:v>46183</c:v>
                </c:pt>
                <c:pt idx="31">
                  <c:v>46182</c:v>
                </c:pt>
                <c:pt idx="32">
                  <c:v>46181</c:v>
                </c:pt>
                <c:pt idx="33">
                  <c:v>46178</c:v>
                </c:pt>
                <c:pt idx="34">
                  <c:v>46177</c:v>
                </c:pt>
                <c:pt idx="35">
                  <c:v>46176</c:v>
                </c:pt>
                <c:pt idx="36">
                  <c:v>46175</c:v>
                </c:pt>
                <c:pt idx="37">
                  <c:v>46174</c:v>
                </c:pt>
                <c:pt idx="38">
                  <c:v>46171</c:v>
                </c:pt>
                <c:pt idx="39">
                  <c:v>46170</c:v>
                </c:pt>
                <c:pt idx="40">
                  <c:v>46169</c:v>
                </c:pt>
                <c:pt idx="41">
                  <c:v>46168</c:v>
                </c:pt>
                <c:pt idx="42">
                  <c:v>46167</c:v>
                </c:pt>
                <c:pt idx="43">
                  <c:v>46164</c:v>
                </c:pt>
                <c:pt idx="44">
                  <c:v>46163</c:v>
                </c:pt>
                <c:pt idx="45">
                  <c:v>46162</c:v>
                </c:pt>
                <c:pt idx="46">
                  <c:v>46161</c:v>
                </c:pt>
                <c:pt idx="47">
                  <c:v>46160</c:v>
                </c:pt>
                <c:pt idx="48">
                  <c:v>46157</c:v>
                </c:pt>
                <c:pt idx="49">
                  <c:v>46156</c:v>
                </c:pt>
                <c:pt idx="50">
                  <c:v>46155</c:v>
                </c:pt>
                <c:pt idx="51">
                  <c:v>46154</c:v>
                </c:pt>
                <c:pt idx="52">
                  <c:v>46153</c:v>
                </c:pt>
                <c:pt idx="53">
                  <c:v>46150</c:v>
                </c:pt>
                <c:pt idx="54">
                  <c:v>46149</c:v>
                </c:pt>
                <c:pt idx="55">
                  <c:v>46148</c:v>
                </c:pt>
                <c:pt idx="56">
                  <c:v>46147</c:v>
                </c:pt>
                <c:pt idx="57">
                  <c:v>46146</c:v>
                </c:pt>
                <c:pt idx="58">
                  <c:v>46141</c:v>
                </c:pt>
                <c:pt idx="59">
                  <c:v>46140</c:v>
                </c:pt>
                <c:pt idx="60">
                  <c:v>46136</c:v>
                </c:pt>
                <c:pt idx="61">
                  <c:v>46135</c:v>
                </c:pt>
                <c:pt idx="62">
                  <c:v>46134</c:v>
                </c:pt>
                <c:pt idx="63">
                  <c:v>46133</c:v>
                </c:pt>
                <c:pt idx="64">
                  <c:v>46132</c:v>
                </c:pt>
                <c:pt idx="65">
                  <c:v>46129</c:v>
                </c:pt>
                <c:pt idx="66">
                  <c:v>46128</c:v>
                </c:pt>
                <c:pt idx="67">
                  <c:v>46127</c:v>
                </c:pt>
                <c:pt idx="68">
                  <c:v>46126</c:v>
                </c:pt>
                <c:pt idx="69">
                  <c:v>46125</c:v>
                </c:pt>
                <c:pt idx="70">
                  <c:v>46122</c:v>
                </c:pt>
                <c:pt idx="71">
                  <c:v>46121</c:v>
                </c:pt>
                <c:pt idx="72">
                  <c:v>46120</c:v>
                </c:pt>
                <c:pt idx="73">
                  <c:v>46119</c:v>
                </c:pt>
                <c:pt idx="74">
                  <c:v>46118</c:v>
                </c:pt>
                <c:pt idx="75">
                  <c:v>46115</c:v>
                </c:pt>
                <c:pt idx="76">
                  <c:v>46114</c:v>
                </c:pt>
                <c:pt idx="77">
                  <c:v>46113</c:v>
                </c:pt>
                <c:pt idx="78">
                  <c:v>46112</c:v>
                </c:pt>
                <c:pt idx="79">
                  <c:v>46111</c:v>
                </c:pt>
                <c:pt idx="80">
                  <c:v>46108</c:v>
                </c:pt>
                <c:pt idx="81">
                  <c:v>46107</c:v>
                </c:pt>
                <c:pt idx="82">
                  <c:v>46106</c:v>
                </c:pt>
                <c:pt idx="83">
                  <c:v>46105</c:v>
                </c:pt>
                <c:pt idx="84">
                  <c:v>46104</c:v>
                </c:pt>
                <c:pt idx="85">
                  <c:v>46101</c:v>
                </c:pt>
                <c:pt idx="86">
                  <c:v>46100</c:v>
                </c:pt>
                <c:pt idx="87">
                  <c:v>46099</c:v>
                </c:pt>
                <c:pt idx="88">
                  <c:v>46098</c:v>
                </c:pt>
                <c:pt idx="89">
                  <c:v>46097</c:v>
                </c:pt>
                <c:pt idx="90">
                  <c:v>46094</c:v>
                </c:pt>
                <c:pt idx="91">
                  <c:v>46093</c:v>
                </c:pt>
                <c:pt idx="92">
                  <c:v>46092</c:v>
                </c:pt>
                <c:pt idx="93">
                  <c:v>46091</c:v>
                </c:pt>
                <c:pt idx="94">
                  <c:v>46090</c:v>
                </c:pt>
                <c:pt idx="95">
                  <c:v>46087</c:v>
                </c:pt>
                <c:pt idx="96">
                  <c:v>46086</c:v>
                </c:pt>
              </c:numCache>
            </c:numRef>
          </c:cat>
          <c:val>
            <c:numRef>
              <c:f>Sheet2!$E$12:$E$108</c:f>
              <c:numCache>
                <c:formatCode>#,##0</c:formatCode>
                <c:ptCount val="97"/>
                <c:pt idx="0">
                  <c:v>-89095983</c:v>
                </c:pt>
                <c:pt idx="1">
                  <c:v>-86859003</c:v>
                </c:pt>
                <c:pt idx="2">
                  <c:v>-84880803</c:v>
                </c:pt>
                <c:pt idx="3">
                  <c:v>-84106403</c:v>
                </c:pt>
                <c:pt idx="4">
                  <c:v>-81239214</c:v>
                </c:pt>
                <c:pt idx="5">
                  <c:v>-79324614</c:v>
                </c:pt>
                <c:pt idx="6">
                  <c:v>-77278528</c:v>
                </c:pt>
                <c:pt idx="7">
                  <c:v>-75927128</c:v>
                </c:pt>
                <c:pt idx="8">
                  <c:v>-77450644</c:v>
                </c:pt>
                <c:pt idx="9">
                  <c:v>-76422044</c:v>
                </c:pt>
                <c:pt idx="10">
                  <c:v>-73725759</c:v>
                </c:pt>
                <c:pt idx="11">
                  <c:v>-70409537</c:v>
                </c:pt>
                <c:pt idx="12">
                  <c:v>-70384837</c:v>
                </c:pt>
                <c:pt idx="13">
                  <c:v>-70716727</c:v>
                </c:pt>
                <c:pt idx="14">
                  <c:v>-68027275</c:v>
                </c:pt>
                <c:pt idx="15">
                  <c:v>-65639295</c:v>
                </c:pt>
                <c:pt idx="16">
                  <c:v>-65124495</c:v>
                </c:pt>
                <c:pt idx="17">
                  <c:v>-64071995</c:v>
                </c:pt>
                <c:pt idx="18">
                  <c:v>-62855005</c:v>
                </c:pt>
                <c:pt idx="19">
                  <c:v>-62289006</c:v>
                </c:pt>
                <c:pt idx="20">
                  <c:v>-62540437</c:v>
                </c:pt>
                <c:pt idx="21">
                  <c:v>-60387976</c:v>
                </c:pt>
                <c:pt idx="22">
                  <c:v>-55603186</c:v>
                </c:pt>
                <c:pt idx="23">
                  <c:v>-54096364</c:v>
                </c:pt>
                <c:pt idx="24">
                  <c:v>-49951307</c:v>
                </c:pt>
                <c:pt idx="25">
                  <c:v>-44855287</c:v>
                </c:pt>
                <c:pt idx="26">
                  <c:v>-38786737</c:v>
                </c:pt>
                <c:pt idx="27">
                  <c:v>-35869676</c:v>
                </c:pt>
                <c:pt idx="28">
                  <c:v>-34485461</c:v>
                </c:pt>
                <c:pt idx="29">
                  <c:v>-34631805</c:v>
                </c:pt>
                <c:pt idx="30">
                  <c:v>-33536243</c:v>
                </c:pt>
                <c:pt idx="31">
                  <c:v>-32634543</c:v>
                </c:pt>
                <c:pt idx="32">
                  <c:v>-29457664</c:v>
                </c:pt>
                <c:pt idx="33">
                  <c:v>-27429632</c:v>
                </c:pt>
                <c:pt idx="34">
                  <c:v>-26076832</c:v>
                </c:pt>
                <c:pt idx="35">
                  <c:v>-24044232</c:v>
                </c:pt>
                <c:pt idx="36">
                  <c:v>-21400012</c:v>
                </c:pt>
                <c:pt idx="37">
                  <c:v>-19454632</c:v>
                </c:pt>
                <c:pt idx="38">
                  <c:v>-18857777</c:v>
                </c:pt>
                <c:pt idx="39">
                  <c:v>-18066662</c:v>
                </c:pt>
                <c:pt idx="40">
                  <c:v>-17010280</c:v>
                </c:pt>
                <c:pt idx="41">
                  <c:v>-15949782</c:v>
                </c:pt>
                <c:pt idx="42">
                  <c:v>-15913782</c:v>
                </c:pt>
                <c:pt idx="43">
                  <c:v>-16010744</c:v>
                </c:pt>
                <c:pt idx="44">
                  <c:v>-15356274</c:v>
                </c:pt>
                <c:pt idx="45">
                  <c:v>-12342524</c:v>
                </c:pt>
                <c:pt idx="46">
                  <c:v>-9229437</c:v>
                </c:pt>
                <c:pt idx="47">
                  <c:v>-8089545</c:v>
                </c:pt>
                <c:pt idx="48">
                  <c:v>-8885675</c:v>
                </c:pt>
                <c:pt idx="49">
                  <c:v>-10014225</c:v>
                </c:pt>
                <c:pt idx="50">
                  <c:v>-6324339</c:v>
                </c:pt>
                <c:pt idx="51">
                  <c:v>-5198300</c:v>
                </c:pt>
                <c:pt idx="52">
                  <c:v>-3158200</c:v>
                </c:pt>
                <c:pt idx="53">
                  <c:v>-2911100</c:v>
                </c:pt>
                <c:pt idx="54">
                  <c:v>-2517000</c:v>
                </c:pt>
                <c:pt idx="55">
                  <c:v>-1555900</c:v>
                </c:pt>
                <c:pt idx="56">
                  <c:v>-985800</c:v>
                </c:pt>
                <c:pt idx="57">
                  <c:v>-897900</c:v>
                </c:pt>
                <c:pt idx="58">
                  <c:v>-131300</c:v>
                </c:pt>
                <c:pt idx="59">
                  <c:v>15200</c:v>
                </c:pt>
                <c:pt idx="60">
                  <c:v>7300</c:v>
                </c:pt>
                <c:pt idx="61">
                  <c:v>-1001799</c:v>
                </c:pt>
                <c:pt idx="62">
                  <c:v>-1687600</c:v>
                </c:pt>
                <c:pt idx="63">
                  <c:v>-2207500</c:v>
                </c:pt>
                <c:pt idx="64">
                  <c:v>-1289701</c:v>
                </c:pt>
                <c:pt idx="65">
                  <c:v>-489501</c:v>
                </c:pt>
                <c:pt idx="66">
                  <c:v>-588101</c:v>
                </c:pt>
                <c:pt idx="67">
                  <c:v>-573100</c:v>
                </c:pt>
                <c:pt idx="68">
                  <c:v>-308100</c:v>
                </c:pt>
                <c:pt idx="69">
                  <c:v>29700</c:v>
                </c:pt>
                <c:pt idx="70">
                  <c:v>-485600</c:v>
                </c:pt>
                <c:pt idx="71">
                  <c:v>-7264458</c:v>
                </c:pt>
                <c:pt idx="72">
                  <c:v>-9452488</c:v>
                </c:pt>
                <c:pt idx="73">
                  <c:v>-11880380</c:v>
                </c:pt>
                <c:pt idx="74">
                  <c:v>-5661603</c:v>
                </c:pt>
                <c:pt idx="75">
                  <c:v>-2407492</c:v>
                </c:pt>
                <c:pt idx="76">
                  <c:v>-42824</c:v>
                </c:pt>
                <c:pt idx="77">
                  <c:v>-79854</c:v>
                </c:pt>
                <c:pt idx="78">
                  <c:v>-17162</c:v>
                </c:pt>
                <c:pt idx="79">
                  <c:v>-14830</c:v>
                </c:pt>
                <c:pt idx="80">
                  <c:v>10665</c:v>
                </c:pt>
                <c:pt idx="81">
                  <c:v>30495</c:v>
                </c:pt>
                <c:pt idx="82">
                  <c:v>-96049</c:v>
                </c:pt>
                <c:pt idx="83">
                  <c:v>-186158</c:v>
                </c:pt>
                <c:pt idx="84">
                  <c:v>-186183</c:v>
                </c:pt>
                <c:pt idx="85">
                  <c:v>-59708</c:v>
                </c:pt>
                <c:pt idx="86">
                  <c:v>30475</c:v>
                </c:pt>
                <c:pt idx="87">
                  <c:v>30459</c:v>
                </c:pt>
                <c:pt idx="88">
                  <c:v>30418</c:v>
                </c:pt>
                <c:pt idx="89">
                  <c:v>20321</c:v>
                </c:pt>
                <c:pt idx="90">
                  <c:v>20332</c:v>
                </c:pt>
                <c:pt idx="91">
                  <c:v>20353</c:v>
                </c:pt>
                <c:pt idx="92">
                  <c:v>30468</c:v>
                </c:pt>
                <c:pt idx="93">
                  <c:v>-127467</c:v>
                </c:pt>
                <c:pt idx="94">
                  <c:v>-1776027</c:v>
                </c:pt>
                <c:pt idx="95">
                  <c:v>-3310738</c:v>
                </c:pt>
                <c:pt idx="96">
                  <c:v>-3154338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F4-A045-866A-C9C7F4F2D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6647599"/>
        <c:axId val="613616703"/>
      </c:lineChart>
      <c:dateAx>
        <c:axId val="606647599"/>
        <c:scaling>
          <c:orientation val="minMax"/>
        </c:scaling>
        <c:delete val="0"/>
        <c:axPos val="b"/>
        <c:numFmt formatCode="mm/d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613616703"/>
        <c:crosses val="autoZero"/>
        <c:auto val="1"/>
        <c:lblOffset val="100"/>
        <c:baseTimeUnit val="days"/>
      </c:dateAx>
      <c:valAx>
        <c:axId val="61361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60664759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266700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8</xdr:row>
      <xdr:rowOff>152400</xdr:rowOff>
    </xdr:from>
    <xdr:to>
      <xdr:col>21</xdr:col>
      <xdr:colOff>25400</xdr:colOff>
      <xdr:row>48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2"/>
  <sheetViews>
    <sheetView tabSelected="1" topLeftCell="C1" workbookViewId="0">
      <selection activeCell="T6" sqref="T6"/>
    </sheetView>
  </sheetViews>
  <sheetFormatPr baseColWidth="10" defaultColWidth="13.33203125" defaultRowHeight="15" x14ac:dyDescent="0.2"/>
  <cols>
    <col min="1" max="1" width="14.6640625" customWidth="1"/>
    <col min="3" max="5" width="13.33203125" customWidth="1"/>
  </cols>
  <sheetData>
    <row r="1" spans="1:22" s="9" customFormat="1" ht="12" customHeight="1" x14ac:dyDescent="0.2"/>
    <row r="2" spans="1:22" s="9" customFormat="1" ht="8.25" customHeight="1" x14ac:dyDescent="0.2"/>
    <row r="3" spans="1:22" s="9" customFormat="1" ht="9.75" customHeight="1" x14ac:dyDescent="0.2"/>
    <row r="4" spans="1:22" s="9" customFormat="1" ht="24" customHeight="1" x14ac:dyDescent="0.2"/>
    <row r="5" spans="1:22" x14ac:dyDescent="0.2">
      <c r="A5" s="6" t="s">
        <v>0</v>
      </c>
      <c r="B5" s="7" t="s">
        <v>1</v>
      </c>
    </row>
    <row r="6" spans="1:22" x14ac:dyDescent="0.2">
      <c r="A6" s="6" t="s">
        <v>2</v>
      </c>
      <c r="B6" s="8">
        <v>46157.723297546298</v>
      </c>
      <c r="F6" t="s">
        <v>31</v>
      </c>
      <c r="G6">
        <f>G11/G7</f>
        <v>6.3913981336403525E-2</v>
      </c>
      <c r="K6" t="s">
        <v>31</v>
      </c>
      <c r="L6">
        <f>L11/L7</f>
        <v>1.521695890457246E-2</v>
      </c>
      <c r="P6" t="s">
        <v>31</v>
      </c>
      <c r="Q6">
        <f>Q11/Q7</f>
        <v>6.6523239640658594E-2</v>
      </c>
      <c r="U6" t="s">
        <v>31</v>
      </c>
      <c r="V6">
        <f>V11/V7</f>
        <v>1.4086275820220852E-2</v>
      </c>
    </row>
    <row r="7" spans="1:22" x14ac:dyDescent="0.2">
      <c r="F7" t="s">
        <v>30</v>
      </c>
      <c r="G7">
        <v>5136656599</v>
      </c>
      <c r="K7" t="s">
        <v>30</v>
      </c>
      <c r="L7">
        <v>3404005710</v>
      </c>
      <c r="P7" t="s">
        <v>30</v>
      </c>
      <c r="Q7">
        <v>7933923601</v>
      </c>
      <c r="U7" t="s">
        <v>30</v>
      </c>
      <c r="V7">
        <v>7086240414</v>
      </c>
    </row>
    <row r="8" spans="1:22" x14ac:dyDescent="0.2">
      <c r="A8" s="10"/>
      <c r="B8" s="11"/>
      <c r="C8" s="26" t="s">
        <v>3</v>
      </c>
      <c r="D8" s="27"/>
      <c r="E8" s="27"/>
      <c r="F8" s="27"/>
      <c r="G8" s="28"/>
      <c r="H8" s="26" t="s">
        <v>4</v>
      </c>
      <c r="I8" s="27"/>
      <c r="J8" s="27"/>
      <c r="K8" s="27"/>
      <c r="L8" s="28"/>
      <c r="M8" s="26" t="s">
        <v>5</v>
      </c>
      <c r="N8" s="27"/>
      <c r="O8" s="27"/>
      <c r="P8" s="27"/>
      <c r="Q8" s="28"/>
      <c r="R8" s="26" t="s">
        <v>6</v>
      </c>
      <c r="S8" s="27"/>
      <c r="T8" s="27"/>
      <c r="U8" s="27"/>
      <c r="V8" s="28"/>
    </row>
    <row r="9" spans="1:22" s="2" customFormat="1" ht="102" customHeight="1" x14ac:dyDescent="0.2">
      <c r="A9" s="12" t="s">
        <v>7</v>
      </c>
      <c r="B9" s="12" t="s">
        <v>8</v>
      </c>
      <c r="C9" s="13" t="s">
        <v>9</v>
      </c>
      <c r="D9" s="13" t="s">
        <v>10</v>
      </c>
      <c r="E9" s="12" t="s">
        <v>11</v>
      </c>
      <c r="F9" s="12" t="s">
        <v>12</v>
      </c>
      <c r="G9" s="13" t="s">
        <v>13</v>
      </c>
      <c r="H9" s="13" t="s">
        <v>9</v>
      </c>
      <c r="I9" s="13" t="s">
        <v>10</v>
      </c>
      <c r="J9" s="12" t="s">
        <v>11</v>
      </c>
      <c r="K9" s="12" t="s">
        <v>12</v>
      </c>
      <c r="L9" s="12" t="s">
        <v>13</v>
      </c>
      <c r="M9" s="12" t="s">
        <v>9</v>
      </c>
      <c r="N9" s="12" t="s">
        <v>10</v>
      </c>
      <c r="O9" s="12" t="s">
        <v>11</v>
      </c>
      <c r="P9" s="12" t="s">
        <v>12</v>
      </c>
      <c r="Q9" s="12" t="s">
        <v>13</v>
      </c>
      <c r="R9" s="12" t="s">
        <v>9</v>
      </c>
      <c r="S9" s="12" t="s">
        <v>10</v>
      </c>
      <c r="T9" s="12" t="s">
        <v>11</v>
      </c>
      <c r="U9" s="12" t="s">
        <v>12</v>
      </c>
      <c r="V9" s="12" t="s">
        <v>13</v>
      </c>
    </row>
    <row r="10" spans="1:22" s="2" customFormat="1" ht="16" customHeight="1" x14ac:dyDescent="0.2">
      <c r="A10" s="16"/>
      <c r="B10" s="17">
        <v>46234</v>
      </c>
      <c r="C10" s="16">
        <v>418604</v>
      </c>
      <c r="D10" s="16">
        <v>3073259</v>
      </c>
      <c r="E10" s="16">
        <f t="shared" ref="E10:E41" si="0">C10-D10</f>
        <v>-2654655</v>
      </c>
      <c r="F10" s="16">
        <f t="shared" ref="F10:F41" si="1">F11+E10</f>
        <v>-228820850</v>
      </c>
      <c r="G10" s="16"/>
      <c r="H10" s="16">
        <v>213300</v>
      </c>
      <c r="I10" s="16">
        <v>877700</v>
      </c>
      <c r="J10" s="16">
        <f t="shared" ref="J10:J41" si="2">H10-I10</f>
        <v>-664400</v>
      </c>
      <c r="K10" s="16">
        <f t="shared" ref="K10:K41" si="3">K11+J10</f>
        <v>-53116009</v>
      </c>
      <c r="L10" s="16"/>
      <c r="M10" s="16">
        <v>248700</v>
      </c>
      <c r="N10" s="16">
        <v>2985900</v>
      </c>
      <c r="O10" s="16">
        <f t="shared" ref="O10:O41" si="4">M10-N10</f>
        <v>-2737200</v>
      </c>
      <c r="P10" s="16">
        <f t="shared" ref="P10:P41" si="5">P11+O10</f>
        <v>-103383042</v>
      </c>
      <c r="Q10" s="16"/>
      <c r="R10" s="16">
        <v>923760</v>
      </c>
      <c r="S10" s="16">
        <v>3378700</v>
      </c>
      <c r="T10" s="16">
        <f t="shared" ref="T10:T41" si="6">R10-S10</f>
        <v>-2454940</v>
      </c>
      <c r="U10" s="16">
        <f t="shared" ref="U10:U41" si="7">U11+T10</f>
        <v>-108872152</v>
      </c>
      <c r="V10" s="16"/>
    </row>
    <row r="11" spans="1:22" s="2" customFormat="1" ht="16" customHeight="1" x14ac:dyDescent="0.2">
      <c r="A11" s="16"/>
      <c r="B11" s="17">
        <v>46233</v>
      </c>
      <c r="C11" s="16">
        <v>1287680</v>
      </c>
      <c r="D11" s="16">
        <v>4113654</v>
      </c>
      <c r="E11" s="16">
        <f t="shared" si="0"/>
        <v>-2825974</v>
      </c>
      <c r="F11" s="16">
        <f t="shared" si="1"/>
        <v>-226166195</v>
      </c>
      <c r="G11" s="16">
        <v>328304174</v>
      </c>
      <c r="H11" s="16">
        <v>63500</v>
      </c>
      <c r="I11" s="16">
        <v>239500</v>
      </c>
      <c r="J11" s="16">
        <f t="shared" si="2"/>
        <v>-176000</v>
      </c>
      <c r="K11" s="16">
        <f t="shared" si="3"/>
        <v>-52451609</v>
      </c>
      <c r="L11" s="16">
        <v>51798615</v>
      </c>
      <c r="M11" s="16">
        <v>710600</v>
      </c>
      <c r="N11" s="16">
        <v>1511200</v>
      </c>
      <c r="O11" s="16">
        <f t="shared" si="4"/>
        <v>-800600</v>
      </c>
      <c r="P11" s="16">
        <f t="shared" si="5"/>
        <v>-100645842</v>
      </c>
      <c r="Q11" s="16">
        <v>527790301</v>
      </c>
      <c r="R11" s="16">
        <v>5859140</v>
      </c>
      <c r="S11" s="16">
        <v>10836780</v>
      </c>
      <c r="T11" s="16">
        <f t="shared" si="6"/>
        <v>-4977640</v>
      </c>
      <c r="U11" s="16">
        <f t="shared" si="7"/>
        <v>-106417212</v>
      </c>
      <c r="V11" s="16">
        <v>99818737</v>
      </c>
    </row>
    <row r="12" spans="1:22" s="2" customFormat="1" ht="16" customHeight="1" x14ac:dyDescent="0.2">
      <c r="A12" s="16"/>
      <c r="B12" s="17">
        <v>46232</v>
      </c>
      <c r="C12" s="16">
        <v>729667</v>
      </c>
      <c r="D12" s="16">
        <v>2781783</v>
      </c>
      <c r="E12" s="16">
        <f t="shared" si="0"/>
        <v>-2052116</v>
      </c>
      <c r="F12" s="16">
        <f t="shared" si="1"/>
        <v>-223340221</v>
      </c>
      <c r="G12" s="16">
        <v>328304174</v>
      </c>
      <c r="H12" s="16">
        <v>79200</v>
      </c>
      <c r="I12" s="16">
        <v>680000</v>
      </c>
      <c r="J12" s="16">
        <f t="shared" si="2"/>
        <v>-600800</v>
      </c>
      <c r="K12" s="16">
        <f t="shared" si="3"/>
        <v>-52275609</v>
      </c>
      <c r="L12" s="16">
        <v>51798615</v>
      </c>
      <c r="M12" s="16">
        <v>132127</v>
      </c>
      <c r="N12" s="16">
        <v>1732700</v>
      </c>
      <c r="O12" s="16">
        <f t="shared" si="4"/>
        <v>-1600573</v>
      </c>
      <c r="P12" s="16">
        <f t="shared" si="5"/>
        <v>-99845242</v>
      </c>
      <c r="Q12" s="16">
        <v>525496201</v>
      </c>
      <c r="R12" s="16">
        <v>1275919</v>
      </c>
      <c r="S12" s="16">
        <v>2993254</v>
      </c>
      <c r="T12" s="16">
        <f t="shared" si="6"/>
        <v>-1717335</v>
      </c>
      <c r="U12" s="16">
        <f t="shared" si="7"/>
        <v>-101439572</v>
      </c>
      <c r="V12" s="16">
        <v>98392567</v>
      </c>
    </row>
    <row r="13" spans="1:22" s="22" customFormat="1" ht="16" customHeight="1" x14ac:dyDescent="0.2">
      <c r="A13" s="16"/>
      <c r="B13" s="17">
        <v>46231</v>
      </c>
      <c r="C13" s="16">
        <v>1974000</v>
      </c>
      <c r="D13" s="16">
        <v>1806800</v>
      </c>
      <c r="E13" s="16">
        <f t="shared" si="0"/>
        <v>167200</v>
      </c>
      <c r="F13" s="16">
        <f t="shared" si="1"/>
        <v>-221288105</v>
      </c>
      <c r="G13" s="16">
        <v>326218909</v>
      </c>
      <c r="H13" s="16">
        <v>719600</v>
      </c>
      <c r="I13" s="16">
        <v>455670</v>
      </c>
      <c r="J13" s="16">
        <f t="shared" si="2"/>
        <v>263930</v>
      </c>
      <c r="K13" s="16">
        <f t="shared" si="3"/>
        <v>-51674809</v>
      </c>
      <c r="L13" s="16">
        <v>50999314</v>
      </c>
      <c r="M13" s="16">
        <v>557349</v>
      </c>
      <c r="N13" s="16">
        <v>2851449</v>
      </c>
      <c r="O13" s="16">
        <f t="shared" si="4"/>
        <v>-2294100</v>
      </c>
      <c r="P13" s="16">
        <f t="shared" si="5"/>
        <v>-98244669</v>
      </c>
      <c r="Q13" s="16">
        <v>521512940</v>
      </c>
      <c r="R13" s="16">
        <v>6579550</v>
      </c>
      <c r="S13" s="16">
        <v>8005720</v>
      </c>
      <c r="T13" s="16">
        <f t="shared" si="6"/>
        <v>-1426170</v>
      </c>
      <c r="U13" s="16">
        <f t="shared" si="7"/>
        <v>-99722237</v>
      </c>
      <c r="V13" s="16">
        <v>95836152</v>
      </c>
    </row>
    <row r="14" spans="1:22" s="22" customFormat="1" ht="16" customHeight="1" x14ac:dyDescent="0.2">
      <c r="A14" s="16"/>
      <c r="B14" s="17">
        <v>46230</v>
      </c>
      <c r="C14" s="16">
        <v>2638000</v>
      </c>
      <c r="D14" s="16">
        <v>4646465</v>
      </c>
      <c r="E14" s="16">
        <f t="shared" si="0"/>
        <v>-2008465</v>
      </c>
      <c r="F14" s="16">
        <f t="shared" si="1"/>
        <v>-221455305</v>
      </c>
      <c r="G14" s="16">
        <v>324385797</v>
      </c>
      <c r="H14" s="16">
        <v>107800</v>
      </c>
      <c r="I14" s="16">
        <v>873501</v>
      </c>
      <c r="J14" s="16">
        <f t="shared" si="2"/>
        <v>-765701</v>
      </c>
      <c r="K14" s="16">
        <f t="shared" si="3"/>
        <v>-51938739</v>
      </c>
      <c r="L14" s="16">
        <v>50316044</v>
      </c>
      <c r="M14" s="16">
        <v>83330</v>
      </c>
      <c r="N14" s="16">
        <v>3984991</v>
      </c>
      <c r="O14" s="16">
        <f t="shared" si="4"/>
        <v>-3901661</v>
      </c>
      <c r="P14" s="16">
        <f t="shared" si="5"/>
        <v>-95950569</v>
      </c>
      <c r="Q14" s="16">
        <v>518384550</v>
      </c>
      <c r="R14" s="16">
        <v>578041</v>
      </c>
      <c r="S14" s="16">
        <v>3072056</v>
      </c>
      <c r="T14" s="16">
        <f t="shared" si="6"/>
        <v>-2494015</v>
      </c>
      <c r="U14" s="16">
        <f t="shared" si="7"/>
        <v>-98296067</v>
      </c>
      <c r="V14" s="16">
        <v>93199283</v>
      </c>
    </row>
    <row r="15" spans="1:22" s="2" customFormat="1" ht="16" customHeight="1" x14ac:dyDescent="0.2">
      <c r="A15" s="16"/>
      <c r="B15" s="17">
        <v>46227</v>
      </c>
      <c r="C15" s="16">
        <v>1493401</v>
      </c>
      <c r="D15" s="16">
        <v>3534613</v>
      </c>
      <c r="E15" s="16">
        <f t="shared" si="0"/>
        <v>-2041212</v>
      </c>
      <c r="F15" s="16">
        <f t="shared" si="1"/>
        <v>-219446840</v>
      </c>
      <c r="G15" s="16"/>
      <c r="H15" s="16">
        <v>180800</v>
      </c>
      <c r="I15" s="16">
        <v>1136400</v>
      </c>
      <c r="J15" s="16">
        <f t="shared" si="2"/>
        <v>-955600</v>
      </c>
      <c r="K15" s="16">
        <f t="shared" si="3"/>
        <v>-51173038</v>
      </c>
      <c r="L15" s="16"/>
      <c r="M15" s="16">
        <v>636410</v>
      </c>
      <c r="N15" s="16">
        <v>3801100</v>
      </c>
      <c r="O15" s="16">
        <f t="shared" si="4"/>
        <v>-3164690</v>
      </c>
      <c r="P15" s="16">
        <f t="shared" si="5"/>
        <v>-92048908</v>
      </c>
      <c r="Q15" s="16"/>
      <c r="R15" s="16">
        <v>1655531</v>
      </c>
      <c r="S15" s="16">
        <v>4292400</v>
      </c>
      <c r="T15" s="16">
        <f t="shared" si="6"/>
        <v>-2636869</v>
      </c>
      <c r="U15" s="16">
        <f t="shared" si="7"/>
        <v>-95802052</v>
      </c>
      <c r="V15" s="16"/>
    </row>
    <row r="16" spans="1:22" s="2" customFormat="1" ht="16" customHeight="1" x14ac:dyDescent="0.2">
      <c r="A16" s="16"/>
      <c r="B16" s="17">
        <v>46226</v>
      </c>
      <c r="C16" s="16">
        <v>2263500</v>
      </c>
      <c r="D16" s="16">
        <v>2951495</v>
      </c>
      <c r="E16" s="16">
        <f t="shared" si="0"/>
        <v>-687995</v>
      </c>
      <c r="F16" s="16">
        <f t="shared" si="1"/>
        <v>-217405628</v>
      </c>
      <c r="G16" s="16">
        <v>315242287</v>
      </c>
      <c r="H16" s="16">
        <v>777200</v>
      </c>
      <c r="I16" s="16">
        <v>75900</v>
      </c>
      <c r="J16" s="16">
        <f t="shared" si="2"/>
        <v>701300</v>
      </c>
      <c r="K16" s="16">
        <f t="shared" si="3"/>
        <v>-50217438</v>
      </c>
      <c r="L16" s="16">
        <v>42592763</v>
      </c>
      <c r="M16" s="16">
        <v>688700</v>
      </c>
      <c r="N16" s="16">
        <v>4114500</v>
      </c>
      <c r="O16" s="16">
        <f t="shared" si="4"/>
        <v>-3425800</v>
      </c>
      <c r="P16" s="16">
        <f t="shared" si="5"/>
        <v>-88884218</v>
      </c>
      <c r="Q16" s="16">
        <v>508569050</v>
      </c>
      <c r="R16" s="16">
        <v>1398700</v>
      </c>
      <c r="S16" s="16">
        <v>5467900</v>
      </c>
      <c r="T16" s="16">
        <f t="shared" si="6"/>
        <v>-4069200</v>
      </c>
      <c r="U16" s="16">
        <f t="shared" si="7"/>
        <v>-93165183</v>
      </c>
      <c r="V16" s="16">
        <v>86893103</v>
      </c>
    </row>
    <row r="17" spans="1:22" s="2" customFormat="1" ht="16" customHeight="1" x14ac:dyDescent="0.2">
      <c r="A17" s="16"/>
      <c r="B17" s="17">
        <v>46225</v>
      </c>
      <c r="C17" s="16">
        <v>976540</v>
      </c>
      <c r="D17" s="16">
        <v>9463555</v>
      </c>
      <c r="E17" s="16">
        <f t="shared" si="0"/>
        <v>-8487015</v>
      </c>
      <c r="F17" s="16">
        <f t="shared" si="1"/>
        <v>-216717633</v>
      </c>
      <c r="G17" s="16">
        <v>312368653</v>
      </c>
      <c r="H17" s="16">
        <v>1417000</v>
      </c>
      <c r="I17" s="16">
        <v>9154281</v>
      </c>
      <c r="J17" s="16">
        <f t="shared" si="2"/>
        <v>-7737281</v>
      </c>
      <c r="K17" s="16">
        <f t="shared" si="3"/>
        <v>-50918738</v>
      </c>
      <c r="L17" s="16">
        <v>43245363</v>
      </c>
      <c r="M17" s="16">
        <v>1075500</v>
      </c>
      <c r="N17" s="16">
        <v>7497500</v>
      </c>
      <c r="O17" s="16">
        <f t="shared" si="4"/>
        <v>-6422000</v>
      </c>
      <c r="P17" s="16">
        <f t="shared" si="5"/>
        <v>-85458418</v>
      </c>
      <c r="Q17" s="16">
        <v>507857950</v>
      </c>
      <c r="R17" s="16">
        <v>1406420</v>
      </c>
      <c r="S17" s="16">
        <v>3643400</v>
      </c>
      <c r="T17" s="16">
        <f t="shared" si="6"/>
        <v>-2236980</v>
      </c>
      <c r="U17" s="16">
        <f t="shared" si="7"/>
        <v>-89095983</v>
      </c>
      <c r="V17" s="16">
        <v>84914903</v>
      </c>
    </row>
    <row r="18" spans="1:22" s="2" customFormat="1" ht="16" customHeight="1" x14ac:dyDescent="0.2">
      <c r="A18" s="16"/>
      <c r="B18" s="17">
        <v>46224</v>
      </c>
      <c r="C18" s="16">
        <v>876300</v>
      </c>
      <c r="D18" s="16">
        <v>3748734</v>
      </c>
      <c r="E18" s="16">
        <f t="shared" si="0"/>
        <v>-2872434</v>
      </c>
      <c r="F18" s="16">
        <f t="shared" si="1"/>
        <v>-208230618</v>
      </c>
      <c r="G18" s="16">
        <v>311955009</v>
      </c>
      <c r="H18" s="16">
        <v>238300</v>
      </c>
      <c r="I18" s="16">
        <v>298200</v>
      </c>
      <c r="J18" s="16">
        <f t="shared" si="2"/>
        <v>-59900</v>
      </c>
      <c r="K18" s="16">
        <f t="shared" si="3"/>
        <v>-43181457</v>
      </c>
      <c r="L18" s="16">
        <v>43256563</v>
      </c>
      <c r="M18" s="16">
        <v>1725200</v>
      </c>
      <c r="N18" s="16">
        <v>2435300</v>
      </c>
      <c r="O18" s="16">
        <f t="shared" si="4"/>
        <v>-710100</v>
      </c>
      <c r="P18" s="16">
        <f t="shared" si="5"/>
        <v>-79036418</v>
      </c>
      <c r="Q18" s="16">
        <v>505408228</v>
      </c>
      <c r="R18" s="16">
        <v>1416700</v>
      </c>
      <c r="S18" s="16">
        <v>3394900</v>
      </c>
      <c r="T18" s="16">
        <f t="shared" si="6"/>
        <v>-1978200</v>
      </c>
      <c r="U18" s="16">
        <f t="shared" si="7"/>
        <v>-86859003</v>
      </c>
      <c r="V18" s="16">
        <v>84140503</v>
      </c>
    </row>
    <row r="19" spans="1:22" s="2" customFormat="1" ht="16" customHeight="1" x14ac:dyDescent="0.2">
      <c r="A19" s="16"/>
      <c r="B19" s="17">
        <v>46223</v>
      </c>
      <c r="C19" s="16">
        <v>329900</v>
      </c>
      <c r="D19" s="16">
        <v>873144</v>
      </c>
      <c r="E19" s="16">
        <f t="shared" si="0"/>
        <v>-543244</v>
      </c>
      <c r="F19" s="16">
        <f t="shared" si="1"/>
        <v>-205358184</v>
      </c>
      <c r="G19" s="16">
        <v>310186103</v>
      </c>
      <c r="H19" s="16">
        <v>186600</v>
      </c>
      <c r="I19" s="16">
        <v>185600</v>
      </c>
      <c r="J19" s="16">
        <f t="shared" si="2"/>
        <v>1000</v>
      </c>
      <c r="K19" s="16">
        <f t="shared" si="3"/>
        <v>-43121557</v>
      </c>
      <c r="L19" s="16">
        <v>43199008</v>
      </c>
      <c r="M19" s="16">
        <v>545700</v>
      </c>
      <c r="N19" s="16">
        <v>3096622</v>
      </c>
      <c r="O19" s="16">
        <f t="shared" si="4"/>
        <v>-2550922</v>
      </c>
      <c r="P19" s="16">
        <f t="shared" si="5"/>
        <v>-78326318</v>
      </c>
      <c r="Q19" s="16">
        <v>502942896</v>
      </c>
      <c r="R19" s="16">
        <v>613700</v>
      </c>
      <c r="S19" s="16">
        <v>1388100</v>
      </c>
      <c r="T19" s="16">
        <f t="shared" si="6"/>
        <v>-774400</v>
      </c>
      <c r="U19" s="16">
        <f t="shared" si="7"/>
        <v>-84880803</v>
      </c>
      <c r="V19" s="16">
        <v>81273314</v>
      </c>
    </row>
    <row r="20" spans="1:22" s="2" customFormat="1" ht="16" customHeight="1" x14ac:dyDescent="0.2">
      <c r="A20" s="16"/>
      <c r="B20" s="17">
        <v>46220</v>
      </c>
      <c r="C20" s="16">
        <v>1182236</v>
      </c>
      <c r="D20" s="16">
        <v>2951142</v>
      </c>
      <c r="E20" s="16">
        <f t="shared" si="0"/>
        <v>-1768906</v>
      </c>
      <c r="F20" s="16">
        <f t="shared" si="1"/>
        <v>-204814940</v>
      </c>
      <c r="G20" s="16"/>
      <c r="H20" s="16">
        <v>63200</v>
      </c>
      <c r="I20" s="16">
        <v>120755</v>
      </c>
      <c r="J20" s="16">
        <f t="shared" si="2"/>
        <v>-57555</v>
      </c>
      <c r="K20" s="16">
        <f t="shared" si="3"/>
        <v>-43122557</v>
      </c>
      <c r="L20" s="16"/>
      <c r="M20" s="16">
        <v>765000</v>
      </c>
      <c r="N20" s="16">
        <v>3226332</v>
      </c>
      <c r="O20" s="16">
        <f t="shared" si="4"/>
        <v>-2461332</v>
      </c>
      <c r="P20" s="16">
        <f t="shared" si="5"/>
        <v>-75775396</v>
      </c>
      <c r="Q20" s="16"/>
      <c r="R20" s="16">
        <v>411400</v>
      </c>
      <c r="S20" s="16">
        <v>3278589</v>
      </c>
      <c r="T20" s="16">
        <f t="shared" si="6"/>
        <v>-2867189</v>
      </c>
      <c r="U20" s="16">
        <f t="shared" si="7"/>
        <v>-84106403</v>
      </c>
      <c r="V20" s="16"/>
    </row>
    <row r="21" spans="1:22" s="2" customFormat="1" ht="16" customHeight="1" x14ac:dyDescent="0.2">
      <c r="A21" s="16"/>
      <c r="B21" s="17">
        <v>46219</v>
      </c>
      <c r="C21" s="16">
        <v>11320435</v>
      </c>
      <c r="D21" s="16">
        <v>2073720</v>
      </c>
      <c r="E21" s="16">
        <f t="shared" si="0"/>
        <v>9246715</v>
      </c>
      <c r="F21" s="16">
        <f t="shared" si="1"/>
        <v>-203046034</v>
      </c>
      <c r="G21" s="16">
        <v>309527963</v>
      </c>
      <c r="H21" s="16">
        <v>937500</v>
      </c>
      <c r="I21" s="16">
        <v>795800</v>
      </c>
      <c r="J21" s="16">
        <f t="shared" si="2"/>
        <v>141700</v>
      </c>
      <c r="K21" s="16">
        <f t="shared" si="3"/>
        <v>-43065002</v>
      </c>
      <c r="L21" s="16">
        <v>41704402</v>
      </c>
      <c r="M21" s="16">
        <v>1941600</v>
      </c>
      <c r="N21" s="16">
        <v>5276400</v>
      </c>
      <c r="O21" s="16">
        <f t="shared" si="4"/>
        <v>-3334800</v>
      </c>
      <c r="P21" s="16">
        <f t="shared" si="5"/>
        <v>-73314064</v>
      </c>
      <c r="Q21" s="16">
        <v>497516515</v>
      </c>
      <c r="R21" s="16">
        <v>1339000</v>
      </c>
      <c r="S21" s="16">
        <v>3253600</v>
      </c>
      <c r="T21" s="16">
        <f t="shared" si="6"/>
        <v>-1914600</v>
      </c>
      <c r="U21" s="16">
        <f t="shared" si="7"/>
        <v>-81239214</v>
      </c>
      <c r="V21" s="16">
        <v>77312628</v>
      </c>
    </row>
    <row r="22" spans="1:22" s="2" customFormat="1" ht="16" customHeight="1" x14ac:dyDescent="0.2">
      <c r="A22" s="16"/>
      <c r="B22" s="17">
        <v>46218</v>
      </c>
      <c r="C22" s="16">
        <v>1558500</v>
      </c>
      <c r="D22" s="16">
        <v>2216640</v>
      </c>
      <c r="E22" s="16">
        <f t="shared" si="0"/>
        <v>-658140</v>
      </c>
      <c r="F22" s="16">
        <f t="shared" si="1"/>
        <v>-212292749</v>
      </c>
      <c r="G22" s="16">
        <v>318774678</v>
      </c>
      <c r="H22" s="16">
        <v>69900</v>
      </c>
      <c r="I22" s="16">
        <v>1565506</v>
      </c>
      <c r="J22" s="16">
        <f t="shared" si="2"/>
        <v>-1495606</v>
      </c>
      <c r="K22" s="16">
        <f t="shared" si="3"/>
        <v>-43206702</v>
      </c>
      <c r="L22" s="16">
        <v>40947828</v>
      </c>
      <c r="M22" s="16">
        <v>244753</v>
      </c>
      <c r="N22" s="16">
        <v>2336334</v>
      </c>
      <c r="O22" s="16">
        <f t="shared" si="4"/>
        <v>-2091581</v>
      </c>
      <c r="P22" s="16">
        <f t="shared" si="5"/>
        <v>-69979264</v>
      </c>
      <c r="Q22" s="16">
        <v>494290465</v>
      </c>
      <c r="R22" s="16">
        <v>665014</v>
      </c>
      <c r="S22" s="16">
        <v>2711100</v>
      </c>
      <c r="T22" s="16">
        <f t="shared" si="6"/>
        <v>-2046086</v>
      </c>
      <c r="U22" s="16">
        <f t="shared" si="7"/>
        <v>-79324614</v>
      </c>
      <c r="V22" s="16">
        <v>75961228</v>
      </c>
    </row>
    <row r="23" spans="1:22" s="2" customFormat="1" ht="16" customHeight="1" x14ac:dyDescent="0.2">
      <c r="A23" s="16"/>
      <c r="B23" s="17">
        <v>46217</v>
      </c>
      <c r="C23" s="16">
        <v>1926604</v>
      </c>
      <c r="D23" s="16">
        <v>751300</v>
      </c>
      <c r="E23" s="16">
        <f t="shared" si="0"/>
        <v>1175304</v>
      </c>
      <c r="F23" s="16">
        <f t="shared" si="1"/>
        <v>-211634609</v>
      </c>
      <c r="G23" s="16">
        <v>317804878</v>
      </c>
      <c r="H23" s="16">
        <v>114400</v>
      </c>
      <c r="I23" s="16">
        <v>1012674</v>
      </c>
      <c r="J23" s="16">
        <f t="shared" si="2"/>
        <v>-898274</v>
      </c>
      <c r="K23" s="16">
        <f t="shared" si="3"/>
        <v>-41711096</v>
      </c>
      <c r="L23" s="16">
        <v>37777428</v>
      </c>
      <c r="M23" s="16">
        <v>1074800</v>
      </c>
      <c r="N23" s="16">
        <v>4300850</v>
      </c>
      <c r="O23" s="16">
        <f t="shared" si="4"/>
        <v>-3226050</v>
      </c>
      <c r="P23" s="16">
        <f t="shared" si="5"/>
        <v>-67887683</v>
      </c>
      <c r="Q23" s="16">
        <v>490429835</v>
      </c>
      <c r="R23" s="16">
        <v>1349800</v>
      </c>
      <c r="S23" s="16">
        <v>2701200</v>
      </c>
      <c r="T23" s="16">
        <f t="shared" si="6"/>
        <v>-1351400</v>
      </c>
      <c r="U23" s="16">
        <f t="shared" si="7"/>
        <v>-77278528</v>
      </c>
      <c r="V23" s="16">
        <v>75954228</v>
      </c>
    </row>
    <row r="24" spans="1:22" s="2" customFormat="1" ht="16" customHeight="1" x14ac:dyDescent="0.2">
      <c r="A24" s="16"/>
      <c r="B24" s="17">
        <v>46216</v>
      </c>
      <c r="C24" s="16">
        <v>263300</v>
      </c>
      <c r="D24" s="16">
        <v>1224300</v>
      </c>
      <c r="E24" s="16">
        <f t="shared" si="0"/>
        <v>-961000</v>
      </c>
      <c r="F24" s="16">
        <f t="shared" si="1"/>
        <v>-212809913</v>
      </c>
      <c r="G24" s="16">
        <v>317991970</v>
      </c>
      <c r="H24" s="16">
        <v>75400</v>
      </c>
      <c r="I24" s="16">
        <v>3242000</v>
      </c>
      <c r="J24" s="16">
        <f t="shared" si="2"/>
        <v>-3166600</v>
      </c>
      <c r="K24" s="16">
        <f t="shared" si="3"/>
        <v>-40812822</v>
      </c>
      <c r="L24" s="16">
        <v>36496028</v>
      </c>
      <c r="M24" s="16">
        <v>1882700</v>
      </c>
      <c r="N24" s="16">
        <v>5735530</v>
      </c>
      <c r="O24" s="16">
        <f t="shared" si="4"/>
        <v>-3852830</v>
      </c>
      <c r="P24" s="16">
        <f t="shared" si="5"/>
        <v>-64661633</v>
      </c>
      <c r="Q24" s="16">
        <v>487396083</v>
      </c>
      <c r="R24" s="16">
        <v>3910301</v>
      </c>
      <c r="S24" s="16">
        <v>2386785</v>
      </c>
      <c r="T24" s="16">
        <f t="shared" si="6"/>
        <v>1523516</v>
      </c>
      <c r="U24" s="16">
        <f t="shared" si="7"/>
        <v>-75927128</v>
      </c>
      <c r="V24" s="16">
        <v>74925628</v>
      </c>
    </row>
    <row r="25" spans="1:22" s="2" customFormat="1" ht="16" customHeight="1" x14ac:dyDescent="0.2">
      <c r="A25" s="16"/>
      <c r="B25" s="17">
        <v>46213</v>
      </c>
      <c r="C25" s="16">
        <v>1539732</v>
      </c>
      <c r="D25" s="16">
        <v>2540544</v>
      </c>
      <c r="E25" s="16">
        <f t="shared" si="0"/>
        <v>-1000812</v>
      </c>
      <c r="F25" s="16">
        <f t="shared" si="1"/>
        <v>-211848913</v>
      </c>
      <c r="G25" s="16"/>
      <c r="H25" s="16">
        <v>394376</v>
      </c>
      <c r="I25" s="16">
        <v>1681376</v>
      </c>
      <c r="J25" s="16">
        <f t="shared" si="2"/>
        <v>-1287000</v>
      </c>
      <c r="K25" s="16">
        <f t="shared" si="3"/>
        <v>-37646222</v>
      </c>
      <c r="L25" s="16"/>
      <c r="M25" s="16">
        <v>2854285</v>
      </c>
      <c r="N25" s="16">
        <v>5899237</v>
      </c>
      <c r="O25" s="16">
        <f t="shared" si="4"/>
        <v>-3044952</v>
      </c>
      <c r="P25" s="16">
        <f t="shared" si="5"/>
        <v>-60808803</v>
      </c>
      <c r="Q25" s="16"/>
      <c r="R25" s="16">
        <v>2378277</v>
      </c>
      <c r="S25" s="16">
        <v>3406877</v>
      </c>
      <c r="T25" s="16">
        <f t="shared" si="6"/>
        <v>-1028600</v>
      </c>
      <c r="U25" s="16">
        <f t="shared" si="7"/>
        <v>-77450644</v>
      </c>
      <c r="V25" s="16"/>
    </row>
    <row r="26" spans="1:22" s="2" customFormat="1" ht="16" customHeight="1" x14ac:dyDescent="0.2">
      <c r="A26" s="16"/>
      <c r="B26" s="17">
        <v>46212</v>
      </c>
      <c r="C26" s="16">
        <v>1608529</v>
      </c>
      <c r="D26" s="16">
        <v>797665</v>
      </c>
      <c r="E26" s="16">
        <f t="shared" si="0"/>
        <v>810864</v>
      </c>
      <c r="F26" s="16">
        <f t="shared" si="1"/>
        <v>-210848101</v>
      </c>
      <c r="G26" s="16">
        <v>318010870</v>
      </c>
      <c r="H26" s="16">
        <v>160901</v>
      </c>
      <c r="I26" s="16">
        <v>364600</v>
      </c>
      <c r="J26" s="16">
        <f t="shared" si="2"/>
        <v>-203699</v>
      </c>
      <c r="K26" s="16">
        <f t="shared" si="3"/>
        <v>-36359222</v>
      </c>
      <c r="L26" s="16">
        <v>34500229</v>
      </c>
      <c r="M26" s="16">
        <v>291000</v>
      </c>
      <c r="N26" s="16">
        <v>2793200</v>
      </c>
      <c r="O26" s="16">
        <f t="shared" si="4"/>
        <v>-2502200</v>
      </c>
      <c r="P26" s="16">
        <f t="shared" si="5"/>
        <v>-57763851</v>
      </c>
      <c r="Q26" s="16">
        <v>480488073</v>
      </c>
      <c r="R26" s="16">
        <v>770115</v>
      </c>
      <c r="S26" s="16">
        <v>3466400</v>
      </c>
      <c r="T26" s="16">
        <f t="shared" si="6"/>
        <v>-2696285</v>
      </c>
      <c r="U26" s="16">
        <f t="shared" si="7"/>
        <v>-76422044</v>
      </c>
      <c r="V26" s="16">
        <v>70436637</v>
      </c>
    </row>
    <row r="27" spans="1:22" s="2" customFormat="1" ht="16" customHeight="1" x14ac:dyDescent="0.2">
      <c r="A27" s="16"/>
      <c r="B27" s="17">
        <v>46211</v>
      </c>
      <c r="C27" s="16">
        <v>1494500</v>
      </c>
      <c r="D27" s="16">
        <v>149178</v>
      </c>
      <c r="E27" s="16">
        <f t="shared" si="0"/>
        <v>1345322</v>
      </c>
      <c r="F27" s="16">
        <f t="shared" si="1"/>
        <v>-211658965</v>
      </c>
      <c r="G27" s="16">
        <v>318834334</v>
      </c>
      <c r="H27" s="16">
        <v>294100</v>
      </c>
      <c r="I27" s="16">
        <v>2094600</v>
      </c>
      <c r="J27" s="16">
        <f t="shared" si="2"/>
        <v>-1800500</v>
      </c>
      <c r="K27" s="16">
        <f t="shared" si="3"/>
        <v>-36155523</v>
      </c>
      <c r="L27" s="16">
        <v>34455021</v>
      </c>
      <c r="M27" s="16">
        <v>585000</v>
      </c>
      <c r="N27" s="16">
        <v>5015610</v>
      </c>
      <c r="O27" s="16">
        <f t="shared" si="4"/>
        <v>-4430610</v>
      </c>
      <c r="P27" s="16">
        <f t="shared" si="5"/>
        <v>-55261651</v>
      </c>
      <c r="Q27" s="16">
        <v>479940473</v>
      </c>
      <c r="R27" s="16">
        <v>675010</v>
      </c>
      <c r="S27" s="16">
        <v>3991232</v>
      </c>
      <c r="T27" s="16">
        <f t="shared" si="6"/>
        <v>-3316222</v>
      </c>
      <c r="U27" s="16">
        <f t="shared" si="7"/>
        <v>-73725759</v>
      </c>
      <c r="V27" s="16">
        <v>70411937</v>
      </c>
    </row>
    <row r="28" spans="1:22" s="2" customFormat="1" ht="16" customHeight="1" x14ac:dyDescent="0.2">
      <c r="A28" s="16"/>
      <c r="B28" s="17">
        <v>46210</v>
      </c>
      <c r="C28" s="16">
        <v>2128500</v>
      </c>
      <c r="D28" s="16">
        <v>1546500</v>
      </c>
      <c r="E28" s="16">
        <f t="shared" si="0"/>
        <v>582000</v>
      </c>
      <c r="F28" s="16">
        <f t="shared" si="1"/>
        <v>-213004287</v>
      </c>
      <c r="G28" s="16">
        <v>320045936</v>
      </c>
      <c r="H28" s="16">
        <v>303200</v>
      </c>
      <c r="I28" s="16">
        <v>354008</v>
      </c>
      <c r="J28" s="16">
        <f t="shared" si="2"/>
        <v>-50808</v>
      </c>
      <c r="K28" s="16">
        <f t="shared" si="3"/>
        <v>-34355023</v>
      </c>
      <c r="L28" s="16">
        <v>32301985</v>
      </c>
      <c r="M28" s="16">
        <v>850300</v>
      </c>
      <c r="N28" s="16">
        <v>1409100</v>
      </c>
      <c r="O28" s="16">
        <f t="shared" si="4"/>
        <v>-558800</v>
      </c>
      <c r="P28" s="16">
        <f t="shared" si="5"/>
        <v>-50831041</v>
      </c>
      <c r="Q28" s="16">
        <v>479955573</v>
      </c>
      <c r="R28" s="16">
        <v>2097000</v>
      </c>
      <c r="S28" s="16">
        <v>2121700</v>
      </c>
      <c r="T28" s="16">
        <f t="shared" si="6"/>
        <v>-24700</v>
      </c>
      <c r="U28" s="16">
        <f t="shared" si="7"/>
        <v>-70409537</v>
      </c>
      <c r="V28" s="16">
        <v>70411937</v>
      </c>
    </row>
    <row r="29" spans="1:22" s="2" customFormat="1" ht="16" customHeight="1" x14ac:dyDescent="0.2">
      <c r="A29" s="16"/>
      <c r="B29" s="17">
        <v>46209</v>
      </c>
      <c r="C29" s="16">
        <v>1043100</v>
      </c>
      <c r="D29" s="16">
        <v>1193820</v>
      </c>
      <c r="E29" s="16">
        <f t="shared" si="0"/>
        <v>-150720</v>
      </c>
      <c r="F29" s="16">
        <f t="shared" si="1"/>
        <v>-213586287</v>
      </c>
      <c r="G29" s="16">
        <v>318690414</v>
      </c>
      <c r="H29" s="16">
        <v>571600</v>
      </c>
      <c r="I29" s="16">
        <v>2730236</v>
      </c>
      <c r="J29" s="16">
        <f t="shared" si="2"/>
        <v>-2158636</v>
      </c>
      <c r="K29" s="16">
        <f t="shared" si="3"/>
        <v>-34304215</v>
      </c>
      <c r="L29" s="16">
        <v>28949629</v>
      </c>
      <c r="M29" s="16">
        <v>3141600</v>
      </c>
      <c r="N29" s="16">
        <v>1782021</v>
      </c>
      <c r="O29" s="16">
        <f t="shared" si="4"/>
        <v>1359579</v>
      </c>
      <c r="P29" s="16">
        <f t="shared" si="5"/>
        <v>-50272241</v>
      </c>
      <c r="Q29" s="16">
        <v>479972373</v>
      </c>
      <c r="R29" s="16">
        <v>1266800</v>
      </c>
      <c r="S29" s="16">
        <v>934910</v>
      </c>
      <c r="T29" s="16">
        <f t="shared" si="6"/>
        <v>331890</v>
      </c>
      <c r="U29" s="16">
        <f t="shared" si="7"/>
        <v>-70384837</v>
      </c>
      <c r="V29" s="16">
        <v>67722485</v>
      </c>
    </row>
    <row r="30" spans="1:22" s="2" customFormat="1" ht="16" customHeight="1" x14ac:dyDescent="0.2">
      <c r="A30" s="16"/>
      <c r="B30" s="17">
        <v>46206</v>
      </c>
      <c r="C30" s="16">
        <v>124400</v>
      </c>
      <c r="D30" s="16">
        <v>2080822</v>
      </c>
      <c r="E30" s="16">
        <f t="shared" si="0"/>
        <v>-1956422</v>
      </c>
      <c r="F30" s="16">
        <f t="shared" si="1"/>
        <v>-213435567</v>
      </c>
      <c r="G30" s="16"/>
      <c r="H30" s="16">
        <v>340522</v>
      </c>
      <c r="I30" s="16">
        <v>3701278</v>
      </c>
      <c r="J30" s="16">
        <f t="shared" si="2"/>
        <v>-3360756</v>
      </c>
      <c r="K30" s="16">
        <f t="shared" si="3"/>
        <v>-32145579</v>
      </c>
      <c r="L30" s="16"/>
      <c r="M30" s="16">
        <v>2126200</v>
      </c>
      <c r="N30" s="16">
        <v>684900</v>
      </c>
      <c r="O30" s="16">
        <f t="shared" si="4"/>
        <v>1441300</v>
      </c>
      <c r="P30" s="16">
        <f t="shared" si="5"/>
        <v>-51631820</v>
      </c>
      <c r="Q30" s="16"/>
      <c r="R30" s="16">
        <v>1354078</v>
      </c>
      <c r="S30" s="16">
        <v>4043530</v>
      </c>
      <c r="T30" s="16">
        <f t="shared" si="6"/>
        <v>-2689452</v>
      </c>
      <c r="U30" s="16">
        <f t="shared" si="7"/>
        <v>-70716727</v>
      </c>
      <c r="V30" s="16"/>
    </row>
    <row r="31" spans="1:22" s="2" customFormat="1" ht="16" customHeight="1" x14ac:dyDescent="0.2">
      <c r="A31" s="16"/>
      <c r="B31" s="17">
        <v>46205</v>
      </c>
      <c r="C31" s="16">
        <v>145300</v>
      </c>
      <c r="D31" s="16">
        <v>2587800</v>
      </c>
      <c r="E31" s="16">
        <f t="shared" si="0"/>
        <v>-2442500</v>
      </c>
      <c r="F31" s="16">
        <f t="shared" si="1"/>
        <v>-211479145</v>
      </c>
      <c r="G31" s="16">
        <v>315976051</v>
      </c>
      <c r="H31" s="16">
        <v>1505400</v>
      </c>
      <c r="I31" s="16">
        <v>1220422</v>
      </c>
      <c r="J31" s="16">
        <f t="shared" si="2"/>
        <v>284978</v>
      </c>
      <c r="K31" s="16">
        <f t="shared" si="3"/>
        <v>-28784823</v>
      </c>
      <c r="L31" s="16">
        <v>27943029</v>
      </c>
      <c r="M31" s="16">
        <v>300300</v>
      </c>
      <c r="N31" s="16">
        <v>1300200</v>
      </c>
      <c r="O31" s="16">
        <f t="shared" si="4"/>
        <v>-999900</v>
      </c>
      <c r="P31" s="16">
        <f t="shared" si="5"/>
        <v>-53073120</v>
      </c>
      <c r="Q31" s="16">
        <v>481773052</v>
      </c>
      <c r="R31" s="16">
        <v>556240</v>
      </c>
      <c r="S31" s="16">
        <v>2944220</v>
      </c>
      <c r="T31" s="16">
        <f t="shared" si="6"/>
        <v>-2387980</v>
      </c>
      <c r="U31" s="16">
        <f t="shared" si="7"/>
        <v>-68027275</v>
      </c>
      <c r="V31" s="16">
        <v>65151595</v>
      </c>
    </row>
    <row r="32" spans="1:22" s="2" customFormat="1" ht="16" customHeight="1" x14ac:dyDescent="0.2">
      <c r="A32" s="16"/>
      <c r="B32" s="17">
        <v>46204</v>
      </c>
      <c r="C32" s="16">
        <v>241237</v>
      </c>
      <c r="D32" s="16">
        <v>501300</v>
      </c>
      <c r="E32" s="16">
        <f t="shared" si="0"/>
        <v>-260063</v>
      </c>
      <c r="F32" s="16">
        <f t="shared" si="1"/>
        <v>-209036645</v>
      </c>
      <c r="G32" s="16">
        <v>315976051</v>
      </c>
      <c r="H32" s="16">
        <v>381000</v>
      </c>
      <c r="I32" s="16">
        <v>1387600</v>
      </c>
      <c r="J32" s="16">
        <f t="shared" si="2"/>
        <v>-1006600</v>
      </c>
      <c r="K32" s="16">
        <f t="shared" si="3"/>
        <v>-29069801</v>
      </c>
      <c r="L32" s="16">
        <v>28228007</v>
      </c>
      <c r="M32" s="16">
        <v>13781700</v>
      </c>
      <c r="N32" s="16">
        <v>1968010</v>
      </c>
      <c r="O32" s="16">
        <f t="shared" si="4"/>
        <v>11813690</v>
      </c>
      <c r="P32" s="16">
        <f t="shared" si="5"/>
        <v>-52073220</v>
      </c>
      <c r="Q32" s="16">
        <v>469991952</v>
      </c>
      <c r="R32" s="16">
        <v>1181700</v>
      </c>
      <c r="S32" s="16">
        <v>1696500</v>
      </c>
      <c r="T32" s="16">
        <f t="shared" si="6"/>
        <v>-514800</v>
      </c>
      <c r="U32" s="16">
        <f t="shared" si="7"/>
        <v>-65639295</v>
      </c>
      <c r="V32" s="16">
        <v>64099095</v>
      </c>
    </row>
    <row r="33" spans="1:22" s="2" customFormat="1" ht="16" customHeight="1" x14ac:dyDescent="0.2">
      <c r="A33" s="16"/>
      <c r="B33" s="17">
        <v>46203</v>
      </c>
      <c r="C33" s="16">
        <v>579100</v>
      </c>
      <c r="D33" s="16">
        <v>528500</v>
      </c>
      <c r="E33" s="16">
        <f t="shared" si="0"/>
        <v>50600</v>
      </c>
      <c r="F33" s="16">
        <f t="shared" si="1"/>
        <v>-208776582</v>
      </c>
      <c r="G33" s="16">
        <v>315976051</v>
      </c>
      <c r="H33" s="16">
        <v>669500</v>
      </c>
      <c r="I33" s="16">
        <v>169500</v>
      </c>
      <c r="J33" s="16">
        <f t="shared" si="2"/>
        <v>500000</v>
      </c>
      <c r="K33" s="16">
        <f t="shared" si="3"/>
        <v>-28063201</v>
      </c>
      <c r="L33" s="16">
        <v>28097155</v>
      </c>
      <c r="M33" s="16">
        <v>704200</v>
      </c>
      <c r="N33" s="16">
        <v>12485300</v>
      </c>
      <c r="O33" s="16">
        <f t="shared" si="4"/>
        <v>-11781100</v>
      </c>
      <c r="P33" s="16">
        <f t="shared" si="5"/>
        <v>-63886910</v>
      </c>
      <c r="Q33" s="16">
        <v>480359681</v>
      </c>
      <c r="R33" s="16">
        <v>1172300</v>
      </c>
      <c r="S33" s="16">
        <v>2224800</v>
      </c>
      <c r="T33" s="16">
        <f t="shared" si="6"/>
        <v>-1052500</v>
      </c>
      <c r="U33" s="16">
        <f t="shared" si="7"/>
        <v>-65124495</v>
      </c>
      <c r="V33" s="16">
        <v>62882105</v>
      </c>
    </row>
    <row r="34" spans="1:22" s="2" customFormat="1" ht="16" customHeight="1" x14ac:dyDescent="0.2">
      <c r="A34" s="16"/>
      <c r="B34" s="17">
        <v>46202</v>
      </c>
      <c r="C34" s="16">
        <v>1174510</v>
      </c>
      <c r="D34" s="16">
        <v>432790</v>
      </c>
      <c r="E34" s="16">
        <f t="shared" si="0"/>
        <v>741720</v>
      </c>
      <c r="F34" s="16">
        <f t="shared" si="1"/>
        <v>-208827182</v>
      </c>
      <c r="G34" s="16">
        <v>316026651</v>
      </c>
      <c r="H34" s="16">
        <v>2394300</v>
      </c>
      <c r="I34" s="16">
        <v>2525152</v>
      </c>
      <c r="J34" s="16">
        <f t="shared" si="2"/>
        <v>-130852</v>
      </c>
      <c r="K34" s="16">
        <f t="shared" si="3"/>
        <v>-28563201</v>
      </c>
      <c r="L34" s="16">
        <v>28448055</v>
      </c>
      <c r="M34" s="16">
        <v>1406500</v>
      </c>
      <c r="N34" s="16">
        <v>2852461</v>
      </c>
      <c r="O34" s="16">
        <f t="shared" si="4"/>
        <v>-1445961</v>
      </c>
      <c r="P34" s="16">
        <f t="shared" si="5"/>
        <v>-52105810</v>
      </c>
      <c r="Q34" s="16">
        <v>480359681</v>
      </c>
      <c r="R34" s="16">
        <v>822910</v>
      </c>
      <c r="S34" s="16">
        <v>2039900</v>
      </c>
      <c r="T34" s="16">
        <f t="shared" si="6"/>
        <v>-1216990</v>
      </c>
      <c r="U34" s="16">
        <f t="shared" si="7"/>
        <v>-64071995</v>
      </c>
      <c r="V34" s="16">
        <v>62316106</v>
      </c>
    </row>
    <row r="35" spans="1:22" s="2" customFormat="1" ht="16" customHeight="1" x14ac:dyDescent="0.2">
      <c r="A35" s="16"/>
      <c r="B35" s="15">
        <v>46199</v>
      </c>
      <c r="C35" s="14">
        <v>3266900</v>
      </c>
      <c r="D35" s="14">
        <v>264400</v>
      </c>
      <c r="E35" s="16">
        <f t="shared" si="0"/>
        <v>3002500</v>
      </c>
      <c r="F35" s="14">
        <f t="shared" si="1"/>
        <v>-209568902</v>
      </c>
      <c r="G35" s="14"/>
      <c r="H35" s="14">
        <v>350200</v>
      </c>
      <c r="I35" s="14">
        <v>499300</v>
      </c>
      <c r="J35" s="16">
        <f t="shared" si="2"/>
        <v>-149100</v>
      </c>
      <c r="K35" s="14">
        <f t="shared" si="3"/>
        <v>-28432349</v>
      </c>
      <c r="L35" s="14"/>
      <c r="M35" s="14">
        <v>976700</v>
      </c>
      <c r="N35" s="14">
        <v>825400</v>
      </c>
      <c r="O35" s="16">
        <f t="shared" si="4"/>
        <v>151300</v>
      </c>
      <c r="P35" s="14">
        <f t="shared" si="5"/>
        <v>-50659849</v>
      </c>
      <c r="Q35" s="14"/>
      <c r="R35" s="14">
        <v>1914611</v>
      </c>
      <c r="S35" s="14">
        <v>2480610</v>
      </c>
      <c r="T35" s="16">
        <f t="shared" si="6"/>
        <v>-565999</v>
      </c>
      <c r="U35" s="14">
        <f t="shared" si="7"/>
        <v>-62855005</v>
      </c>
      <c r="V35" s="14"/>
    </row>
    <row r="36" spans="1:22" s="2" customFormat="1" ht="16" customHeight="1" x14ac:dyDescent="0.2">
      <c r="A36" s="16"/>
      <c r="B36" s="15">
        <v>46198</v>
      </c>
      <c r="C36" s="14">
        <v>1504410</v>
      </c>
      <c r="D36" s="14">
        <v>1492500</v>
      </c>
      <c r="E36" s="16">
        <f t="shared" si="0"/>
        <v>11910</v>
      </c>
      <c r="F36" s="14">
        <f t="shared" si="1"/>
        <v>-212571402</v>
      </c>
      <c r="G36" s="14">
        <v>283161151</v>
      </c>
      <c r="H36" s="14">
        <v>103700</v>
      </c>
      <c r="I36" s="14">
        <v>179200</v>
      </c>
      <c r="J36" s="16">
        <f t="shared" si="2"/>
        <v>-75500</v>
      </c>
      <c r="K36" s="14">
        <f t="shared" si="3"/>
        <v>-28283249</v>
      </c>
      <c r="L36" s="14">
        <v>27230644</v>
      </c>
      <c r="M36" s="14">
        <v>651200</v>
      </c>
      <c r="N36" s="14">
        <v>381000</v>
      </c>
      <c r="O36" s="16">
        <f t="shared" si="4"/>
        <v>270200</v>
      </c>
      <c r="P36" s="14">
        <f t="shared" si="5"/>
        <v>-50811149</v>
      </c>
      <c r="Q36" s="14">
        <v>477130826</v>
      </c>
      <c r="R36" s="14">
        <v>5563841</v>
      </c>
      <c r="S36" s="14">
        <v>5312410</v>
      </c>
      <c r="T36" s="16">
        <f t="shared" si="6"/>
        <v>251431</v>
      </c>
      <c r="U36" s="14">
        <f t="shared" si="7"/>
        <v>-62289006</v>
      </c>
      <c r="V36" s="14">
        <v>60163645</v>
      </c>
    </row>
    <row r="37" spans="1:22" x14ac:dyDescent="0.2">
      <c r="A37" s="16"/>
      <c r="B37" s="15">
        <v>46197</v>
      </c>
      <c r="C37" s="14">
        <v>712380</v>
      </c>
      <c r="D37" s="14">
        <v>770851</v>
      </c>
      <c r="E37" s="16">
        <f t="shared" si="0"/>
        <v>-58471</v>
      </c>
      <c r="F37" s="14">
        <f t="shared" si="1"/>
        <v>-212583312</v>
      </c>
      <c r="G37" s="14">
        <v>283181861</v>
      </c>
      <c r="H37" s="14">
        <v>380900</v>
      </c>
      <c r="I37" s="14">
        <v>1528411</v>
      </c>
      <c r="J37" s="16">
        <f t="shared" si="2"/>
        <v>-1147511</v>
      </c>
      <c r="K37" s="14">
        <f t="shared" si="3"/>
        <v>-28207749</v>
      </c>
      <c r="L37" s="14">
        <v>27232544</v>
      </c>
      <c r="M37" s="14">
        <v>608200</v>
      </c>
      <c r="N37" s="14">
        <v>3999555</v>
      </c>
      <c r="O37" s="16">
        <f t="shared" si="4"/>
        <v>-3391355</v>
      </c>
      <c r="P37" s="14">
        <f t="shared" si="5"/>
        <v>-51081349</v>
      </c>
      <c r="Q37" s="14">
        <v>477412726</v>
      </c>
      <c r="R37" s="14">
        <v>3351459</v>
      </c>
      <c r="S37" s="14">
        <v>5503920</v>
      </c>
      <c r="T37" s="16">
        <f t="shared" si="6"/>
        <v>-2152461</v>
      </c>
      <c r="U37" s="14">
        <f t="shared" si="7"/>
        <v>-62540437</v>
      </c>
      <c r="V37" s="14">
        <v>55633786</v>
      </c>
    </row>
    <row r="38" spans="1:22" x14ac:dyDescent="0.2">
      <c r="A38" s="16"/>
      <c r="B38" s="15">
        <v>46196</v>
      </c>
      <c r="C38" s="14">
        <v>4452293</v>
      </c>
      <c r="D38" s="14">
        <v>2871943</v>
      </c>
      <c r="E38" s="16">
        <f t="shared" si="0"/>
        <v>1580350</v>
      </c>
      <c r="F38" s="14">
        <f t="shared" si="1"/>
        <v>-212524841</v>
      </c>
      <c r="G38" s="14">
        <v>281600800</v>
      </c>
      <c r="H38" s="14">
        <v>2089400</v>
      </c>
      <c r="I38" s="14">
        <v>1653526</v>
      </c>
      <c r="J38" s="16">
        <f t="shared" si="2"/>
        <v>435874</v>
      </c>
      <c r="K38" s="14">
        <f t="shared" si="3"/>
        <v>-27060238</v>
      </c>
      <c r="L38" s="14">
        <v>26900398</v>
      </c>
      <c r="M38" s="14">
        <v>4451790</v>
      </c>
      <c r="N38" s="14">
        <v>3653428</v>
      </c>
      <c r="O38" s="16">
        <f t="shared" si="4"/>
        <v>798362</v>
      </c>
      <c r="P38" s="14">
        <f t="shared" si="5"/>
        <v>-47689994</v>
      </c>
      <c r="Q38" s="14">
        <v>475778128</v>
      </c>
      <c r="R38" s="14">
        <v>2671210</v>
      </c>
      <c r="S38" s="14">
        <v>7456000</v>
      </c>
      <c r="T38" s="16">
        <f t="shared" si="6"/>
        <v>-4784790</v>
      </c>
      <c r="U38" s="14">
        <f t="shared" si="7"/>
        <v>-60387976</v>
      </c>
      <c r="V38" s="14">
        <v>54126964</v>
      </c>
    </row>
    <row r="39" spans="1:22" x14ac:dyDescent="0.2">
      <c r="A39" s="16"/>
      <c r="B39" s="15">
        <v>46195</v>
      </c>
      <c r="C39" s="14">
        <v>165361</v>
      </c>
      <c r="D39" s="14">
        <v>1746422</v>
      </c>
      <c r="E39" s="16">
        <f t="shared" si="0"/>
        <v>-1581061</v>
      </c>
      <c r="F39" s="14">
        <f t="shared" si="1"/>
        <v>-214105191</v>
      </c>
      <c r="G39" s="14">
        <v>282100559</v>
      </c>
      <c r="H39" s="14">
        <v>35800</v>
      </c>
      <c r="I39" s="14">
        <v>367946</v>
      </c>
      <c r="J39" s="16">
        <f t="shared" si="2"/>
        <v>-332146</v>
      </c>
      <c r="K39" s="14">
        <f t="shared" si="3"/>
        <v>-27496112</v>
      </c>
      <c r="L39" s="14">
        <v>27064272</v>
      </c>
      <c r="M39" s="14">
        <v>223523</v>
      </c>
      <c r="N39" s="14">
        <v>1858121</v>
      </c>
      <c r="O39" s="16">
        <f t="shared" si="4"/>
        <v>-1634598</v>
      </c>
      <c r="P39" s="14">
        <f t="shared" si="5"/>
        <v>-48488356</v>
      </c>
      <c r="Q39" s="14">
        <v>474057691</v>
      </c>
      <c r="R39" s="14">
        <v>772419</v>
      </c>
      <c r="S39" s="14">
        <v>2279241</v>
      </c>
      <c r="T39" s="16">
        <f t="shared" si="6"/>
        <v>-1506822</v>
      </c>
      <c r="U39" s="14">
        <f t="shared" si="7"/>
        <v>-55603186</v>
      </c>
      <c r="V39" s="14">
        <v>49981907</v>
      </c>
    </row>
    <row r="40" spans="1:22" x14ac:dyDescent="0.2">
      <c r="A40" s="16"/>
      <c r="B40" s="17">
        <v>46192</v>
      </c>
      <c r="C40" s="16">
        <v>146209</v>
      </c>
      <c r="D40" s="16">
        <v>1232100</v>
      </c>
      <c r="E40" s="16">
        <f t="shared" si="0"/>
        <v>-1085891</v>
      </c>
      <c r="F40" s="14">
        <f t="shared" si="1"/>
        <v>-212524130</v>
      </c>
      <c r="G40" s="16"/>
      <c r="H40" s="16">
        <v>30900</v>
      </c>
      <c r="I40" s="16">
        <v>302900</v>
      </c>
      <c r="J40" s="16">
        <f t="shared" si="2"/>
        <v>-272000</v>
      </c>
      <c r="K40" s="16">
        <f t="shared" si="3"/>
        <v>-27163966</v>
      </c>
      <c r="L40" s="16"/>
      <c r="M40" s="16">
        <v>365201</v>
      </c>
      <c r="N40" s="16">
        <v>2887500</v>
      </c>
      <c r="O40" s="16">
        <f t="shared" si="4"/>
        <v>-2522299</v>
      </c>
      <c r="P40" s="16">
        <f t="shared" si="5"/>
        <v>-46853758</v>
      </c>
      <c r="Q40" s="16"/>
      <c r="R40" s="16">
        <v>1716343</v>
      </c>
      <c r="S40" s="16">
        <v>5861400</v>
      </c>
      <c r="T40" s="16">
        <f t="shared" si="6"/>
        <v>-4145057</v>
      </c>
      <c r="U40" s="16">
        <f t="shared" si="7"/>
        <v>-54096364</v>
      </c>
      <c r="V40" s="16"/>
    </row>
    <row r="41" spans="1:22" x14ac:dyDescent="0.2">
      <c r="A41" s="16"/>
      <c r="B41" s="17">
        <v>46191</v>
      </c>
      <c r="C41" s="16">
        <v>2946338</v>
      </c>
      <c r="D41" s="16">
        <v>1927575</v>
      </c>
      <c r="E41" s="16">
        <f t="shared" si="0"/>
        <v>1018763</v>
      </c>
      <c r="F41" s="14">
        <f t="shared" si="1"/>
        <v>-211438239</v>
      </c>
      <c r="G41" s="16">
        <v>282100559</v>
      </c>
      <c r="H41" s="16">
        <v>151800</v>
      </c>
      <c r="I41" s="16">
        <v>3049667</v>
      </c>
      <c r="J41" s="16">
        <f t="shared" si="2"/>
        <v>-2897867</v>
      </c>
      <c r="K41" s="16">
        <f t="shared" si="3"/>
        <v>-26891966</v>
      </c>
      <c r="L41" s="16">
        <v>21880605</v>
      </c>
      <c r="M41" s="16">
        <v>387900</v>
      </c>
      <c r="N41" s="16">
        <v>3918428</v>
      </c>
      <c r="O41" s="16">
        <f t="shared" si="4"/>
        <v>-3530528</v>
      </c>
      <c r="P41" s="16">
        <f t="shared" si="5"/>
        <v>-44331459</v>
      </c>
      <c r="Q41" s="16">
        <v>468326333</v>
      </c>
      <c r="R41" s="16">
        <v>2022680</v>
      </c>
      <c r="S41" s="16">
        <v>7118700</v>
      </c>
      <c r="T41" s="16">
        <f t="shared" si="6"/>
        <v>-5096020</v>
      </c>
      <c r="U41" s="16">
        <f t="shared" si="7"/>
        <v>-49951307</v>
      </c>
      <c r="V41" s="16">
        <v>38817337</v>
      </c>
    </row>
    <row r="42" spans="1:22" x14ac:dyDescent="0.2">
      <c r="A42" s="16"/>
      <c r="B42" s="17">
        <v>46190</v>
      </c>
      <c r="C42" s="16">
        <v>2468902</v>
      </c>
      <c r="D42" s="16">
        <v>809300</v>
      </c>
      <c r="E42" s="16">
        <f t="shared" ref="E42:E73" si="8">C42-D42</f>
        <v>1659602</v>
      </c>
      <c r="F42" s="14">
        <f t="shared" ref="F42:F73" si="9">F43+E42</f>
        <v>-212457002</v>
      </c>
      <c r="G42" s="16">
        <v>282438051</v>
      </c>
      <c r="H42" s="16">
        <v>1376400</v>
      </c>
      <c r="I42" s="16">
        <v>3662200</v>
      </c>
      <c r="J42" s="16">
        <f t="shared" ref="J42:J73" si="10">H42-I42</f>
        <v>-2285800</v>
      </c>
      <c r="K42" s="16">
        <f t="shared" ref="K42:K73" si="11">K43+J42</f>
        <v>-23994099</v>
      </c>
      <c r="L42" s="16">
        <v>20712078</v>
      </c>
      <c r="M42" s="16">
        <v>870700</v>
      </c>
      <c r="N42" s="16">
        <v>3071530</v>
      </c>
      <c r="O42" s="16">
        <f t="shared" ref="O42:O73" si="12">M42-N42</f>
        <v>-2200830</v>
      </c>
      <c r="P42" s="16">
        <f t="shared" ref="P42:P73" si="13">P43+O42</f>
        <v>-40800931</v>
      </c>
      <c r="Q42" s="16">
        <v>465209825</v>
      </c>
      <c r="R42" s="16">
        <v>294150</v>
      </c>
      <c r="S42" s="16">
        <v>6362700</v>
      </c>
      <c r="T42" s="16">
        <f t="shared" ref="T42:T73" si="14">R42-S42</f>
        <v>-6068550</v>
      </c>
      <c r="U42" s="16">
        <f t="shared" ref="U42:U73" si="15">U43+T42</f>
        <v>-44855287</v>
      </c>
      <c r="V42" s="16">
        <v>35900276</v>
      </c>
    </row>
    <row r="43" spans="1:22" x14ac:dyDescent="0.2">
      <c r="A43" s="16"/>
      <c r="B43" s="17">
        <v>46189</v>
      </c>
      <c r="C43" s="16">
        <v>241581</v>
      </c>
      <c r="D43" s="16">
        <v>919652</v>
      </c>
      <c r="E43" s="16">
        <f t="shared" si="8"/>
        <v>-678071</v>
      </c>
      <c r="F43" s="14">
        <f t="shared" si="9"/>
        <v>-214116604</v>
      </c>
      <c r="G43" s="16">
        <v>281259575</v>
      </c>
      <c r="H43" s="16">
        <v>832508</v>
      </c>
      <c r="I43" s="16">
        <v>1989835</v>
      </c>
      <c r="J43" s="16">
        <f t="shared" si="10"/>
        <v>-1157327</v>
      </c>
      <c r="K43" s="16">
        <f t="shared" si="11"/>
        <v>-21708299</v>
      </c>
      <c r="L43" s="16">
        <v>20343054</v>
      </c>
      <c r="M43" s="16">
        <v>1288400</v>
      </c>
      <c r="N43" s="16">
        <v>4401508</v>
      </c>
      <c r="O43" s="16">
        <f t="shared" si="12"/>
        <v>-3113108</v>
      </c>
      <c r="P43" s="16">
        <f t="shared" si="13"/>
        <v>-38600101</v>
      </c>
      <c r="Q43" s="16">
        <v>460728825</v>
      </c>
      <c r="R43" s="16">
        <v>1234639</v>
      </c>
      <c r="S43" s="16">
        <v>4151700</v>
      </c>
      <c r="T43" s="16">
        <f t="shared" si="14"/>
        <v>-2917061</v>
      </c>
      <c r="U43" s="16">
        <f t="shared" si="15"/>
        <v>-38786737</v>
      </c>
      <c r="V43" s="16">
        <v>34516061</v>
      </c>
    </row>
    <row r="44" spans="1:22" x14ac:dyDescent="0.2">
      <c r="A44" s="16"/>
      <c r="B44" s="17">
        <v>46188</v>
      </c>
      <c r="C44" s="16">
        <v>2335672</v>
      </c>
      <c r="D44" s="16">
        <v>5173750</v>
      </c>
      <c r="E44" s="16">
        <f t="shared" si="8"/>
        <v>-2838078</v>
      </c>
      <c r="F44" s="14">
        <f t="shared" si="9"/>
        <v>-213438533</v>
      </c>
      <c r="G44" s="16">
        <v>281242775</v>
      </c>
      <c r="H44" s="16">
        <v>551400</v>
      </c>
      <c r="I44" s="16">
        <v>920424</v>
      </c>
      <c r="J44" s="16">
        <f t="shared" si="10"/>
        <v>-369024</v>
      </c>
      <c r="K44" s="16">
        <f t="shared" si="11"/>
        <v>-20550972</v>
      </c>
      <c r="L44" s="16">
        <v>19916454</v>
      </c>
      <c r="M44" s="16">
        <v>1196900</v>
      </c>
      <c r="N44" s="16">
        <v>5677900</v>
      </c>
      <c r="O44" s="16">
        <f t="shared" si="12"/>
        <v>-4481000</v>
      </c>
      <c r="P44" s="16">
        <f t="shared" si="13"/>
        <v>-35486993</v>
      </c>
      <c r="Q44" s="16">
        <v>458580725</v>
      </c>
      <c r="R44" s="16">
        <v>3855985</v>
      </c>
      <c r="S44" s="16">
        <v>5240200</v>
      </c>
      <c r="T44" s="16">
        <f t="shared" si="14"/>
        <v>-1384215</v>
      </c>
      <c r="U44" s="16">
        <f t="shared" si="15"/>
        <v>-35869676</v>
      </c>
      <c r="V44" s="16">
        <v>34516061</v>
      </c>
    </row>
    <row r="45" spans="1:22" x14ac:dyDescent="0.2">
      <c r="A45" s="16"/>
      <c r="B45" s="15">
        <v>46185</v>
      </c>
      <c r="C45" s="14">
        <v>9384571</v>
      </c>
      <c r="D45" s="14">
        <v>7526951</v>
      </c>
      <c r="E45" s="14">
        <f t="shared" si="8"/>
        <v>1857620</v>
      </c>
      <c r="F45" s="14">
        <f t="shared" si="9"/>
        <v>-210600455</v>
      </c>
      <c r="G45" s="14"/>
      <c r="H45" s="14">
        <v>952800</v>
      </c>
      <c r="I45" s="14">
        <v>1371000</v>
      </c>
      <c r="J45" s="14">
        <f t="shared" si="10"/>
        <v>-418200</v>
      </c>
      <c r="K45" s="14">
        <f t="shared" si="11"/>
        <v>-20181948</v>
      </c>
      <c r="L45" s="14"/>
      <c r="M45" s="14">
        <v>273300</v>
      </c>
      <c r="N45" s="14">
        <v>2396300</v>
      </c>
      <c r="O45" s="14">
        <f t="shared" si="12"/>
        <v>-2123000</v>
      </c>
      <c r="P45" s="14">
        <f t="shared" si="13"/>
        <v>-31005993</v>
      </c>
      <c r="Q45" s="14"/>
      <c r="R45" s="14">
        <v>5268002</v>
      </c>
      <c r="S45" s="14">
        <v>5121658</v>
      </c>
      <c r="T45" s="14">
        <f t="shared" si="14"/>
        <v>146344</v>
      </c>
      <c r="U45" s="14">
        <f t="shared" si="15"/>
        <v>-34485461</v>
      </c>
      <c r="V45" s="14"/>
    </row>
    <row r="46" spans="1:22" x14ac:dyDescent="0.2">
      <c r="A46" s="16"/>
      <c r="B46" s="15">
        <v>46184</v>
      </c>
      <c r="C46" s="14">
        <v>1299415</v>
      </c>
      <c r="D46" s="14">
        <v>1239352</v>
      </c>
      <c r="E46" s="14">
        <f t="shared" si="8"/>
        <v>60063</v>
      </c>
      <c r="F46" s="14">
        <f t="shared" si="9"/>
        <v>-212458075</v>
      </c>
      <c r="G46" s="14">
        <v>282004521</v>
      </c>
      <c r="H46" s="14">
        <v>333708</v>
      </c>
      <c r="I46" s="14">
        <v>492839</v>
      </c>
      <c r="J46" s="14">
        <f t="shared" si="10"/>
        <v>-159131</v>
      </c>
      <c r="K46" s="14">
        <f t="shared" si="11"/>
        <v>-19763748</v>
      </c>
      <c r="L46" s="14">
        <v>19074184</v>
      </c>
      <c r="M46" s="14">
        <v>268100</v>
      </c>
      <c r="N46" s="14">
        <v>1564119</v>
      </c>
      <c r="O46" s="14">
        <f t="shared" si="12"/>
        <v>-1296019</v>
      </c>
      <c r="P46" s="14">
        <f t="shared" si="13"/>
        <v>-28882993</v>
      </c>
      <c r="Q46" s="14">
        <v>454318206</v>
      </c>
      <c r="R46" s="14">
        <v>319538</v>
      </c>
      <c r="S46" s="14">
        <v>1415100</v>
      </c>
      <c r="T46" s="14">
        <f t="shared" si="14"/>
        <v>-1095562</v>
      </c>
      <c r="U46" s="14">
        <f t="shared" si="15"/>
        <v>-34631805</v>
      </c>
      <c r="V46" s="14">
        <v>32665143</v>
      </c>
    </row>
    <row r="47" spans="1:22" x14ac:dyDescent="0.2">
      <c r="A47" s="16"/>
      <c r="B47" s="15">
        <v>46183</v>
      </c>
      <c r="C47" s="14">
        <v>3684826</v>
      </c>
      <c r="D47" s="14">
        <v>4785400</v>
      </c>
      <c r="E47" s="14">
        <f t="shared" si="8"/>
        <v>-1100574</v>
      </c>
      <c r="F47" s="14">
        <f t="shared" si="9"/>
        <v>-212518138</v>
      </c>
      <c r="G47" s="14">
        <v>279765345</v>
      </c>
      <c r="H47" s="14">
        <v>50600</v>
      </c>
      <c r="I47" s="14">
        <v>733739</v>
      </c>
      <c r="J47" s="14">
        <f t="shared" si="10"/>
        <v>-683139</v>
      </c>
      <c r="K47" s="14">
        <f t="shared" si="11"/>
        <v>-19604617</v>
      </c>
      <c r="L47" s="14">
        <v>17428974</v>
      </c>
      <c r="M47" s="14">
        <v>310300</v>
      </c>
      <c r="N47" s="14">
        <v>3280300</v>
      </c>
      <c r="O47" s="14">
        <f t="shared" si="12"/>
        <v>-2970000</v>
      </c>
      <c r="P47" s="14">
        <f t="shared" si="13"/>
        <v>-27586974</v>
      </c>
      <c r="Q47" s="14">
        <v>453129706</v>
      </c>
      <c r="R47" s="14">
        <v>430300</v>
      </c>
      <c r="S47" s="14">
        <v>1332000</v>
      </c>
      <c r="T47" s="14">
        <f t="shared" si="14"/>
        <v>-901700</v>
      </c>
      <c r="U47" s="14">
        <f t="shared" si="15"/>
        <v>-33536243</v>
      </c>
      <c r="V47" s="14">
        <v>29488264</v>
      </c>
    </row>
    <row r="48" spans="1:22" x14ac:dyDescent="0.2">
      <c r="A48" s="16"/>
      <c r="B48" s="15">
        <v>46182</v>
      </c>
      <c r="C48" s="14">
        <v>4513565</v>
      </c>
      <c r="D48" s="14">
        <v>6817504</v>
      </c>
      <c r="E48" s="14">
        <f t="shared" si="8"/>
        <v>-2303939</v>
      </c>
      <c r="F48" s="14">
        <f t="shared" si="9"/>
        <v>-211417564</v>
      </c>
      <c r="G48" s="14">
        <v>279765345</v>
      </c>
      <c r="H48" s="14">
        <v>46400</v>
      </c>
      <c r="I48" s="14">
        <v>1691610</v>
      </c>
      <c r="J48" s="14">
        <f t="shared" si="10"/>
        <v>-1645210</v>
      </c>
      <c r="K48" s="14">
        <f t="shared" si="11"/>
        <v>-18921478</v>
      </c>
      <c r="L48" s="14">
        <v>17139998</v>
      </c>
      <c r="M48" s="14">
        <v>1206300</v>
      </c>
      <c r="N48" s="14">
        <v>2394300</v>
      </c>
      <c r="O48" s="14">
        <f t="shared" si="12"/>
        <v>-1188000</v>
      </c>
      <c r="P48" s="14">
        <f t="shared" si="13"/>
        <v>-24616974</v>
      </c>
      <c r="Q48" s="14">
        <v>450031411</v>
      </c>
      <c r="R48" s="14">
        <v>266021</v>
      </c>
      <c r="S48" s="14">
        <v>3442900</v>
      </c>
      <c r="T48" s="14">
        <f t="shared" si="14"/>
        <v>-3176879</v>
      </c>
      <c r="U48" s="14">
        <f t="shared" si="15"/>
        <v>-32634543</v>
      </c>
      <c r="V48" s="14">
        <v>27460232</v>
      </c>
    </row>
    <row r="49" spans="1:22" x14ac:dyDescent="0.2">
      <c r="A49" s="16"/>
      <c r="B49" s="15">
        <v>46181</v>
      </c>
      <c r="C49" s="14">
        <v>5374277</v>
      </c>
      <c r="D49" s="14">
        <v>1517424</v>
      </c>
      <c r="E49" s="14">
        <f t="shared" si="8"/>
        <v>3856853</v>
      </c>
      <c r="F49" s="14">
        <f t="shared" si="9"/>
        <v>-209113625</v>
      </c>
      <c r="G49" s="14">
        <v>279765345</v>
      </c>
      <c r="H49" s="14">
        <v>77011</v>
      </c>
      <c r="I49" s="14">
        <v>365987</v>
      </c>
      <c r="J49" s="14">
        <f t="shared" si="10"/>
        <v>-288976</v>
      </c>
      <c r="K49" s="14">
        <f t="shared" si="11"/>
        <v>-17276268</v>
      </c>
      <c r="L49" s="14">
        <v>15964698</v>
      </c>
      <c r="M49" s="14">
        <v>670624</v>
      </c>
      <c r="N49" s="14">
        <v>3764919</v>
      </c>
      <c r="O49" s="14">
        <f t="shared" si="12"/>
        <v>-3094295</v>
      </c>
      <c r="P49" s="14">
        <f t="shared" si="13"/>
        <v>-23428974</v>
      </c>
      <c r="Q49" s="14">
        <v>448031111</v>
      </c>
      <c r="R49" s="14">
        <v>139968</v>
      </c>
      <c r="S49" s="14">
        <v>2168000</v>
      </c>
      <c r="T49" s="14">
        <f t="shared" si="14"/>
        <v>-2028032</v>
      </c>
      <c r="U49" s="14">
        <f t="shared" si="15"/>
        <v>-29457664</v>
      </c>
      <c r="V49" s="14">
        <v>26107432</v>
      </c>
    </row>
    <row r="50" spans="1:22" x14ac:dyDescent="0.2">
      <c r="A50" s="16"/>
      <c r="B50" s="15">
        <v>46178</v>
      </c>
      <c r="C50" s="14">
        <v>11000212</v>
      </c>
      <c r="D50" s="14">
        <v>1224900</v>
      </c>
      <c r="E50" s="14">
        <f t="shared" si="8"/>
        <v>9775312</v>
      </c>
      <c r="F50" s="14">
        <f t="shared" si="9"/>
        <v>-212970478</v>
      </c>
      <c r="G50" s="14"/>
      <c r="H50" s="14">
        <v>37600</v>
      </c>
      <c r="I50" s="14">
        <v>1212900</v>
      </c>
      <c r="J50" s="14">
        <f t="shared" si="10"/>
        <v>-1175300</v>
      </c>
      <c r="K50" s="14">
        <f t="shared" si="11"/>
        <v>-16987292</v>
      </c>
      <c r="L50" s="14"/>
      <c r="M50" s="14">
        <v>103600</v>
      </c>
      <c r="N50" s="14">
        <v>2103900</v>
      </c>
      <c r="O50" s="14">
        <f t="shared" si="12"/>
        <v>-2000300</v>
      </c>
      <c r="P50" s="14">
        <f t="shared" si="13"/>
        <v>-20334679</v>
      </c>
      <c r="Q50" s="14"/>
      <c r="R50" s="14">
        <v>60900</v>
      </c>
      <c r="S50" s="14">
        <v>1413700</v>
      </c>
      <c r="T50" s="14">
        <f t="shared" si="14"/>
        <v>-1352800</v>
      </c>
      <c r="U50" s="14">
        <f t="shared" si="15"/>
        <v>-27429632</v>
      </c>
      <c r="V50" s="14"/>
    </row>
    <row r="51" spans="1:22" x14ac:dyDescent="0.2">
      <c r="A51" s="16"/>
      <c r="B51" s="15">
        <v>46177</v>
      </c>
      <c r="C51" s="14">
        <v>27118102</v>
      </c>
      <c r="D51" s="14">
        <v>30530754</v>
      </c>
      <c r="E51" s="14">
        <f t="shared" si="8"/>
        <v>-3412652</v>
      </c>
      <c r="F51" s="14">
        <f t="shared" si="9"/>
        <v>-222745790</v>
      </c>
      <c r="G51" s="14">
        <v>274711941</v>
      </c>
      <c r="H51" s="14">
        <v>249200</v>
      </c>
      <c r="I51" s="14">
        <v>1867632</v>
      </c>
      <c r="J51" s="14">
        <f t="shared" si="10"/>
        <v>-1618432</v>
      </c>
      <c r="K51" s="14">
        <f t="shared" si="11"/>
        <v>-15811992</v>
      </c>
      <c r="L51" s="14">
        <v>14012629</v>
      </c>
      <c r="M51" s="14">
        <v>720500</v>
      </c>
      <c r="N51" s="14">
        <v>3833615</v>
      </c>
      <c r="O51" s="14">
        <f t="shared" si="12"/>
        <v>-3113115</v>
      </c>
      <c r="P51" s="14">
        <f t="shared" si="13"/>
        <v>-18334379</v>
      </c>
      <c r="Q51" s="14">
        <v>441662496</v>
      </c>
      <c r="R51" s="14">
        <v>159700</v>
      </c>
      <c r="S51" s="14">
        <v>2192300</v>
      </c>
      <c r="T51" s="14">
        <f t="shared" si="14"/>
        <v>-2032600</v>
      </c>
      <c r="U51" s="14">
        <f t="shared" si="15"/>
        <v>-26076832</v>
      </c>
      <c r="V51" s="14">
        <v>21430612</v>
      </c>
    </row>
    <row r="52" spans="1:22" x14ac:dyDescent="0.2">
      <c r="A52" s="16"/>
      <c r="B52" s="15">
        <v>46176</v>
      </c>
      <c r="C52" s="14">
        <v>2189300</v>
      </c>
      <c r="D52" s="14">
        <v>17466917</v>
      </c>
      <c r="E52" s="14">
        <f t="shared" si="8"/>
        <v>-15277617</v>
      </c>
      <c r="F52" s="14">
        <f t="shared" si="9"/>
        <v>-219333138</v>
      </c>
      <c r="G52" s="14">
        <v>269925267</v>
      </c>
      <c r="H52" s="14">
        <v>404000</v>
      </c>
      <c r="I52" s="14">
        <v>737637</v>
      </c>
      <c r="J52" s="14">
        <f t="shared" si="10"/>
        <v>-333637</v>
      </c>
      <c r="K52" s="14">
        <f t="shared" si="11"/>
        <v>-14193560</v>
      </c>
      <c r="L52" s="14">
        <v>12531208</v>
      </c>
      <c r="M52" s="14">
        <v>1060600</v>
      </c>
      <c r="N52" s="14">
        <v>4311600</v>
      </c>
      <c r="O52" s="14">
        <f t="shared" si="12"/>
        <v>-3251000</v>
      </c>
      <c r="P52" s="14">
        <f t="shared" si="13"/>
        <v>-15221264</v>
      </c>
      <c r="Q52" s="14">
        <v>437756444</v>
      </c>
      <c r="R52" s="14">
        <v>408180</v>
      </c>
      <c r="S52" s="14">
        <v>3052400</v>
      </c>
      <c r="T52" s="14">
        <f t="shared" si="14"/>
        <v>-2644220</v>
      </c>
      <c r="U52" s="14">
        <f t="shared" si="15"/>
        <v>-24044232</v>
      </c>
      <c r="V52" s="14">
        <v>19485232</v>
      </c>
    </row>
    <row r="53" spans="1:22" x14ac:dyDescent="0.2">
      <c r="A53" s="16"/>
      <c r="B53" s="15">
        <v>46175</v>
      </c>
      <c r="C53" s="14">
        <v>4373650</v>
      </c>
      <c r="D53" s="14">
        <v>9126724</v>
      </c>
      <c r="E53" s="14">
        <f t="shared" si="8"/>
        <v>-4753074</v>
      </c>
      <c r="F53" s="14">
        <f t="shared" si="9"/>
        <v>-204055521</v>
      </c>
      <c r="G53" s="14">
        <v>265524967</v>
      </c>
      <c r="H53" s="14">
        <v>249800</v>
      </c>
      <c r="I53" s="14">
        <v>1714421</v>
      </c>
      <c r="J53" s="14">
        <f t="shared" si="10"/>
        <v>-1464621</v>
      </c>
      <c r="K53" s="14">
        <f t="shared" si="11"/>
        <v>-13859923</v>
      </c>
      <c r="L53" s="14">
        <v>12361042</v>
      </c>
      <c r="M53" s="14">
        <v>861100</v>
      </c>
      <c r="N53" s="14">
        <v>4733552</v>
      </c>
      <c r="O53" s="14">
        <f t="shared" si="12"/>
        <v>-3872452</v>
      </c>
      <c r="P53" s="14">
        <f t="shared" si="13"/>
        <v>-11970264</v>
      </c>
      <c r="Q53" s="14">
        <v>436325544</v>
      </c>
      <c r="R53" s="14">
        <v>114520</v>
      </c>
      <c r="S53" s="14">
        <v>2059900</v>
      </c>
      <c r="T53" s="14">
        <f t="shared" si="14"/>
        <v>-1945380</v>
      </c>
      <c r="U53" s="14">
        <f t="shared" si="15"/>
        <v>-21400012</v>
      </c>
      <c r="V53" s="14">
        <v>18888377</v>
      </c>
    </row>
    <row r="54" spans="1:22" x14ac:dyDescent="0.2">
      <c r="A54" s="16"/>
      <c r="B54" s="15">
        <v>46174</v>
      </c>
      <c r="C54" s="14">
        <v>1736500</v>
      </c>
      <c r="D54" s="14">
        <v>6136800</v>
      </c>
      <c r="E54" s="14">
        <f t="shared" si="8"/>
        <v>-4400300</v>
      </c>
      <c r="F54" s="14">
        <f t="shared" si="9"/>
        <v>-199302447</v>
      </c>
      <c r="G54" s="14">
        <v>262771517</v>
      </c>
      <c r="H54" s="14">
        <v>107200</v>
      </c>
      <c r="I54" s="14">
        <v>277366</v>
      </c>
      <c r="J54" s="14">
        <f t="shared" si="10"/>
        <v>-170166</v>
      </c>
      <c r="K54" s="14">
        <f t="shared" si="11"/>
        <v>-12395302</v>
      </c>
      <c r="L54" s="14">
        <v>11376542</v>
      </c>
      <c r="M54" s="14">
        <v>128100</v>
      </c>
      <c r="N54" s="14">
        <v>1559000</v>
      </c>
      <c r="O54" s="14">
        <f t="shared" si="12"/>
        <v>-1430900</v>
      </c>
      <c r="P54" s="14">
        <f t="shared" si="13"/>
        <v>-8097812</v>
      </c>
      <c r="Q54" s="14">
        <v>433694323</v>
      </c>
      <c r="R54" s="14">
        <v>137845</v>
      </c>
      <c r="S54" s="14">
        <v>734700</v>
      </c>
      <c r="T54" s="14">
        <f t="shared" si="14"/>
        <v>-596855</v>
      </c>
      <c r="U54" s="14">
        <f t="shared" si="15"/>
        <v>-19454632</v>
      </c>
      <c r="V54" s="14">
        <v>18093762</v>
      </c>
    </row>
    <row r="55" spans="1:22" x14ac:dyDescent="0.2">
      <c r="A55" s="14"/>
      <c r="B55" s="15">
        <v>46171</v>
      </c>
      <c r="C55" s="14">
        <v>1101750</v>
      </c>
      <c r="D55" s="14">
        <v>3842100</v>
      </c>
      <c r="E55" s="14">
        <f t="shared" si="8"/>
        <v>-2740350</v>
      </c>
      <c r="F55" s="14">
        <f t="shared" si="9"/>
        <v>-194902147</v>
      </c>
      <c r="G55" s="14"/>
      <c r="H55" s="14">
        <v>56200</v>
      </c>
      <c r="I55" s="14">
        <v>1030400</v>
      </c>
      <c r="J55" s="14">
        <f t="shared" si="10"/>
        <v>-974200</v>
      </c>
      <c r="K55" s="14">
        <f t="shared" si="11"/>
        <v>-12225136</v>
      </c>
      <c r="L55" s="14"/>
      <c r="M55" s="14">
        <v>352979</v>
      </c>
      <c r="N55" s="14">
        <v>2971100</v>
      </c>
      <c r="O55" s="14">
        <f t="shared" si="12"/>
        <v>-2618121</v>
      </c>
      <c r="P55" s="14">
        <f t="shared" si="13"/>
        <v>-6666912</v>
      </c>
      <c r="Q55" s="14"/>
      <c r="R55" s="14">
        <v>442985</v>
      </c>
      <c r="S55" s="14">
        <v>1234100</v>
      </c>
      <c r="T55" s="14">
        <f t="shared" si="14"/>
        <v>-791115</v>
      </c>
      <c r="U55" s="14">
        <f t="shared" si="15"/>
        <v>-18857777</v>
      </c>
      <c r="V55" s="14"/>
    </row>
    <row r="56" spans="1:22" x14ac:dyDescent="0.2">
      <c r="A56" s="14"/>
      <c r="B56" s="15">
        <v>46170</v>
      </c>
      <c r="C56" s="14">
        <v>5580882</v>
      </c>
      <c r="D56" s="14">
        <v>1219937</v>
      </c>
      <c r="E56" s="14">
        <f t="shared" si="8"/>
        <v>4360945</v>
      </c>
      <c r="F56" s="14">
        <f t="shared" si="9"/>
        <v>-192161797</v>
      </c>
      <c r="G56" s="14">
        <v>262743517</v>
      </c>
      <c r="H56" s="14">
        <v>280100</v>
      </c>
      <c r="I56" s="14">
        <v>642963</v>
      </c>
      <c r="J56" s="14">
        <f t="shared" si="10"/>
        <v>-362863</v>
      </c>
      <c r="K56" s="14">
        <f t="shared" si="11"/>
        <v>-11250936</v>
      </c>
      <c r="L56" s="14">
        <v>10530779</v>
      </c>
      <c r="M56" s="14">
        <v>628500</v>
      </c>
      <c r="N56" s="14">
        <v>1447473</v>
      </c>
      <c r="O56" s="14">
        <f t="shared" si="12"/>
        <v>-818973</v>
      </c>
      <c r="P56" s="14">
        <f t="shared" si="13"/>
        <v>-4048791</v>
      </c>
      <c r="Q56" s="14">
        <v>432847350</v>
      </c>
      <c r="R56" s="14">
        <v>116365</v>
      </c>
      <c r="S56" s="14">
        <v>1172747</v>
      </c>
      <c r="T56" s="14">
        <f t="shared" si="14"/>
        <v>-1056382</v>
      </c>
      <c r="U56" s="14">
        <f t="shared" si="15"/>
        <v>-18066662</v>
      </c>
      <c r="V56" s="14">
        <v>15976882</v>
      </c>
    </row>
    <row r="57" spans="1:22" x14ac:dyDescent="0.2">
      <c r="A57" s="14"/>
      <c r="B57" s="15">
        <v>46169</v>
      </c>
      <c r="C57" s="14">
        <v>8552865</v>
      </c>
      <c r="D57" s="14">
        <v>6122069</v>
      </c>
      <c r="E57" s="14">
        <f t="shared" si="8"/>
        <v>2430796</v>
      </c>
      <c r="F57" s="14">
        <f t="shared" si="9"/>
        <v>-196522742</v>
      </c>
      <c r="G57" s="14">
        <v>267104462</v>
      </c>
      <c r="H57" s="14">
        <v>1376300</v>
      </c>
      <c r="I57" s="14">
        <v>1845200</v>
      </c>
      <c r="J57" s="14">
        <f t="shared" si="10"/>
        <v>-468900</v>
      </c>
      <c r="K57" s="14">
        <f t="shared" si="11"/>
        <v>-10888073</v>
      </c>
      <c r="L57" s="14">
        <v>9396300</v>
      </c>
      <c r="M57" s="14">
        <v>1654420</v>
      </c>
      <c r="N57" s="14">
        <v>423200</v>
      </c>
      <c r="O57" s="14">
        <f t="shared" si="12"/>
        <v>1231220</v>
      </c>
      <c r="P57" s="14">
        <f t="shared" si="13"/>
        <v>-3229818</v>
      </c>
      <c r="Q57" s="14">
        <v>432847350</v>
      </c>
      <c r="R57" s="14">
        <v>1766051</v>
      </c>
      <c r="S57" s="14">
        <v>2826549</v>
      </c>
      <c r="T57" s="14">
        <f t="shared" si="14"/>
        <v>-1060498</v>
      </c>
      <c r="U57" s="14">
        <f t="shared" si="15"/>
        <v>-17010280</v>
      </c>
      <c r="V57" s="14">
        <v>15940882</v>
      </c>
    </row>
    <row r="58" spans="1:22" x14ac:dyDescent="0.2">
      <c r="A58" s="14"/>
      <c r="B58" s="15">
        <v>46168</v>
      </c>
      <c r="C58" s="14">
        <v>7772508</v>
      </c>
      <c r="D58" s="14">
        <v>5754497</v>
      </c>
      <c r="E58" s="14">
        <f t="shared" si="8"/>
        <v>2018011</v>
      </c>
      <c r="F58" s="14">
        <f t="shared" si="9"/>
        <v>-198953538</v>
      </c>
      <c r="G58" s="14">
        <v>263716978</v>
      </c>
      <c r="H58" s="14">
        <v>581700</v>
      </c>
      <c r="I58" s="14">
        <v>1716179</v>
      </c>
      <c r="J58" s="14">
        <f t="shared" si="10"/>
        <v>-1134479</v>
      </c>
      <c r="K58" s="14">
        <f t="shared" si="11"/>
        <v>-10419173</v>
      </c>
      <c r="L58" s="14">
        <v>9396300</v>
      </c>
      <c r="M58" s="14">
        <v>1974700</v>
      </c>
      <c r="N58" s="14">
        <v>1241213</v>
      </c>
      <c r="O58" s="14">
        <f t="shared" si="12"/>
        <v>733487</v>
      </c>
      <c r="P58" s="14">
        <f t="shared" si="13"/>
        <v>-4461038</v>
      </c>
      <c r="Q58" s="14">
        <v>433813812</v>
      </c>
      <c r="R58" s="14">
        <v>402300</v>
      </c>
      <c r="S58" s="14">
        <v>438300</v>
      </c>
      <c r="T58" s="14">
        <f t="shared" si="14"/>
        <v>-36000</v>
      </c>
      <c r="U58" s="14">
        <f t="shared" si="15"/>
        <v>-15949782</v>
      </c>
      <c r="V58" s="14">
        <v>15940882</v>
      </c>
    </row>
    <row r="59" spans="1:22" x14ac:dyDescent="0.2">
      <c r="A59" s="14"/>
      <c r="B59" s="15">
        <v>46167</v>
      </c>
      <c r="C59" s="14">
        <v>3674900</v>
      </c>
      <c r="D59" s="14">
        <v>9493180</v>
      </c>
      <c r="E59" s="14">
        <f t="shared" si="8"/>
        <v>-5818280</v>
      </c>
      <c r="F59" s="14">
        <f t="shared" si="9"/>
        <v>-200971549</v>
      </c>
      <c r="G59" s="14">
        <v>265734989</v>
      </c>
      <c r="H59" s="14">
        <v>155000</v>
      </c>
      <c r="I59" s="14">
        <v>136070</v>
      </c>
      <c r="J59" s="14">
        <f t="shared" si="10"/>
        <v>18930</v>
      </c>
      <c r="K59" s="14">
        <f t="shared" si="11"/>
        <v>-9284694</v>
      </c>
      <c r="L59" s="14">
        <v>7826900</v>
      </c>
      <c r="M59" s="14">
        <v>311205</v>
      </c>
      <c r="N59" s="14">
        <v>575963</v>
      </c>
      <c r="O59" s="14">
        <f t="shared" si="12"/>
        <v>-264758</v>
      </c>
      <c r="P59" s="14">
        <f t="shared" si="13"/>
        <v>-5194525</v>
      </c>
      <c r="Q59" s="14">
        <v>433635599</v>
      </c>
      <c r="R59" s="14">
        <v>758285</v>
      </c>
      <c r="S59" s="14">
        <v>661323</v>
      </c>
      <c r="T59" s="14">
        <f t="shared" si="14"/>
        <v>96962</v>
      </c>
      <c r="U59" s="14">
        <f t="shared" si="15"/>
        <v>-15913782</v>
      </c>
      <c r="V59" s="14">
        <v>15286412</v>
      </c>
    </row>
    <row r="60" spans="1:22" x14ac:dyDescent="0.2">
      <c r="A60" s="14">
        <v>1</v>
      </c>
      <c r="B60" s="15">
        <v>46164</v>
      </c>
      <c r="C60" s="14">
        <v>9331049</v>
      </c>
      <c r="D60" s="14">
        <v>6289200</v>
      </c>
      <c r="E60" s="14">
        <f t="shared" si="8"/>
        <v>3041849</v>
      </c>
      <c r="F60" s="14">
        <f t="shared" si="9"/>
        <v>-195153269</v>
      </c>
      <c r="G60" s="14"/>
      <c r="H60" s="14">
        <v>24900</v>
      </c>
      <c r="I60" s="14">
        <v>1594300</v>
      </c>
      <c r="J60" s="14">
        <f t="shared" si="10"/>
        <v>-1569400</v>
      </c>
      <c r="K60" s="14">
        <f t="shared" si="11"/>
        <v>-9303624</v>
      </c>
      <c r="L60" s="14"/>
      <c r="M60" s="14">
        <v>53100</v>
      </c>
      <c r="N60" s="14">
        <v>964800</v>
      </c>
      <c r="O60" s="14">
        <f t="shared" si="12"/>
        <v>-911700</v>
      </c>
      <c r="P60" s="14">
        <f t="shared" si="13"/>
        <v>-4929767</v>
      </c>
      <c r="Q60" s="14"/>
      <c r="R60" s="14">
        <v>104630</v>
      </c>
      <c r="S60" s="14">
        <v>759100</v>
      </c>
      <c r="T60" s="14">
        <f t="shared" si="14"/>
        <v>-654470</v>
      </c>
      <c r="U60" s="14">
        <f t="shared" si="15"/>
        <v>-16010744</v>
      </c>
      <c r="V60" s="14"/>
    </row>
    <row r="61" spans="1:22" x14ac:dyDescent="0.2">
      <c r="A61" s="14">
        <v>2</v>
      </c>
      <c r="B61" s="15">
        <v>46163</v>
      </c>
      <c r="C61" s="14">
        <v>1262684</v>
      </c>
      <c r="D61" s="14">
        <v>7073200</v>
      </c>
      <c r="E61" s="14">
        <f t="shared" si="8"/>
        <v>-5810516</v>
      </c>
      <c r="F61" s="14">
        <f t="shared" si="9"/>
        <v>-198195118</v>
      </c>
      <c r="G61" s="14">
        <v>250134176</v>
      </c>
      <c r="H61" s="14">
        <v>18000</v>
      </c>
      <c r="I61" s="14">
        <v>780600</v>
      </c>
      <c r="J61" s="14">
        <f t="shared" si="10"/>
        <v>-762600</v>
      </c>
      <c r="K61" s="14">
        <f t="shared" si="11"/>
        <v>-7734224</v>
      </c>
      <c r="L61" s="14">
        <v>6953767</v>
      </c>
      <c r="M61" s="14">
        <v>12343700</v>
      </c>
      <c r="N61" s="14">
        <v>1800100</v>
      </c>
      <c r="O61" s="14">
        <f t="shared" si="12"/>
        <v>10543600</v>
      </c>
      <c r="P61" s="14">
        <f t="shared" si="13"/>
        <v>-4018067</v>
      </c>
      <c r="Q61" s="14">
        <v>436542361</v>
      </c>
      <c r="R61" s="14">
        <v>280550</v>
      </c>
      <c r="S61" s="14">
        <v>3294300</v>
      </c>
      <c r="T61" s="14">
        <f t="shared" si="14"/>
        <v>-3013750</v>
      </c>
      <c r="U61" s="14">
        <f t="shared" si="15"/>
        <v>-15356274</v>
      </c>
      <c r="V61" s="14">
        <v>8116645</v>
      </c>
    </row>
    <row r="62" spans="1:22" x14ac:dyDescent="0.2">
      <c r="A62" s="14">
        <v>3</v>
      </c>
      <c r="B62" s="15">
        <v>46162</v>
      </c>
      <c r="C62" s="14">
        <v>1123300</v>
      </c>
      <c r="D62" s="14">
        <v>7388614</v>
      </c>
      <c r="E62" s="14">
        <f t="shared" si="8"/>
        <v>-6265314</v>
      </c>
      <c r="F62" s="14">
        <f t="shared" si="9"/>
        <v>-192384602</v>
      </c>
      <c r="G62" s="14">
        <v>242770437</v>
      </c>
      <c r="H62" s="14">
        <v>309900</v>
      </c>
      <c r="I62" s="14">
        <v>280112</v>
      </c>
      <c r="J62" s="14">
        <f t="shared" si="10"/>
        <v>29788</v>
      </c>
      <c r="K62" s="14">
        <f t="shared" si="11"/>
        <v>-6971624</v>
      </c>
      <c r="L62" s="14">
        <v>6993855</v>
      </c>
      <c r="M62" s="14">
        <v>1359005</v>
      </c>
      <c r="N62" s="14">
        <v>4768750</v>
      </c>
      <c r="O62" s="14">
        <f t="shared" si="12"/>
        <v>-3409745</v>
      </c>
      <c r="P62" s="14">
        <f t="shared" si="13"/>
        <v>-14561667</v>
      </c>
      <c r="Q62" s="14">
        <v>434643314</v>
      </c>
      <c r="R62" s="14">
        <v>1028213</v>
      </c>
      <c r="S62" s="14">
        <v>4141300</v>
      </c>
      <c r="T62" s="14">
        <f t="shared" si="14"/>
        <v>-3113087</v>
      </c>
      <c r="U62" s="14">
        <f t="shared" si="15"/>
        <v>-12342524</v>
      </c>
      <c r="V62" s="14">
        <v>8120045</v>
      </c>
    </row>
    <row r="63" spans="1:22" x14ac:dyDescent="0.2">
      <c r="A63" s="14">
        <v>4</v>
      </c>
      <c r="B63" s="15">
        <v>46161</v>
      </c>
      <c r="C63" s="14">
        <v>716325</v>
      </c>
      <c r="D63" s="14">
        <v>7291657</v>
      </c>
      <c r="E63" s="14">
        <f t="shared" si="8"/>
        <v>-6575332</v>
      </c>
      <c r="F63" s="14">
        <f t="shared" si="9"/>
        <v>-186119288</v>
      </c>
      <c r="G63" s="14">
        <v>242545986</v>
      </c>
      <c r="H63" s="14">
        <v>55500</v>
      </c>
      <c r="I63" s="14">
        <v>184963</v>
      </c>
      <c r="J63" s="14">
        <f t="shared" si="10"/>
        <v>-129463</v>
      </c>
      <c r="K63" s="14">
        <f t="shared" si="11"/>
        <v>-7001412</v>
      </c>
      <c r="L63" s="14">
        <v>6938991</v>
      </c>
      <c r="M63" s="14">
        <v>213905</v>
      </c>
      <c r="N63" s="14">
        <v>4448298</v>
      </c>
      <c r="O63" s="14">
        <f t="shared" si="12"/>
        <v>-4234393</v>
      </c>
      <c r="P63" s="14">
        <f t="shared" si="13"/>
        <v>-11151922</v>
      </c>
      <c r="Q63" s="14">
        <v>431348069</v>
      </c>
      <c r="R63" s="14">
        <v>450199</v>
      </c>
      <c r="S63" s="14">
        <v>1590091</v>
      </c>
      <c r="T63" s="14">
        <f t="shared" si="14"/>
        <v>-1139892</v>
      </c>
      <c r="U63" s="14">
        <f t="shared" si="15"/>
        <v>-9229437</v>
      </c>
      <c r="V63" s="14">
        <v>8120045</v>
      </c>
    </row>
    <row r="64" spans="1:22" x14ac:dyDescent="0.2">
      <c r="A64" s="14">
        <v>5</v>
      </c>
      <c r="B64" s="15">
        <v>46160</v>
      </c>
      <c r="C64" s="14">
        <v>150500</v>
      </c>
      <c r="D64" s="14">
        <v>7534939</v>
      </c>
      <c r="E64" s="14">
        <f t="shared" si="8"/>
        <v>-7384439</v>
      </c>
      <c r="F64" s="14">
        <f t="shared" si="9"/>
        <v>-179543956</v>
      </c>
      <c r="G64" s="14">
        <v>242545986</v>
      </c>
      <c r="H64" s="14">
        <v>219100</v>
      </c>
      <c r="I64" s="14">
        <v>17679</v>
      </c>
      <c r="J64" s="14">
        <f t="shared" si="10"/>
        <v>201421</v>
      </c>
      <c r="K64" s="14">
        <f t="shared" si="11"/>
        <v>-6871949</v>
      </c>
      <c r="L64" s="14">
        <v>6938991</v>
      </c>
      <c r="M64" s="14">
        <v>775100</v>
      </c>
      <c r="N64" s="14">
        <v>2698847</v>
      </c>
      <c r="O64" s="14">
        <f t="shared" si="12"/>
        <v>-1923747</v>
      </c>
      <c r="P64" s="14">
        <f t="shared" si="13"/>
        <v>-6917529</v>
      </c>
      <c r="Q64" s="14">
        <v>431348069</v>
      </c>
      <c r="R64" s="14">
        <v>1147430</v>
      </c>
      <c r="S64" s="14">
        <v>351300</v>
      </c>
      <c r="T64" s="14">
        <f t="shared" si="14"/>
        <v>796130</v>
      </c>
      <c r="U64" s="14">
        <f t="shared" si="15"/>
        <v>-8089545</v>
      </c>
      <c r="V64" s="14">
        <v>8120045</v>
      </c>
    </row>
    <row r="65" spans="1:22" x14ac:dyDescent="0.2">
      <c r="A65" s="14">
        <v>1</v>
      </c>
      <c r="B65" s="15">
        <v>46157</v>
      </c>
      <c r="C65" s="14">
        <v>6063700</v>
      </c>
      <c r="D65" s="14">
        <v>6394551</v>
      </c>
      <c r="E65" s="14">
        <f t="shared" si="8"/>
        <v>-330851</v>
      </c>
      <c r="F65" s="14">
        <f t="shared" si="9"/>
        <v>-172159517</v>
      </c>
      <c r="G65" s="14"/>
      <c r="H65" s="14">
        <v>37978</v>
      </c>
      <c r="I65" s="14">
        <v>92842</v>
      </c>
      <c r="J65" s="14">
        <f t="shared" si="10"/>
        <v>-54864</v>
      </c>
      <c r="K65" s="14">
        <f t="shared" si="11"/>
        <v>-7073370</v>
      </c>
      <c r="L65" s="14"/>
      <c r="M65" s="14">
        <v>1224700</v>
      </c>
      <c r="N65" s="14">
        <v>4626345</v>
      </c>
      <c r="O65" s="14">
        <f t="shared" si="12"/>
        <v>-3401645</v>
      </c>
      <c r="P65" s="14">
        <f t="shared" si="13"/>
        <v>-4993782</v>
      </c>
      <c r="Q65" s="14"/>
      <c r="R65" s="14">
        <v>2155050</v>
      </c>
      <c r="S65" s="14">
        <v>1026500</v>
      </c>
      <c r="T65" s="14">
        <f t="shared" si="14"/>
        <v>1128550</v>
      </c>
      <c r="U65" s="14">
        <f t="shared" si="15"/>
        <v>-8885675</v>
      </c>
      <c r="V65" s="14"/>
    </row>
    <row r="66" spans="1:22" x14ac:dyDescent="0.2">
      <c r="A66" s="14">
        <v>2</v>
      </c>
      <c r="B66" s="15">
        <v>46156</v>
      </c>
      <c r="C66" s="14">
        <v>10349935</v>
      </c>
      <c r="D66" s="14">
        <v>6750315</v>
      </c>
      <c r="E66" s="14">
        <f t="shared" si="8"/>
        <v>3599620</v>
      </c>
      <c r="F66" s="14">
        <f t="shared" si="9"/>
        <v>-171828666</v>
      </c>
      <c r="G66" s="14">
        <v>231083486</v>
      </c>
      <c r="H66" s="14">
        <v>21800</v>
      </c>
      <c r="I66" s="14">
        <v>145400</v>
      </c>
      <c r="J66" s="14">
        <f t="shared" si="10"/>
        <v>-123600</v>
      </c>
      <c r="K66" s="14">
        <f t="shared" si="11"/>
        <v>-7018506</v>
      </c>
      <c r="L66" s="14">
        <v>7025212</v>
      </c>
      <c r="M66" s="14">
        <v>3131100</v>
      </c>
      <c r="N66" s="14">
        <v>923200</v>
      </c>
      <c r="O66" s="14">
        <f t="shared" si="12"/>
        <v>2207900</v>
      </c>
      <c r="P66" s="14">
        <f t="shared" si="13"/>
        <v>-1592137</v>
      </c>
      <c r="Q66" s="14">
        <v>429854769</v>
      </c>
      <c r="R66" s="14">
        <v>360894</v>
      </c>
      <c r="S66" s="14">
        <v>4050780</v>
      </c>
      <c r="T66" s="14">
        <f t="shared" si="14"/>
        <v>-3689886</v>
      </c>
      <c r="U66" s="14">
        <f t="shared" si="15"/>
        <v>-10014225</v>
      </c>
      <c r="V66" s="14">
        <v>5228800</v>
      </c>
    </row>
    <row r="67" spans="1:22" x14ac:dyDescent="0.2">
      <c r="A67" s="14">
        <v>3</v>
      </c>
      <c r="B67" s="15">
        <v>46155</v>
      </c>
      <c r="C67" s="14">
        <v>1684700</v>
      </c>
      <c r="D67" s="14">
        <v>13224500</v>
      </c>
      <c r="E67" s="14">
        <f t="shared" si="8"/>
        <v>-11539800</v>
      </c>
      <c r="F67" s="14">
        <f t="shared" si="9"/>
        <v>-175428286</v>
      </c>
      <c r="G67" s="14">
        <v>229137247</v>
      </c>
      <c r="H67" s="14">
        <v>26000</v>
      </c>
      <c r="I67" s="14">
        <v>22600</v>
      </c>
      <c r="J67" s="14">
        <f t="shared" si="10"/>
        <v>3400</v>
      </c>
      <c r="K67" s="14">
        <f t="shared" si="11"/>
        <v>-6894906</v>
      </c>
      <c r="L67" s="14">
        <v>7020312</v>
      </c>
      <c r="M67" s="14">
        <v>675500</v>
      </c>
      <c r="N67" s="14">
        <v>2255400</v>
      </c>
      <c r="O67" s="14">
        <f t="shared" si="12"/>
        <v>-1579900</v>
      </c>
      <c r="P67" s="14">
        <f t="shared" si="13"/>
        <v>-3800037</v>
      </c>
      <c r="Q67" s="14">
        <v>432212469</v>
      </c>
      <c r="R67" s="14">
        <v>836345</v>
      </c>
      <c r="S67" s="14">
        <v>1962384</v>
      </c>
      <c r="T67" s="14">
        <f t="shared" si="14"/>
        <v>-1126039</v>
      </c>
      <c r="U67" s="14">
        <f t="shared" si="15"/>
        <v>-6324339</v>
      </c>
      <c r="V67" s="14">
        <v>3188700</v>
      </c>
    </row>
    <row r="68" spans="1:22" x14ac:dyDescent="0.2">
      <c r="A68" s="14">
        <v>4</v>
      </c>
      <c r="B68" s="15">
        <v>46154</v>
      </c>
      <c r="C68" s="14">
        <v>115400</v>
      </c>
      <c r="D68" s="14">
        <v>5820259</v>
      </c>
      <c r="E68" s="14">
        <f t="shared" si="8"/>
        <v>-5704859</v>
      </c>
      <c r="F68" s="14">
        <f t="shared" si="9"/>
        <v>-163888486</v>
      </c>
      <c r="G68" s="14">
        <v>223420342</v>
      </c>
      <c r="H68" s="14">
        <v>48700</v>
      </c>
      <c r="I68" s="14">
        <v>13095</v>
      </c>
      <c r="J68" s="14">
        <f t="shared" si="10"/>
        <v>35605</v>
      </c>
      <c r="K68" s="14">
        <f t="shared" si="11"/>
        <v>-6898306</v>
      </c>
      <c r="L68" s="14">
        <v>7023712</v>
      </c>
      <c r="M68" s="14">
        <v>2122318</v>
      </c>
      <c r="N68" s="14">
        <v>421860</v>
      </c>
      <c r="O68" s="14">
        <f t="shared" si="12"/>
        <v>1700458</v>
      </c>
      <c r="P68" s="14">
        <f t="shared" si="13"/>
        <v>-2220137</v>
      </c>
      <c r="Q68" s="14">
        <v>432212469</v>
      </c>
      <c r="R68" s="14">
        <v>511200</v>
      </c>
      <c r="S68" s="14">
        <v>2551300</v>
      </c>
      <c r="T68" s="14">
        <f t="shared" si="14"/>
        <v>-2040100</v>
      </c>
      <c r="U68" s="14">
        <f t="shared" si="15"/>
        <v>-5198300</v>
      </c>
      <c r="V68" s="14">
        <v>2941600</v>
      </c>
    </row>
    <row r="69" spans="1:22" x14ac:dyDescent="0.2">
      <c r="A69" s="14">
        <v>5</v>
      </c>
      <c r="B69" s="15">
        <v>46153</v>
      </c>
      <c r="C69" s="14">
        <v>658600</v>
      </c>
      <c r="D69" s="14">
        <v>6375505</v>
      </c>
      <c r="E69" s="14">
        <f t="shared" si="8"/>
        <v>-5716905</v>
      </c>
      <c r="F69" s="14">
        <f t="shared" si="9"/>
        <v>-158183627</v>
      </c>
      <c r="G69" s="14">
        <v>217378871</v>
      </c>
      <c r="H69" s="14">
        <v>311900</v>
      </c>
      <c r="I69" s="14">
        <v>288100</v>
      </c>
      <c r="J69" s="14">
        <f t="shared" si="10"/>
        <v>23800</v>
      </c>
      <c r="K69" s="14">
        <f t="shared" si="11"/>
        <v>-6933911</v>
      </c>
      <c r="L69" s="14">
        <v>7008099</v>
      </c>
      <c r="M69" s="14">
        <v>2260903</v>
      </c>
      <c r="N69" s="14">
        <v>1025500</v>
      </c>
      <c r="O69" s="14">
        <f t="shared" si="12"/>
        <v>1235403</v>
      </c>
      <c r="P69" s="14">
        <f t="shared" si="13"/>
        <v>-3920595</v>
      </c>
      <c r="Q69" s="14">
        <v>433912927</v>
      </c>
      <c r="R69" s="14">
        <v>701000</v>
      </c>
      <c r="S69" s="14">
        <v>948100</v>
      </c>
      <c r="T69" s="14">
        <f t="shared" si="14"/>
        <v>-247100</v>
      </c>
      <c r="U69" s="14">
        <f t="shared" si="15"/>
        <v>-3158200</v>
      </c>
      <c r="V69" s="14">
        <v>2547500</v>
      </c>
    </row>
    <row r="70" spans="1:22" x14ac:dyDescent="0.2">
      <c r="A70" s="14">
        <v>6</v>
      </c>
      <c r="B70" s="15">
        <v>46150</v>
      </c>
      <c r="C70" s="14">
        <v>1803650</v>
      </c>
      <c r="D70" s="14">
        <v>7845121</v>
      </c>
      <c r="E70" s="14">
        <f t="shared" si="8"/>
        <v>-6041471</v>
      </c>
      <c r="F70" s="14">
        <f t="shared" si="9"/>
        <v>-152466722</v>
      </c>
      <c r="G70" s="14">
        <v>204449429</v>
      </c>
      <c r="H70" s="14">
        <v>9900</v>
      </c>
      <c r="I70" s="14">
        <v>61118</v>
      </c>
      <c r="J70" s="14">
        <f t="shared" si="10"/>
        <v>-51218</v>
      </c>
      <c r="K70" s="14">
        <f t="shared" si="11"/>
        <v>-6957711</v>
      </c>
      <c r="L70" s="14">
        <v>7031899</v>
      </c>
      <c r="M70" s="14">
        <v>2279600</v>
      </c>
      <c r="N70" s="14">
        <v>1246918</v>
      </c>
      <c r="O70" s="14">
        <f t="shared" si="12"/>
        <v>1032682</v>
      </c>
      <c r="P70" s="14">
        <f t="shared" si="13"/>
        <v>-5155998</v>
      </c>
      <c r="Q70" s="14">
        <v>435148330</v>
      </c>
      <c r="R70" s="14">
        <v>1016300</v>
      </c>
      <c r="S70" s="14">
        <v>1410400</v>
      </c>
      <c r="T70" s="14">
        <f t="shared" si="14"/>
        <v>-394100</v>
      </c>
      <c r="U70" s="14">
        <f t="shared" si="15"/>
        <v>-2911100</v>
      </c>
      <c r="V70" s="14">
        <v>1586400</v>
      </c>
    </row>
    <row r="71" spans="1:22" x14ac:dyDescent="0.2">
      <c r="A71" s="14">
        <v>7</v>
      </c>
      <c r="B71" s="15">
        <v>46149</v>
      </c>
      <c r="C71" s="14">
        <v>1900200</v>
      </c>
      <c r="D71" s="14">
        <v>14829642</v>
      </c>
      <c r="E71" s="14">
        <f t="shared" si="8"/>
        <v>-12929442</v>
      </c>
      <c r="F71" s="14">
        <f t="shared" si="9"/>
        <v>-146425251</v>
      </c>
      <c r="G71" s="14">
        <v>195087417</v>
      </c>
      <c r="H71" s="14">
        <v>238250</v>
      </c>
      <c r="I71" s="14">
        <v>177102</v>
      </c>
      <c r="J71" s="14">
        <f t="shared" si="10"/>
        <v>61148</v>
      </c>
      <c r="K71" s="14">
        <f t="shared" si="11"/>
        <v>-6906493</v>
      </c>
      <c r="L71" s="14">
        <v>7031899</v>
      </c>
      <c r="M71" s="14">
        <v>3439200</v>
      </c>
      <c r="N71" s="14">
        <v>2469140</v>
      </c>
      <c r="O71" s="14">
        <f t="shared" si="12"/>
        <v>970060</v>
      </c>
      <c r="P71" s="14">
        <f t="shared" si="13"/>
        <v>-6188680</v>
      </c>
      <c r="Q71" s="14">
        <v>433615317</v>
      </c>
      <c r="R71" s="14">
        <v>382700</v>
      </c>
      <c r="S71" s="14">
        <v>1343800</v>
      </c>
      <c r="T71" s="14">
        <f t="shared" si="14"/>
        <v>-961100</v>
      </c>
      <c r="U71" s="14">
        <f t="shared" si="15"/>
        <v>-2517000</v>
      </c>
      <c r="V71" s="14">
        <v>1016300</v>
      </c>
    </row>
    <row r="72" spans="1:22" x14ac:dyDescent="0.2">
      <c r="A72" s="14">
        <v>8</v>
      </c>
      <c r="B72" s="15">
        <v>46148</v>
      </c>
      <c r="C72" s="14">
        <v>2863100</v>
      </c>
      <c r="D72" s="14">
        <v>12225112</v>
      </c>
      <c r="E72" s="14">
        <f t="shared" si="8"/>
        <v>-9362012</v>
      </c>
      <c r="F72" s="14">
        <f t="shared" si="9"/>
        <v>-133495809</v>
      </c>
      <c r="G72" s="14">
        <v>176282427</v>
      </c>
      <c r="H72" s="14">
        <v>39400</v>
      </c>
      <c r="I72" s="14">
        <v>8026</v>
      </c>
      <c r="J72" s="14">
        <f t="shared" si="10"/>
        <v>31374</v>
      </c>
      <c r="K72" s="14">
        <f t="shared" si="11"/>
        <v>-6967641</v>
      </c>
      <c r="L72" s="14">
        <v>6570747</v>
      </c>
      <c r="M72" s="14">
        <v>2763500</v>
      </c>
      <c r="N72" s="14">
        <v>5329195</v>
      </c>
      <c r="O72" s="14">
        <f t="shared" si="12"/>
        <v>-2565695</v>
      </c>
      <c r="P72" s="14">
        <f t="shared" si="13"/>
        <v>-7158740</v>
      </c>
      <c r="Q72" s="14">
        <v>434531727</v>
      </c>
      <c r="R72" s="14">
        <v>161500</v>
      </c>
      <c r="S72" s="14">
        <v>731600</v>
      </c>
      <c r="T72" s="14">
        <f t="shared" si="14"/>
        <v>-570100</v>
      </c>
      <c r="U72" s="14">
        <f t="shared" si="15"/>
        <v>-1555900</v>
      </c>
      <c r="V72" s="14">
        <v>928400</v>
      </c>
    </row>
    <row r="73" spans="1:22" x14ac:dyDescent="0.2">
      <c r="A73" s="14">
        <v>9</v>
      </c>
      <c r="B73" s="15">
        <v>46147</v>
      </c>
      <c r="C73" s="14">
        <v>696910</v>
      </c>
      <c r="D73" s="14">
        <v>19501900</v>
      </c>
      <c r="E73" s="14">
        <f t="shared" si="8"/>
        <v>-18804990</v>
      </c>
      <c r="F73" s="14">
        <f t="shared" si="9"/>
        <v>-124133797</v>
      </c>
      <c r="G73" s="14">
        <v>161652832</v>
      </c>
      <c r="H73" s="14">
        <v>16800</v>
      </c>
      <c r="I73" s="14">
        <v>539100</v>
      </c>
      <c r="J73" s="14">
        <f t="shared" si="10"/>
        <v>-522300</v>
      </c>
      <c r="K73" s="14">
        <f t="shared" si="11"/>
        <v>-6999015</v>
      </c>
      <c r="L73" s="14">
        <v>5772021</v>
      </c>
      <c r="M73" s="14">
        <v>2047900</v>
      </c>
      <c r="N73" s="14">
        <v>2101550</v>
      </c>
      <c r="O73" s="14">
        <f t="shared" si="12"/>
        <v>-53650</v>
      </c>
      <c r="P73" s="14">
        <f t="shared" si="13"/>
        <v>-4593045</v>
      </c>
      <c r="Q73" s="14">
        <v>434341107</v>
      </c>
      <c r="R73" s="14">
        <v>12100</v>
      </c>
      <c r="S73" s="14">
        <v>100000</v>
      </c>
      <c r="T73" s="14">
        <f t="shared" si="14"/>
        <v>-87900</v>
      </c>
      <c r="U73" s="14">
        <f t="shared" si="15"/>
        <v>-985800</v>
      </c>
      <c r="V73" s="14">
        <v>161800</v>
      </c>
    </row>
    <row r="74" spans="1:22" x14ac:dyDescent="0.2">
      <c r="A74" s="14">
        <v>10</v>
      </c>
      <c r="B74" s="15">
        <v>46146</v>
      </c>
      <c r="C74" s="14">
        <v>1609700</v>
      </c>
      <c r="D74" s="14">
        <v>16239295</v>
      </c>
      <c r="E74" s="14">
        <f t="shared" ref="E74:E105" si="16">C74-D74</f>
        <v>-14629595</v>
      </c>
      <c r="F74" s="14">
        <f t="shared" ref="F74:F105" si="17">F75+E74</f>
        <v>-105328807</v>
      </c>
      <c r="G74" s="14">
        <v>156988190</v>
      </c>
      <c r="H74" s="14">
        <v>27500</v>
      </c>
      <c r="I74" s="14">
        <v>857600</v>
      </c>
      <c r="J74" s="14">
        <f t="shared" ref="J74:J105" si="18">H74-I74</f>
        <v>-830100</v>
      </c>
      <c r="K74" s="14">
        <f t="shared" ref="K74:K105" si="19">K75+J74</f>
        <v>-6476715</v>
      </c>
      <c r="L74" s="14">
        <v>4478132</v>
      </c>
      <c r="M74" s="14">
        <v>354238</v>
      </c>
      <c r="N74" s="14">
        <v>544858</v>
      </c>
      <c r="O74" s="14">
        <f t="shared" ref="O74:O105" si="20">M74-N74</f>
        <v>-190620</v>
      </c>
      <c r="P74" s="14">
        <f t="shared" ref="P74:P105" si="21">P75+O74</f>
        <v>-4539395</v>
      </c>
      <c r="Q74" s="14">
        <v>432608775</v>
      </c>
      <c r="R74" s="14">
        <v>2169900</v>
      </c>
      <c r="S74" s="14">
        <v>2936500</v>
      </c>
      <c r="T74" s="14">
        <f t="shared" ref="T74:T105" si="22">R74-S74</f>
        <v>-766600</v>
      </c>
      <c r="U74" s="14">
        <f t="shared" ref="U74:U105" si="23">U75+T74</f>
        <v>-897900</v>
      </c>
      <c r="V74" s="14">
        <v>15300</v>
      </c>
    </row>
    <row r="75" spans="1:22" x14ac:dyDescent="0.2">
      <c r="A75" s="14">
        <v>11</v>
      </c>
      <c r="B75" s="15">
        <v>46141</v>
      </c>
      <c r="C75" s="14">
        <v>4643800</v>
      </c>
      <c r="D75" s="14">
        <v>9308442</v>
      </c>
      <c r="E75" s="14">
        <f t="shared" si="16"/>
        <v>-4664642</v>
      </c>
      <c r="F75" s="14">
        <f t="shared" si="17"/>
        <v>-90699212</v>
      </c>
      <c r="G75" s="14">
        <v>154511290</v>
      </c>
      <c r="H75" s="14">
        <v>46800</v>
      </c>
      <c r="I75" s="14">
        <v>1340689</v>
      </c>
      <c r="J75" s="14">
        <f t="shared" si="18"/>
        <v>-1293889</v>
      </c>
      <c r="K75" s="14">
        <f t="shared" si="19"/>
        <v>-5646615</v>
      </c>
      <c r="L75" s="14">
        <v>3602932</v>
      </c>
      <c r="M75" s="14">
        <v>1025600</v>
      </c>
      <c r="N75" s="14">
        <v>2757932</v>
      </c>
      <c r="O75" s="14">
        <f t="shared" si="20"/>
        <v>-1732332</v>
      </c>
      <c r="P75" s="14">
        <f t="shared" si="21"/>
        <v>-4348775</v>
      </c>
      <c r="Q75" s="14">
        <v>430221624</v>
      </c>
      <c r="R75" s="14">
        <v>1140300</v>
      </c>
      <c r="S75" s="14">
        <v>1286800</v>
      </c>
      <c r="T75" s="14">
        <f t="shared" si="22"/>
        <v>-146500</v>
      </c>
      <c r="U75" s="14">
        <f t="shared" si="23"/>
        <v>-131300</v>
      </c>
      <c r="V75" s="14">
        <v>15300</v>
      </c>
    </row>
    <row r="76" spans="1:22" x14ac:dyDescent="0.2">
      <c r="A76" s="14">
        <v>12</v>
      </c>
      <c r="B76" s="15">
        <v>46140</v>
      </c>
      <c r="C76" s="14">
        <v>9425100</v>
      </c>
      <c r="D76" s="14">
        <v>11896500</v>
      </c>
      <c r="E76" s="14">
        <f t="shared" si="16"/>
        <v>-2471400</v>
      </c>
      <c r="F76" s="14">
        <f t="shared" si="17"/>
        <v>-86034570</v>
      </c>
      <c r="G76" s="14">
        <v>142633605</v>
      </c>
      <c r="H76" s="14">
        <v>10700</v>
      </c>
      <c r="I76" s="14">
        <v>885900</v>
      </c>
      <c r="J76" s="14">
        <f t="shared" si="18"/>
        <v>-875200</v>
      </c>
      <c r="K76" s="14">
        <f t="shared" si="19"/>
        <v>-4352726</v>
      </c>
      <c r="L76" s="14">
        <v>3337692</v>
      </c>
      <c r="M76" s="14">
        <v>195557</v>
      </c>
      <c r="N76" s="14">
        <v>2582708</v>
      </c>
      <c r="O76" s="14">
        <f t="shared" si="20"/>
        <v>-2387151</v>
      </c>
      <c r="P76" s="14">
        <f t="shared" si="21"/>
        <v>-2616443</v>
      </c>
      <c r="Q76" s="14">
        <v>428827876</v>
      </c>
      <c r="R76" s="14">
        <v>223200</v>
      </c>
      <c r="S76" s="14">
        <v>215300</v>
      </c>
      <c r="T76" s="14">
        <f t="shared" si="22"/>
        <v>7900</v>
      </c>
      <c r="U76" s="14">
        <f t="shared" si="23"/>
        <v>15200</v>
      </c>
      <c r="V76" s="14">
        <v>15300</v>
      </c>
    </row>
    <row r="77" spans="1:22" x14ac:dyDescent="0.2">
      <c r="A77" s="14">
        <v>13</v>
      </c>
      <c r="B77" s="15">
        <v>46136</v>
      </c>
      <c r="C77" s="14">
        <v>1675618</v>
      </c>
      <c r="D77" s="14">
        <v>13553303</v>
      </c>
      <c r="E77" s="14">
        <f t="shared" si="16"/>
        <v>-11877685</v>
      </c>
      <c r="F77" s="14">
        <f t="shared" si="17"/>
        <v>-83563170</v>
      </c>
      <c r="G77" s="14">
        <v>135153505</v>
      </c>
      <c r="H77" s="14">
        <v>24300</v>
      </c>
      <c r="I77" s="14">
        <v>289540</v>
      </c>
      <c r="J77" s="14">
        <f t="shared" si="18"/>
        <v>-265240</v>
      </c>
      <c r="K77" s="14">
        <f t="shared" si="19"/>
        <v>-3477526</v>
      </c>
      <c r="L77" s="14">
        <v>3123281</v>
      </c>
      <c r="M77" s="14">
        <v>328500</v>
      </c>
      <c r="N77" s="14">
        <v>1722248</v>
      </c>
      <c r="O77" s="14">
        <f t="shared" si="20"/>
        <v>-1393748</v>
      </c>
      <c r="P77" s="14">
        <f t="shared" si="21"/>
        <v>-229292</v>
      </c>
      <c r="Q77" s="14">
        <v>426093176</v>
      </c>
      <c r="R77" s="14">
        <v>1065399</v>
      </c>
      <c r="S77" s="14">
        <v>56300</v>
      </c>
      <c r="T77" s="14">
        <f t="shared" si="22"/>
        <v>1009099</v>
      </c>
      <c r="U77" s="14">
        <f t="shared" si="23"/>
        <v>7300</v>
      </c>
      <c r="V77" s="14">
        <v>23200</v>
      </c>
    </row>
    <row r="78" spans="1:22" x14ac:dyDescent="0.2">
      <c r="A78" s="14">
        <v>14</v>
      </c>
      <c r="B78" s="15">
        <v>46135</v>
      </c>
      <c r="C78" s="14">
        <v>1212100</v>
      </c>
      <c r="D78" s="14">
        <v>8692200</v>
      </c>
      <c r="E78" s="14">
        <f t="shared" si="16"/>
        <v>-7480100</v>
      </c>
      <c r="F78" s="14">
        <f t="shared" si="17"/>
        <v>-71685485</v>
      </c>
      <c r="G78" s="14">
        <v>134181206</v>
      </c>
      <c r="H78" s="14">
        <v>14800</v>
      </c>
      <c r="I78" s="14">
        <v>229211</v>
      </c>
      <c r="J78" s="14">
        <f t="shared" si="18"/>
        <v>-214411</v>
      </c>
      <c r="K78" s="14">
        <f t="shared" si="19"/>
        <v>-3212286</v>
      </c>
      <c r="L78" s="14">
        <v>3041044</v>
      </c>
      <c r="M78" s="14">
        <v>590700</v>
      </c>
      <c r="N78" s="14">
        <v>3325400</v>
      </c>
      <c r="O78" s="14">
        <f t="shared" si="20"/>
        <v>-2734700</v>
      </c>
      <c r="P78" s="14">
        <f t="shared" si="21"/>
        <v>1164456</v>
      </c>
      <c r="Q78" s="14">
        <v>426093176</v>
      </c>
      <c r="R78" s="14">
        <v>1202301</v>
      </c>
      <c r="S78" s="14">
        <v>516500</v>
      </c>
      <c r="T78" s="14">
        <f t="shared" si="22"/>
        <v>685801</v>
      </c>
      <c r="U78" s="14">
        <f t="shared" si="23"/>
        <v>-1001799</v>
      </c>
      <c r="V78" s="14">
        <v>1032299</v>
      </c>
    </row>
    <row r="79" spans="1:22" x14ac:dyDescent="0.2">
      <c r="A79" s="14">
        <v>15</v>
      </c>
      <c r="B79" s="15">
        <v>46134</v>
      </c>
      <c r="C79" s="14">
        <v>2743341</v>
      </c>
      <c r="D79" s="14">
        <v>3715640</v>
      </c>
      <c r="E79" s="14">
        <f t="shared" si="16"/>
        <v>-972299</v>
      </c>
      <c r="F79" s="14">
        <f t="shared" si="17"/>
        <v>-64205385</v>
      </c>
      <c r="G79" s="14">
        <v>131251906</v>
      </c>
      <c r="H79" s="14">
        <v>32108</v>
      </c>
      <c r="I79" s="14">
        <v>114345</v>
      </c>
      <c r="J79" s="14">
        <f t="shared" si="18"/>
        <v>-82237</v>
      </c>
      <c r="K79" s="14">
        <f t="shared" si="19"/>
        <v>-2997875</v>
      </c>
      <c r="L79" s="14">
        <v>2855144</v>
      </c>
      <c r="M79" s="14">
        <v>1719221</v>
      </c>
      <c r="N79" s="14">
        <v>970646</v>
      </c>
      <c r="O79" s="14">
        <f t="shared" si="20"/>
        <v>748575</v>
      </c>
      <c r="P79" s="14">
        <f t="shared" si="21"/>
        <v>3899156</v>
      </c>
      <c r="Q79" s="14">
        <v>425991769</v>
      </c>
      <c r="R79" s="14">
        <v>520000</v>
      </c>
      <c r="S79" s="14">
        <v>100</v>
      </c>
      <c r="T79" s="14">
        <f t="shared" si="22"/>
        <v>519900</v>
      </c>
      <c r="U79" s="14">
        <f t="shared" si="23"/>
        <v>-1687600</v>
      </c>
      <c r="V79" s="14">
        <v>800301</v>
      </c>
    </row>
    <row r="80" spans="1:22" x14ac:dyDescent="0.2">
      <c r="A80" s="14">
        <v>16</v>
      </c>
      <c r="B80" s="15">
        <v>46133</v>
      </c>
      <c r="C80" s="14">
        <v>839600</v>
      </c>
      <c r="D80" s="14">
        <v>3768900</v>
      </c>
      <c r="E80" s="14">
        <f t="shared" si="16"/>
        <v>-2929300</v>
      </c>
      <c r="F80" s="14">
        <f t="shared" si="17"/>
        <v>-63233086</v>
      </c>
      <c r="G80" s="14">
        <v>129676301</v>
      </c>
      <c r="H80" s="14">
        <v>8100</v>
      </c>
      <c r="I80" s="14">
        <v>194000</v>
      </c>
      <c r="J80" s="14">
        <f t="shared" si="18"/>
        <v>-185900</v>
      </c>
      <c r="K80" s="14">
        <f t="shared" si="19"/>
        <v>-2915638</v>
      </c>
      <c r="L80" s="14">
        <v>2868244</v>
      </c>
      <c r="M80" s="14">
        <v>986400</v>
      </c>
      <c r="N80" s="14">
        <v>1087807</v>
      </c>
      <c r="O80" s="14">
        <f t="shared" si="20"/>
        <v>-101407</v>
      </c>
      <c r="P80" s="14">
        <f t="shared" si="21"/>
        <v>3150581</v>
      </c>
      <c r="Q80" s="14">
        <v>421887314</v>
      </c>
      <c r="R80" s="14">
        <v>511501</v>
      </c>
      <c r="S80" s="14">
        <v>1429300</v>
      </c>
      <c r="T80" s="14">
        <f t="shared" si="22"/>
        <v>-917799</v>
      </c>
      <c r="U80" s="14">
        <f t="shared" si="23"/>
        <v>-2207500</v>
      </c>
      <c r="V80" s="14">
        <v>520001</v>
      </c>
    </row>
    <row r="81" spans="1:22" x14ac:dyDescent="0.2">
      <c r="A81" s="14">
        <v>17</v>
      </c>
      <c r="B81" s="15">
        <v>46132</v>
      </c>
      <c r="C81" s="14">
        <v>2266600</v>
      </c>
      <c r="D81" s="14">
        <v>3867605</v>
      </c>
      <c r="E81" s="14">
        <f t="shared" si="16"/>
        <v>-1601005</v>
      </c>
      <c r="F81" s="14">
        <f t="shared" si="17"/>
        <v>-60303786</v>
      </c>
      <c r="G81" s="14">
        <v>128818151</v>
      </c>
      <c r="H81" s="14">
        <v>483901</v>
      </c>
      <c r="I81" s="14">
        <v>24915</v>
      </c>
      <c r="J81" s="14">
        <f t="shared" si="18"/>
        <v>458986</v>
      </c>
      <c r="K81" s="14">
        <f t="shared" si="19"/>
        <v>-2729738</v>
      </c>
      <c r="L81" s="14">
        <v>2868244</v>
      </c>
      <c r="M81" s="14">
        <v>463400</v>
      </c>
      <c r="N81" s="14">
        <v>5348330</v>
      </c>
      <c r="O81" s="14">
        <f t="shared" si="20"/>
        <v>-4884930</v>
      </c>
      <c r="P81" s="14">
        <f t="shared" si="21"/>
        <v>3251988</v>
      </c>
      <c r="Q81" s="14">
        <v>421887314</v>
      </c>
      <c r="R81" s="14">
        <v>1272500</v>
      </c>
      <c r="S81" s="14">
        <v>2072700</v>
      </c>
      <c r="T81" s="14">
        <f t="shared" si="22"/>
        <v>-800200</v>
      </c>
      <c r="U81" s="14">
        <f t="shared" si="23"/>
        <v>-1289701</v>
      </c>
      <c r="V81" s="14">
        <v>520001</v>
      </c>
    </row>
    <row r="82" spans="1:22" x14ac:dyDescent="0.2">
      <c r="A82" s="14">
        <v>18</v>
      </c>
      <c r="B82" s="15">
        <v>46129</v>
      </c>
      <c r="C82" s="14">
        <v>262500</v>
      </c>
      <c r="D82" s="14">
        <v>1120650</v>
      </c>
      <c r="E82" s="14">
        <f t="shared" si="16"/>
        <v>-858150</v>
      </c>
      <c r="F82" s="14">
        <f t="shared" si="17"/>
        <v>-58702781</v>
      </c>
      <c r="G82" s="14">
        <v>128818151</v>
      </c>
      <c r="H82" s="14">
        <v>81100</v>
      </c>
      <c r="I82" s="14">
        <v>6400</v>
      </c>
      <c r="J82" s="14">
        <f t="shared" si="18"/>
        <v>74700</v>
      </c>
      <c r="K82" s="14">
        <f t="shared" si="19"/>
        <v>-3188724</v>
      </c>
      <c r="L82" s="14">
        <v>1980160</v>
      </c>
      <c r="M82" s="14">
        <v>1636437</v>
      </c>
      <c r="N82" s="14">
        <v>1545400</v>
      </c>
      <c r="O82" s="14">
        <f t="shared" si="20"/>
        <v>91037</v>
      </c>
      <c r="P82" s="14">
        <f t="shared" si="21"/>
        <v>8136918</v>
      </c>
      <c r="Q82" s="14">
        <v>421887314</v>
      </c>
      <c r="R82" s="14">
        <v>364200</v>
      </c>
      <c r="S82" s="14">
        <v>265600</v>
      </c>
      <c r="T82" s="14">
        <f t="shared" si="22"/>
        <v>98600</v>
      </c>
      <c r="U82" s="14">
        <f t="shared" si="23"/>
        <v>-489501</v>
      </c>
      <c r="V82" s="14">
        <v>505000</v>
      </c>
    </row>
    <row r="83" spans="1:22" x14ac:dyDescent="0.2">
      <c r="A83" s="14">
        <v>19</v>
      </c>
      <c r="B83" s="15">
        <v>46128</v>
      </c>
      <c r="C83" s="14">
        <v>7580380</v>
      </c>
      <c r="D83" s="14">
        <v>4518000</v>
      </c>
      <c r="E83" s="14">
        <f t="shared" si="16"/>
        <v>3062380</v>
      </c>
      <c r="F83" s="14">
        <f t="shared" si="17"/>
        <v>-57844631</v>
      </c>
      <c r="G83" s="14">
        <v>127566071</v>
      </c>
      <c r="H83" s="14">
        <v>110980</v>
      </c>
      <c r="I83" s="14">
        <v>1458050</v>
      </c>
      <c r="J83" s="14">
        <f t="shared" si="18"/>
        <v>-1347070</v>
      </c>
      <c r="K83" s="14">
        <f t="shared" si="19"/>
        <v>-3263424</v>
      </c>
      <c r="L83" s="14">
        <v>2039180</v>
      </c>
      <c r="M83" s="14">
        <v>3073705</v>
      </c>
      <c r="N83" s="14">
        <v>1471510</v>
      </c>
      <c r="O83" s="14">
        <f t="shared" si="20"/>
        <v>1602195</v>
      </c>
      <c r="P83" s="14">
        <f t="shared" si="21"/>
        <v>8045881</v>
      </c>
      <c r="Q83" s="14">
        <v>421976863</v>
      </c>
      <c r="R83" s="14">
        <v>800</v>
      </c>
      <c r="S83" s="14">
        <v>15801</v>
      </c>
      <c r="T83" s="14">
        <f t="shared" si="22"/>
        <v>-15001</v>
      </c>
      <c r="U83" s="14">
        <f t="shared" si="23"/>
        <v>-588101</v>
      </c>
      <c r="V83" s="14">
        <v>338600</v>
      </c>
    </row>
    <row r="84" spans="1:22" x14ac:dyDescent="0.2">
      <c r="A84" s="14">
        <v>20</v>
      </c>
      <c r="B84" s="15">
        <v>46127</v>
      </c>
      <c r="C84" s="14">
        <v>150020</v>
      </c>
      <c r="D84" s="14">
        <v>1406300</v>
      </c>
      <c r="E84" s="14">
        <f t="shared" si="16"/>
        <v>-1256280</v>
      </c>
      <c r="F84" s="14">
        <f t="shared" si="17"/>
        <v>-60907011</v>
      </c>
      <c r="G84" s="14">
        <v>129846627</v>
      </c>
      <c r="H84" s="14">
        <v>9600</v>
      </c>
      <c r="I84" s="14">
        <v>25280</v>
      </c>
      <c r="J84" s="14">
        <f t="shared" si="18"/>
        <v>-15680</v>
      </c>
      <c r="K84" s="14">
        <f t="shared" si="19"/>
        <v>-1916354</v>
      </c>
      <c r="L84" s="14">
        <v>1043700</v>
      </c>
      <c r="M84" s="14">
        <v>931522</v>
      </c>
      <c r="N84" s="14">
        <v>937410</v>
      </c>
      <c r="O84" s="14">
        <f t="shared" si="20"/>
        <v>-5888</v>
      </c>
      <c r="P84" s="14">
        <f t="shared" si="21"/>
        <v>6443686</v>
      </c>
      <c r="Q84" s="14">
        <v>423532058</v>
      </c>
      <c r="R84" s="14">
        <v>800</v>
      </c>
      <c r="S84" s="14">
        <v>265800</v>
      </c>
      <c r="T84" s="14">
        <f t="shared" si="22"/>
        <v>-265000</v>
      </c>
      <c r="U84" s="14">
        <f t="shared" si="23"/>
        <v>-573100</v>
      </c>
      <c r="V84" s="14">
        <v>800</v>
      </c>
    </row>
    <row r="85" spans="1:22" x14ac:dyDescent="0.2">
      <c r="A85" s="14">
        <v>21</v>
      </c>
      <c r="B85" s="15">
        <v>46126</v>
      </c>
      <c r="C85" s="14">
        <v>1720800</v>
      </c>
      <c r="D85" s="14">
        <v>2491824</v>
      </c>
      <c r="E85" s="14">
        <f t="shared" si="16"/>
        <v>-771024</v>
      </c>
      <c r="F85" s="14">
        <f t="shared" si="17"/>
        <v>-59650731</v>
      </c>
      <c r="G85" s="14">
        <v>129567773</v>
      </c>
      <c r="H85" s="14">
        <v>34720</v>
      </c>
      <c r="I85" s="14">
        <v>1024600</v>
      </c>
      <c r="J85" s="14">
        <f t="shared" si="18"/>
        <v>-989880</v>
      </c>
      <c r="K85" s="14">
        <f t="shared" si="19"/>
        <v>-1900674</v>
      </c>
      <c r="L85" s="14">
        <v>1043700</v>
      </c>
      <c r="M85" s="14">
        <v>1353200</v>
      </c>
      <c r="N85" s="14">
        <v>1388400</v>
      </c>
      <c r="O85" s="14">
        <f t="shared" si="20"/>
        <v>-35200</v>
      </c>
      <c r="P85" s="14">
        <f t="shared" si="21"/>
        <v>6449574</v>
      </c>
      <c r="Q85" s="14">
        <v>421237579</v>
      </c>
      <c r="R85" s="14">
        <v>331900</v>
      </c>
      <c r="S85" s="14">
        <v>669700</v>
      </c>
      <c r="T85" s="14">
        <f t="shared" si="22"/>
        <v>-337800</v>
      </c>
      <c r="U85" s="14">
        <f t="shared" si="23"/>
        <v>-308100</v>
      </c>
      <c r="V85" s="14">
        <v>800</v>
      </c>
    </row>
    <row r="86" spans="1:22" x14ac:dyDescent="0.2">
      <c r="A86" s="14">
        <v>22</v>
      </c>
      <c r="B86" s="15">
        <v>46125</v>
      </c>
      <c r="C86" s="14">
        <v>821420</v>
      </c>
      <c r="D86" s="14">
        <v>1092674</v>
      </c>
      <c r="E86" s="14">
        <f t="shared" si="16"/>
        <v>-271254</v>
      </c>
      <c r="F86" s="14">
        <f t="shared" si="17"/>
        <v>-58879707</v>
      </c>
      <c r="G86" s="14">
        <v>128586473</v>
      </c>
      <c r="H86" s="14">
        <v>911400</v>
      </c>
      <c r="I86" s="14">
        <v>630800</v>
      </c>
      <c r="J86" s="14">
        <f t="shared" si="18"/>
        <v>280600</v>
      </c>
      <c r="K86" s="14">
        <f t="shared" si="19"/>
        <v>-910794</v>
      </c>
      <c r="L86" s="14">
        <v>1043700</v>
      </c>
      <c r="M86" s="14">
        <v>1122532</v>
      </c>
      <c r="N86" s="14">
        <v>3404611</v>
      </c>
      <c r="O86" s="14">
        <f t="shared" si="20"/>
        <v>-2282079</v>
      </c>
      <c r="P86" s="14">
        <f t="shared" si="21"/>
        <v>6484774</v>
      </c>
      <c r="Q86" s="14">
        <v>420000714</v>
      </c>
      <c r="R86" s="14">
        <v>516100</v>
      </c>
      <c r="S86" s="14">
        <v>800</v>
      </c>
      <c r="T86" s="14">
        <f t="shared" si="22"/>
        <v>515300</v>
      </c>
      <c r="U86" s="14">
        <f t="shared" si="23"/>
        <v>29700</v>
      </c>
      <c r="V86" s="14">
        <v>800</v>
      </c>
    </row>
    <row r="87" spans="1:22" x14ac:dyDescent="0.2">
      <c r="A87" s="14">
        <v>23</v>
      </c>
      <c r="B87" s="15">
        <v>46122</v>
      </c>
      <c r="C87" s="14">
        <v>149500</v>
      </c>
      <c r="D87" s="14">
        <v>1130800</v>
      </c>
      <c r="E87" s="14">
        <f t="shared" si="16"/>
        <v>-981300</v>
      </c>
      <c r="F87" s="14">
        <f t="shared" si="17"/>
        <v>-58608453</v>
      </c>
      <c r="G87" s="14">
        <v>128586473</v>
      </c>
      <c r="H87" s="14">
        <v>292700</v>
      </c>
      <c r="I87" s="14">
        <v>61400</v>
      </c>
      <c r="J87" s="14">
        <f t="shared" si="18"/>
        <v>231300</v>
      </c>
      <c r="K87" s="14">
        <f t="shared" si="19"/>
        <v>-1191394</v>
      </c>
      <c r="L87" s="14">
        <v>911500</v>
      </c>
      <c r="M87" s="14">
        <v>1838135</v>
      </c>
      <c r="N87" s="14">
        <v>3075000</v>
      </c>
      <c r="O87" s="14">
        <f t="shared" si="20"/>
        <v>-1236865</v>
      </c>
      <c r="P87" s="14">
        <f t="shared" si="21"/>
        <v>8766853</v>
      </c>
      <c r="Q87" s="14">
        <v>418896864</v>
      </c>
      <c r="R87" s="14">
        <v>6803158</v>
      </c>
      <c r="S87" s="14">
        <v>24300</v>
      </c>
      <c r="T87" s="14">
        <f t="shared" si="22"/>
        <v>6778858</v>
      </c>
      <c r="U87" s="14">
        <f t="shared" si="23"/>
        <v>-485600</v>
      </c>
      <c r="V87" s="14">
        <v>516100</v>
      </c>
    </row>
    <row r="88" spans="1:22" x14ac:dyDescent="0.2">
      <c r="A88" s="14">
        <v>24</v>
      </c>
      <c r="B88" s="15">
        <v>46121</v>
      </c>
      <c r="C88" s="14">
        <v>676500</v>
      </c>
      <c r="D88" s="14">
        <v>194900</v>
      </c>
      <c r="E88" s="14">
        <f t="shared" si="16"/>
        <v>481600</v>
      </c>
      <c r="F88" s="14">
        <f t="shared" si="17"/>
        <v>-57627153</v>
      </c>
      <c r="G88" s="14">
        <v>128586473</v>
      </c>
      <c r="H88" s="14">
        <v>193800</v>
      </c>
      <c r="I88" s="14">
        <v>606600</v>
      </c>
      <c r="J88" s="14">
        <f t="shared" si="18"/>
        <v>-412800</v>
      </c>
      <c r="K88" s="14">
        <f t="shared" si="19"/>
        <v>-1422694</v>
      </c>
      <c r="L88" s="14">
        <v>292700</v>
      </c>
      <c r="M88" s="14">
        <v>1824200</v>
      </c>
      <c r="N88" s="14">
        <v>2928050</v>
      </c>
      <c r="O88" s="14">
        <f t="shared" si="20"/>
        <v>-1103850</v>
      </c>
      <c r="P88" s="14">
        <f t="shared" si="21"/>
        <v>10003718</v>
      </c>
      <c r="Q88" s="14">
        <v>417894732</v>
      </c>
      <c r="R88" s="14">
        <v>2693030</v>
      </c>
      <c r="S88" s="14">
        <v>505000</v>
      </c>
      <c r="T88" s="14">
        <f t="shared" si="22"/>
        <v>2188030</v>
      </c>
      <c r="U88" s="14">
        <f t="shared" si="23"/>
        <v>-7264458</v>
      </c>
      <c r="V88" s="14">
        <v>7294958</v>
      </c>
    </row>
    <row r="89" spans="1:22" x14ac:dyDescent="0.2">
      <c r="A89" s="14">
        <v>25</v>
      </c>
      <c r="B89" s="15">
        <v>46120</v>
      </c>
      <c r="C89" s="14">
        <v>4359120</v>
      </c>
      <c r="D89" s="14">
        <v>821300</v>
      </c>
      <c r="E89" s="14">
        <f t="shared" si="16"/>
        <v>3537820</v>
      </c>
      <c r="F89" s="14">
        <f t="shared" si="17"/>
        <v>-58108753</v>
      </c>
      <c r="G89" s="14">
        <v>125584473</v>
      </c>
      <c r="H89" s="14">
        <v>193600</v>
      </c>
      <c r="I89" s="14">
        <v>1043700</v>
      </c>
      <c r="J89" s="14">
        <f t="shared" si="18"/>
        <v>-850100</v>
      </c>
      <c r="K89" s="14">
        <f t="shared" si="19"/>
        <v>-1009894</v>
      </c>
      <c r="L89" s="14">
        <v>194000</v>
      </c>
      <c r="M89" s="14">
        <v>3573070</v>
      </c>
      <c r="N89" s="14">
        <v>4575202</v>
      </c>
      <c r="O89" s="14">
        <f t="shared" si="20"/>
        <v>-1002132</v>
      </c>
      <c r="P89" s="14">
        <f t="shared" si="21"/>
        <v>11107568</v>
      </c>
      <c r="Q89" s="14">
        <v>417122132</v>
      </c>
      <c r="R89" s="14">
        <v>3700692</v>
      </c>
      <c r="S89" s="14">
        <v>1272800</v>
      </c>
      <c r="T89" s="14">
        <f t="shared" si="22"/>
        <v>2427892</v>
      </c>
      <c r="U89" s="14">
        <f t="shared" si="23"/>
        <v>-9452488</v>
      </c>
      <c r="V89" s="14">
        <v>3264211</v>
      </c>
    </row>
    <row r="90" spans="1:22" x14ac:dyDescent="0.2">
      <c r="A90" s="14">
        <v>26</v>
      </c>
      <c r="B90" s="15">
        <v>46119</v>
      </c>
      <c r="C90" s="14">
        <v>215500</v>
      </c>
      <c r="D90" s="14">
        <v>3699100</v>
      </c>
      <c r="E90" s="14">
        <f t="shared" si="16"/>
        <v>-3483600</v>
      </c>
      <c r="F90" s="14">
        <f t="shared" si="17"/>
        <v>-61646573</v>
      </c>
      <c r="G90" s="14">
        <v>127831995</v>
      </c>
      <c r="H90" s="14">
        <v>31200</v>
      </c>
      <c r="I90" s="14">
        <v>129900</v>
      </c>
      <c r="J90" s="14">
        <f t="shared" si="18"/>
        <v>-98700</v>
      </c>
      <c r="K90" s="14">
        <f t="shared" si="19"/>
        <v>-159794</v>
      </c>
      <c r="L90" s="14">
        <v>194000</v>
      </c>
      <c r="M90" s="14">
        <v>1041100</v>
      </c>
      <c r="N90" s="14">
        <v>1813700</v>
      </c>
      <c r="O90" s="14">
        <f t="shared" si="20"/>
        <v>-772600</v>
      </c>
      <c r="P90" s="14">
        <f t="shared" si="21"/>
        <v>12109700</v>
      </c>
      <c r="Q90" s="14">
        <v>415439132</v>
      </c>
      <c r="R90" s="14">
        <v>1076823</v>
      </c>
      <c r="S90" s="14">
        <v>7295600</v>
      </c>
      <c r="T90" s="14">
        <f t="shared" si="22"/>
        <v>-6218777</v>
      </c>
      <c r="U90" s="14">
        <f t="shared" si="23"/>
        <v>-11880380</v>
      </c>
      <c r="V90" s="14">
        <v>2437992</v>
      </c>
    </row>
    <row r="91" spans="1:22" x14ac:dyDescent="0.2">
      <c r="A91" s="14">
        <v>27</v>
      </c>
      <c r="B91" s="15">
        <v>46118</v>
      </c>
      <c r="C91" s="14">
        <v>447300</v>
      </c>
      <c r="D91" s="14">
        <v>1737598</v>
      </c>
      <c r="E91" s="14">
        <f t="shared" si="16"/>
        <v>-1290298</v>
      </c>
      <c r="F91" s="14">
        <f t="shared" si="17"/>
        <v>-58162973</v>
      </c>
      <c r="G91" s="14">
        <v>127828195</v>
      </c>
      <c r="H91" s="14">
        <v>802400</v>
      </c>
      <c r="I91" s="14">
        <v>98600</v>
      </c>
      <c r="J91" s="14">
        <f t="shared" si="18"/>
        <v>703800</v>
      </c>
      <c r="K91" s="14">
        <f t="shared" si="19"/>
        <v>-61094</v>
      </c>
      <c r="L91" s="14">
        <v>179700</v>
      </c>
      <c r="M91" s="14">
        <v>1429200</v>
      </c>
      <c r="N91" s="14">
        <v>3112200</v>
      </c>
      <c r="O91" s="14">
        <f t="shared" si="20"/>
        <v>-1683000</v>
      </c>
      <c r="P91" s="14">
        <f t="shared" si="21"/>
        <v>12882300</v>
      </c>
      <c r="Q91" s="14">
        <v>408840052</v>
      </c>
      <c r="R91" s="14">
        <v>321103</v>
      </c>
      <c r="S91" s="14">
        <v>3575214</v>
      </c>
      <c r="T91" s="14">
        <f t="shared" si="22"/>
        <v>-3254111</v>
      </c>
      <c r="U91" s="14">
        <f t="shared" si="23"/>
        <v>-5661603</v>
      </c>
      <c r="V91" s="14">
        <v>73324</v>
      </c>
    </row>
    <row r="92" spans="1:22" x14ac:dyDescent="0.2">
      <c r="A92" s="14">
        <v>28</v>
      </c>
      <c r="B92" s="15">
        <v>46115</v>
      </c>
      <c r="C92" s="14">
        <v>5487183</v>
      </c>
      <c r="D92" s="14">
        <v>1514800</v>
      </c>
      <c r="E92" s="14">
        <f t="shared" si="16"/>
        <v>3972383</v>
      </c>
      <c r="F92" s="14">
        <f t="shared" si="17"/>
        <v>-56872675</v>
      </c>
      <c r="G92" s="14">
        <v>127828195</v>
      </c>
      <c r="H92" s="14">
        <v>133900</v>
      </c>
      <c r="I92" s="14">
        <v>146300</v>
      </c>
      <c r="J92" s="14">
        <f t="shared" si="18"/>
        <v>-12400</v>
      </c>
      <c r="K92" s="14">
        <f t="shared" si="19"/>
        <v>-764894</v>
      </c>
      <c r="L92" s="14">
        <v>802700</v>
      </c>
      <c r="M92" s="14">
        <v>2214920</v>
      </c>
      <c r="N92" s="14">
        <v>8805700</v>
      </c>
      <c r="O92" s="14">
        <f t="shared" si="20"/>
        <v>-6590780</v>
      </c>
      <c r="P92" s="14">
        <f t="shared" si="21"/>
        <v>14565300</v>
      </c>
      <c r="Q92" s="14">
        <v>408835852</v>
      </c>
      <c r="R92" s="14">
        <v>3110632</v>
      </c>
      <c r="S92" s="14">
        <v>5475300</v>
      </c>
      <c r="T92" s="14">
        <f t="shared" si="22"/>
        <v>-2364668</v>
      </c>
      <c r="U92" s="14">
        <f t="shared" si="23"/>
        <v>-2407492</v>
      </c>
      <c r="V92" s="14">
        <v>73324</v>
      </c>
    </row>
    <row r="93" spans="1:22" x14ac:dyDescent="0.2">
      <c r="A93" s="14">
        <v>29</v>
      </c>
      <c r="B93" s="15">
        <v>46114</v>
      </c>
      <c r="C93" s="14">
        <v>1182692</v>
      </c>
      <c r="D93" s="14">
        <v>890300</v>
      </c>
      <c r="E93" s="14">
        <f t="shared" si="16"/>
        <v>292392</v>
      </c>
      <c r="F93" s="14">
        <f t="shared" si="17"/>
        <v>-60845058</v>
      </c>
      <c r="G93" s="14">
        <v>131800578</v>
      </c>
      <c r="H93" s="14">
        <v>14400</v>
      </c>
      <c r="I93" s="14">
        <v>95200</v>
      </c>
      <c r="J93" s="14">
        <f t="shared" si="18"/>
        <v>-80800</v>
      </c>
      <c r="K93" s="14">
        <f t="shared" si="19"/>
        <v>-752494</v>
      </c>
      <c r="L93" s="14">
        <v>802700</v>
      </c>
      <c r="M93" s="14">
        <v>1820200</v>
      </c>
      <c r="N93" s="14">
        <v>279400</v>
      </c>
      <c r="O93" s="14">
        <f t="shared" si="20"/>
        <v>1540800</v>
      </c>
      <c r="P93" s="14">
        <f t="shared" si="21"/>
        <v>21156080</v>
      </c>
      <c r="Q93" s="14">
        <v>406940853</v>
      </c>
      <c r="R93" s="14">
        <v>145330</v>
      </c>
      <c r="S93" s="14">
        <v>108300</v>
      </c>
      <c r="T93" s="14">
        <f t="shared" si="22"/>
        <v>37030</v>
      </c>
      <c r="U93" s="14">
        <f t="shared" si="23"/>
        <v>-42824</v>
      </c>
      <c r="V93" s="14">
        <v>10632</v>
      </c>
    </row>
    <row r="94" spans="1:22" x14ac:dyDescent="0.2">
      <c r="A94" s="14">
        <v>30</v>
      </c>
      <c r="B94" s="15">
        <v>46113</v>
      </c>
      <c r="C94" s="14">
        <v>2992800</v>
      </c>
      <c r="D94" s="14">
        <v>2634000</v>
      </c>
      <c r="E94" s="14">
        <f t="shared" si="16"/>
        <v>358800</v>
      </c>
      <c r="F94" s="14">
        <f t="shared" si="17"/>
        <v>-61137450</v>
      </c>
      <c r="G94" s="14">
        <v>129308567</v>
      </c>
      <c r="H94" s="14">
        <v>670700</v>
      </c>
      <c r="I94" s="14">
        <v>438500</v>
      </c>
      <c r="J94" s="14">
        <f t="shared" si="18"/>
        <v>232200</v>
      </c>
      <c r="K94" s="14">
        <f t="shared" si="19"/>
        <v>-671694</v>
      </c>
      <c r="L94" s="14">
        <v>802700</v>
      </c>
      <c r="M94" s="14">
        <v>694001</v>
      </c>
      <c r="N94" s="14">
        <v>2584800</v>
      </c>
      <c r="O94" s="14">
        <f t="shared" si="20"/>
        <v>-1890799</v>
      </c>
      <c r="P94" s="14">
        <f t="shared" si="21"/>
        <v>19615280</v>
      </c>
      <c r="Q94" s="14">
        <v>408485653</v>
      </c>
      <c r="R94" s="14">
        <v>201325</v>
      </c>
      <c r="S94" s="14">
        <v>264017</v>
      </c>
      <c r="T94" s="14">
        <f t="shared" si="22"/>
        <v>-62692</v>
      </c>
      <c r="U94" s="14">
        <f t="shared" si="23"/>
        <v>-79854</v>
      </c>
      <c r="V94" s="14">
        <v>45330</v>
      </c>
    </row>
    <row r="95" spans="1:22" x14ac:dyDescent="0.2">
      <c r="A95" s="14">
        <v>31</v>
      </c>
      <c r="B95" s="15">
        <v>46112</v>
      </c>
      <c r="C95" s="14">
        <v>1899361</v>
      </c>
      <c r="D95" s="14">
        <v>4687464</v>
      </c>
      <c r="E95" s="14">
        <f t="shared" si="16"/>
        <v>-2788103</v>
      </c>
      <c r="F95" s="14">
        <f t="shared" si="17"/>
        <v>-61496250</v>
      </c>
      <c r="G95" s="14">
        <v>129667367</v>
      </c>
      <c r="H95" s="14">
        <v>415000</v>
      </c>
      <c r="I95" s="14">
        <v>130300</v>
      </c>
      <c r="J95" s="14">
        <f t="shared" si="18"/>
        <v>284700</v>
      </c>
      <c r="K95" s="14">
        <f t="shared" si="19"/>
        <v>-903894</v>
      </c>
      <c r="L95" s="14">
        <v>1034900</v>
      </c>
      <c r="M95" s="14">
        <v>4919900</v>
      </c>
      <c r="N95" s="14">
        <v>4146594</v>
      </c>
      <c r="O95" s="14">
        <f t="shared" si="20"/>
        <v>773306</v>
      </c>
      <c r="P95" s="14">
        <f t="shared" si="21"/>
        <v>21506079</v>
      </c>
      <c r="Q95" s="14">
        <v>404330804</v>
      </c>
      <c r="R95" s="14">
        <v>430005</v>
      </c>
      <c r="S95" s="14">
        <v>432337</v>
      </c>
      <c r="T95" s="14">
        <f t="shared" si="22"/>
        <v>-2332</v>
      </c>
      <c r="U95" s="14">
        <f t="shared" si="23"/>
        <v>-17162</v>
      </c>
      <c r="V95" s="14">
        <v>19835</v>
      </c>
    </row>
    <row r="96" spans="1:22" x14ac:dyDescent="0.2">
      <c r="A96" s="14">
        <v>32</v>
      </c>
      <c r="B96" s="15">
        <v>46111</v>
      </c>
      <c r="C96" s="14">
        <v>2141555</v>
      </c>
      <c r="D96" s="14">
        <v>1131700</v>
      </c>
      <c r="E96" s="14">
        <f t="shared" si="16"/>
        <v>1009855</v>
      </c>
      <c r="F96" s="14">
        <f t="shared" si="17"/>
        <v>-58708147</v>
      </c>
      <c r="G96" s="14">
        <v>129667367</v>
      </c>
      <c r="H96" s="14">
        <v>101000</v>
      </c>
      <c r="I96" s="14">
        <v>44800</v>
      </c>
      <c r="J96" s="14">
        <f t="shared" si="18"/>
        <v>56200</v>
      </c>
      <c r="K96" s="14">
        <f t="shared" si="19"/>
        <v>-1188594</v>
      </c>
      <c r="L96" s="14">
        <v>773700</v>
      </c>
      <c r="M96" s="14">
        <v>3367151</v>
      </c>
      <c r="N96" s="14">
        <v>7522000</v>
      </c>
      <c r="O96" s="14">
        <f t="shared" si="20"/>
        <v>-4154849</v>
      </c>
      <c r="P96" s="14">
        <f t="shared" si="21"/>
        <v>20732773</v>
      </c>
      <c r="Q96" s="14">
        <v>405029010</v>
      </c>
      <c r="R96" s="14">
        <v>343205</v>
      </c>
      <c r="S96" s="14">
        <v>368700</v>
      </c>
      <c r="T96" s="14">
        <f t="shared" si="22"/>
        <v>-25495</v>
      </c>
      <c r="U96" s="14">
        <f t="shared" si="23"/>
        <v>-14830</v>
      </c>
      <c r="V96" s="14">
        <v>5</v>
      </c>
    </row>
    <row r="97" spans="1:22" x14ac:dyDescent="0.2">
      <c r="A97" s="14">
        <v>33</v>
      </c>
      <c r="B97" s="15">
        <v>46108</v>
      </c>
      <c r="C97" s="14">
        <v>2361510</v>
      </c>
      <c r="D97" s="14">
        <v>85500</v>
      </c>
      <c r="E97" s="14">
        <f t="shared" si="16"/>
        <v>2276010</v>
      </c>
      <c r="F97" s="14">
        <f t="shared" si="17"/>
        <v>-59718002</v>
      </c>
      <c r="G97" s="14">
        <v>130677222</v>
      </c>
      <c r="H97" s="14">
        <v>260400</v>
      </c>
      <c r="I97" s="14">
        <v>806300</v>
      </c>
      <c r="J97" s="14">
        <f t="shared" si="18"/>
        <v>-545900</v>
      </c>
      <c r="K97" s="14">
        <f t="shared" si="19"/>
        <v>-1244794</v>
      </c>
      <c r="L97" s="14">
        <v>323300</v>
      </c>
      <c r="M97" s="14">
        <v>2405700</v>
      </c>
      <c r="N97" s="14">
        <v>2480800</v>
      </c>
      <c r="O97" s="14">
        <f t="shared" si="20"/>
        <v>-75100</v>
      </c>
      <c r="P97" s="14">
        <f t="shared" si="21"/>
        <v>24887622</v>
      </c>
      <c r="Q97" s="14">
        <v>404190710</v>
      </c>
      <c r="R97" s="14">
        <v>317505</v>
      </c>
      <c r="S97" s="14">
        <v>337335</v>
      </c>
      <c r="T97" s="14">
        <f t="shared" si="22"/>
        <v>-19830</v>
      </c>
      <c r="U97" s="14">
        <f t="shared" si="23"/>
        <v>10665</v>
      </c>
      <c r="V97" s="14">
        <v>5</v>
      </c>
    </row>
    <row r="98" spans="1:22" x14ac:dyDescent="0.2">
      <c r="A98" s="14">
        <v>34</v>
      </c>
      <c r="B98" s="15">
        <v>46107</v>
      </c>
      <c r="C98" s="14">
        <v>3029000</v>
      </c>
      <c r="D98" s="14">
        <v>659800</v>
      </c>
      <c r="E98" s="14">
        <f t="shared" si="16"/>
        <v>2369200</v>
      </c>
      <c r="F98" s="14">
        <f t="shared" si="17"/>
        <v>-61994012</v>
      </c>
      <c r="G98" s="14">
        <v>132953232</v>
      </c>
      <c r="H98" s="14">
        <v>60900</v>
      </c>
      <c r="I98" s="14">
        <v>567500</v>
      </c>
      <c r="J98" s="14">
        <f t="shared" si="18"/>
        <v>-506600</v>
      </c>
      <c r="K98" s="14">
        <f t="shared" si="19"/>
        <v>-698894</v>
      </c>
      <c r="L98" s="14">
        <v>323300</v>
      </c>
      <c r="M98" s="14">
        <v>5156600</v>
      </c>
      <c r="N98" s="14">
        <v>5994900</v>
      </c>
      <c r="O98" s="14">
        <f t="shared" si="20"/>
        <v>-838300</v>
      </c>
      <c r="P98" s="14">
        <f t="shared" si="21"/>
        <v>24962722</v>
      </c>
      <c r="Q98" s="14">
        <v>404190710</v>
      </c>
      <c r="R98" s="14">
        <v>1326544</v>
      </c>
      <c r="S98" s="14">
        <v>1200000</v>
      </c>
      <c r="T98" s="14">
        <f t="shared" si="22"/>
        <v>126544</v>
      </c>
      <c r="U98" s="14">
        <f t="shared" si="23"/>
        <v>30495</v>
      </c>
      <c r="V98" s="14">
        <v>5</v>
      </c>
    </row>
    <row r="99" spans="1:22" x14ac:dyDescent="0.2">
      <c r="A99" s="14">
        <v>35</v>
      </c>
      <c r="B99" s="15">
        <v>46106</v>
      </c>
      <c r="C99" s="14">
        <v>4372605</v>
      </c>
      <c r="D99" s="14">
        <v>2072339</v>
      </c>
      <c r="E99" s="14">
        <f t="shared" si="16"/>
        <v>2300266</v>
      </c>
      <c r="F99" s="14">
        <f t="shared" si="17"/>
        <v>-64363212</v>
      </c>
      <c r="G99" s="14">
        <v>134792511</v>
      </c>
      <c r="H99" s="14">
        <v>2970329</v>
      </c>
      <c r="I99" s="14">
        <v>338500</v>
      </c>
      <c r="J99" s="14">
        <f t="shared" si="18"/>
        <v>2631829</v>
      </c>
      <c r="K99" s="14">
        <f t="shared" si="19"/>
        <v>-192294</v>
      </c>
      <c r="L99" s="14">
        <v>351300</v>
      </c>
      <c r="M99" s="14">
        <v>4316710</v>
      </c>
      <c r="N99" s="14">
        <v>2407252</v>
      </c>
      <c r="O99" s="14">
        <f t="shared" si="20"/>
        <v>1909458</v>
      </c>
      <c r="P99" s="14">
        <f t="shared" si="21"/>
        <v>25801022</v>
      </c>
      <c r="Q99" s="14">
        <v>404241310</v>
      </c>
      <c r="R99" s="14">
        <v>430883</v>
      </c>
      <c r="S99" s="14">
        <v>340774</v>
      </c>
      <c r="T99" s="14">
        <f t="shared" si="22"/>
        <v>90109</v>
      </c>
      <c r="U99" s="14">
        <f t="shared" si="23"/>
        <v>-96049</v>
      </c>
      <c r="V99" s="14">
        <v>126549</v>
      </c>
    </row>
    <row r="100" spans="1:22" x14ac:dyDescent="0.2">
      <c r="A100" s="14">
        <v>36</v>
      </c>
      <c r="B100" s="15">
        <v>46105</v>
      </c>
      <c r="C100" s="14">
        <v>6402306</v>
      </c>
      <c r="D100" s="14">
        <v>6986227</v>
      </c>
      <c r="E100" s="14">
        <f t="shared" si="16"/>
        <v>-583921</v>
      </c>
      <c r="F100" s="14">
        <f t="shared" si="17"/>
        <v>-66663478</v>
      </c>
      <c r="G100" s="14">
        <v>137123477</v>
      </c>
      <c r="H100" s="14">
        <v>196900</v>
      </c>
      <c r="I100" s="14">
        <v>16400</v>
      </c>
      <c r="J100" s="14">
        <f t="shared" si="18"/>
        <v>180500</v>
      </c>
      <c r="K100" s="14">
        <f t="shared" si="19"/>
        <v>-2824123</v>
      </c>
      <c r="L100" s="14">
        <v>2995129</v>
      </c>
      <c r="M100" s="14">
        <v>5383800</v>
      </c>
      <c r="N100" s="14">
        <v>4240774</v>
      </c>
      <c r="O100" s="14">
        <f t="shared" si="20"/>
        <v>1143026</v>
      </c>
      <c r="P100" s="14">
        <f t="shared" si="21"/>
        <v>23891564</v>
      </c>
      <c r="Q100" s="14">
        <v>406167468</v>
      </c>
      <c r="R100" s="14">
        <v>1726865</v>
      </c>
      <c r="S100" s="14">
        <v>1726840</v>
      </c>
      <c r="T100" s="14">
        <f t="shared" si="22"/>
        <v>25</v>
      </c>
      <c r="U100" s="14">
        <f t="shared" si="23"/>
        <v>-186158</v>
      </c>
      <c r="V100" s="14">
        <v>90183</v>
      </c>
    </row>
    <row r="101" spans="1:22" x14ac:dyDescent="0.2">
      <c r="A101" s="14">
        <v>37</v>
      </c>
      <c r="B101" s="15">
        <v>46104</v>
      </c>
      <c r="C101" s="14">
        <v>6429310</v>
      </c>
      <c r="D101" s="14">
        <v>5125300</v>
      </c>
      <c r="E101" s="14">
        <f t="shared" si="16"/>
        <v>1304010</v>
      </c>
      <c r="F101" s="14">
        <f t="shared" si="17"/>
        <v>-66079557</v>
      </c>
      <c r="G101" s="14">
        <v>131300165</v>
      </c>
      <c r="H101" s="14">
        <v>329900</v>
      </c>
      <c r="I101" s="14">
        <v>331900</v>
      </c>
      <c r="J101" s="14">
        <f t="shared" si="18"/>
        <v>-2000</v>
      </c>
      <c r="K101" s="14">
        <f t="shared" si="19"/>
        <v>-3004623</v>
      </c>
      <c r="L101" s="14">
        <v>3175629</v>
      </c>
      <c r="M101" s="14">
        <v>2517000</v>
      </c>
      <c r="N101" s="14">
        <v>2238794</v>
      </c>
      <c r="O101" s="14">
        <f t="shared" si="20"/>
        <v>278206</v>
      </c>
      <c r="P101" s="14">
        <f t="shared" si="21"/>
        <v>22748538</v>
      </c>
      <c r="Q101" s="14">
        <v>405872768</v>
      </c>
      <c r="R101" s="14">
        <v>8259025</v>
      </c>
      <c r="S101" s="14">
        <v>8385500</v>
      </c>
      <c r="T101" s="14">
        <f t="shared" si="22"/>
        <v>-126475</v>
      </c>
      <c r="U101" s="14">
        <f t="shared" si="23"/>
        <v>-186183</v>
      </c>
      <c r="V101" s="14">
        <v>25</v>
      </c>
    </row>
    <row r="102" spans="1:22" x14ac:dyDescent="0.2">
      <c r="A102" s="14">
        <v>38</v>
      </c>
      <c r="B102" s="15">
        <v>46101</v>
      </c>
      <c r="C102" s="14">
        <v>1729501</v>
      </c>
      <c r="D102" s="14">
        <v>7552813</v>
      </c>
      <c r="E102" s="14">
        <f t="shared" si="16"/>
        <v>-5823312</v>
      </c>
      <c r="F102" s="14">
        <f t="shared" si="17"/>
        <v>-67383567</v>
      </c>
      <c r="G102" s="14">
        <v>132604175</v>
      </c>
      <c r="H102" s="14">
        <v>1029100</v>
      </c>
      <c r="I102" s="14">
        <v>301700</v>
      </c>
      <c r="J102" s="14">
        <f t="shared" si="18"/>
        <v>727400</v>
      </c>
      <c r="K102" s="14">
        <f t="shared" si="19"/>
        <v>-3002623</v>
      </c>
      <c r="L102" s="14">
        <v>1894529</v>
      </c>
      <c r="M102" s="14">
        <v>1819174</v>
      </c>
      <c r="N102" s="14">
        <v>3252700</v>
      </c>
      <c r="O102" s="14">
        <f t="shared" si="20"/>
        <v>-1433526</v>
      </c>
      <c r="P102" s="14">
        <f t="shared" si="21"/>
        <v>22470332</v>
      </c>
      <c r="Q102" s="14">
        <v>406150974</v>
      </c>
      <c r="R102" s="14">
        <v>4269825</v>
      </c>
      <c r="S102" s="14">
        <v>4360008</v>
      </c>
      <c r="T102" s="14">
        <f t="shared" si="22"/>
        <v>-90183</v>
      </c>
      <c r="U102" s="14">
        <f t="shared" si="23"/>
        <v>-59708</v>
      </c>
      <c r="V102" s="14">
        <v>25</v>
      </c>
    </row>
    <row r="103" spans="1:22" x14ac:dyDescent="0.2">
      <c r="A103" s="14">
        <v>39</v>
      </c>
      <c r="B103" s="15">
        <v>46100</v>
      </c>
      <c r="C103" s="14">
        <v>6855179</v>
      </c>
      <c r="D103" s="14">
        <v>2877613</v>
      </c>
      <c r="E103" s="14">
        <f t="shared" si="16"/>
        <v>3977566</v>
      </c>
      <c r="F103" s="14">
        <f t="shared" si="17"/>
        <v>-61560255</v>
      </c>
      <c r="G103" s="14">
        <v>132248331</v>
      </c>
      <c r="H103" s="14">
        <v>108000</v>
      </c>
      <c r="I103" s="14">
        <v>1389100</v>
      </c>
      <c r="J103" s="14">
        <f t="shared" si="18"/>
        <v>-1281100</v>
      </c>
      <c r="K103" s="14">
        <f t="shared" si="19"/>
        <v>-3730023</v>
      </c>
      <c r="L103" s="14">
        <v>2565929</v>
      </c>
      <c r="M103" s="14">
        <v>2402180</v>
      </c>
      <c r="N103" s="14">
        <v>1894800</v>
      </c>
      <c r="O103" s="14">
        <f t="shared" si="20"/>
        <v>507380</v>
      </c>
      <c r="P103" s="14">
        <f t="shared" si="21"/>
        <v>23903858</v>
      </c>
      <c r="Q103" s="14">
        <v>406028774</v>
      </c>
      <c r="R103" s="14">
        <v>134341</v>
      </c>
      <c r="S103" s="14">
        <v>134325</v>
      </c>
      <c r="T103" s="14">
        <f t="shared" si="22"/>
        <v>16</v>
      </c>
      <c r="U103" s="14">
        <f t="shared" si="23"/>
        <v>30475</v>
      </c>
      <c r="V103" s="14">
        <v>25</v>
      </c>
    </row>
    <row r="104" spans="1:22" x14ac:dyDescent="0.2">
      <c r="A104" s="14">
        <v>40</v>
      </c>
      <c r="B104" s="15">
        <v>46099</v>
      </c>
      <c r="C104" s="14">
        <v>2153901</v>
      </c>
      <c r="D104" s="14">
        <v>2401745</v>
      </c>
      <c r="E104" s="14">
        <f t="shared" si="16"/>
        <v>-247844</v>
      </c>
      <c r="F104" s="14">
        <f t="shared" si="17"/>
        <v>-65537821</v>
      </c>
      <c r="G104" s="14">
        <v>136109897</v>
      </c>
      <c r="H104" s="14">
        <v>352100</v>
      </c>
      <c r="I104" s="14">
        <v>130200</v>
      </c>
      <c r="J104" s="14">
        <f t="shared" si="18"/>
        <v>221900</v>
      </c>
      <c r="K104" s="14">
        <f t="shared" si="19"/>
        <v>-2448923</v>
      </c>
      <c r="L104" s="14">
        <v>2446608</v>
      </c>
      <c r="M104" s="14">
        <v>1005560</v>
      </c>
      <c r="N104" s="14">
        <v>925200</v>
      </c>
      <c r="O104" s="14">
        <f t="shared" si="20"/>
        <v>80360</v>
      </c>
      <c r="P104" s="14">
        <f t="shared" si="21"/>
        <v>23396478</v>
      </c>
      <c r="Q104" s="14">
        <v>406176122</v>
      </c>
      <c r="R104" s="14">
        <v>71</v>
      </c>
      <c r="S104" s="14">
        <v>30</v>
      </c>
      <c r="T104" s="14">
        <f t="shared" si="22"/>
        <v>41</v>
      </c>
      <c r="U104" s="14">
        <f t="shared" si="23"/>
        <v>30459</v>
      </c>
      <c r="V104" s="14">
        <v>41</v>
      </c>
    </row>
    <row r="105" spans="1:22" x14ac:dyDescent="0.2">
      <c r="A105" s="14">
        <v>41</v>
      </c>
      <c r="B105" s="15">
        <v>46098</v>
      </c>
      <c r="C105" s="14">
        <v>2191000</v>
      </c>
      <c r="D105" s="14">
        <v>1341900</v>
      </c>
      <c r="E105" s="14">
        <f t="shared" si="16"/>
        <v>849100</v>
      </c>
      <c r="F105" s="14">
        <f t="shared" si="17"/>
        <v>-65289977</v>
      </c>
      <c r="G105" s="14">
        <v>136109897</v>
      </c>
      <c r="H105" s="14">
        <v>656400</v>
      </c>
      <c r="I105" s="14">
        <v>717821</v>
      </c>
      <c r="J105" s="14">
        <f t="shared" si="18"/>
        <v>-61421</v>
      </c>
      <c r="K105" s="14">
        <f t="shared" si="19"/>
        <v>-2670823</v>
      </c>
      <c r="L105" s="14">
        <v>2459608</v>
      </c>
      <c r="M105" s="14">
        <v>1360450</v>
      </c>
      <c r="N105" s="14">
        <v>1593982</v>
      </c>
      <c r="O105" s="14">
        <f t="shared" si="20"/>
        <v>-233532</v>
      </c>
      <c r="P105" s="14">
        <f t="shared" si="21"/>
        <v>23316118</v>
      </c>
      <c r="Q105" s="14">
        <v>406071202</v>
      </c>
      <c r="R105" s="14">
        <v>10147</v>
      </c>
      <c r="S105" s="14">
        <v>50</v>
      </c>
      <c r="T105" s="14">
        <f t="shared" si="22"/>
        <v>10097</v>
      </c>
      <c r="U105" s="14">
        <f t="shared" si="23"/>
        <v>30418</v>
      </c>
      <c r="V105" s="14">
        <v>71</v>
      </c>
    </row>
    <row r="106" spans="1:22" x14ac:dyDescent="0.2">
      <c r="A106" s="14">
        <v>42</v>
      </c>
      <c r="B106" s="15">
        <v>46097</v>
      </c>
      <c r="C106" s="14">
        <v>4344321</v>
      </c>
      <c r="D106" s="14">
        <v>2920700</v>
      </c>
      <c r="E106" s="14">
        <f t="shared" ref="E106:E137" si="24">C106-D106</f>
        <v>1423621</v>
      </c>
      <c r="F106" s="14">
        <f t="shared" ref="F106:F137" si="25">F107+E106</f>
        <v>-66139077</v>
      </c>
      <c r="G106" s="14">
        <v>136942797</v>
      </c>
      <c r="H106" s="14">
        <v>130500</v>
      </c>
      <c r="I106" s="14">
        <v>339400</v>
      </c>
      <c r="J106" s="14">
        <f t="shared" ref="J106:J137" si="26">H106-I106</f>
        <v>-208900</v>
      </c>
      <c r="K106" s="14">
        <f t="shared" ref="K106:K137" si="27">K107+J106</f>
        <v>-2609402</v>
      </c>
      <c r="L106" s="14">
        <v>2451208</v>
      </c>
      <c r="M106" s="14">
        <v>908820</v>
      </c>
      <c r="N106" s="14">
        <v>1094100</v>
      </c>
      <c r="O106" s="14">
        <f t="shared" ref="O106:O137" si="28">M106-N106</f>
        <v>-185280</v>
      </c>
      <c r="P106" s="14">
        <f t="shared" ref="P106:P137" si="29">P107+O106</f>
        <v>23549650</v>
      </c>
      <c r="Q106" s="14">
        <v>406053502</v>
      </c>
      <c r="R106" s="14">
        <v>196632</v>
      </c>
      <c r="S106" s="14">
        <v>196643</v>
      </c>
      <c r="T106" s="14">
        <f t="shared" ref="T106:T137" si="30">R106-S106</f>
        <v>-11</v>
      </c>
      <c r="U106" s="14">
        <f t="shared" ref="U106:U137" si="31">U107+T106</f>
        <v>20321</v>
      </c>
      <c r="V106" s="14">
        <v>10147</v>
      </c>
    </row>
    <row r="107" spans="1:22" x14ac:dyDescent="0.2">
      <c r="A107" s="14">
        <v>43</v>
      </c>
      <c r="B107" s="15">
        <v>46094</v>
      </c>
      <c r="C107" s="14">
        <v>7548600</v>
      </c>
      <c r="D107" s="14">
        <v>2437600</v>
      </c>
      <c r="E107" s="14">
        <f t="shared" si="24"/>
        <v>5111000</v>
      </c>
      <c r="F107" s="14">
        <f t="shared" si="25"/>
        <v>-67562698</v>
      </c>
      <c r="G107" s="14">
        <v>138044519</v>
      </c>
      <c r="H107" s="14">
        <v>7280100</v>
      </c>
      <c r="I107" s="14">
        <v>368100</v>
      </c>
      <c r="J107" s="14">
        <f t="shared" si="26"/>
        <v>6912000</v>
      </c>
      <c r="K107" s="14">
        <f t="shared" si="27"/>
        <v>-2400502</v>
      </c>
      <c r="L107" s="14">
        <v>1777908</v>
      </c>
      <c r="M107" s="14">
        <v>3478900</v>
      </c>
      <c r="N107" s="14">
        <v>1847600</v>
      </c>
      <c r="O107" s="14">
        <f t="shared" si="28"/>
        <v>1631300</v>
      </c>
      <c r="P107" s="14">
        <f t="shared" si="29"/>
        <v>23734930</v>
      </c>
      <c r="Q107" s="14">
        <v>404842941</v>
      </c>
      <c r="R107" s="14">
        <v>21805</v>
      </c>
      <c r="S107" s="14">
        <v>21826</v>
      </c>
      <c r="T107" s="14">
        <f t="shared" si="30"/>
        <v>-21</v>
      </c>
      <c r="U107" s="14">
        <f t="shared" si="31"/>
        <v>20332</v>
      </c>
      <c r="V107" s="14">
        <v>32</v>
      </c>
    </row>
    <row r="108" spans="1:22" x14ac:dyDescent="0.2">
      <c r="A108" s="14">
        <v>44</v>
      </c>
      <c r="B108" s="15">
        <v>46093</v>
      </c>
      <c r="C108" s="14">
        <v>3343701</v>
      </c>
      <c r="D108" s="14">
        <v>3665600</v>
      </c>
      <c r="E108" s="14">
        <f t="shared" si="24"/>
        <v>-321899</v>
      </c>
      <c r="F108" s="14">
        <f t="shared" si="25"/>
        <v>-72673698</v>
      </c>
      <c r="G108" s="14">
        <v>143151719</v>
      </c>
      <c r="H108" s="14">
        <v>4500</v>
      </c>
      <c r="I108" s="14">
        <v>677800</v>
      </c>
      <c r="J108" s="14">
        <f t="shared" si="26"/>
        <v>-673300</v>
      </c>
      <c r="K108" s="14">
        <f t="shared" si="27"/>
        <v>-9312502</v>
      </c>
      <c r="L108" s="14">
        <v>8688008</v>
      </c>
      <c r="M108" s="14">
        <v>2246945</v>
      </c>
      <c r="N108" s="14">
        <v>3453306</v>
      </c>
      <c r="O108" s="14">
        <f t="shared" si="28"/>
        <v>-1206361</v>
      </c>
      <c r="P108" s="14">
        <f t="shared" si="29"/>
        <v>22103630</v>
      </c>
      <c r="Q108" s="14">
        <v>406458341</v>
      </c>
      <c r="R108" s="14">
        <v>1720532</v>
      </c>
      <c r="S108" s="14">
        <v>1730647</v>
      </c>
      <c r="T108" s="14">
        <f t="shared" si="30"/>
        <v>-10115</v>
      </c>
      <c r="U108" s="14">
        <f t="shared" si="31"/>
        <v>20353</v>
      </c>
      <c r="V108" s="14">
        <v>32</v>
      </c>
    </row>
    <row r="109" spans="1:22" x14ac:dyDescent="0.2">
      <c r="A109" s="14">
        <v>45</v>
      </c>
      <c r="B109" s="15">
        <v>46092</v>
      </c>
      <c r="C109" s="14">
        <v>7970801</v>
      </c>
      <c r="D109" s="14">
        <v>2992200</v>
      </c>
      <c r="E109" s="14">
        <f t="shared" si="24"/>
        <v>4978601</v>
      </c>
      <c r="F109" s="14">
        <f t="shared" si="25"/>
        <v>-72351799</v>
      </c>
      <c r="G109" s="14">
        <v>143151719</v>
      </c>
      <c r="H109" s="14">
        <v>1139800</v>
      </c>
      <c r="I109" s="14">
        <v>88400</v>
      </c>
      <c r="J109" s="14">
        <f t="shared" si="26"/>
        <v>1051400</v>
      </c>
      <c r="K109" s="14">
        <f t="shared" si="27"/>
        <v>-8639202</v>
      </c>
      <c r="L109" s="14">
        <v>8288108</v>
      </c>
      <c r="M109" s="14">
        <v>6550438</v>
      </c>
      <c r="N109" s="14">
        <v>4259200</v>
      </c>
      <c r="O109" s="14">
        <f t="shared" si="28"/>
        <v>2291238</v>
      </c>
      <c r="P109" s="14">
        <f t="shared" si="29"/>
        <v>23309991</v>
      </c>
      <c r="Q109" s="14">
        <v>400360479</v>
      </c>
      <c r="R109" s="14">
        <v>5184967</v>
      </c>
      <c r="S109" s="14">
        <v>5027032</v>
      </c>
      <c r="T109" s="14">
        <f t="shared" si="30"/>
        <v>157935</v>
      </c>
      <c r="U109" s="14">
        <f t="shared" si="31"/>
        <v>30468</v>
      </c>
      <c r="V109" s="14">
        <v>32</v>
      </c>
    </row>
    <row r="110" spans="1:22" x14ac:dyDescent="0.2">
      <c r="A110" s="14">
        <v>46</v>
      </c>
      <c r="B110" s="15">
        <v>46091</v>
      </c>
      <c r="C110" s="14">
        <v>5281302</v>
      </c>
      <c r="D110" s="14">
        <v>1107800</v>
      </c>
      <c r="E110" s="14">
        <f t="shared" si="24"/>
        <v>4173502</v>
      </c>
      <c r="F110" s="14">
        <f t="shared" si="25"/>
        <v>-77330400</v>
      </c>
      <c r="G110" s="14">
        <v>146153831</v>
      </c>
      <c r="H110" s="14">
        <v>437400</v>
      </c>
      <c r="I110" s="14">
        <v>837300</v>
      </c>
      <c r="J110" s="14">
        <f t="shared" si="26"/>
        <v>-399900</v>
      </c>
      <c r="K110" s="14">
        <f t="shared" si="27"/>
        <v>-9690602</v>
      </c>
      <c r="L110" s="14">
        <v>9277508</v>
      </c>
      <c r="M110" s="14">
        <v>2558038</v>
      </c>
      <c r="N110" s="14">
        <v>8639900</v>
      </c>
      <c r="O110" s="14">
        <f t="shared" si="28"/>
        <v>-6081862</v>
      </c>
      <c r="P110" s="14">
        <f t="shared" si="29"/>
        <v>21018753</v>
      </c>
      <c r="Q110" s="14">
        <v>402647517</v>
      </c>
      <c r="R110" s="14">
        <v>1650127</v>
      </c>
      <c r="S110" s="14">
        <v>1567</v>
      </c>
      <c r="T110" s="14">
        <f t="shared" si="30"/>
        <v>1648560</v>
      </c>
      <c r="U110" s="14">
        <f t="shared" si="31"/>
        <v>-127467</v>
      </c>
      <c r="V110" s="14">
        <v>157967</v>
      </c>
    </row>
    <row r="111" spans="1:22" x14ac:dyDescent="0.2">
      <c r="A111" s="14">
        <v>47</v>
      </c>
      <c r="B111" s="15">
        <v>46090</v>
      </c>
      <c r="C111" s="14">
        <v>1389711</v>
      </c>
      <c r="D111" s="14">
        <v>3366200</v>
      </c>
      <c r="E111" s="14">
        <f t="shared" si="24"/>
        <v>-1976489</v>
      </c>
      <c r="F111" s="14">
        <f t="shared" si="25"/>
        <v>-81503902</v>
      </c>
      <c r="G111" s="14">
        <v>149784833</v>
      </c>
      <c r="H111" s="14">
        <v>436900</v>
      </c>
      <c r="I111" s="14">
        <v>498900</v>
      </c>
      <c r="J111" s="14">
        <f t="shared" si="26"/>
        <v>-62000</v>
      </c>
      <c r="K111" s="14">
        <f t="shared" si="27"/>
        <v>-9290702</v>
      </c>
      <c r="L111" s="14">
        <v>9277508</v>
      </c>
      <c r="M111" s="14">
        <v>4810953</v>
      </c>
      <c r="N111" s="14">
        <v>4459600</v>
      </c>
      <c r="O111" s="14">
        <f t="shared" si="28"/>
        <v>351353</v>
      </c>
      <c r="P111" s="14">
        <f t="shared" si="29"/>
        <v>27100615</v>
      </c>
      <c r="Q111" s="14">
        <v>399283597</v>
      </c>
      <c r="R111" s="14">
        <v>7301445</v>
      </c>
      <c r="S111" s="14">
        <v>5766734</v>
      </c>
      <c r="T111" s="14">
        <f t="shared" si="30"/>
        <v>1534711</v>
      </c>
      <c r="U111" s="14">
        <f t="shared" si="31"/>
        <v>-1776027</v>
      </c>
      <c r="V111" s="14">
        <v>1650127</v>
      </c>
    </row>
    <row r="112" spans="1:22" x14ac:dyDescent="0.2">
      <c r="A112" s="14">
        <v>48</v>
      </c>
      <c r="B112" s="15">
        <v>46087</v>
      </c>
      <c r="C112" s="14">
        <v>914800</v>
      </c>
      <c r="D112" s="14">
        <v>1457300</v>
      </c>
      <c r="E112" s="14">
        <f t="shared" si="24"/>
        <v>-542500</v>
      </c>
      <c r="F112" s="14">
        <f t="shared" si="25"/>
        <v>-79527413</v>
      </c>
      <c r="G112" s="14">
        <v>148872535</v>
      </c>
      <c r="H112" s="14">
        <v>302500</v>
      </c>
      <c r="I112" s="14">
        <v>32700</v>
      </c>
      <c r="J112" s="14">
        <f t="shared" si="26"/>
        <v>269800</v>
      </c>
      <c r="K112" s="14">
        <f t="shared" si="27"/>
        <v>-9228702</v>
      </c>
      <c r="L112" s="14">
        <v>9277508</v>
      </c>
      <c r="M112" s="14">
        <v>1335080</v>
      </c>
      <c r="N112" s="14">
        <v>4699000</v>
      </c>
      <c r="O112" s="14">
        <f t="shared" si="28"/>
        <v>-3363920</v>
      </c>
      <c r="P112" s="14">
        <f t="shared" si="29"/>
        <v>26749262</v>
      </c>
      <c r="Q112" s="14">
        <v>399381966</v>
      </c>
      <c r="R112" s="14">
        <v>185000</v>
      </c>
      <c r="S112" s="14">
        <v>341400</v>
      </c>
      <c r="T112" s="14">
        <f t="shared" si="30"/>
        <v>-156400</v>
      </c>
      <c r="U112" s="14">
        <f t="shared" si="31"/>
        <v>-3310738</v>
      </c>
      <c r="V112" s="14">
        <v>1534745</v>
      </c>
    </row>
    <row r="113" spans="1:22" x14ac:dyDescent="0.2">
      <c r="A113" s="14">
        <v>49</v>
      </c>
      <c r="B113" s="15">
        <v>46086</v>
      </c>
      <c r="C113" s="14">
        <v>749930</v>
      </c>
      <c r="D113" s="14">
        <v>1662228</v>
      </c>
      <c r="E113" s="14">
        <f t="shared" si="24"/>
        <v>-912298</v>
      </c>
      <c r="F113" s="14">
        <f t="shared" si="25"/>
        <v>-78984913</v>
      </c>
      <c r="G113" s="14">
        <v>148872535</v>
      </c>
      <c r="H113" s="14">
        <v>216800</v>
      </c>
      <c r="I113" s="14">
        <v>54600</v>
      </c>
      <c r="J113" s="14">
        <f t="shared" si="26"/>
        <v>162200</v>
      </c>
      <c r="K113" s="14">
        <f t="shared" si="27"/>
        <v>-9498502</v>
      </c>
      <c r="L113" s="14">
        <v>9381028</v>
      </c>
      <c r="M113" s="14">
        <v>4782716</v>
      </c>
      <c r="N113" s="14">
        <v>5031500</v>
      </c>
      <c r="O113" s="14">
        <f t="shared" si="28"/>
        <v>-248784</v>
      </c>
      <c r="P113" s="14">
        <f t="shared" si="29"/>
        <v>30113182</v>
      </c>
      <c r="Q113" s="14">
        <v>396016916</v>
      </c>
      <c r="R113" s="14">
        <v>0</v>
      </c>
      <c r="S113" s="14">
        <v>1650093</v>
      </c>
      <c r="T113" s="14">
        <f t="shared" si="30"/>
        <v>-1650093</v>
      </c>
      <c r="U113" s="14">
        <f t="shared" si="31"/>
        <v>-3154338</v>
      </c>
      <c r="V113" s="14">
        <v>0</v>
      </c>
    </row>
    <row r="114" spans="1:22" x14ac:dyDescent="0.2">
      <c r="A114" s="14">
        <v>50</v>
      </c>
      <c r="B114" s="15">
        <v>46085</v>
      </c>
      <c r="C114" s="14">
        <v>6507800</v>
      </c>
      <c r="D114" s="14">
        <v>5872020</v>
      </c>
      <c r="E114" s="14">
        <f t="shared" si="24"/>
        <v>635780</v>
      </c>
      <c r="F114" s="14">
        <f t="shared" si="25"/>
        <v>-78072615</v>
      </c>
      <c r="G114" s="14">
        <v>144135835</v>
      </c>
      <c r="H114" s="14">
        <v>122680</v>
      </c>
      <c r="I114" s="14">
        <v>288960</v>
      </c>
      <c r="J114" s="14">
        <f t="shared" si="26"/>
        <v>-166280</v>
      </c>
      <c r="K114" s="14">
        <f t="shared" si="27"/>
        <v>-9660702</v>
      </c>
      <c r="L114" s="14">
        <v>9123228</v>
      </c>
      <c r="M114" s="14">
        <v>2209300</v>
      </c>
      <c r="N114" s="14">
        <v>5574350</v>
      </c>
      <c r="O114" s="14">
        <f t="shared" si="28"/>
        <v>-3365050</v>
      </c>
      <c r="P114" s="14">
        <f t="shared" si="29"/>
        <v>30361966</v>
      </c>
      <c r="Q114" s="14">
        <v>395987416</v>
      </c>
      <c r="R114" s="14">
        <v>0</v>
      </c>
      <c r="S114" s="14">
        <v>1570120</v>
      </c>
      <c r="T114" s="14">
        <f t="shared" si="30"/>
        <v>-1570120</v>
      </c>
      <c r="U114" s="14">
        <f t="shared" si="31"/>
        <v>-1504245</v>
      </c>
      <c r="V114" s="14">
        <v>0</v>
      </c>
    </row>
    <row r="115" spans="1:22" x14ac:dyDescent="0.2">
      <c r="A115" s="14">
        <v>51</v>
      </c>
      <c r="B115" s="15">
        <v>46084</v>
      </c>
      <c r="C115" s="14">
        <v>193900</v>
      </c>
      <c r="D115" s="14">
        <v>4930600</v>
      </c>
      <c r="E115" s="14">
        <f t="shared" si="24"/>
        <v>-4736700</v>
      </c>
      <c r="F115" s="14">
        <f t="shared" si="25"/>
        <v>-78708395</v>
      </c>
      <c r="G115" s="14">
        <v>143250815</v>
      </c>
      <c r="H115" s="14">
        <v>26900</v>
      </c>
      <c r="I115" s="14">
        <v>446900</v>
      </c>
      <c r="J115" s="14">
        <f t="shared" si="26"/>
        <v>-420000</v>
      </c>
      <c r="K115" s="14">
        <f t="shared" si="27"/>
        <v>-9494422</v>
      </c>
      <c r="L115" s="14">
        <v>8415628</v>
      </c>
      <c r="M115" s="14">
        <v>8450100</v>
      </c>
      <c r="N115" s="14">
        <v>2927500</v>
      </c>
      <c r="O115" s="14">
        <f t="shared" si="28"/>
        <v>5522600</v>
      </c>
      <c r="P115" s="14">
        <f t="shared" si="29"/>
        <v>33727016</v>
      </c>
      <c r="Q115" s="14">
        <v>401520616</v>
      </c>
      <c r="R115" s="14">
        <v>85000</v>
      </c>
      <c r="S115" s="14">
        <v>90000</v>
      </c>
      <c r="T115" s="14">
        <f t="shared" si="30"/>
        <v>-5000</v>
      </c>
      <c r="U115" s="14">
        <f t="shared" si="31"/>
        <v>65875</v>
      </c>
      <c r="V115" s="14">
        <v>0</v>
      </c>
    </row>
    <row r="116" spans="1:22" x14ac:dyDescent="0.2">
      <c r="A116" s="14">
        <v>52</v>
      </c>
      <c r="B116" s="15">
        <v>46083</v>
      </c>
      <c r="C116" s="14">
        <v>573100</v>
      </c>
      <c r="D116" s="14">
        <v>2093900</v>
      </c>
      <c r="E116" s="14">
        <f t="shared" si="24"/>
        <v>-1520800</v>
      </c>
      <c r="F116" s="14">
        <f t="shared" si="25"/>
        <v>-73971695</v>
      </c>
      <c r="G116" s="14">
        <v>141538396</v>
      </c>
      <c r="H116" s="14">
        <v>226400</v>
      </c>
      <c r="I116" s="14">
        <v>502974</v>
      </c>
      <c r="J116" s="14">
        <f t="shared" si="26"/>
        <v>-276574</v>
      </c>
      <c r="K116" s="14">
        <f t="shared" si="27"/>
        <v>-9074422</v>
      </c>
      <c r="L116" s="14">
        <v>8190828</v>
      </c>
      <c r="M116" s="14">
        <v>7972900</v>
      </c>
      <c r="N116" s="14">
        <v>3898000</v>
      </c>
      <c r="O116" s="14">
        <f t="shared" si="28"/>
        <v>4074900</v>
      </c>
      <c r="P116" s="14">
        <f t="shared" si="29"/>
        <v>28204416</v>
      </c>
      <c r="Q116" s="14">
        <v>405595516</v>
      </c>
      <c r="R116" s="14">
        <v>1633570</v>
      </c>
      <c r="S116" s="14">
        <v>1593115</v>
      </c>
      <c r="T116" s="14">
        <f t="shared" si="30"/>
        <v>40455</v>
      </c>
      <c r="U116" s="14">
        <f t="shared" si="31"/>
        <v>70875</v>
      </c>
      <c r="V116" s="14">
        <v>75680</v>
      </c>
    </row>
    <row r="117" spans="1:22" x14ac:dyDescent="0.2">
      <c r="A117" s="14">
        <v>53</v>
      </c>
      <c r="B117" s="15">
        <v>46080</v>
      </c>
      <c r="C117" s="14">
        <v>6744100</v>
      </c>
      <c r="D117" s="14">
        <v>2760304</v>
      </c>
      <c r="E117" s="14">
        <f t="shared" si="24"/>
        <v>3983796</v>
      </c>
      <c r="F117" s="14">
        <f t="shared" si="25"/>
        <v>-72450895</v>
      </c>
      <c r="G117" s="14">
        <v>141538396</v>
      </c>
      <c r="H117" s="14">
        <v>6800</v>
      </c>
      <c r="I117" s="14">
        <v>437826</v>
      </c>
      <c r="J117" s="14">
        <f t="shared" si="26"/>
        <v>-431026</v>
      </c>
      <c r="K117" s="14">
        <f t="shared" si="27"/>
        <v>-8797848</v>
      </c>
      <c r="L117" s="14">
        <v>8190828</v>
      </c>
      <c r="M117" s="14">
        <v>5449492</v>
      </c>
      <c r="N117" s="14">
        <v>238000</v>
      </c>
      <c r="O117" s="14">
        <f t="shared" si="28"/>
        <v>5211492</v>
      </c>
      <c r="P117" s="14">
        <f t="shared" si="29"/>
        <v>24129516</v>
      </c>
      <c r="Q117" s="14">
        <v>405595516</v>
      </c>
      <c r="R117" s="14">
        <v>1231347</v>
      </c>
      <c r="S117" s="14">
        <v>1225620</v>
      </c>
      <c r="T117" s="14">
        <f t="shared" si="30"/>
        <v>5727</v>
      </c>
      <c r="U117" s="14">
        <f t="shared" si="31"/>
        <v>30420</v>
      </c>
      <c r="V117" s="14">
        <v>75680</v>
      </c>
    </row>
    <row r="118" spans="1:22" x14ac:dyDescent="0.2">
      <c r="A118" s="14">
        <v>54</v>
      </c>
      <c r="B118" s="15">
        <v>46079</v>
      </c>
      <c r="C118" s="14">
        <v>3193251</v>
      </c>
      <c r="D118" s="14">
        <v>4905670</v>
      </c>
      <c r="E118" s="14">
        <f t="shared" si="24"/>
        <v>-1712419</v>
      </c>
      <c r="F118" s="14">
        <f t="shared" si="25"/>
        <v>-76434691</v>
      </c>
      <c r="G118" s="14">
        <v>145522192</v>
      </c>
      <c r="H118" s="14">
        <v>379700</v>
      </c>
      <c r="I118" s="14">
        <v>604500</v>
      </c>
      <c r="J118" s="14">
        <f t="shared" si="26"/>
        <v>-224800</v>
      </c>
      <c r="K118" s="14">
        <f t="shared" si="27"/>
        <v>-8366822</v>
      </c>
      <c r="L118" s="14">
        <v>8190828</v>
      </c>
      <c r="M118" s="14">
        <v>3379345</v>
      </c>
      <c r="N118" s="14">
        <v>1695000</v>
      </c>
      <c r="O118" s="14">
        <f t="shared" si="28"/>
        <v>1684345</v>
      </c>
      <c r="P118" s="14">
        <f t="shared" si="29"/>
        <v>18918024</v>
      </c>
      <c r="Q118" s="14">
        <v>408318089</v>
      </c>
      <c r="R118" s="14">
        <v>516848</v>
      </c>
      <c r="S118" s="14">
        <v>501409</v>
      </c>
      <c r="T118" s="14">
        <f t="shared" si="30"/>
        <v>15439</v>
      </c>
      <c r="U118" s="14">
        <f t="shared" si="31"/>
        <v>24693</v>
      </c>
      <c r="V118" s="14">
        <v>6384</v>
      </c>
    </row>
    <row r="119" spans="1:22" x14ac:dyDescent="0.2">
      <c r="A119" s="14">
        <v>55</v>
      </c>
      <c r="B119" s="15">
        <v>46078</v>
      </c>
      <c r="C119" s="14">
        <v>3916561</v>
      </c>
      <c r="D119" s="14">
        <v>3293965</v>
      </c>
      <c r="E119" s="14">
        <f t="shared" si="24"/>
        <v>622596</v>
      </c>
      <c r="F119" s="14">
        <f t="shared" si="25"/>
        <v>-74722272</v>
      </c>
      <c r="G119" s="14">
        <v>145522192</v>
      </c>
      <c r="H119" s="14">
        <v>976600</v>
      </c>
      <c r="I119" s="14">
        <v>382900</v>
      </c>
      <c r="J119" s="14">
        <f t="shared" si="26"/>
        <v>593700</v>
      </c>
      <c r="K119" s="14">
        <f t="shared" si="27"/>
        <v>-8142022</v>
      </c>
      <c r="L119" s="14">
        <v>7333590</v>
      </c>
      <c r="M119" s="14">
        <v>2762175</v>
      </c>
      <c r="N119" s="14">
        <v>5251094</v>
      </c>
      <c r="O119" s="14">
        <f t="shared" si="28"/>
        <v>-2488919</v>
      </c>
      <c r="P119" s="14">
        <f t="shared" si="29"/>
        <v>17233679</v>
      </c>
      <c r="Q119" s="14">
        <v>410024634</v>
      </c>
      <c r="R119" s="14">
        <v>3619825</v>
      </c>
      <c r="S119" s="14">
        <v>3694848</v>
      </c>
      <c r="T119" s="14">
        <f t="shared" si="30"/>
        <v>-75023</v>
      </c>
      <c r="U119" s="14">
        <f t="shared" si="31"/>
        <v>9254</v>
      </c>
      <c r="V119" s="14">
        <v>16848</v>
      </c>
    </row>
    <row r="120" spans="1:22" x14ac:dyDescent="0.2">
      <c r="A120" s="14">
        <v>56</v>
      </c>
      <c r="B120" s="15">
        <v>46077</v>
      </c>
      <c r="C120" s="14">
        <v>9985239</v>
      </c>
      <c r="D120" s="14">
        <v>8141634</v>
      </c>
      <c r="E120" s="14">
        <f t="shared" si="24"/>
        <v>1843605</v>
      </c>
      <c r="F120" s="14">
        <f t="shared" si="25"/>
        <v>-75344868</v>
      </c>
      <c r="G120" s="14">
        <v>144332488</v>
      </c>
      <c r="H120" s="14">
        <v>39800</v>
      </c>
      <c r="I120" s="14">
        <v>897038</v>
      </c>
      <c r="J120" s="14">
        <f t="shared" si="26"/>
        <v>-857238</v>
      </c>
      <c r="K120" s="14">
        <f t="shared" si="27"/>
        <v>-8735722</v>
      </c>
      <c r="L120" s="14">
        <v>7927290</v>
      </c>
      <c r="M120" s="14">
        <v>3689415</v>
      </c>
      <c r="N120" s="14">
        <v>265088</v>
      </c>
      <c r="O120" s="14">
        <f t="shared" si="28"/>
        <v>3424327</v>
      </c>
      <c r="P120" s="14">
        <f t="shared" si="29"/>
        <v>19722598</v>
      </c>
      <c r="Q120" s="14">
        <v>404783645</v>
      </c>
      <c r="R120" s="14">
        <v>228025</v>
      </c>
      <c r="S120" s="14">
        <v>233000</v>
      </c>
      <c r="T120" s="14">
        <f t="shared" si="30"/>
        <v>-4975</v>
      </c>
      <c r="U120" s="14">
        <f t="shared" si="31"/>
        <v>84277</v>
      </c>
      <c r="V120" s="14">
        <v>25</v>
      </c>
    </row>
    <row r="121" spans="1:22" x14ac:dyDescent="0.2">
      <c r="A121" s="14">
        <v>57</v>
      </c>
      <c r="B121" s="15">
        <v>46076</v>
      </c>
      <c r="C121" s="14">
        <v>4101600</v>
      </c>
      <c r="D121" s="14">
        <v>5913900</v>
      </c>
      <c r="E121" s="14">
        <f t="shared" si="24"/>
        <v>-1812300</v>
      </c>
      <c r="F121" s="14">
        <f t="shared" si="25"/>
        <v>-77188473</v>
      </c>
      <c r="G121" s="14">
        <v>141543993</v>
      </c>
      <c r="H121" s="14">
        <v>253100</v>
      </c>
      <c r="I121" s="14">
        <v>5700</v>
      </c>
      <c r="J121" s="14">
        <f t="shared" si="26"/>
        <v>247400</v>
      </c>
      <c r="K121" s="14">
        <f t="shared" si="27"/>
        <v>-7878484</v>
      </c>
      <c r="L121" s="14">
        <v>7923490</v>
      </c>
      <c r="M121" s="14">
        <v>2360725</v>
      </c>
      <c r="N121" s="14">
        <v>7748614</v>
      </c>
      <c r="O121" s="14">
        <f t="shared" si="28"/>
        <v>-5387889</v>
      </c>
      <c r="P121" s="14">
        <f t="shared" si="29"/>
        <v>16298271</v>
      </c>
      <c r="Q121" s="14">
        <v>408199772</v>
      </c>
      <c r="R121" s="14">
        <v>86400</v>
      </c>
      <c r="S121" s="14">
        <v>103223</v>
      </c>
      <c r="T121" s="14">
        <f t="shared" si="30"/>
        <v>-16823</v>
      </c>
      <c r="U121" s="14">
        <f t="shared" si="31"/>
        <v>89252</v>
      </c>
      <c r="V121" s="14">
        <v>25</v>
      </c>
    </row>
    <row r="122" spans="1:22" x14ac:dyDescent="0.2">
      <c r="A122" s="14">
        <v>58</v>
      </c>
      <c r="B122" s="15">
        <v>46066</v>
      </c>
      <c r="C122" s="14">
        <v>4288500</v>
      </c>
      <c r="D122" s="14">
        <v>8913000</v>
      </c>
      <c r="E122" s="14">
        <f t="shared" si="24"/>
        <v>-4624500</v>
      </c>
      <c r="F122" s="14">
        <f t="shared" si="25"/>
        <v>-75376173</v>
      </c>
      <c r="G122" s="14">
        <v>135794564</v>
      </c>
      <c r="H122" s="14">
        <v>148600</v>
      </c>
      <c r="I122" s="14">
        <v>106200</v>
      </c>
      <c r="J122" s="14">
        <f t="shared" si="26"/>
        <v>42400</v>
      </c>
      <c r="K122" s="14">
        <f t="shared" si="27"/>
        <v>-8125884</v>
      </c>
      <c r="L122" s="14">
        <v>7966590</v>
      </c>
      <c r="M122" s="14">
        <v>2014891</v>
      </c>
      <c r="N122" s="14">
        <v>1207100</v>
      </c>
      <c r="O122" s="14">
        <f t="shared" si="28"/>
        <v>807791</v>
      </c>
      <c r="P122" s="14">
        <f t="shared" si="29"/>
        <v>21686160</v>
      </c>
      <c r="Q122" s="14">
        <v>407695972</v>
      </c>
      <c r="R122" s="14">
        <v>1029835</v>
      </c>
      <c r="S122" s="14">
        <v>1021200</v>
      </c>
      <c r="T122" s="14">
        <f t="shared" si="30"/>
        <v>8635</v>
      </c>
      <c r="U122" s="14">
        <f t="shared" si="31"/>
        <v>106075</v>
      </c>
      <c r="V122" s="14">
        <v>0</v>
      </c>
    </row>
    <row r="123" spans="1:22" x14ac:dyDescent="0.2">
      <c r="A123" s="14">
        <v>59</v>
      </c>
      <c r="B123" s="15">
        <v>46065</v>
      </c>
      <c r="C123" s="14">
        <v>4403510</v>
      </c>
      <c r="D123" s="14">
        <v>10152939</v>
      </c>
      <c r="E123" s="14">
        <f t="shared" si="24"/>
        <v>-5749429</v>
      </c>
      <c r="F123" s="14">
        <f t="shared" si="25"/>
        <v>-70751673</v>
      </c>
      <c r="G123" s="14">
        <v>129976142</v>
      </c>
      <c r="H123" s="14">
        <v>209000</v>
      </c>
      <c r="I123" s="14">
        <v>413300</v>
      </c>
      <c r="J123" s="14">
        <f t="shared" si="26"/>
        <v>-204300</v>
      </c>
      <c r="K123" s="14">
        <f t="shared" si="27"/>
        <v>-8168284</v>
      </c>
      <c r="L123" s="14">
        <v>7966970</v>
      </c>
      <c r="M123" s="14">
        <v>645500</v>
      </c>
      <c r="N123" s="14">
        <v>1068500</v>
      </c>
      <c r="O123" s="14">
        <f t="shared" si="28"/>
        <v>-423000</v>
      </c>
      <c r="P123" s="14">
        <f t="shared" si="29"/>
        <v>20878369</v>
      </c>
      <c r="Q123" s="14">
        <v>406200469</v>
      </c>
      <c r="R123" s="14">
        <v>36</v>
      </c>
      <c r="S123" s="14">
        <v>61</v>
      </c>
      <c r="T123" s="14">
        <f t="shared" si="30"/>
        <v>-25</v>
      </c>
      <c r="U123" s="14">
        <f t="shared" si="31"/>
        <v>97440</v>
      </c>
      <c r="V123" s="14">
        <v>36</v>
      </c>
    </row>
    <row r="124" spans="1:22" s="2" customFormat="1" ht="16" customHeight="1" x14ac:dyDescent="0.2">
      <c r="A124" s="14">
        <v>60</v>
      </c>
      <c r="B124" s="15">
        <v>46064</v>
      </c>
      <c r="C124" s="14">
        <v>6655786</v>
      </c>
      <c r="D124" s="14">
        <v>7046970</v>
      </c>
      <c r="E124" s="14">
        <f t="shared" si="24"/>
        <v>-391184</v>
      </c>
      <c r="F124" s="14">
        <f t="shared" si="25"/>
        <v>-65002244</v>
      </c>
      <c r="G124" s="14">
        <v>129976142</v>
      </c>
      <c r="H124" s="14">
        <v>732000</v>
      </c>
      <c r="I124" s="14">
        <v>9800</v>
      </c>
      <c r="J124" s="14">
        <f t="shared" si="26"/>
        <v>722200</v>
      </c>
      <c r="K124" s="14">
        <f t="shared" si="27"/>
        <v>-7963984</v>
      </c>
      <c r="L124" s="14">
        <v>7966970</v>
      </c>
      <c r="M124" s="14">
        <v>6874700</v>
      </c>
      <c r="N124" s="14">
        <v>1080120</v>
      </c>
      <c r="O124" s="14">
        <f t="shared" si="28"/>
        <v>5794580</v>
      </c>
      <c r="P124" s="14">
        <f t="shared" si="29"/>
        <v>21301369</v>
      </c>
      <c r="Q124" s="14">
        <v>406200469</v>
      </c>
      <c r="R124" s="14">
        <v>10018</v>
      </c>
      <c r="S124" s="14">
        <v>36</v>
      </c>
      <c r="T124" s="14">
        <f t="shared" si="30"/>
        <v>9982</v>
      </c>
      <c r="U124" s="14">
        <f t="shared" si="31"/>
        <v>97465</v>
      </c>
      <c r="V124" s="14">
        <v>36</v>
      </c>
    </row>
    <row r="125" spans="1:22" s="2" customFormat="1" ht="16" customHeight="1" x14ac:dyDescent="0.2">
      <c r="A125" s="14">
        <v>61</v>
      </c>
      <c r="B125" s="15">
        <v>46063</v>
      </c>
      <c r="C125" s="14">
        <v>2344500</v>
      </c>
      <c r="D125" s="14">
        <v>7771738</v>
      </c>
      <c r="E125" s="14">
        <f t="shared" si="24"/>
        <v>-5427238</v>
      </c>
      <c r="F125" s="14">
        <f t="shared" si="25"/>
        <v>-64611060</v>
      </c>
      <c r="G125" s="14">
        <v>127178742</v>
      </c>
      <c r="H125" s="14">
        <v>6200</v>
      </c>
      <c r="I125" s="14">
        <v>48220</v>
      </c>
      <c r="J125" s="14">
        <f t="shared" si="26"/>
        <v>-42020</v>
      </c>
      <c r="K125" s="14">
        <f t="shared" si="27"/>
        <v>-8686184</v>
      </c>
      <c r="L125" s="14">
        <v>7505037</v>
      </c>
      <c r="M125" s="14">
        <v>144010</v>
      </c>
      <c r="N125" s="14">
        <v>2399704</v>
      </c>
      <c r="O125" s="14">
        <f t="shared" si="28"/>
        <v>-2255694</v>
      </c>
      <c r="P125" s="14">
        <f t="shared" si="29"/>
        <v>15506789</v>
      </c>
      <c r="Q125" s="14">
        <v>409207349</v>
      </c>
      <c r="R125" s="14">
        <v>396</v>
      </c>
      <c r="S125" s="14">
        <v>8995</v>
      </c>
      <c r="T125" s="14">
        <f t="shared" si="30"/>
        <v>-8599</v>
      </c>
      <c r="U125" s="14">
        <f t="shared" si="31"/>
        <v>87483</v>
      </c>
      <c r="V125" s="14">
        <v>10018</v>
      </c>
    </row>
    <row r="126" spans="1:22" s="2" customFormat="1" ht="16" customHeight="1" x14ac:dyDescent="0.2">
      <c r="A126" s="14">
        <v>62</v>
      </c>
      <c r="B126" s="15">
        <v>46062</v>
      </c>
      <c r="C126" s="14">
        <v>755900</v>
      </c>
      <c r="D126" s="14">
        <v>3553300</v>
      </c>
      <c r="E126" s="14">
        <f t="shared" si="24"/>
        <v>-2797400</v>
      </c>
      <c r="F126" s="14">
        <f t="shared" si="25"/>
        <v>-59183822</v>
      </c>
      <c r="G126" s="14">
        <v>114957442</v>
      </c>
      <c r="H126" s="14">
        <v>25200</v>
      </c>
      <c r="I126" s="14">
        <v>1209333</v>
      </c>
      <c r="J126" s="14">
        <f t="shared" si="26"/>
        <v>-1184133</v>
      </c>
      <c r="K126" s="14">
        <f t="shared" si="27"/>
        <v>-8644164</v>
      </c>
      <c r="L126" s="14">
        <v>5823138</v>
      </c>
      <c r="M126" s="14">
        <v>428600</v>
      </c>
      <c r="N126" s="14">
        <v>3197800</v>
      </c>
      <c r="O126" s="14">
        <f t="shared" si="28"/>
        <v>-2769200</v>
      </c>
      <c r="P126" s="14">
        <f t="shared" si="29"/>
        <v>17762483</v>
      </c>
      <c r="Q126" s="14">
        <v>405073749</v>
      </c>
      <c r="R126" s="14">
        <v>314148</v>
      </c>
      <c r="S126" s="14">
        <v>366</v>
      </c>
      <c r="T126" s="14">
        <f t="shared" si="30"/>
        <v>313782</v>
      </c>
      <c r="U126" s="14">
        <f t="shared" si="31"/>
        <v>96082</v>
      </c>
      <c r="V126" s="14">
        <v>314178</v>
      </c>
    </row>
    <row r="127" spans="1:22" s="2" customFormat="1" ht="16" customHeight="1" x14ac:dyDescent="0.2">
      <c r="A127" s="14">
        <v>63</v>
      </c>
      <c r="B127" s="15">
        <v>46059</v>
      </c>
      <c r="C127" s="14">
        <v>395700</v>
      </c>
      <c r="D127" s="14">
        <v>8221800</v>
      </c>
      <c r="E127" s="14">
        <f t="shared" si="24"/>
        <v>-7826100</v>
      </c>
      <c r="F127" s="14">
        <f t="shared" si="25"/>
        <v>-56386422</v>
      </c>
      <c r="G127" s="14">
        <v>106765468</v>
      </c>
      <c r="H127" s="14">
        <v>47000</v>
      </c>
      <c r="I127" s="14">
        <v>1402600</v>
      </c>
      <c r="J127" s="14">
        <f t="shared" si="26"/>
        <v>-1355600</v>
      </c>
      <c r="K127" s="14">
        <f t="shared" si="27"/>
        <v>-7460031</v>
      </c>
      <c r="L127" s="14">
        <v>5505798</v>
      </c>
      <c r="M127" s="14">
        <v>256100</v>
      </c>
      <c r="N127" s="14">
        <v>2742300</v>
      </c>
      <c r="O127" s="14">
        <f t="shared" si="28"/>
        <v>-2486200</v>
      </c>
      <c r="P127" s="14">
        <f t="shared" si="29"/>
        <v>20531683</v>
      </c>
      <c r="Q127" s="14">
        <v>400504769</v>
      </c>
      <c r="R127" s="14">
        <v>1183378</v>
      </c>
      <c r="S127" s="14">
        <v>1193000</v>
      </c>
      <c r="T127" s="14">
        <f t="shared" si="30"/>
        <v>-9622</v>
      </c>
      <c r="U127" s="14">
        <f t="shared" si="31"/>
        <v>-217700</v>
      </c>
      <c r="V127" s="14">
        <v>1978</v>
      </c>
    </row>
    <row r="128" spans="1:22" s="2" customFormat="1" ht="16" customHeight="1" x14ac:dyDescent="0.2">
      <c r="A128" s="14">
        <v>64</v>
      </c>
      <c r="B128" s="15">
        <v>46058</v>
      </c>
      <c r="C128" s="14">
        <v>160100</v>
      </c>
      <c r="D128" s="14">
        <v>4561500</v>
      </c>
      <c r="E128" s="14">
        <f t="shared" si="24"/>
        <v>-4401400</v>
      </c>
      <c r="F128" s="14">
        <f t="shared" si="25"/>
        <v>-48560322</v>
      </c>
      <c r="G128" s="14">
        <v>106765468</v>
      </c>
      <c r="H128" s="14">
        <v>428101</v>
      </c>
      <c r="I128" s="14">
        <v>756400</v>
      </c>
      <c r="J128" s="14">
        <f t="shared" si="26"/>
        <v>-328299</v>
      </c>
      <c r="K128" s="14">
        <f t="shared" si="27"/>
        <v>-6104431</v>
      </c>
      <c r="L128" s="14">
        <v>5505798</v>
      </c>
      <c r="M128" s="14">
        <v>171000</v>
      </c>
      <c r="N128" s="14">
        <v>1842800</v>
      </c>
      <c r="O128" s="14">
        <f t="shared" si="28"/>
        <v>-1671800</v>
      </c>
      <c r="P128" s="14">
        <f t="shared" si="29"/>
        <v>23017883</v>
      </c>
      <c r="Q128" s="14">
        <v>400504769</v>
      </c>
      <c r="R128" s="14">
        <v>756900</v>
      </c>
      <c r="S128" s="14">
        <v>158500</v>
      </c>
      <c r="T128" s="14">
        <f t="shared" si="30"/>
        <v>598400</v>
      </c>
      <c r="U128" s="14">
        <f t="shared" si="31"/>
        <v>-208078</v>
      </c>
      <c r="V128" s="14">
        <v>1978</v>
      </c>
    </row>
    <row r="129" spans="1:22" s="2" customFormat="1" ht="16" customHeight="1" x14ac:dyDescent="0.2">
      <c r="A129" s="14">
        <v>65</v>
      </c>
      <c r="B129" s="15">
        <v>46057</v>
      </c>
      <c r="C129" s="14">
        <v>1238926</v>
      </c>
      <c r="D129" s="14">
        <v>9427100</v>
      </c>
      <c r="E129" s="14">
        <f t="shared" si="24"/>
        <v>-8188174</v>
      </c>
      <c r="F129" s="14">
        <f t="shared" si="25"/>
        <v>-44158922</v>
      </c>
      <c r="G129" s="14">
        <v>101515481</v>
      </c>
      <c r="H129" s="14">
        <v>467160</v>
      </c>
      <c r="I129" s="14">
        <v>782600</v>
      </c>
      <c r="J129" s="14">
        <f t="shared" si="26"/>
        <v>-315440</v>
      </c>
      <c r="K129" s="14">
        <f t="shared" si="27"/>
        <v>-5776132</v>
      </c>
      <c r="L129" s="14">
        <v>3437980</v>
      </c>
      <c r="M129" s="14">
        <v>166600</v>
      </c>
      <c r="N129" s="14">
        <v>4731480</v>
      </c>
      <c r="O129" s="14">
        <f t="shared" si="28"/>
        <v>-4564880</v>
      </c>
      <c r="P129" s="14">
        <f t="shared" si="29"/>
        <v>24689683</v>
      </c>
      <c r="Q129" s="14">
        <v>400504769</v>
      </c>
      <c r="R129" s="14">
        <v>3052300</v>
      </c>
      <c r="S129" s="14">
        <v>3364500</v>
      </c>
      <c r="T129" s="14">
        <f t="shared" si="30"/>
        <v>-312200</v>
      </c>
      <c r="U129" s="14">
        <f t="shared" si="31"/>
        <v>-806478</v>
      </c>
      <c r="V129" s="14">
        <v>600378</v>
      </c>
    </row>
    <row r="130" spans="1:22" s="2" customFormat="1" ht="16" customHeight="1" x14ac:dyDescent="0.2">
      <c r="A130" s="14">
        <v>66</v>
      </c>
      <c r="B130" s="15">
        <v>46056</v>
      </c>
      <c r="C130" s="14">
        <v>1275013</v>
      </c>
      <c r="D130" s="14">
        <v>6525000</v>
      </c>
      <c r="E130" s="14">
        <f t="shared" si="24"/>
        <v>-5249987</v>
      </c>
      <c r="F130" s="14">
        <f t="shared" si="25"/>
        <v>-35970748</v>
      </c>
      <c r="G130" s="14">
        <v>96432494</v>
      </c>
      <c r="H130" s="14">
        <v>364590</v>
      </c>
      <c r="I130" s="14">
        <v>2432408</v>
      </c>
      <c r="J130" s="14">
        <f t="shared" si="26"/>
        <v>-2067818</v>
      </c>
      <c r="K130" s="14">
        <f t="shared" si="27"/>
        <v>-5460692</v>
      </c>
      <c r="L130" s="14">
        <v>2839080</v>
      </c>
      <c r="M130" s="14">
        <v>1474900</v>
      </c>
      <c r="N130" s="14">
        <v>1009848</v>
      </c>
      <c r="O130" s="14">
        <f t="shared" si="28"/>
        <v>465052</v>
      </c>
      <c r="P130" s="14">
        <f t="shared" si="29"/>
        <v>29254563</v>
      </c>
      <c r="Q130" s="14">
        <v>398602870</v>
      </c>
      <c r="R130" s="14">
        <v>1258123</v>
      </c>
      <c r="S130" s="14">
        <v>1048300</v>
      </c>
      <c r="T130" s="14">
        <f t="shared" si="30"/>
        <v>209823</v>
      </c>
      <c r="U130" s="14">
        <f t="shared" si="31"/>
        <v>-494278</v>
      </c>
      <c r="V130" s="14">
        <v>22800</v>
      </c>
    </row>
    <row r="131" spans="1:22" s="2" customFormat="1" ht="16" customHeight="1" x14ac:dyDescent="0.2">
      <c r="A131" s="14">
        <v>67</v>
      </c>
      <c r="B131" s="15">
        <v>46055</v>
      </c>
      <c r="C131" s="14">
        <v>1162013</v>
      </c>
      <c r="D131" s="14">
        <v>6245000</v>
      </c>
      <c r="E131" s="14">
        <f t="shared" si="24"/>
        <v>-5082987</v>
      </c>
      <c r="F131" s="14">
        <f t="shared" si="25"/>
        <v>-30720761</v>
      </c>
      <c r="G131" s="14">
        <v>91945215</v>
      </c>
      <c r="H131" s="14">
        <v>41200</v>
      </c>
      <c r="I131" s="14">
        <v>640100</v>
      </c>
      <c r="J131" s="14">
        <f t="shared" si="26"/>
        <v>-598900</v>
      </c>
      <c r="K131" s="14">
        <f t="shared" si="27"/>
        <v>-3392874</v>
      </c>
      <c r="L131" s="14">
        <v>2839080</v>
      </c>
      <c r="M131" s="14">
        <v>642001</v>
      </c>
      <c r="N131" s="14">
        <v>2543900</v>
      </c>
      <c r="O131" s="14">
        <f t="shared" si="28"/>
        <v>-1901899</v>
      </c>
      <c r="P131" s="14">
        <f t="shared" si="29"/>
        <v>28789511</v>
      </c>
      <c r="Q131" s="14">
        <v>398144217</v>
      </c>
      <c r="R131" s="14">
        <v>2195722</v>
      </c>
      <c r="S131" s="14">
        <v>2773300</v>
      </c>
      <c r="T131" s="14">
        <f t="shared" si="30"/>
        <v>-577578</v>
      </c>
      <c r="U131" s="14">
        <f t="shared" si="31"/>
        <v>-704101</v>
      </c>
      <c r="V131" s="14">
        <v>228123</v>
      </c>
    </row>
    <row r="132" spans="1:22" ht="16" customHeight="1" x14ac:dyDescent="0.2">
      <c r="A132" s="14">
        <v>68</v>
      </c>
      <c r="B132" s="15">
        <v>46052</v>
      </c>
      <c r="C132" s="14">
        <v>2158168</v>
      </c>
      <c r="D132" s="14">
        <v>6645447</v>
      </c>
      <c r="E132" s="14">
        <f t="shared" si="24"/>
        <v>-4487279</v>
      </c>
      <c r="F132" s="14">
        <f t="shared" si="25"/>
        <v>-25637774</v>
      </c>
      <c r="G132" s="14">
        <v>82912274</v>
      </c>
      <c r="H132" s="14">
        <v>299601</v>
      </c>
      <c r="I132" s="14">
        <v>51300</v>
      </c>
      <c r="J132" s="14">
        <f t="shared" si="26"/>
        <v>248301</v>
      </c>
      <c r="K132" s="14">
        <f t="shared" si="27"/>
        <v>-2793974</v>
      </c>
      <c r="L132" s="14">
        <v>2562980</v>
      </c>
      <c r="M132" s="14">
        <v>468390</v>
      </c>
      <c r="N132" s="14">
        <v>1392095</v>
      </c>
      <c r="O132" s="14">
        <f t="shared" si="28"/>
        <v>-923705</v>
      </c>
      <c r="P132" s="14">
        <f t="shared" si="29"/>
        <v>30691410</v>
      </c>
      <c r="Q132" s="14">
        <v>397243626</v>
      </c>
      <c r="R132" s="14">
        <v>47000</v>
      </c>
      <c r="S132" s="14">
        <v>51500</v>
      </c>
      <c r="T132" s="14">
        <f t="shared" si="30"/>
        <v>-4500</v>
      </c>
      <c r="U132" s="14">
        <f t="shared" si="31"/>
        <v>-126523</v>
      </c>
      <c r="V132" s="14">
        <v>23422</v>
      </c>
    </row>
    <row r="133" spans="1:22" ht="16" customHeight="1" x14ac:dyDescent="0.2">
      <c r="A133" s="14">
        <v>69</v>
      </c>
      <c r="B133" s="15">
        <v>46051</v>
      </c>
      <c r="C133" s="14">
        <v>3161400</v>
      </c>
      <c r="D133" s="14">
        <v>12194341</v>
      </c>
      <c r="E133" s="14">
        <f t="shared" si="24"/>
        <v>-9032941</v>
      </c>
      <c r="F133" s="14">
        <f t="shared" si="25"/>
        <v>-21150495</v>
      </c>
      <c r="G133" s="14">
        <v>74305524</v>
      </c>
      <c r="H133" s="14">
        <v>668100</v>
      </c>
      <c r="I133" s="14">
        <v>944200</v>
      </c>
      <c r="J133" s="14">
        <f t="shared" si="26"/>
        <v>-276100</v>
      </c>
      <c r="K133" s="14">
        <f t="shared" si="27"/>
        <v>-3042275</v>
      </c>
      <c r="L133" s="14">
        <v>2167586</v>
      </c>
      <c r="M133" s="14">
        <v>905709</v>
      </c>
      <c r="N133" s="14">
        <v>1806300</v>
      </c>
      <c r="O133" s="14">
        <f t="shared" si="28"/>
        <v>-900591</v>
      </c>
      <c r="P133" s="14">
        <f t="shared" si="29"/>
        <v>31615115</v>
      </c>
      <c r="Q133" s="14">
        <v>396415228</v>
      </c>
      <c r="R133" s="14">
        <v>600099</v>
      </c>
      <c r="S133" s="14">
        <v>804800</v>
      </c>
      <c r="T133" s="14">
        <f t="shared" si="30"/>
        <v>-204701</v>
      </c>
      <c r="U133" s="14">
        <f t="shared" si="31"/>
        <v>-122023</v>
      </c>
      <c r="V133" s="14">
        <v>99</v>
      </c>
    </row>
    <row r="134" spans="1:22" ht="16" customHeight="1" x14ac:dyDescent="0.2">
      <c r="A134" s="14">
        <v>70</v>
      </c>
      <c r="B134" s="15">
        <v>46050</v>
      </c>
      <c r="C134" s="14">
        <v>18462350</v>
      </c>
      <c r="D134" s="14">
        <v>27069100</v>
      </c>
      <c r="E134" s="14">
        <f t="shared" si="24"/>
        <v>-8606750</v>
      </c>
      <c r="F134" s="14">
        <f t="shared" si="25"/>
        <v>-12117554</v>
      </c>
      <c r="G134" s="14">
        <v>72833607</v>
      </c>
      <c r="H134" s="14">
        <v>326505</v>
      </c>
      <c r="I134" s="14">
        <v>970200</v>
      </c>
      <c r="J134" s="14">
        <f t="shared" si="26"/>
        <v>-643695</v>
      </c>
      <c r="K134" s="14">
        <f t="shared" si="27"/>
        <v>-2766175</v>
      </c>
      <c r="L134" s="14">
        <v>1881498</v>
      </c>
      <c r="M134" s="14">
        <v>3320402</v>
      </c>
      <c r="N134" s="14">
        <v>4148800</v>
      </c>
      <c r="O134" s="14">
        <f t="shared" si="28"/>
        <v>-828398</v>
      </c>
      <c r="P134" s="14">
        <f t="shared" si="29"/>
        <v>32515706</v>
      </c>
      <c r="Q134" s="14">
        <v>396405527</v>
      </c>
      <c r="R134" s="14">
        <v>3341299</v>
      </c>
      <c r="S134" s="14">
        <v>3364622</v>
      </c>
      <c r="T134" s="14">
        <f t="shared" si="30"/>
        <v>-23323</v>
      </c>
      <c r="U134" s="14">
        <f t="shared" si="31"/>
        <v>82678</v>
      </c>
      <c r="V134" s="14">
        <v>99</v>
      </c>
    </row>
    <row r="135" spans="1:22" ht="16" customHeight="1" x14ac:dyDescent="0.2">
      <c r="A135" s="14">
        <v>71</v>
      </c>
      <c r="B135" s="15">
        <v>46049</v>
      </c>
      <c r="C135" s="14">
        <v>3179340</v>
      </c>
      <c r="D135" s="14">
        <v>4651257</v>
      </c>
      <c r="E135" s="14">
        <f t="shared" si="24"/>
        <v>-1471917</v>
      </c>
      <c r="F135" s="14">
        <f t="shared" si="25"/>
        <v>-3510804</v>
      </c>
      <c r="G135" s="14">
        <v>72368147</v>
      </c>
      <c r="H135" s="14">
        <v>43472</v>
      </c>
      <c r="I135" s="14">
        <v>329560</v>
      </c>
      <c r="J135" s="14">
        <f t="shared" si="26"/>
        <v>-286088</v>
      </c>
      <c r="K135" s="14">
        <f t="shared" si="27"/>
        <v>-2122480</v>
      </c>
      <c r="L135" s="14">
        <v>1576296</v>
      </c>
      <c r="M135" s="14">
        <v>1936900</v>
      </c>
      <c r="N135" s="14">
        <v>1946601</v>
      </c>
      <c r="O135" s="14">
        <f t="shared" si="28"/>
        <v>-9701</v>
      </c>
      <c r="P135" s="14">
        <f t="shared" si="29"/>
        <v>33344104</v>
      </c>
      <c r="Q135" s="14">
        <v>395368719</v>
      </c>
      <c r="R135" s="14">
        <v>1923607</v>
      </c>
      <c r="S135" s="14">
        <v>1921099</v>
      </c>
      <c r="T135" s="14">
        <f t="shared" si="30"/>
        <v>2508</v>
      </c>
      <c r="U135" s="14">
        <f t="shared" si="31"/>
        <v>106001</v>
      </c>
      <c r="V135" s="14">
        <v>99</v>
      </c>
    </row>
    <row r="136" spans="1:22" ht="16" customHeight="1" x14ac:dyDescent="0.2">
      <c r="A136" s="14">
        <v>72</v>
      </c>
      <c r="B136" s="15">
        <v>46048</v>
      </c>
      <c r="C136" s="14">
        <v>4057040</v>
      </c>
      <c r="D136" s="14">
        <v>4522500</v>
      </c>
      <c r="E136" s="14">
        <f t="shared" si="24"/>
        <v>-465460</v>
      </c>
      <c r="F136" s="14">
        <f t="shared" si="25"/>
        <v>-2038887</v>
      </c>
      <c r="G136" s="14">
        <v>72368147</v>
      </c>
      <c r="H136" s="14">
        <v>43698</v>
      </c>
      <c r="I136" s="14">
        <v>348900</v>
      </c>
      <c r="J136" s="14">
        <f t="shared" si="26"/>
        <v>-305202</v>
      </c>
      <c r="K136" s="14">
        <f t="shared" si="27"/>
        <v>-1836392</v>
      </c>
      <c r="L136" s="14">
        <v>1169272</v>
      </c>
      <c r="M136" s="14">
        <v>5804710</v>
      </c>
      <c r="N136" s="14">
        <v>6841518</v>
      </c>
      <c r="O136" s="14">
        <f t="shared" si="28"/>
        <v>-1036808</v>
      </c>
      <c r="P136" s="14">
        <f t="shared" si="29"/>
        <v>33353805</v>
      </c>
      <c r="Q136" s="14">
        <v>392344310</v>
      </c>
      <c r="R136" s="14">
        <v>3165260</v>
      </c>
      <c r="S136" s="14">
        <v>3147200</v>
      </c>
      <c r="T136" s="14">
        <f t="shared" si="30"/>
        <v>18060</v>
      </c>
      <c r="U136" s="14">
        <f t="shared" si="31"/>
        <v>103493</v>
      </c>
      <c r="V136" s="14">
        <v>2607</v>
      </c>
    </row>
    <row r="137" spans="1:22" ht="16" customHeight="1" x14ac:dyDescent="0.2">
      <c r="A137" s="14">
        <v>73</v>
      </c>
      <c r="B137" s="15">
        <v>46045</v>
      </c>
      <c r="C137" s="14">
        <v>6102200</v>
      </c>
      <c r="D137" s="14">
        <v>2445600</v>
      </c>
      <c r="E137" s="14">
        <f t="shared" si="24"/>
        <v>3656600</v>
      </c>
      <c r="F137" s="14">
        <f t="shared" si="25"/>
        <v>-1573427</v>
      </c>
      <c r="G137" s="14">
        <v>72084507</v>
      </c>
      <c r="H137" s="14">
        <v>40300</v>
      </c>
      <c r="I137" s="14">
        <v>447324</v>
      </c>
      <c r="J137" s="14">
        <f t="shared" si="26"/>
        <v>-407024</v>
      </c>
      <c r="K137" s="14">
        <f t="shared" si="27"/>
        <v>-1531190</v>
      </c>
      <c r="L137" s="14">
        <v>990440</v>
      </c>
      <c r="M137" s="14">
        <v>812000</v>
      </c>
      <c r="N137" s="14">
        <v>3874909</v>
      </c>
      <c r="O137" s="14">
        <f t="shared" si="28"/>
        <v>-3062909</v>
      </c>
      <c r="P137" s="14">
        <f t="shared" si="29"/>
        <v>34390613</v>
      </c>
      <c r="Q137" s="14">
        <v>392344310</v>
      </c>
      <c r="R137" s="14">
        <v>35200</v>
      </c>
      <c r="S137" s="14">
        <v>20600</v>
      </c>
      <c r="T137" s="14">
        <f t="shared" si="30"/>
        <v>14600</v>
      </c>
      <c r="U137" s="14">
        <f t="shared" si="31"/>
        <v>85433</v>
      </c>
      <c r="V137" s="14">
        <v>20667</v>
      </c>
    </row>
    <row r="138" spans="1:22" ht="16" customHeight="1" x14ac:dyDescent="0.2">
      <c r="A138" s="14">
        <v>74</v>
      </c>
      <c r="B138" s="15">
        <v>46044</v>
      </c>
      <c r="C138" s="14">
        <v>3554400</v>
      </c>
      <c r="D138" s="14">
        <v>3838040</v>
      </c>
      <c r="E138" s="14">
        <f t="shared" ref="E138:E151" si="32">C138-D138</f>
        <v>-283640</v>
      </c>
      <c r="F138" s="14">
        <f t="shared" ref="F138:F150" si="33">F139+E138</f>
        <v>-5230027</v>
      </c>
      <c r="G138" s="14">
        <v>75741107</v>
      </c>
      <c r="H138" s="14">
        <v>369968</v>
      </c>
      <c r="I138" s="14">
        <v>548800</v>
      </c>
      <c r="J138" s="14">
        <f t="shared" ref="J138:J151" si="34">H138-I138</f>
        <v>-178832</v>
      </c>
      <c r="K138" s="14">
        <f t="shared" ref="K138:K150" si="35">K139+J138</f>
        <v>-1124166</v>
      </c>
      <c r="L138" s="14">
        <v>754391</v>
      </c>
      <c r="M138" s="14">
        <v>3426001</v>
      </c>
      <c r="N138" s="14">
        <v>2064343</v>
      </c>
      <c r="O138" s="14">
        <f t="shared" ref="O138:O151" si="36">M138-N138</f>
        <v>1361658</v>
      </c>
      <c r="P138" s="14">
        <f t="shared" ref="P138:P150" si="37">P139+O138</f>
        <v>37453522</v>
      </c>
      <c r="Q138" s="14">
        <v>392344310</v>
      </c>
      <c r="R138" s="14">
        <v>15420000</v>
      </c>
      <c r="S138" s="14">
        <v>15400200</v>
      </c>
      <c r="T138" s="14">
        <f t="shared" ref="T138:T151" si="38">R138-S138</f>
        <v>19800</v>
      </c>
      <c r="U138" s="14">
        <f t="shared" ref="U138:U150" si="39">U139+T138</f>
        <v>70833</v>
      </c>
      <c r="V138" s="14">
        <v>35267</v>
      </c>
    </row>
    <row r="139" spans="1:22" ht="16" customHeight="1" x14ac:dyDescent="0.2">
      <c r="A139" s="14">
        <v>75</v>
      </c>
      <c r="B139" s="15">
        <v>46043</v>
      </c>
      <c r="C139" s="14">
        <v>4908510</v>
      </c>
      <c r="D139" s="14">
        <v>1482400</v>
      </c>
      <c r="E139" s="14">
        <f t="shared" si="32"/>
        <v>3426110</v>
      </c>
      <c r="F139" s="14">
        <f t="shared" si="33"/>
        <v>-4946387</v>
      </c>
      <c r="G139" s="14">
        <v>75748107</v>
      </c>
      <c r="H139" s="14">
        <v>232751</v>
      </c>
      <c r="I139" s="14">
        <v>468800</v>
      </c>
      <c r="J139" s="14">
        <f t="shared" si="34"/>
        <v>-236049</v>
      </c>
      <c r="K139" s="14">
        <f t="shared" si="35"/>
        <v>-945334</v>
      </c>
      <c r="L139" s="14">
        <v>427651</v>
      </c>
      <c r="M139" s="14">
        <v>4430991</v>
      </c>
      <c r="N139" s="14">
        <v>1638020</v>
      </c>
      <c r="O139" s="14">
        <f t="shared" si="36"/>
        <v>2792971</v>
      </c>
      <c r="P139" s="14">
        <f t="shared" si="37"/>
        <v>36091864</v>
      </c>
      <c r="Q139" s="14">
        <v>393768568</v>
      </c>
      <c r="R139" s="14">
        <v>2606900</v>
      </c>
      <c r="S139" s="14">
        <v>2598323</v>
      </c>
      <c r="T139" s="14">
        <f t="shared" si="38"/>
        <v>8577</v>
      </c>
      <c r="U139" s="14">
        <f t="shared" si="39"/>
        <v>51033</v>
      </c>
      <c r="V139" s="14">
        <v>20023</v>
      </c>
    </row>
    <row r="140" spans="1:22" ht="16" customHeight="1" x14ac:dyDescent="0.2">
      <c r="A140" s="14">
        <v>76</v>
      </c>
      <c r="B140" s="15">
        <v>46042</v>
      </c>
      <c r="C140" s="14">
        <v>7963755</v>
      </c>
      <c r="D140" s="14">
        <v>3677579</v>
      </c>
      <c r="E140" s="14">
        <f t="shared" si="32"/>
        <v>4286176</v>
      </c>
      <c r="F140" s="14">
        <f t="shared" si="33"/>
        <v>-8372497</v>
      </c>
      <c r="G140" s="14">
        <v>79174217</v>
      </c>
      <c r="H140" s="14">
        <v>678109</v>
      </c>
      <c r="I140" s="14">
        <v>1004849</v>
      </c>
      <c r="J140" s="14">
        <f t="shared" si="34"/>
        <v>-326740</v>
      </c>
      <c r="K140" s="14">
        <f t="shared" si="35"/>
        <v>-709285</v>
      </c>
      <c r="L140" s="14">
        <v>294451</v>
      </c>
      <c r="M140" s="14">
        <v>11176608</v>
      </c>
      <c r="N140" s="14">
        <v>5983767</v>
      </c>
      <c r="O140" s="14">
        <f t="shared" si="36"/>
        <v>5192841</v>
      </c>
      <c r="P140" s="14">
        <f t="shared" si="37"/>
        <v>33298893</v>
      </c>
      <c r="Q140" s="14">
        <v>396600039</v>
      </c>
      <c r="R140" s="14">
        <v>5162615</v>
      </c>
      <c r="S140" s="14">
        <v>5197659</v>
      </c>
      <c r="T140" s="14">
        <f t="shared" si="38"/>
        <v>-35044</v>
      </c>
      <c r="U140" s="14">
        <f t="shared" si="39"/>
        <v>42456</v>
      </c>
      <c r="V140" s="14">
        <v>26900</v>
      </c>
    </row>
    <row r="141" spans="1:22" ht="16" customHeight="1" x14ac:dyDescent="0.2">
      <c r="A141" s="14">
        <v>77</v>
      </c>
      <c r="B141" s="15">
        <v>46041</v>
      </c>
      <c r="C141" s="14">
        <v>3721638</v>
      </c>
      <c r="D141" s="14">
        <v>820400</v>
      </c>
      <c r="E141" s="14">
        <f t="shared" si="32"/>
        <v>2901238</v>
      </c>
      <c r="F141" s="14">
        <f t="shared" si="33"/>
        <v>-12658673</v>
      </c>
      <c r="G141" s="14">
        <v>81408488</v>
      </c>
      <c r="H141" s="14">
        <v>140800</v>
      </c>
      <c r="I141" s="14">
        <v>274000</v>
      </c>
      <c r="J141" s="14">
        <f t="shared" si="34"/>
        <v>-133200</v>
      </c>
      <c r="K141" s="14">
        <f t="shared" si="35"/>
        <v>-382545</v>
      </c>
      <c r="L141" s="14">
        <v>142760</v>
      </c>
      <c r="M141" s="14">
        <v>4254305</v>
      </c>
      <c r="N141" s="14">
        <v>1754620</v>
      </c>
      <c r="O141" s="14">
        <f t="shared" si="36"/>
        <v>2499685</v>
      </c>
      <c r="P141" s="14">
        <f t="shared" si="37"/>
        <v>28106052</v>
      </c>
      <c r="Q141" s="14">
        <v>400195480</v>
      </c>
      <c r="R141" s="14">
        <v>0</v>
      </c>
      <c r="S141" s="14">
        <v>1700</v>
      </c>
      <c r="T141" s="14">
        <f t="shared" si="38"/>
        <v>-1700</v>
      </c>
      <c r="U141" s="14">
        <f t="shared" si="39"/>
        <v>77500</v>
      </c>
      <c r="V141" s="14">
        <v>0</v>
      </c>
    </row>
    <row r="142" spans="1:22" ht="16" customHeight="1" x14ac:dyDescent="0.2">
      <c r="A142" s="14">
        <v>78</v>
      </c>
      <c r="B142" s="15">
        <v>46038</v>
      </c>
      <c r="C142" s="14">
        <v>1509500</v>
      </c>
      <c r="D142" s="14">
        <v>3561405</v>
      </c>
      <c r="E142" s="14">
        <f t="shared" si="32"/>
        <v>-2051905</v>
      </c>
      <c r="F142" s="14">
        <f t="shared" si="33"/>
        <v>-15559911</v>
      </c>
      <c r="G142" s="14">
        <v>78989289</v>
      </c>
      <c r="H142" s="14">
        <v>129209</v>
      </c>
      <c r="I142" s="14">
        <v>280900</v>
      </c>
      <c r="J142" s="14">
        <f t="shared" si="34"/>
        <v>-151691</v>
      </c>
      <c r="K142" s="14">
        <f t="shared" si="35"/>
        <v>-249345</v>
      </c>
      <c r="L142" s="14">
        <v>131500</v>
      </c>
      <c r="M142" s="14">
        <v>3718200</v>
      </c>
      <c r="N142" s="14">
        <v>5336300</v>
      </c>
      <c r="O142" s="14">
        <f t="shared" si="36"/>
        <v>-1618100</v>
      </c>
      <c r="P142" s="14">
        <f t="shared" si="37"/>
        <v>25606367</v>
      </c>
      <c r="Q142" s="14">
        <v>401371666</v>
      </c>
      <c r="R142" s="14">
        <v>656300</v>
      </c>
      <c r="S142" s="14">
        <v>683200</v>
      </c>
      <c r="T142" s="14">
        <f t="shared" si="38"/>
        <v>-26900</v>
      </c>
      <c r="U142" s="14">
        <f t="shared" si="39"/>
        <v>79200</v>
      </c>
      <c r="V142" s="14">
        <v>0</v>
      </c>
    </row>
    <row r="143" spans="1:22" ht="16" customHeight="1" x14ac:dyDescent="0.2">
      <c r="A143" s="14">
        <v>79</v>
      </c>
      <c r="B143" s="15">
        <v>46037</v>
      </c>
      <c r="C143" s="14">
        <v>2454100</v>
      </c>
      <c r="D143" s="14">
        <v>3674837</v>
      </c>
      <c r="E143" s="14">
        <f t="shared" si="32"/>
        <v>-1220737</v>
      </c>
      <c r="F143" s="14">
        <f t="shared" si="33"/>
        <v>-13508006</v>
      </c>
      <c r="G143" s="14">
        <v>78989289</v>
      </c>
      <c r="H143" s="14">
        <v>361824</v>
      </c>
      <c r="I143" s="14">
        <v>2400</v>
      </c>
      <c r="J143" s="14">
        <f t="shared" si="34"/>
        <v>359424</v>
      </c>
      <c r="K143" s="14">
        <f t="shared" si="35"/>
        <v>-97654</v>
      </c>
      <c r="L143" s="14">
        <v>131500</v>
      </c>
      <c r="M143" s="14">
        <v>3799201</v>
      </c>
      <c r="N143" s="14">
        <v>3894000</v>
      </c>
      <c r="O143" s="14">
        <f t="shared" si="36"/>
        <v>-94799</v>
      </c>
      <c r="P143" s="14">
        <f t="shared" si="37"/>
        <v>27224467</v>
      </c>
      <c r="Q143" s="14">
        <v>401371666</v>
      </c>
      <c r="R143" s="14">
        <v>199203</v>
      </c>
      <c r="S143" s="14">
        <v>190000</v>
      </c>
      <c r="T143" s="14">
        <f t="shared" si="38"/>
        <v>9203</v>
      </c>
      <c r="U143" s="14">
        <f t="shared" si="39"/>
        <v>106100</v>
      </c>
      <c r="V143" s="14">
        <v>0</v>
      </c>
    </row>
    <row r="144" spans="1:22" ht="16" customHeight="1" x14ac:dyDescent="0.2">
      <c r="A144" s="14">
        <v>80</v>
      </c>
      <c r="B144" s="15">
        <v>46036</v>
      </c>
      <c r="C144" s="14">
        <v>745820</v>
      </c>
      <c r="D144" s="14">
        <v>4845520</v>
      </c>
      <c r="E144" s="14">
        <f t="shared" si="32"/>
        <v>-4099700</v>
      </c>
      <c r="F144" s="14">
        <f t="shared" si="33"/>
        <v>-12287269</v>
      </c>
      <c r="G144" s="14">
        <v>73650818</v>
      </c>
      <c r="H144" s="14">
        <v>19040</v>
      </c>
      <c r="I144" s="14">
        <v>30300</v>
      </c>
      <c r="J144" s="14">
        <f t="shared" si="34"/>
        <v>-11260</v>
      </c>
      <c r="K144" s="14">
        <f t="shared" si="35"/>
        <v>-457078</v>
      </c>
      <c r="L144" s="14">
        <v>362224</v>
      </c>
      <c r="M144" s="14">
        <v>3195620</v>
      </c>
      <c r="N144" s="14">
        <v>4453920</v>
      </c>
      <c r="O144" s="14">
        <f t="shared" si="36"/>
        <v>-1258300</v>
      </c>
      <c r="P144" s="14">
        <f t="shared" si="37"/>
        <v>27319266</v>
      </c>
      <c r="Q144" s="14">
        <v>401371666</v>
      </c>
      <c r="R144" s="14">
        <v>995600</v>
      </c>
      <c r="S144" s="14">
        <v>869403</v>
      </c>
      <c r="T144" s="14">
        <f t="shared" si="38"/>
        <v>126197</v>
      </c>
      <c r="U144" s="14">
        <f t="shared" si="39"/>
        <v>96897</v>
      </c>
      <c r="V144" s="14">
        <v>9203</v>
      </c>
    </row>
    <row r="145" spans="1:22" ht="16" customHeight="1" x14ac:dyDescent="0.2">
      <c r="A145" s="14">
        <v>81</v>
      </c>
      <c r="B145" s="15">
        <v>46035</v>
      </c>
      <c r="C145" s="14">
        <v>1641920</v>
      </c>
      <c r="D145" s="14">
        <v>6980391</v>
      </c>
      <c r="E145" s="14">
        <f t="shared" si="32"/>
        <v>-5338471</v>
      </c>
      <c r="F145" s="14">
        <f t="shared" si="33"/>
        <v>-8187569</v>
      </c>
      <c r="G145" s="14">
        <v>73650818</v>
      </c>
      <c r="H145" s="14">
        <v>15000</v>
      </c>
      <c r="I145" s="14">
        <v>143700</v>
      </c>
      <c r="J145" s="14">
        <f t="shared" si="34"/>
        <v>-128700</v>
      </c>
      <c r="K145" s="14">
        <f t="shared" si="35"/>
        <v>-445818</v>
      </c>
      <c r="L145" s="14">
        <v>19830</v>
      </c>
      <c r="M145" s="14">
        <v>11604000</v>
      </c>
      <c r="N145" s="14">
        <v>5037600</v>
      </c>
      <c r="O145" s="14">
        <f t="shared" si="36"/>
        <v>6566400</v>
      </c>
      <c r="P145" s="14">
        <f t="shared" si="37"/>
        <v>28577566</v>
      </c>
      <c r="Q145" s="14">
        <v>401371666</v>
      </c>
      <c r="R145" s="14">
        <v>1479582</v>
      </c>
      <c r="S145" s="14">
        <v>1065200</v>
      </c>
      <c r="T145" s="14">
        <f t="shared" si="38"/>
        <v>414382</v>
      </c>
      <c r="U145" s="14">
        <f t="shared" si="39"/>
        <v>-29300</v>
      </c>
      <c r="V145" s="14">
        <v>135400</v>
      </c>
    </row>
    <row r="146" spans="1:22" ht="16" customHeight="1" x14ac:dyDescent="0.2">
      <c r="A146" s="14">
        <v>82</v>
      </c>
      <c r="B146" s="15">
        <v>46034</v>
      </c>
      <c r="C146" s="14">
        <v>4993853</v>
      </c>
      <c r="D146" s="14">
        <v>4677078</v>
      </c>
      <c r="E146" s="14">
        <f t="shared" si="32"/>
        <v>316775</v>
      </c>
      <c r="F146" s="14">
        <f t="shared" si="33"/>
        <v>-2849098</v>
      </c>
      <c r="G146" s="14">
        <v>73570920</v>
      </c>
      <c r="H146" s="14">
        <v>19001</v>
      </c>
      <c r="I146" s="14">
        <v>361395</v>
      </c>
      <c r="J146" s="14">
        <f t="shared" si="34"/>
        <v>-342394</v>
      </c>
      <c r="K146" s="14">
        <f t="shared" si="35"/>
        <v>-317118</v>
      </c>
      <c r="L146" s="14">
        <v>19200</v>
      </c>
      <c r="M146" s="14">
        <v>10862200</v>
      </c>
      <c r="N146" s="14">
        <v>1683836</v>
      </c>
      <c r="O146" s="14">
        <f t="shared" si="36"/>
        <v>9178364</v>
      </c>
      <c r="P146" s="14">
        <f t="shared" si="37"/>
        <v>22011166</v>
      </c>
      <c r="Q146" s="14">
        <v>407870013</v>
      </c>
      <c r="R146" s="14">
        <v>14600</v>
      </c>
      <c r="S146" s="14">
        <v>1000</v>
      </c>
      <c r="T146" s="14">
        <f t="shared" si="38"/>
        <v>13600</v>
      </c>
      <c r="U146" s="14">
        <f t="shared" si="39"/>
        <v>-443682</v>
      </c>
      <c r="V146" s="14">
        <v>549782</v>
      </c>
    </row>
    <row r="147" spans="1:22" ht="16" customHeight="1" x14ac:dyDescent="0.2">
      <c r="A147" s="14">
        <v>83</v>
      </c>
      <c r="B147" s="15">
        <v>46031</v>
      </c>
      <c r="C147" s="14">
        <v>3455002</v>
      </c>
      <c r="D147" s="14">
        <v>3534900</v>
      </c>
      <c r="E147" s="14">
        <f t="shared" si="32"/>
        <v>-79898</v>
      </c>
      <c r="F147" s="14">
        <f t="shared" si="33"/>
        <v>-3165873</v>
      </c>
      <c r="G147" s="14">
        <v>70514660</v>
      </c>
      <c r="H147" s="14">
        <v>17</v>
      </c>
      <c r="I147" s="14">
        <v>647</v>
      </c>
      <c r="J147" s="14">
        <f t="shared" si="34"/>
        <v>-630</v>
      </c>
      <c r="K147" s="14">
        <f t="shared" si="35"/>
        <v>25276</v>
      </c>
      <c r="L147" s="14">
        <v>19200</v>
      </c>
      <c r="M147" s="14">
        <v>1930442</v>
      </c>
      <c r="N147" s="14">
        <v>1998495</v>
      </c>
      <c r="O147" s="14">
        <f t="shared" si="36"/>
        <v>-68053</v>
      </c>
      <c r="P147" s="14">
        <f t="shared" si="37"/>
        <v>12832802</v>
      </c>
      <c r="Q147" s="14">
        <v>417080077</v>
      </c>
      <c r="R147" s="14">
        <v>3332939</v>
      </c>
      <c r="S147" s="14">
        <v>464600</v>
      </c>
      <c r="T147" s="14">
        <f t="shared" si="38"/>
        <v>2868339</v>
      </c>
      <c r="U147" s="14">
        <f t="shared" si="39"/>
        <v>-457282</v>
      </c>
      <c r="V147" s="14">
        <v>14600</v>
      </c>
    </row>
    <row r="148" spans="1:22" ht="16" customHeight="1" x14ac:dyDescent="0.2">
      <c r="A148" s="14">
        <v>84</v>
      </c>
      <c r="B148" s="15">
        <v>46030</v>
      </c>
      <c r="C148" s="14">
        <v>2332065</v>
      </c>
      <c r="D148" s="14">
        <v>5705100</v>
      </c>
      <c r="E148" s="14">
        <f t="shared" si="32"/>
        <v>-3373035</v>
      </c>
      <c r="F148" s="14">
        <f t="shared" si="33"/>
        <v>-3085975</v>
      </c>
      <c r="G148" s="14">
        <v>67242060</v>
      </c>
      <c r="H148" s="14">
        <v>35600</v>
      </c>
      <c r="I148" s="14">
        <v>1000</v>
      </c>
      <c r="J148" s="14">
        <f t="shared" si="34"/>
        <v>34600</v>
      </c>
      <c r="K148" s="14">
        <f t="shared" si="35"/>
        <v>25906</v>
      </c>
      <c r="L148" s="14">
        <v>35500</v>
      </c>
      <c r="M148" s="14">
        <v>2987000</v>
      </c>
      <c r="N148" s="14">
        <v>964811</v>
      </c>
      <c r="O148" s="14">
        <f t="shared" si="36"/>
        <v>2022189</v>
      </c>
      <c r="P148" s="14">
        <f t="shared" si="37"/>
        <v>12900855</v>
      </c>
      <c r="Q148" s="14">
        <v>418657646</v>
      </c>
      <c r="R148" s="14">
        <v>1628219</v>
      </c>
      <c r="S148" s="14">
        <v>2177001</v>
      </c>
      <c r="T148" s="14">
        <f t="shared" si="38"/>
        <v>-548782</v>
      </c>
      <c r="U148" s="14">
        <f t="shared" si="39"/>
        <v>-3325621</v>
      </c>
      <c r="V148" s="14">
        <v>2808920</v>
      </c>
    </row>
    <row r="149" spans="1:22" ht="16" customHeight="1" x14ac:dyDescent="0.2">
      <c r="A149" s="14">
        <v>85</v>
      </c>
      <c r="B149" s="15">
        <v>46029</v>
      </c>
      <c r="C149" s="14">
        <v>5437860</v>
      </c>
      <c r="D149" s="14">
        <v>3293000</v>
      </c>
      <c r="E149" s="14">
        <f t="shared" si="32"/>
        <v>2144860</v>
      </c>
      <c r="F149" s="14">
        <f t="shared" si="33"/>
        <v>287060</v>
      </c>
      <c r="G149" s="14">
        <v>68656860</v>
      </c>
      <c r="H149" s="14">
        <v>100</v>
      </c>
      <c r="I149" s="14">
        <v>18300</v>
      </c>
      <c r="J149" s="14">
        <f t="shared" si="34"/>
        <v>-18200</v>
      </c>
      <c r="K149" s="14">
        <f t="shared" si="35"/>
        <v>-8694</v>
      </c>
      <c r="L149" s="14">
        <v>35600</v>
      </c>
      <c r="M149" s="14">
        <v>5724842</v>
      </c>
      <c r="N149" s="14">
        <v>700133</v>
      </c>
      <c r="O149" s="14">
        <f t="shared" si="36"/>
        <v>5024709</v>
      </c>
      <c r="P149" s="14">
        <f t="shared" si="37"/>
        <v>10878666</v>
      </c>
      <c r="Q149" s="14">
        <v>419129766</v>
      </c>
      <c r="R149" s="14">
        <v>166000</v>
      </c>
      <c r="S149" s="14">
        <v>74019</v>
      </c>
      <c r="T149" s="14">
        <f t="shared" si="38"/>
        <v>91981</v>
      </c>
      <c r="U149" s="14">
        <f t="shared" si="39"/>
        <v>-2776839</v>
      </c>
      <c r="V149" s="14">
        <v>14119</v>
      </c>
    </row>
    <row r="150" spans="1:22" ht="16" customHeight="1" x14ac:dyDescent="0.2">
      <c r="A150" s="14">
        <v>86</v>
      </c>
      <c r="B150" s="15">
        <v>46028</v>
      </c>
      <c r="C150" s="14">
        <v>1367000</v>
      </c>
      <c r="D150" s="14">
        <v>3224800</v>
      </c>
      <c r="E150" s="14">
        <f t="shared" si="32"/>
        <v>-1857800</v>
      </c>
      <c r="F150" s="14">
        <f t="shared" si="33"/>
        <v>-1857800</v>
      </c>
      <c r="G150" s="14">
        <v>70801720</v>
      </c>
      <c r="H150" s="14">
        <v>9506</v>
      </c>
      <c r="I150" s="14">
        <v>0</v>
      </c>
      <c r="J150" s="14">
        <f t="shared" si="34"/>
        <v>9506</v>
      </c>
      <c r="K150" s="14">
        <f t="shared" si="35"/>
        <v>9506</v>
      </c>
      <c r="L150" s="14">
        <v>100</v>
      </c>
      <c r="M150" s="14">
        <v>7566200</v>
      </c>
      <c r="N150" s="14">
        <v>1712243</v>
      </c>
      <c r="O150" s="14">
        <f t="shared" si="36"/>
        <v>5853957</v>
      </c>
      <c r="P150" s="14">
        <f t="shared" si="37"/>
        <v>5853957</v>
      </c>
      <c r="Q150" s="14">
        <v>421928265</v>
      </c>
      <c r="R150" s="14">
        <v>198500</v>
      </c>
      <c r="S150" s="14">
        <v>3067320</v>
      </c>
      <c r="T150" s="14">
        <f t="shared" si="38"/>
        <v>-2868820</v>
      </c>
      <c r="U150" s="14">
        <f t="shared" si="39"/>
        <v>-2868820</v>
      </c>
      <c r="V150" s="14">
        <v>106100</v>
      </c>
    </row>
    <row r="151" spans="1:22" ht="16" customHeight="1" x14ac:dyDescent="0.2">
      <c r="A151" s="14">
        <v>87</v>
      </c>
      <c r="B151" s="15">
        <v>46027</v>
      </c>
      <c r="C151" s="14">
        <v>1627190</v>
      </c>
      <c r="D151" s="14">
        <v>901706</v>
      </c>
      <c r="E151" s="14">
        <f t="shared" si="32"/>
        <v>725484</v>
      </c>
      <c r="F151" s="14"/>
      <c r="G151" s="14">
        <v>70801720</v>
      </c>
      <c r="H151" s="14">
        <v>5300</v>
      </c>
      <c r="I151" s="14">
        <v>40800</v>
      </c>
      <c r="J151" s="14">
        <f t="shared" si="34"/>
        <v>-35500</v>
      </c>
      <c r="K151" s="14"/>
      <c r="L151" s="14">
        <v>9606</v>
      </c>
      <c r="M151" s="14">
        <v>435400</v>
      </c>
      <c r="N151" s="14">
        <v>2700510</v>
      </c>
      <c r="O151" s="14">
        <f t="shared" si="36"/>
        <v>-2265110</v>
      </c>
      <c r="P151" s="14"/>
      <c r="Q151" s="14">
        <v>427782222</v>
      </c>
      <c r="R151" s="14">
        <v>332209</v>
      </c>
      <c r="S151" s="14">
        <v>202950</v>
      </c>
      <c r="T151" s="14">
        <f t="shared" si="38"/>
        <v>129259</v>
      </c>
      <c r="U151" s="14"/>
      <c r="V151" s="14">
        <v>106100</v>
      </c>
    </row>
    <row r="152" spans="1:22" ht="16" customHeight="1" x14ac:dyDescent="0.2">
      <c r="C152" s="3"/>
      <c r="D152" s="3"/>
      <c r="E152" s="3"/>
      <c r="F152" s="3"/>
      <c r="G152" s="3"/>
      <c r="H152" s="3"/>
      <c r="I152" s="3"/>
    </row>
    <row r="153" spans="1:22" ht="16" x14ac:dyDescent="0.2">
      <c r="C153" s="4"/>
      <c r="D153" s="4"/>
      <c r="E153" s="4"/>
      <c r="F153" s="4"/>
      <c r="G153" s="4"/>
      <c r="H153" s="4"/>
      <c r="I153" s="4"/>
    </row>
    <row r="154" spans="1:22" ht="16" x14ac:dyDescent="0.2">
      <c r="A154" s="3" t="s">
        <v>14</v>
      </c>
      <c r="B154" s="3"/>
      <c r="C154" s="4"/>
      <c r="D154" s="4"/>
      <c r="E154" s="4"/>
      <c r="F154" s="4"/>
      <c r="G154" s="4"/>
      <c r="H154" s="4"/>
      <c r="I154" s="4"/>
    </row>
    <row r="155" spans="1:22" ht="16" x14ac:dyDescent="0.2">
      <c r="A155" s="3" t="s">
        <v>15</v>
      </c>
      <c r="B155" s="3"/>
      <c r="C155" s="5"/>
      <c r="D155" s="5"/>
      <c r="E155" s="5"/>
      <c r="F155" s="5"/>
      <c r="G155" s="5"/>
      <c r="H155" s="5"/>
      <c r="I155" s="5"/>
    </row>
    <row r="156" spans="1:22" ht="16" x14ac:dyDescent="0.2">
      <c r="A156" s="4" t="s">
        <v>16</v>
      </c>
      <c r="B156" s="4"/>
    </row>
    <row r="157" spans="1:22" ht="16" x14ac:dyDescent="0.2">
      <c r="A157" s="4" t="s">
        <v>17</v>
      </c>
      <c r="B157" s="4"/>
      <c r="C157" s="3"/>
      <c r="D157" s="3"/>
      <c r="E157" s="3"/>
      <c r="F157" s="3"/>
      <c r="G157" s="3"/>
      <c r="H157" s="3"/>
      <c r="I157" s="3"/>
    </row>
    <row r="158" spans="1:22" ht="16" x14ac:dyDescent="0.2">
      <c r="A158" s="1" t="s">
        <v>18</v>
      </c>
      <c r="B158" s="5"/>
      <c r="C158" s="4"/>
      <c r="D158" s="4"/>
      <c r="E158" s="4"/>
      <c r="F158" s="4"/>
      <c r="G158" s="4"/>
      <c r="H158" s="4"/>
      <c r="I158" s="4"/>
    </row>
    <row r="159" spans="1:22" ht="16" x14ac:dyDescent="0.2">
      <c r="A159" t="s">
        <v>19</v>
      </c>
      <c r="C159" s="5"/>
      <c r="D159" s="5"/>
      <c r="E159" s="5"/>
      <c r="F159" s="5"/>
      <c r="G159" s="5"/>
      <c r="H159" s="5"/>
      <c r="I159" s="5"/>
    </row>
    <row r="160" spans="1:22" ht="16" x14ac:dyDescent="0.2">
      <c r="A160" s="3" t="s">
        <v>20</v>
      </c>
      <c r="B160" s="3"/>
    </row>
    <row r="161" spans="1:12" ht="16" x14ac:dyDescent="0.2">
      <c r="A161" s="4" t="s">
        <v>21</v>
      </c>
      <c r="B161" s="4"/>
    </row>
    <row r="162" spans="1:12" ht="16" x14ac:dyDescent="0.2">
      <c r="A162" s="1" t="s">
        <v>22</v>
      </c>
      <c r="B162" s="5"/>
      <c r="C162" s="5"/>
      <c r="D162" s="5"/>
      <c r="E162" s="5"/>
      <c r="F162" s="5"/>
      <c r="G162" s="5"/>
      <c r="H162" s="5"/>
      <c r="I162" s="5"/>
      <c r="J162" s="2"/>
      <c r="K162" s="2"/>
      <c r="L162" s="2"/>
    </row>
    <row r="163" spans="1:12" x14ac:dyDescent="0.2">
      <c r="A163" t="s">
        <v>23</v>
      </c>
    </row>
    <row r="167" spans="1:12" x14ac:dyDescent="0.2">
      <c r="A167" t="s">
        <v>19</v>
      </c>
    </row>
    <row r="168" spans="1:12" x14ac:dyDescent="0.2">
      <c r="A168" t="s">
        <v>23</v>
      </c>
    </row>
    <row r="172" spans="1:12" x14ac:dyDescent="0.2">
      <c r="A172" t="s">
        <v>19</v>
      </c>
    </row>
  </sheetData>
  <autoFilter ref="A9:V9" xr:uid="{00000000-0009-0000-0000-000000000000}">
    <sortState xmlns:xlrd2="http://schemas.microsoft.com/office/spreadsheetml/2017/richdata2" ref="A10:V96">
      <sortCondition descending="1" ref="B9:B96"/>
    </sortState>
  </autoFilter>
  <mergeCells count="4">
    <mergeCell ref="M8:Q8"/>
    <mergeCell ref="C8:G8"/>
    <mergeCell ref="H8:L8"/>
    <mergeCell ref="R8:V8"/>
  </mergeCells>
  <hyperlinks>
    <hyperlink ref="A130" r:id="rId1" display="https://fiingroup.vn/" xr:uid="{00000000-0004-0000-0000-000000000000}"/>
    <hyperlink ref="A134" r:id="rId2" display="mailto:fiinpro.support@fiingroup.vn" xr:uid="{00000000-0004-0000-0000-000001000000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K146"/>
  <sheetViews>
    <sheetView workbookViewId="0">
      <selection activeCell="H9" sqref="H9:K10"/>
    </sheetView>
  </sheetViews>
  <sheetFormatPr baseColWidth="10" defaultRowHeight="15" x14ac:dyDescent="0.2"/>
  <cols>
    <col min="2" max="2" width="11.6640625" bestFit="1" customWidth="1"/>
    <col min="4" max="5" width="11.6640625" bestFit="1" customWidth="1"/>
    <col min="8" max="8" width="11.6640625" bestFit="1" customWidth="1"/>
    <col min="10" max="11" width="11.6640625" bestFit="1" customWidth="1"/>
  </cols>
  <sheetData>
    <row r="4" spans="1:11" ht="17" customHeight="1" x14ac:dyDescent="0.2">
      <c r="A4" s="12" t="s">
        <v>8</v>
      </c>
      <c r="B4" s="12" t="s">
        <v>3</v>
      </c>
      <c r="C4" s="12" t="s">
        <v>4</v>
      </c>
      <c r="D4" s="12" t="s">
        <v>5</v>
      </c>
      <c r="E4" s="12" t="s">
        <v>6</v>
      </c>
      <c r="H4" s="12" t="s">
        <v>3</v>
      </c>
      <c r="I4" s="12" t="s">
        <v>4</v>
      </c>
      <c r="J4" s="12" t="s">
        <v>5</v>
      </c>
      <c r="K4" s="12" t="s">
        <v>6</v>
      </c>
    </row>
    <row r="5" spans="1:11" x14ac:dyDescent="0.2">
      <c r="A5" s="17">
        <v>46234</v>
      </c>
      <c r="B5" s="16">
        <v>-228820850</v>
      </c>
      <c r="C5" s="16">
        <v>-53116009</v>
      </c>
      <c r="D5" s="16">
        <v>-103383042</v>
      </c>
      <c r="E5" s="16">
        <v>-108872152</v>
      </c>
      <c r="F5" s="17"/>
      <c r="G5" s="23" t="s">
        <v>24</v>
      </c>
      <c r="H5" s="16">
        <f>B75-B97</f>
        <v>4150481</v>
      </c>
      <c r="I5" s="16">
        <f>C75-C97</f>
        <v>86985</v>
      </c>
      <c r="J5" s="16">
        <f>D75-D97</f>
        <v>-19319751</v>
      </c>
      <c r="K5" s="16">
        <f>E75-E97</f>
        <v>-2147792</v>
      </c>
    </row>
    <row r="6" spans="1:11" x14ac:dyDescent="0.2">
      <c r="A6" s="17">
        <v>46233</v>
      </c>
      <c r="B6" s="16">
        <v>-226166195</v>
      </c>
      <c r="C6" s="16">
        <v>-52451609</v>
      </c>
      <c r="D6" s="16">
        <v>-100645842</v>
      </c>
      <c r="E6" s="16">
        <v>-106417212</v>
      </c>
      <c r="F6" s="17"/>
      <c r="G6" s="23" t="s">
        <v>25</v>
      </c>
      <c r="H6" s="16">
        <f>B55-B75</f>
        <v>-131920183</v>
      </c>
      <c r="I6" s="16">
        <f>C55-C75</f>
        <v>-6387986</v>
      </c>
      <c r="J6" s="16">
        <f>D55-D75</f>
        <v>-8080348</v>
      </c>
      <c r="K6" s="16">
        <f>E55-E75</f>
        <v>-13803244</v>
      </c>
    </row>
    <row r="7" spans="1:11" x14ac:dyDescent="0.2">
      <c r="A7" s="17">
        <v>46232</v>
      </c>
      <c r="B7" s="16">
        <v>-223340221</v>
      </c>
      <c r="C7" s="16">
        <v>-52275609</v>
      </c>
      <c r="D7" s="16">
        <v>-99845242</v>
      </c>
      <c r="E7" s="16">
        <v>-101439572</v>
      </c>
      <c r="F7" s="17"/>
      <c r="G7" s="23" t="s">
        <v>26</v>
      </c>
      <c r="H7" s="16">
        <f>B35-B55</f>
        <v>-17370861</v>
      </c>
      <c r="I7" s="16">
        <f>C35-C55</f>
        <v>-17860342</v>
      </c>
      <c r="J7" s="16">
        <f>D35-D55</f>
        <v>-41923991</v>
      </c>
      <c r="K7" s="16">
        <f>E35-E55</f>
        <v>-38085620</v>
      </c>
    </row>
    <row r="8" spans="1:11" x14ac:dyDescent="0.2">
      <c r="A8" s="17">
        <v>46231</v>
      </c>
      <c r="B8" s="16">
        <v>-221288105</v>
      </c>
      <c r="C8" s="16">
        <v>-51674809</v>
      </c>
      <c r="D8" s="16">
        <v>-98244669</v>
      </c>
      <c r="E8" s="16">
        <v>-99722237</v>
      </c>
      <c r="F8" s="17"/>
      <c r="G8" s="23" t="s">
        <v>27</v>
      </c>
      <c r="H8" s="16">
        <f>B13-B35</f>
        <v>4293512</v>
      </c>
      <c r="I8" s="16">
        <f>C13-C35</f>
        <v>-16017491</v>
      </c>
      <c r="J8" s="16">
        <f>D13-D35</f>
        <v>-32182660</v>
      </c>
      <c r="K8" s="16">
        <f>E13-E35</f>
        <v>-32762639</v>
      </c>
    </row>
    <row r="9" spans="1:11" x14ac:dyDescent="0.2">
      <c r="A9" s="17">
        <v>46230</v>
      </c>
      <c r="B9" s="16">
        <v>-221455305</v>
      </c>
      <c r="C9" s="16">
        <v>-51938739</v>
      </c>
      <c r="D9" s="16">
        <v>-95950569</v>
      </c>
      <c r="E9" s="16">
        <v>-98296067</v>
      </c>
      <c r="F9" s="17"/>
      <c r="G9" s="23" t="s">
        <v>28</v>
      </c>
      <c r="H9" s="16">
        <f>B5-B28</f>
        <v>-20044268</v>
      </c>
      <c r="I9" s="16">
        <f>C5-C28</f>
        <v>-25052808</v>
      </c>
      <c r="J9" s="16">
        <f t="shared" ref="J9:K9" si="0">D5-D28</f>
        <v>-39496132</v>
      </c>
      <c r="K9" s="16">
        <f t="shared" si="0"/>
        <v>-43747657</v>
      </c>
    </row>
    <row r="10" spans="1:11" x14ac:dyDescent="0.2">
      <c r="A10" s="17">
        <v>46227</v>
      </c>
      <c r="B10" s="16">
        <v>-219446840</v>
      </c>
      <c r="C10" s="16">
        <v>-51173038</v>
      </c>
      <c r="D10" s="16">
        <v>-92048908</v>
      </c>
      <c r="E10" s="16">
        <v>-95802052</v>
      </c>
      <c r="F10" s="17"/>
      <c r="G10" s="20" t="s">
        <v>29</v>
      </c>
      <c r="H10" s="16">
        <f>B5</f>
        <v>-228820850</v>
      </c>
      <c r="I10" s="16">
        <f>C5</f>
        <v>-53116009</v>
      </c>
      <c r="J10" s="16">
        <f>D5</f>
        <v>-103383042</v>
      </c>
      <c r="K10" s="16">
        <f>E5</f>
        <v>-108872152</v>
      </c>
    </row>
    <row r="11" spans="1:11" x14ac:dyDescent="0.2">
      <c r="A11" s="17">
        <v>46226</v>
      </c>
      <c r="B11" s="16">
        <v>-217405628</v>
      </c>
      <c r="C11" s="16">
        <v>-50217438</v>
      </c>
      <c r="D11" s="16">
        <v>-88884218</v>
      </c>
      <c r="E11" s="16">
        <v>-93165183</v>
      </c>
      <c r="F11" s="17"/>
      <c r="G11" s="23"/>
      <c r="H11" s="24"/>
      <c r="I11" s="24"/>
      <c r="J11" s="24"/>
      <c r="K11" s="24"/>
    </row>
    <row r="12" spans="1:11" x14ac:dyDescent="0.2">
      <c r="A12" s="17">
        <v>46225</v>
      </c>
      <c r="B12" s="16">
        <v>-216717633</v>
      </c>
      <c r="C12" s="16">
        <v>-50918738</v>
      </c>
      <c r="D12" s="16">
        <v>-85458418</v>
      </c>
      <c r="E12" s="16">
        <v>-89095983</v>
      </c>
      <c r="F12" s="17"/>
      <c r="G12" s="23"/>
      <c r="H12" s="24"/>
      <c r="I12" s="24"/>
      <c r="J12" s="24"/>
      <c r="K12" s="24"/>
    </row>
    <row r="13" spans="1:11" x14ac:dyDescent="0.2">
      <c r="A13" s="17">
        <v>46224</v>
      </c>
      <c r="B13" s="16">
        <v>-208230618</v>
      </c>
      <c r="C13" s="16">
        <v>-43181457</v>
      </c>
      <c r="D13" s="16">
        <v>-79036418</v>
      </c>
      <c r="E13" s="16">
        <v>-86859003</v>
      </c>
      <c r="F13" s="17"/>
      <c r="G13" s="23"/>
      <c r="H13" s="24"/>
      <c r="I13" s="24"/>
      <c r="J13" s="24"/>
      <c r="K13" s="24"/>
    </row>
    <row r="14" spans="1:11" x14ac:dyDescent="0.2">
      <c r="A14" s="17">
        <v>46223</v>
      </c>
      <c r="B14" s="16">
        <v>-205358184</v>
      </c>
      <c r="C14" s="16">
        <v>-43121557</v>
      </c>
      <c r="D14" s="16">
        <v>-78326318</v>
      </c>
      <c r="E14" s="16">
        <v>-84880803</v>
      </c>
      <c r="F14" s="17"/>
      <c r="G14" s="23"/>
      <c r="H14" s="24"/>
      <c r="I14" s="24"/>
      <c r="J14" s="24"/>
      <c r="K14" s="24"/>
    </row>
    <row r="15" spans="1:11" x14ac:dyDescent="0.2">
      <c r="A15" s="17">
        <v>46220</v>
      </c>
      <c r="B15" s="16">
        <v>-204814940</v>
      </c>
      <c r="C15" s="16">
        <v>-43122557</v>
      </c>
      <c r="D15" s="16">
        <v>-75775396</v>
      </c>
      <c r="E15" s="16">
        <v>-84106403</v>
      </c>
      <c r="F15" s="17"/>
      <c r="G15" s="23"/>
      <c r="H15" s="24"/>
      <c r="I15" s="24"/>
      <c r="J15" s="24"/>
      <c r="K15" s="24"/>
    </row>
    <row r="16" spans="1:11" x14ac:dyDescent="0.2">
      <c r="A16" s="17">
        <v>46219</v>
      </c>
      <c r="B16" s="16">
        <v>-203046034</v>
      </c>
      <c r="C16" s="16">
        <v>-43065002</v>
      </c>
      <c r="D16" s="16">
        <v>-73314064</v>
      </c>
      <c r="E16" s="16">
        <v>-81239214</v>
      </c>
      <c r="F16" s="17"/>
      <c r="G16" s="20"/>
      <c r="H16" s="21"/>
      <c r="I16" s="21"/>
      <c r="J16" s="21"/>
      <c r="K16" s="21"/>
    </row>
    <row r="17" spans="1:11" x14ac:dyDescent="0.2">
      <c r="A17" s="17">
        <v>46218</v>
      </c>
      <c r="B17" s="16">
        <v>-212292749</v>
      </c>
      <c r="C17" s="16">
        <v>-43206702</v>
      </c>
      <c r="D17" s="16">
        <v>-69979264</v>
      </c>
      <c r="E17" s="16">
        <v>-79324614</v>
      </c>
      <c r="F17" s="17"/>
      <c r="G17" s="20"/>
      <c r="H17" s="21"/>
      <c r="I17" s="21"/>
      <c r="J17" s="21"/>
      <c r="K17" s="21"/>
    </row>
    <row r="18" spans="1:11" x14ac:dyDescent="0.2">
      <c r="A18" s="17">
        <v>46217</v>
      </c>
      <c r="B18" s="16">
        <v>-211634609</v>
      </c>
      <c r="C18" s="16">
        <v>-41711096</v>
      </c>
      <c r="D18" s="16">
        <v>-67887683</v>
      </c>
      <c r="E18" s="16">
        <v>-77278528</v>
      </c>
      <c r="F18" s="17"/>
      <c r="G18" s="20"/>
      <c r="H18" s="21"/>
      <c r="I18" s="21"/>
      <c r="J18" s="21"/>
      <c r="K18" s="21"/>
    </row>
    <row r="19" spans="1:11" x14ac:dyDescent="0.2">
      <c r="A19" s="17">
        <v>46216</v>
      </c>
      <c r="B19" s="16">
        <v>-212809913</v>
      </c>
      <c r="C19" s="16">
        <v>-40812822</v>
      </c>
      <c r="D19" s="16">
        <v>-64661633</v>
      </c>
      <c r="E19" s="16">
        <v>-75927128</v>
      </c>
      <c r="F19" s="17"/>
      <c r="G19" s="19"/>
      <c r="H19" s="19"/>
      <c r="I19" s="19"/>
      <c r="J19" s="19"/>
      <c r="K19" s="19"/>
    </row>
    <row r="20" spans="1:11" x14ac:dyDescent="0.2">
      <c r="A20" s="17">
        <v>46213</v>
      </c>
      <c r="B20" s="16">
        <v>-211848913</v>
      </c>
      <c r="C20" s="16">
        <v>-37646222</v>
      </c>
      <c r="D20" s="16">
        <v>-60808803</v>
      </c>
      <c r="E20" s="16">
        <v>-77450644</v>
      </c>
      <c r="F20" s="17"/>
      <c r="G20" s="19"/>
      <c r="H20" s="19"/>
      <c r="I20" s="19"/>
      <c r="J20" s="19"/>
      <c r="K20" s="19"/>
    </row>
    <row r="21" spans="1:11" x14ac:dyDescent="0.2">
      <c r="A21" s="17">
        <v>46212</v>
      </c>
      <c r="B21" s="16">
        <v>-210848101</v>
      </c>
      <c r="C21" s="16">
        <v>-36359222</v>
      </c>
      <c r="D21" s="16">
        <v>-57763851</v>
      </c>
      <c r="E21" s="16">
        <v>-76422044</v>
      </c>
      <c r="F21" s="17"/>
      <c r="G21" s="19"/>
      <c r="H21" s="19"/>
      <c r="I21" s="19"/>
      <c r="J21" s="19"/>
      <c r="K21" s="19"/>
    </row>
    <row r="22" spans="1:11" x14ac:dyDescent="0.2">
      <c r="A22" s="17">
        <v>46211</v>
      </c>
      <c r="B22" s="16">
        <v>-211658965</v>
      </c>
      <c r="C22" s="16">
        <v>-36155523</v>
      </c>
      <c r="D22" s="16">
        <v>-55261651</v>
      </c>
      <c r="E22" s="16">
        <v>-73725759</v>
      </c>
      <c r="F22" s="17"/>
      <c r="G22" s="19"/>
      <c r="H22" s="19"/>
      <c r="I22" s="19"/>
      <c r="J22" s="19"/>
      <c r="K22" s="19"/>
    </row>
    <row r="23" spans="1:11" x14ac:dyDescent="0.2">
      <c r="A23" s="17">
        <v>46210</v>
      </c>
      <c r="B23" s="16">
        <v>-213004287</v>
      </c>
      <c r="C23" s="16">
        <v>-34355023</v>
      </c>
      <c r="D23" s="16">
        <v>-50831041</v>
      </c>
      <c r="E23" s="16">
        <v>-70409537</v>
      </c>
      <c r="F23" s="17"/>
      <c r="G23" s="19"/>
      <c r="H23" s="19"/>
      <c r="I23" s="19"/>
      <c r="J23" s="19"/>
      <c r="K23" s="19"/>
    </row>
    <row r="24" spans="1:11" x14ac:dyDescent="0.2">
      <c r="A24" s="17">
        <v>46209</v>
      </c>
      <c r="B24" s="16">
        <v>-213586287</v>
      </c>
      <c r="C24" s="16">
        <v>-34304215</v>
      </c>
      <c r="D24" s="16">
        <v>-50272241</v>
      </c>
      <c r="E24" s="16">
        <v>-70384837</v>
      </c>
      <c r="F24" s="17"/>
      <c r="G24" s="19"/>
      <c r="H24" s="19"/>
      <c r="I24" s="19"/>
      <c r="J24" s="19"/>
      <c r="K24" s="19"/>
    </row>
    <row r="25" spans="1:11" x14ac:dyDescent="0.2">
      <c r="A25" s="17">
        <v>46206</v>
      </c>
      <c r="B25" s="16">
        <v>-213435567</v>
      </c>
      <c r="C25" s="16">
        <v>-32145579</v>
      </c>
      <c r="D25" s="16">
        <v>-51631820</v>
      </c>
      <c r="E25" s="16">
        <v>-70716727</v>
      </c>
      <c r="F25" s="17"/>
      <c r="G25" s="19"/>
      <c r="H25" s="19"/>
      <c r="I25" s="19"/>
      <c r="J25" s="19"/>
      <c r="K25" s="19"/>
    </row>
    <row r="26" spans="1:11" x14ac:dyDescent="0.2">
      <c r="A26" s="17">
        <v>46205</v>
      </c>
      <c r="B26" s="16">
        <v>-211479145</v>
      </c>
      <c r="C26" s="16">
        <v>-28784823</v>
      </c>
      <c r="D26" s="16">
        <v>-53073120</v>
      </c>
      <c r="E26" s="16">
        <v>-68027275</v>
      </c>
      <c r="F26" s="17"/>
      <c r="G26" s="19"/>
      <c r="H26" s="19"/>
      <c r="I26" s="19"/>
      <c r="J26" s="19"/>
      <c r="K26" s="19"/>
    </row>
    <row r="27" spans="1:11" x14ac:dyDescent="0.2">
      <c r="A27" s="17">
        <v>46204</v>
      </c>
      <c r="B27" s="16">
        <v>-209036645</v>
      </c>
      <c r="C27" s="16">
        <v>-29069801</v>
      </c>
      <c r="D27" s="16">
        <v>-52073220</v>
      </c>
      <c r="E27" s="16">
        <v>-65639295</v>
      </c>
      <c r="F27" s="17"/>
      <c r="G27" s="19"/>
      <c r="H27" s="19"/>
      <c r="I27" s="19"/>
      <c r="J27" s="19"/>
      <c r="K27" s="19"/>
    </row>
    <row r="28" spans="1:11" x14ac:dyDescent="0.2">
      <c r="A28" s="17">
        <v>46203</v>
      </c>
      <c r="B28" s="16">
        <v>-208776582</v>
      </c>
      <c r="C28" s="16">
        <v>-28063201</v>
      </c>
      <c r="D28" s="16">
        <v>-63886910</v>
      </c>
      <c r="E28" s="16">
        <v>-65124495</v>
      </c>
      <c r="F28" s="17"/>
      <c r="G28" s="19"/>
      <c r="H28" s="19"/>
      <c r="I28" s="19"/>
      <c r="J28" s="19"/>
      <c r="K28" s="19"/>
    </row>
    <row r="29" spans="1:11" x14ac:dyDescent="0.2">
      <c r="A29" s="17">
        <v>46202</v>
      </c>
      <c r="B29" s="16">
        <v>-208827182</v>
      </c>
      <c r="C29" s="16">
        <v>-28563201</v>
      </c>
      <c r="D29" s="16">
        <v>-52105810</v>
      </c>
      <c r="E29" s="16">
        <v>-64071995</v>
      </c>
      <c r="F29" s="17"/>
      <c r="G29" s="18"/>
      <c r="H29" s="18"/>
      <c r="I29" s="18"/>
      <c r="J29" s="18"/>
      <c r="K29" s="18"/>
    </row>
    <row r="30" spans="1:11" x14ac:dyDescent="0.2">
      <c r="A30" s="17">
        <v>46199</v>
      </c>
      <c r="B30" s="16">
        <v>-209568902</v>
      </c>
      <c r="C30" s="16">
        <v>-28432349</v>
      </c>
      <c r="D30" s="16">
        <v>-50659849</v>
      </c>
      <c r="E30" s="16">
        <v>-62855005</v>
      </c>
      <c r="F30" s="17"/>
      <c r="G30" s="18"/>
      <c r="H30" s="18"/>
      <c r="I30" s="18"/>
      <c r="J30" s="18"/>
      <c r="K30" s="18"/>
    </row>
    <row r="31" spans="1:11" x14ac:dyDescent="0.2">
      <c r="A31" s="17">
        <v>46198</v>
      </c>
      <c r="B31" s="16">
        <v>-212571402</v>
      </c>
      <c r="C31" s="16">
        <v>-28283249</v>
      </c>
      <c r="D31" s="16">
        <v>-50811149</v>
      </c>
      <c r="E31" s="16">
        <v>-62289006</v>
      </c>
      <c r="F31" s="17"/>
      <c r="G31" s="18"/>
      <c r="H31" s="18"/>
      <c r="I31" s="18"/>
      <c r="J31" s="18"/>
      <c r="K31" s="18"/>
    </row>
    <row r="32" spans="1:11" x14ac:dyDescent="0.2">
      <c r="A32" s="17">
        <v>46197</v>
      </c>
      <c r="B32" s="16">
        <v>-212583312</v>
      </c>
      <c r="C32" s="16">
        <v>-28207749</v>
      </c>
      <c r="D32" s="16">
        <v>-51081349</v>
      </c>
      <c r="E32" s="16">
        <v>-62540437</v>
      </c>
      <c r="F32" s="17"/>
      <c r="G32" s="18"/>
      <c r="H32" s="18"/>
      <c r="I32" s="18"/>
      <c r="J32" s="18"/>
      <c r="K32" s="18"/>
    </row>
    <row r="33" spans="1:11" x14ac:dyDescent="0.2">
      <c r="A33" s="17">
        <v>46196</v>
      </c>
      <c r="B33" s="16">
        <v>-212524841</v>
      </c>
      <c r="C33" s="16">
        <v>-27060238</v>
      </c>
      <c r="D33" s="16">
        <v>-47689994</v>
      </c>
      <c r="E33" s="16">
        <v>-60387976</v>
      </c>
      <c r="F33" s="17"/>
      <c r="G33" s="18"/>
      <c r="H33" s="18"/>
      <c r="I33" s="18"/>
      <c r="J33" s="18"/>
      <c r="K33" s="18"/>
    </row>
    <row r="34" spans="1:11" x14ac:dyDescent="0.2">
      <c r="A34" s="17">
        <v>46195</v>
      </c>
      <c r="B34" s="16">
        <v>-214105191</v>
      </c>
      <c r="C34" s="16">
        <v>-27496112</v>
      </c>
      <c r="D34" s="16">
        <v>-48488356</v>
      </c>
      <c r="E34" s="16">
        <v>-55603186</v>
      </c>
      <c r="F34" s="17"/>
    </row>
    <row r="35" spans="1:11" x14ac:dyDescent="0.2">
      <c r="A35" s="17">
        <v>46192</v>
      </c>
      <c r="B35" s="16">
        <v>-212524130</v>
      </c>
      <c r="C35" s="16">
        <v>-27163966</v>
      </c>
      <c r="D35" s="16">
        <v>-46853758</v>
      </c>
      <c r="E35" s="16">
        <v>-54096364</v>
      </c>
      <c r="F35" s="17"/>
    </row>
    <row r="36" spans="1:11" x14ac:dyDescent="0.2">
      <c r="A36" s="17">
        <v>46191</v>
      </c>
      <c r="B36" s="16">
        <v>-211438239</v>
      </c>
      <c r="C36" s="16">
        <v>-26891966</v>
      </c>
      <c r="D36" s="16">
        <v>-44331459</v>
      </c>
      <c r="E36" s="16">
        <v>-49951307</v>
      </c>
      <c r="F36" s="17"/>
    </row>
    <row r="37" spans="1:11" x14ac:dyDescent="0.2">
      <c r="A37" s="17">
        <v>46190</v>
      </c>
      <c r="B37" s="16">
        <v>-212457002</v>
      </c>
      <c r="C37" s="16">
        <v>-23994099</v>
      </c>
      <c r="D37" s="16">
        <v>-40800931</v>
      </c>
      <c r="E37" s="16">
        <v>-44855287</v>
      </c>
      <c r="F37" s="17"/>
    </row>
    <row r="38" spans="1:11" x14ac:dyDescent="0.2">
      <c r="A38" s="17">
        <v>46189</v>
      </c>
      <c r="B38" s="16">
        <v>-214116604</v>
      </c>
      <c r="C38" s="16">
        <v>-21708299</v>
      </c>
      <c r="D38" s="16">
        <v>-38600101</v>
      </c>
      <c r="E38" s="16">
        <v>-38786737</v>
      </c>
      <c r="F38" s="17"/>
    </row>
    <row r="39" spans="1:11" x14ac:dyDescent="0.2">
      <c r="A39" s="17">
        <v>46188</v>
      </c>
      <c r="B39" s="16">
        <v>-213438533</v>
      </c>
      <c r="C39" s="16">
        <v>-20550972</v>
      </c>
      <c r="D39" s="16">
        <v>-35486993</v>
      </c>
      <c r="E39" s="16">
        <v>-35869676</v>
      </c>
      <c r="F39" s="17"/>
    </row>
    <row r="40" spans="1:11" x14ac:dyDescent="0.2">
      <c r="A40" s="17">
        <v>46185</v>
      </c>
      <c r="B40" s="16">
        <v>-210600455</v>
      </c>
      <c r="C40" s="16">
        <v>-20181948</v>
      </c>
      <c r="D40" s="16">
        <v>-31005993</v>
      </c>
      <c r="E40" s="16">
        <v>-34485461</v>
      </c>
      <c r="F40" s="17"/>
    </row>
    <row r="41" spans="1:11" x14ac:dyDescent="0.2">
      <c r="A41" s="17">
        <v>46184</v>
      </c>
      <c r="B41" s="16">
        <v>-212458075</v>
      </c>
      <c r="C41" s="16">
        <v>-19763748</v>
      </c>
      <c r="D41" s="16">
        <v>-28882993</v>
      </c>
      <c r="E41" s="16">
        <v>-34631805</v>
      </c>
      <c r="F41" s="17"/>
    </row>
    <row r="42" spans="1:11" x14ac:dyDescent="0.2">
      <c r="A42" s="17">
        <v>46183</v>
      </c>
      <c r="B42" s="16">
        <v>-212518138</v>
      </c>
      <c r="C42" s="16">
        <v>-19604617</v>
      </c>
      <c r="D42" s="16">
        <v>-27586974</v>
      </c>
      <c r="E42" s="16">
        <v>-33536243</v>
      </c>
      <c r="F42" s="17"/>
    </row>
    <row r="43" spans="1:11" x14ac:dyDescent="0.2">
      <c r="A43" s="17">
        <v>46182</v>
      </c>
      <c r="B43" s="16">
        <v>-211417564</v>
      </c>
      <c r="C43" s="16">
        <v>-18921478</v>
      </c>
      <c r="D43" s="16">
        <v>-24616974</v>
      </c>
      <c r="E43" s="16">
        <v>-32634543</v>
      </c>
      <c r="F43" s="25"/>
    </row>
    <row r="44" spans="1:11" x14ac:dyDescent="0.2">
      <c r="A44" s="17">
        <v>46181</v>
      </c>
      <c r="B44" s="16">
        <v>-209113625</v>
      </c>
      <c r="C44" s="16">
        <v>-17276268</v>
      </c>
      <c r="D44" s="16">
        <v>-23428974</v>
      </c>
      <c r="E44" s="16">
        <v>-29457664</v>
      </c>
      <c r="F44" s="25"/>
    </row>
    <row r="45" spans="1:11" x14ac:dyDescent="0.2">
      <c r="A45" s="17">
        <v>46178</v>
      </c>
      <c r="B45" s="16">
        <v>-212970478</v>
      </c>
      <c r="C45" s="16">
        <v>-16987292</v>
      </c>
      <c r="D45" s="16">
        <v>-20334679</v>
      </c>
      <c r="E45" s="16">
        <v>-27429632</v>
      </c>
      <c r="F45" s="25"/>
    </row>
    <row r="46" spans="1:11" x14ac:dyDescent="0.2">
      <c r="A46" s="17">
        <v>46177</v>
      </c>
      <c r="B46" s="16">
        <v>-222745790</v>
      </c>
      <c r="C46" s="16">
        <v>-15811992</v>
      </c>
      <c r="D46" s="16">
        <v>-18334379</v>
      </c>
      <c r="E46" s="16">
        <v>-26076832</v>
      </c>
      <c r="F46" s="25"/>
    </row>
    <row r="47" spans="1:11" x14ac:dyDescent="0.2">
      <c r="A47" s="17">
        <v>46176</v>
      </c>
      <c r="B47" s="16">
        <v>-219333138</v>
      </c>
      <c r="C47" s="16">
        <v>-14193560</v>
      </c>
      <c r="D47" s="16">
        <v>-15221264</v>
      </c>
      <c r="E47" s="16">
        <v>-24044232</v>
      </c>
      <c r="F47" s="25"/>
    </row>
    <row r="48" spans="1:11" x14ac:dyDescent="0.2">
      <c r="A48" s="17">
        <v>46175</v>
      </c>
      <c r="B48" s="16">
        <v>-204055521</v>
      </c>
      <c r="C48" s="16">
        <v>-13859923</v>
      </c>
      <c r="D48" s="16">
        <v>-11970264</v>
      </c>
      <c r="E48" s="16">
        <v>-21400012</v>
      </c>
    </row>
    <row r="49" spans="1:5" x14ac:dyDescent="0.2">
      <c r="A49" s="17">
        <v>46174</v>
      </c>
      <c r="B49" s="16">
        <v>-199302447</v>
      </c>
      <c r="C49" s="16">
        <v>-12395302</v>
      </c>
      <c r="D49" s="16">
        <v>-8097812</v>
      </c>
      <c r="E49" s="16">
        <v>-19454632</v>
      </c>
    </row>
    <row r="50" spans="1:5" x14ac:dyDescent="0.2">
      <c r="A50" s="17">
        <v>46171</v>
      </c>
      <c r="B50" s="16">
        <v>-194902147</v>
      </c>
      <c r="C50" s="16">
        <v>-12225136</v>
      </c>
      <c r="D50" s="16">
        <v>-6666912</v>
      </c>
      <c r="E50" s="16">
        <v>-18857777</v>
      </c>
    </row>
    <row r="51" spans="1:5" x14ac:dyDescent="0.2">
      <c r="A51" s="17">
        <v>46170</v>
      </c>
      <c r="B51" s="16">
        <v>-192161797</v>
      </c>
      <c r="C51" s="16">
        <v>-11250936</v>
      </c>
      <c r="D51" s="16">
        <v>-4048791</v>
      </c>
      <c r="E51" s="16">
        <v>-18066662</v>
      </c>
    </row>
    <row r="52" spans="1:5" x14ac:dyDescent="0.2">
      <c r="A52" s="17">
        <v>46169</v>
      </c>
      <c r="B52" s="16">
        <v>-196522742</v>
      </c>
      <c r="C52" s="16">
        <v>-10888073</v>
      </c>
      <c r="D52" s="16">
        <v>-3229818</v>
      </c>
      <c r="E52" s="16">
        <v>-17010280</v>
      </c>
    </row>
    <row r="53" spans="1:5" x14ac:dyDescent="0.2">
      <c r="A53" s="17">
        <v>46168</v>
      </c>
      <c r="B53" s="16">
        <v>-198953538</v>
      </c>
      <c r="C53" s="16">
        <v>-10419173</v>
      </c>
      <c r="D53" s="16">
        <v>-4461038</v>
      </c>
      <c r="E53" s="16">
        <v>-15949782</v>
      </c>
    </row>
    <row r="54" spans="1:5" x14ac:dyDescent="0.2">
      <c r="A54" s="17">
        <v>46167</v>
      </c>
      <c r="B54" s="16">
        <v>-200971549</v>
      </c>
      <c r="C54" s="16">
        <v>-9284694</v>
      </c>
      <c r="D54" s="16">
        <v>-5194525</v>
      </c>
      <c r="E54" s="16">
        <v>-15913782</v>
      </c>
    </row>
    <row r="55" spans="1:5" x14ac:dyDescent="0.2">
      <c r="A55" s="17">
        <v>46164</v>
      </c>
      <c r="B55" s="16">
        <v>-195153269</v>
      </c>
      <c r="C55" s="16">
        <v>-9303624</v>
      </c>
      <c r="D55" s="16">
        <v>-4929767</v>
      </c>
      <c r="E55" s="16">
        <v>-16010744</v>
      </c>
    </row>
    <row r="56" spans="1:5" x14ac:dyDescent="0.2">
      <c r="A56" s="17">
        <v>46163</v>
      </c>
      <c r="B56" s="16">
        <v>-198195118</v>
      </c>
      <c r="C56" s="16">
        <v>-7734224</v>
      </c>
      <c r="D56" s="16">
        <v>-4018067</v>
      </c>
      <c r="E56" s="16">
        <v>-15356274</v>
      </c>
    </row>
    <row r="57" spans="1:5" x14ac:dyDescent="0.2">
      <c r="A57" s="17">
        <v>46162</v>
      </c>
      <c r="B57" s="16">
        <v>-192384602</v>
      </c>
      <c r="C57" s="16">
        <v>-6971624</v>
      </c>
      <c r="D57" s="16">
        <v>-14561667</v>
      </c>
      <c r="E57" s="16">
        <v>-12342524</v>
      </c>
    </row>
    <row r="58" spans="1:5" x14ac:dyDescent="0.2">
      <c r="A58" s="17">
        <v>46161</v>
      </c>
      <c r="B58" s="16">
        <v>-186119288</v>
      </c>
      <c r="C58" s="16">
        <v>-7001412</v>
      </c>
      <c r="D58" s="16">
        <v>-11151922</v>
      </c>
      <c r="E58" s="16">
        <v>-9229437</v>
      </c>
    </row>
    <row r="59" spans="1:5" x14ac:dyDescent="0.2">
      <c r="A59" s="17">
        <v>46160</v>
      </c>
      <c r="B59" s="16">
        <v>-179543956</v>
      </c>
      <c r="C59" s="16">
        <v>-6871949</v>
      </c>
      <c r="D59" s="16">
        <v>-6917529</v>
      </c>
      <c r="E59" s="16">
        <v>-8089545</v>
      </c>
    </row>
    <row r="60" spans="1:5" x14ac:dyDescent="0.2">
      <c r="A60" s="17">
        <v>46157</v>
      </c>
      <c r="B60" s="16">
        <v>-172159517</v>
      </c>
      <c r="C60" s="16">
        <v>-7073370</v>
      </c>
      <c r="D60" s="16">
        <v>-4993782</v>
      </c>
      <c r="E60" s="16">
        <v>-8885675</v>
      </c>
    </row>
    <row r="61" spans="1:5" x14ac:dyDescent="0.2">
      <c r="A61" s="17">
        <v>46156</v>
      </c>
      <c r="B61" s="16">
        <v>-171828666</v>
      </c>
      <c r="C61" s="16">
        <v>-7018506</v>
      </c>
      <c r="D61" s="16">
        <v>-1592137</v>
      </c>
      <c r="E61" s="16">
        <v>-10014225</v>
      </c>
    </row>
    <row r="62" spans="1:5" x14ac:dyDescent="0.2">
      <c r="A62" s="17">
        <v>46155</v>
      </c>
      <c r="B62" s="16">
        <v>-175428286</v>
      </c>
      <c r="C62" s="16">
        <v>-6894906</v>
      </c>
      <c r="D62" s="16">
        <v>-3800037</v>
      </c>
      <c r="E62" s="16">
        <v>-6324339</v>
      </c>
    </row>
    <row r="63" spans="1:5" x14ac:dyDescent="0.2">
      <c r="A63" s="17">
        <v>46154</v>
      </c>
      <c r="B63" s="16">
        <v>-163888486</v>
      </c>
      <c r="C63" s="16">
        <v>-6898306</v>
      </c>
      <c r="D63" s="16">
        <v>-2220137</v>
      </c>
      <c r="E63" s="16">
        <v>-5198300</v>
      </c>
    </row>
    <row r="64" spans="1:5" x14ac:dyDescent="0.2">
      <c r="A64" s="17">
        <v>46153</v>
      </c>
      <c r="B64" s="16">
        <v>-158183627</v>
      </c>
      <c r="C64" s="16">
        <v>-6933911</v>
      </c>
      <c r="D64" s="16">
        <v>-3920595</v>
      </c>
      <c r="E64" s="16">
        <v>-3158200</v>
      </c>
    </row>
    <row r="65" spans="1:5" x14ac:dyDescent="0.2">
      <c r="A65" s="17">
        <v>46150</v>
      </c>
      <c r="B65" s="16">
        <v>-152466722</v>
      </c>
      <c r="C65" s="16">
        <v>-6957711</v>
      </c>
      <c r="D65" s="16">
        <v>-5155998</v>
      </c>
      <c r="E65" s="16">
        <v>-2911100</v>
      </c>
    </row>
    <row r="66" spans="1:5" x14ac:dyDescent="0.2">
      <c r="A66" s="17">
        <v>46149</v>
      </c>
      <c r="B66" s="16">
        <v>-146425251</v>
      </c>
      <c r="C66" s="16">
        <v>-6906493</v>
      </c>
      <c r="D66" s="16">
        <v>-6188680</v>
      </c>
      <c r="E66" s="16">
        <v>-2517000</v>
      </c>
    </row>
    <row r="67" spans="1:5" x14ac:dyDescent="0.2">
      <c r="A67" s="17">
        <v>46148</v>
      </c>
      <c r="B67" s="16">
        <v>-133495809</v>
      </c>
      <c r="C67" s="16">
        <v>-6967641</v>
      </c>
      <c r="D67" s="16">
        <v>-7158740</v>
      </c>
      <c r="E67" s="16">
        <v>-1555900</v>
      </c>
    </row>
    <row r="68" spans="1:5" x14ac:dyDescent="0.2">
      <c r="A68" s="17">
        <v>46147</v>
      </c>
      <c r="B68" s="16">
        <v>-124133797</v>
      </c>
      <c r="C68" s="16">
        <v>-6999015</v>
      </c>
      <c r="D68" s="16">
        <v>-4593045</v>
      </c>
      <c r="E68" s="16">
        <v>-985800</v>
      </c>
    </row>
    <row r="69" spans="1:5" x14ac:dyDescent="0.2">
      <c r="A69" s="17">
        <v>46146</v>
      </c>
      <c r="B69" s="16">
        <v>-105328807</v>
      </c>
      <c r="C69" s="16">
        <v>-6476715</v>
      </c>
      <c r="D69" s="16">
        <v>-4539395</v>
      </c>
      <c r="E69" s="16">
        <v>-897900</v>
      </c>
    </row>
    <row r="70" spans="1:5" x14ac:dyDescent="0.2">
      <c r="A70" s="17">
        <v>46141</v>
      </c>
      <c r="B70" s="16">
        <v>-90699212</v>
      </c>
      <c r="C70" s="16">
        <v>-5646615</v>
      </c>
      <c r="D70" s="16">
        <v>-4348775</v>
      </c>
      <c r="E70" s="16">
        <v>-131300</v>
      </c>
    </row>
    <row r="71" spans="1:5" x14ac:dyDescent="0.2">
      <c r="A71" s="17">
        <v>46140</v>
      </c>
      <c r="B71" s="16">
        <v>-86034570</v>
      </c>
      <c r="C71" s="16">
        <v>-4352726</v>
      </c>
      <c r="D71" s="16">
        <v>-2616443</v>
      </c>
      <c r="E71" s="16">
        <v>15200</v>
      </c>
    </row>
    <row r="72" spans="1:5" x14ac:dyDescent="0.2">
      <c r="A72" s="17">
        <v>46136</v>
      </c>
      <c r="B72" s="16">
        <v>-83563170</v>
      </c>
      <c r="C72" s="16">
        <v>-3477526</v>
      </c>
      <c r="D72" s="16">
        <v>-229292</v>
      </c>
      <c r="E72" s="16">
        <v>7300</v>
      </c>
    </row>
    <row r="73" spans="1:5" x14ac:dyDescent="0.2">
      <c r="A73" s="17">
        <v>46135</v>
      </c>
      <c r="B73" s="16">
        <v>-71685485</v>
      </c>
      <c r="C73" s="16">
        <v>-3212286</v>
      </c>
      <c r="D73" s="16">
        <v>1164456</v>
      </c>
      <c r="E73" s="16">
        <v>-1001799</v>
      </c>
    </row>
    <row r="74" spans="1:5" x14ac:dyDescent="0.2">
      <c r="A74" s="17">
        <v>46134</v>
      </c>
      <c r="B74" s="16">
        <v>-64205385</v>
      </c>
      <c r="C74" s="16">
        <v>-2997875</v>
      </c>
      <c r="D74" s="16">
        <v>3899156</v>
      </c>
      <c r="E74" s="16">
        <v>-1687600</v>
      </c>
    </row>
    <row r="75" spans="1:5" x14ac:dyDescent="0.2">
      <c r="A75" s="17">
        <v>46133</v>
      </c>
      <c r="B75" s="16">
        <v>-63233086</v>
      </c>
      <c r="C75" s="16">
        <v>-2915638</v>
      </c>
      <c r="D75" s="16">
        <v>3150581</v>
      </c>
      <c r="E75" s="16">
        <v>-2207500</v>
      </c>
    </row>
    <row r="76" spans="1:5" x14ac:dyDescent="0.2">
      <c r="A76" s="17">
        <v>46132</v>
      </c>
      <c r="B76" s="16">
        <v>-60303786</v>
      </c>
      <c r="C76" s="16">
        <v>-2729738</v>
      </c>
      <c r="D76" s="16">
        <v>3251988</v>
      </c>
      <c r="E76" s="16">
        <v>-1289701</v>
      </c>
    </row>
    <row r="77" spans="1:5" x14ac:dyDescent="0.2">
      <c r="A77" s="17">
        <v>46129</v>
      </c>
      <c r="B77" s="16">
        <v>-58702781</v>
      </c>
      <c r="C77" s="16">
        <v>-3188724</v>
      </c>
      <c r="D77" s="16">
        <v>8136918</v>
      </c>
      <c r="E77" s="16">
        <v>-489501</v>
      </c>
    </row>
    <row r="78" spans="1:5" x14ac:dyDescent="0.2">
      <c r="A78" s="17">
        <v>46128</v>
      </c>
      <c r="B78" s="16">
        <v>-57844631</v>
      </c>
      <c r="C78" s="16">
        <v>-3263424</v>
      </c>
      <c r="D78" s="16">
        <v>8045881</v>
      </c>
      <c r="E78" s="16">
        <v>-588101</v>
      </c>
    </row>
    <row r="79" spans="1:5" x14ac:dyDescent="0.2">
      <c r="A79" s="17">
        <v>46127</v>
      </c>
      <c r="B79" s="16">
        <v>-60907011</v>
      </c>
      <c r="C79" s="16">
        <v>-1916354</v>
      </c>
      <c r="D79" s="16">
        <v>6443686</v>
      </c>
      <c r="E79" s="16">
        <v>-573100</v>
      </c>
    </row>
    <row r="80" spans="1:5" x14ac:dyDescent="0.2">
      <c r="A80" s="17">
        <v>46126</v>
      </c>
      <c r="B80" s="16">
        <v>-59650731</v>
      </c>
      <c r="C80" s="16">
        <v>-1900674</v>
      </c>
      <c r="D80" s="16">
        <v>6449574</v>
      </c>
      <c r="E80" s="16">
        <v>-308100</v>
      </c>
    </row>
    <row r="81" spans="1:5" x14ac:dyDescent="0.2">
      <c r="A81" s="17">
        <v>46125</v>
      </c>
      <c r="B81" s="16">
        <v>-58879707</v>
      </c>
      <c r="C81" s="16">
        <v>-910794</v>
      </c>
      <c r="D81" s="16">
        <v>6484774</v>
      </c>
      <c r="E81" s="16">
        <v>29700</v>
      </c>
    </row>
    <row r="82" spans="1:5" x14ac:dyDescent="0.2">
      <c r="A82" s="17">
        <v>46122</v>
      </c>
      <c r="B82" s="16">
        <v>-58608453</v>
      </c>
      <c r="C82" s="16">
        <v>-1191394</v>
      </c>
      <c r="D82" s="16">
        <v>8766853</v>
      </c>
      <c r="E82" s="16">
        <v>-485600</v>
      </c>
    </row>
    <row r="83" spans="1:5" x14ac:dyDescent="0.2">
      <c r="A83" s="17">
        <v>46121</v>
      </c>
      <c r="B83" s="16">
        <v>-57627153</v>
      </c>
      <c r="C83" s="16">
        <v>-1422694</v>
      </c>
      <c r="D83" s="16">
        <v>10003718</v>
      </c>
      <c r="E83" s="16">
        <v>-7264458</v>
      </c>
    </row>
    <row r="84" spans="1:5" x14ac:dyDescent="0.2">
      <c r="A84" s="17">
        <v>46120</v>
      </c>
      <c r="B84" s="16">
        <v>-58108753</v>
      </c>
      <c r="C84" s="16">
        <v>-1009894</v>
      </c>
      <c r="D84" s="16">
        <v>11107568</v>
      </c>
      <c r="E84" s="16">
        <v>-9452488</v>
      </c>
    </row>
    <row r="85" spans="1:5" x14ac:dyDescent="0.2">
      <c r="A85" s="17">
        <v>46119</v>
      </c>
      <c r="B85" s="16">
        <v>-61646573</v>
      </c>
      <c r="C85" s="16">
        <v>-159794</v>
      </c>
      <c r="D85" s="16">
        <v>12109700</v>
      </c>
      <c r="E85" s="16">
        <v>-11880380</v>
      </c>
    </row>
    <row r="86" spans="1:5" x14ac:dyDescent="0.2">
      <c r="A86" s="17">
        <v>46118</v>
      </c>
      <c r="B86" s="16">
        <v>-58162973</v>
      </c>
      <c r="C86" s="16">
        <v>-61094</v>
      </c>
      <c r="D86" s="16">
        <v>12882300</v>
      </c>
      <c r="E86" s="16">
        <v>-5661603</v>
      </c>
    </row>
    <row r="87" spans="1:5" x14ac:dyDescent="0.2">
      <c r="A87" s="17">
        <v>46115</v>
      </c>
      <c r="B87" s="16">
        <v>-56872675</v>
      </c>
      <c r="C87" s="16">
        <v>-764894</v>
      </c>
      <c r="D87" s="16">
        <v>14565300</v>
      </c>
      <c r="E87" s="16">
        <v>-2407492</v>
      </c>
    </row>
    <row r="88" spans="1:5" x14ac:dyDescent="0.2">
      <c r="A88" s="17">
        <v>46114</v>
      </c>
      <c r="B88" s="16">
        <v>-60845058</v>
      </c>
      <c r="C88" s="16">
        <v>-752494</v>
      </c>
      <c r="D88" s="16">
        <v>21156080</v>
      </c>
      <c r="E88" s="16">
        <v>-42824</v>
      </c>
    </row>
    <row r="89" spans="1:5" x14ac:dyDescent="0.2">
      <c r="A89" s="17">
        <v>46113</v>
      </c>
      <c r="B89" s="16">
        <v>-61137450</v>
      </c>
      <c r="C89" s="16">
        <v>-671694</v>
      </c>
      <c r="D89" s="16">
        <v>19615280</v>
      </c>
      <c r="E89" s="16">
        <v>-79854</v>
      </c>
    </row>
    <row r="90" spans="1:5" x14ac:dyDescent="0.2">
      <c r="A90" s="17">
        <v>46112</v>
      </c>
      <c r="B90" s="16">
        <v>-61496250</v>
      </c>
      <c r="C90" s="16">
        <v>-903894</v>
      </c>
      <c r="D90" s="16">
        <v>21506079</v>
      </c>
      <c r="E90" s="16">
        <v>-17162</v>
      </c>
    </row>
    <row r="91" spans="1:5" x14ac:dyDescent="0.2">
      <c r="A91" s="17">
        <v>46111</v>
      </c>
      <c r="B91" s="16">
        <v>-58708147</v>
      </c>
      <c r="C91" s="16">
        <v>-1188594</v>
      </c>
      <c r="D91" s="16">
        <v>20732773</v>
      </c>
      <c r="E91" s="16">
        <v>-14830</v>
      </c>
    </row>
    <row r="92" spans="1:5" x14ac:dyDescent="0.2">
      <c r="A92" s="17">
        <v>46108</v>
      </c>
      <c r="B92" s="16">
        <v>-59718002</v>
      </c>
      <c r="C92" s="16">
        <v>-1244794</v>
      </c>
      <c r="D92" s="16">
        <v>24887622</v>
      </c>
      <c r="E92" s="16">
        <v>10665</v>
      </c>
    </row>
    <row r="93" spans="1:5" x14ac:dyDescent="0.2">
      <c r="A93" s="17">
        <v>46107</v>
      </c>
      <c r="B93" s="16">
        <v>-61994012</v>
      </c>
      <c r="C93" s="16">
        <v>-698894</v>
      </c>
      <c r="D93" s="16">
        <v>24962722</v>
      </c>
      <c r="E93" s="16">
        <v>30495</v>
      </c>
    </row>
    <row r="94" spans="1:5" x14ac:dyDescent="0.2">
      <c r="A94" s="17">
        <v>46106</v>
      </c>
      <c r="B94" s="16">
        <v>-64363212</v>
      </c>
      <c r="C94" s="16">
        <v>-192294</v>
      </c>
      <c r="D94" s="16">
        <v>25801022</v>
      </c>
      <c r="E94" s="16">
        <v>-96049</v>
      </c>
    </row>
    <row r="95" spans="1:5" x14ac:dyDescent="0.2">
      <c r="A95" s="17">
        <v>46105</v>
      </c>
      <c r="B95" s="16">
        <v>-66663478</v>
      </c>
      <c r="C95" s="16">
        <v>-2824123</v>
      </c>
      <c r="D95" s="16">
        <v>23891564</v>
      </c>
      <c r="E95" s="16">
        <v>-186158</v>
      </c>
    </row>
    <row r="96" spans="1:5" x14ac:dyDescent="0.2">
      <c r="A96" s="17">
        <v>46104</v>
      </c>
      <c r="B96" s="16">
        <v>-66079557</v>
      </c>
      <c r="C96" s="16">
        <v>-3004623</v>
      </c>
      <c r="D96" s="16">
        <v>22748538</v>
      </c>
      <c r="E96" s="16">
        <v>-186183</v>
      </c>
    </row>
    <row r="97" spans="1:5" x14ac:dyDescent="0.2">
      <c r="A97" s="17">
        <v>46101</v>
      </c>
      <c r="B97" s="16">
        <v>-67383567</v>
      </c>
      <c r="C97" s="16">
        <v>-3002623</v>
      </c>
      <c r="D97" s="16">
        <v>22470332</v>
      </c>
      <c r="E97" s="16">
        <v>-59708</v>
      </c>
    </row>
    <row r="98" spans="1:5" x14ac:dyDescent="0.2">
      <c r="A98" s="17">
        <v>46100</v>
      </c>
      <c r="B98" s="16">
        <v>-61560255</v>
      </c>
      <c r="C98" s="16">
        <v>-3730023</v>
      </c>
      <c r="D98" s="16">
        <v>23903858</v>
      </c>
      <c r="E98" s="16">
        <v>30475</v>
      </c>
    </row>
    <row r="99" spans="1:5" x14ac:dyDescent="0.2">
      <c r="A99" s="17">
        <v>46099</v>
      </c>
      <c r="B99" s="16">
        <v>-65537821</v>
      </c>
      <c r="C99" s="16">
        <v>-2448923</v>
      </c>
      <c r="D99" s="16">
        <v>23396478</v>
      </c>
      <c r="E99" s="16">
        <v>30459</v>
      </c>
    </row>
    <row r="100" spans="1:5" x14ac:dyDescent="0.2">
      <c r="A100" s="17">
        <v>46098</v>
      </c>
      <c r="B100" s="16">
        <v>-65289977</v>
      </c>
      <c r="C100" s="16">
        <v>-2670823</v>
      </c>
      <c r="D100" s="16">
        <v>23316118</v>
      </c>
      <c r="E100" s="16">
        <v>30418</v>
      </c>
    </row>
    <row r="101" spans="1:5" x14ac:dyDescent="0.2">
      <c r="A101" s="17">
        <v>46097</v>
      </c>
      <c r="B101" s="16">
        <v>-66139077</v>
      </c>
      <c r="C101" s="16">
        <v>-2609402</v>
      </c>
      <c r="D101" s="16">
        <v>23549650</v>
      </c>
      <c r="E101" s="16">
        <v>20321</v>
      </c>
    </row>
    <row r="102" spans="1:5" x14ac:dyDescent="0.2">
      <c r="A102" s="17">
        <v>46094</v>
      </c>
      <c r="B102" s="16">
        <v>-67562698</v>
      </c>
      <c r="C102" s="16">
        <v>-2400502</v>
      </c>
      <c r="D102" s="16">
        <v>23734930</v>
      </c>
      <c r="E102" s="16">
        <v>20332</v>
      </c>
    </row>
    <row r="103" spans="1:5" x14ac:dyDescent="0.2">
      <c r="A103" s="17">
        <v>46093</v>
      </c>
      <c r="B103" s="16">
        <v>-72673698</v>
      </c>
      <c r="C103" s="16">
        <v>-9312502</v>
      </c>
      <c r="D103" s="16">
        <v>22103630</v>
      </c>
      <c r="E103" s="16">
        <v>20353</v>
      </c>
    </row>
    <row r="104" spans="1:5" x14ac:dyDescent="0.2">
      <c r="A104" s="17">
        <v>46092</v>
      </c>
      <c r="B104" s="16">
        <v>-72351799</v>
      </c>
      <c r="C104" s="16">
        <v>-8639202</v>
      </c>
      <c r="D104" s="16">
        <v>23309991</v>
      </c>
      <c r="E104" s="16">
        <v>30468</v>
      </c>
    </row>
    <row r="105" spans="1:5" x14ac:dyDescent="0.2">
      <c r="A105" s="17">
        <v>46091</v>
      </c>
      <c r="B105" s="16">
        <v>-77330400</v>
      </c>
      <c r="C105" s="16">
        <v>-9690602</v>
      </c>
      <c r="D105" s="16">
        <v>21018753</v>
      </c>
      <c r="E105" s="16">
        <v>-127467</v>
      </c>
    </row>
    <row r="106" spans="1:5" x14ac:dyDescent="0.2">
      <c r="A106" s="17">
        <v>46090</v>
      </c>
      <c r="B106" s="16">
        <v>-81503902</v>
      </c>
      <c r="C106" s="16">
        <v>-9290702</v>
      </c>
      <c r="D106" s="16">
        <v>27100615</v>
      </c>
      <c r="E106" s="16">
        <v>-1776027</v>
      </c>
    </row>
    <row r="107" spans="1:5" x14ac:dyDescent="0.2">
      <c r="A107" s="17">
        <v>46087</v>
      </c>
      <c r="B107" s="16">
        <v>-79527413</v>
      </c>
      <c r="C107" s="16">
        <v>-9228702</v>
      </c>
      <c r="D107" s="16">
        <v>26749262</v>
      </c>
      <c r="E107" s="16">
        <v>-3310738</v>
      </c>
    </row>
    <row r="108" spans="1:5" x14ac:dyDescent="0.2">
      <c r="A108" s="17">
        <v>46086</v>
      </c>
      <c r="B108" s="16">
        <v>-78984913</v>
      </c>
      <c r="C108" s="16">
        <v>-9498502</v>
      </c>
      <c r="D108" s="16">
        <v>30113182</v>
      </c>
      <c r="E108" s="16">
        <v>-3154338</v>
      </c>
    </row>
    <row r="109" spans="1:5" x14ac:dyDescent="0.2">
      <c r="A109" s="17">
        <v>46085</v>
      </c>
      <c r="B109" s="16">
        <v>-78072615</v>
      </c>
      <c r="C109" s="16">
        <v>-9660702</v>
      </c>
      <c r="D109" s="16">
        <v>30361966</v>
      </c>
      <c r="E109" s="16">
        <v>-1504245</v>
      </c>
    </row>
    <row r="110" spans="1:5" x14ac:dyDescent="0.2">
      <c r="A110" s="17">
        <v>46084</v>
      </c>
      <c r="B110" s="16">
        <v>-78708395</v>
      </c>
      <c r="C110" s="16">
        <v>-9494422</v>
      </c>
      <c r="D110" s="16">
        <v>33727016</v>
      </c>
      <c r="E110" s="16">
        <v>65875</v>
      </c>
    </row>
    <row r="111" spans="1:5" x14ac:dyDescent="0.2">
      <c r="A111" s="17">
        <v>46083</v>
      </c>
      <c r="B111" s="16">
        <v>-73971695</v>
      </c>
      <c r="C111" s="16">
        <v>-9074422</v>
      </c>
      <c r="D111" s="16">
        <v>28204416</v>
      </c>
      <c r="E111" s="16">
        <v>70875</v>
      </c>
    </row>
    <row r="112" spans="1:5" x14ac:dyDescent="0.2">
      <c r="A112" s="17">
        <v>46080</v>
      </c>
      <c r="B112" s="16">
        <v>-72450895</v>
      </c>
      <c r="C112" s="16">
        <v>-8797848</v>
      </c>
      <c r="D112" s="16">
        <v>24129516</v>
      </c>
      <c r="E112" s="16">
        <v>30420</v>
      </c>
    </row>
    <row r="113" spans="1:5" x14ac:dyDescent="0.2">
      <c r="A113" s="17">
        <v>46079</v>
      </c>
      <c r="B113" s="16">
        <v>-76434691</v>
      </c>
      <c r="C113" s="16">
        <v>-8366822</v>
      </c>
      <c r="D113" s="16">
        <v>18918024</v>
      </c>
      <c r="E113" s="16">
        <v>24693</v>
      </c>
    </row>
    <row r="114" spans="1:5" x14ac:dyDescent="0.2">
      <c r="A114" s="17">
        <v>46078</v>
      </c>
      <c r="B114" s="16">
        <v>-74722272</v>
      </c>
      <c r="C114" s="16">
        <v>-8142022</v>
      </c>
      <c r="D114" s="16">
        <v>17233679</v>
      </c>
      <c r="E114" s="16">
        <v>9254</v>
      </c>
    </row>
    <row r="115" spans="1:5" x14ac:dyDescent="0.2">
      <c r="A115" s="17">
        <v>46077</v>
      </c>
      <c r="B115" s="16">
        <v>-75344868</v>
      </c>
      <c r="C115" s="16">
        <v>-8735722</v>
      </c>
      <c r="D115" s="16">
        <v>19722598</v>
      </c>
      <c r="E115" s="16">
        <v>84277</v>
      </c>
    </row>
    <row r="116" spans="1:5" x14ac:dyDescent="0.2">
      <c r="A116" s="17">
        <v>46076</v>
      </c>
      <c r="B116" s="16">
        <v>-77188473</v>
      </c>
      <c r="C116" s="16">
        <v>-7878484</v>
      </c>
      <c r="D116" s="16">
        <v>16298271</v>
      </c>
      <c r="E116" s="16">
        <v>89252</v>
      </c>
    </row>
    <row r="117" spans="1:5" x14ac:dyDescent="0.2">
      <c r="A117" s="17">
        <v>46066</v>
      </c>
      <c r="B117" s="16">
        <v>-75376173</v>
      </c>
      <c r="C117" s="16">
        <v>-8125884</v>
      </c>
      <c r="D117" s="16">
        <v>21686160</v>
      </c>
      <c r="E117" s="16">
        <v>106075</v>
      </c>
    </row>
    <row r="118" spans="1:5" x14ac:dyDescent="0.2">
      <c r="A118" s="17">
        <v>46065</v>
      </c>
      <c r="B118" s="16">
        <v>-70751673</v>
      </c>
      <c r="C118" s="16">
        <v>-8168284</v>
      </c>
      <c r="D118" s="16">
        <v>20878369</v>
      </c>
      <c r="E118" s="16">
        <v>97440</v>
      </c>
    </row>
    <row r="119" spans="1:5" x14ac:dyDescent="0.2">
      <c r="A119" s="17">
        <v>46064</v>
      </c>
      <c r="B119" s="16">
        <v>-65002244</v>
      </c>
      <c r="C119" s="16">
        <v>-7963984</v>
      </c>
      <c r="D119" s="16">
        <v>21301369</v>
      </c>
      <c r="E119" s="16">
        <v>97465</v>
      </c>
    </row>
    <row r="120" spans="1:5" x14ac:dyDescent="0.2">
      <c r="A120" s="17">
        <v>46063</v>
      </c>
      <c r="B120" s="16">
        <v>-64611060</v>
      </c>
      <c r="C120" s="16">
        <v>-8686184</v>
      </c>
      <c r="D120" s="16">
        <v>15506789</v>
      </c>
      <c r="E120" s="16">
        <v>87483</v>
      </c>
    </row>
    <row r="121" spans="1:5" x14ac:dyDescent="0.2">
      <c r="A121" s="17">
        <v>46062</v>
      </c>
      <c r="B121" s="16">
        <v>-59183822</v>
      </c>
      <c r="C121" s="16">
        <v>-8644164</v>
      </c>
      <c r="D121" s="16">
        <v>17762483</v>
      </c>
      <c r="E121" s="16">
        <v>96082</v>
      </c>
    </row>
    <row r="122" spans="1:5" x14ac:dyDescent="0.2">
      <c r="A122" s="17">
        <v>46059</v>
      </c>
      <c r="B122" s="16">
        <v>-56386422</v>
      </c>
      <c r="C122" s="16">
        <v>-7460031</v>
      </c>
      <c r="D122" s="16">
        <v>20531683</v>
      </c>
      <c r="E122" s="16">
        <v>-217700</v>
      </c>
    </row>
    <row r="123" spans="1:5" x14ac:dyDescent="0.2">
      <c r="A123" s="17">
        <v>46058</v>
      </c>
      <c r="B123" s="16">
        <v>-48560322</v>
      </c>
      <c r="C123" s="16">
        <v>-6104431</v>
      </c>
      <c r="D123" s="16">
        <v>23017883</v>
      </c>
      <c r="E123" s="16">
        <v>-208078</v>
      </c>
    </row>
    <row r="124" spans="1:5" x14ac:dyDescent="0.2">
      <c r="A124" s="17">
        <v>46057</v>
      </c>
      <c r="B124" s="16">
        <v>-44158922</v>
      </c>
      <c r="C124" s="16">
        <v>-5776132</v>
      </c>
      <c r="D124" s="16">
        <v>24689683</v>
      </c>
      <c r="E124" s="16">
        <v>-806478</v>
      </c>
    </row>
    <row r="125" spans="1:5" x14ac:dyDescent="0.2">
      <c r="A125" s="17">
        <v>46056</v>
      </c>
      <c r="B125" s="16">
        <v>-35970748</v>
      </c>
      <c r="C125" s="16">
        <v>-5460692</v>
      </c>
      <c r="D125" s="16">
        <v>29254563</v>
      </c>
      <c r="E125" s="16">
        <v>-494278</v>
      </c>
    </row>
    <row r="126" spans="1:5" x14ac:dyDescent="0.2">
      <c r="A126" s="17">
        <v>46055</v>
      </c>
      <c r="B126" s="16">
        <v>-30720761</v>
      </c>
      <c r="C126" s="16">
        <v>-3392874</v>
      </c>
      <c r="D126" s="16">
        <v>28789511</v>
      </c>
      <c r="E126" s="16">
        <v>-704101</v>
      </c>
    </row>
    <row r="127" spans="1:5" x14ac:dyDescent="0.2">
      <c r="A127" s="17">
        <v>46052</v>
      </c>
      <c r="B127" s="16">
        <v>-25637774</v>
      </c>
      <c r="C127" s="16">
        <v>-2793974</v>
      </c>
      <c r="D127" s="16">
        <v>30691410</v>
      </c>
      <c r="E127" s="16">
        <v>-126523</v>
      </c>
    </row>
    <row r="128" spans="1:5" x14ac:dyDescent="0.2">
      <c r="A128" s="17">
        <v>46051</v>
      </c>
      <c r="B128" s="16">
        <v>-21150495</v>
      </c>
      <c r="C128" s="16">
        <v>-3042275</v>
      </c>
      <c r="D128" s="16">
        <v>31615115</v>
      </c>
      <c r="E128" s="16">
        <v>-122023</v>
      </c>
    </row>
    <row r="129" spans="1:5" x14ac:dyDescent="0.2">
      <c r="A129" s="17">
        <v>46050</v>
      </c>
      <c r="B129" s="16">
        <v>-12117554</v>
      </c>
      <c r="C129" s="16">
        <v>-2766175</v>
      </c>
      <c r="D129" s="16">
        <v>32515706</v>
      </c>
      <c r="E129" s="16">
        <v>82678</v>
      </c>
    </row>
    <row r="130" spans="1:5" x14ac:dyDescent="0.2">
      <c r="A130" s="17">
        <v>46049</v>
      </c>
      <c r="B130" s="16">
        <v>-3510804</v>
      </c>
      <c r="C130" s="16">
        <v>-2122480</v>
      </c>
      <c r="D130" s="16">
        <v>33344104</v>
      </c>
      <c r="E130" s="16">
        <v>106001</v>
      </c>
    </row>
    <row r="131" spans="1:5" x14ac:dyDescent="0.2">
      <c r="A131" s="17">
        <v>46048</v>
      </c>
      <c r="B131" s="16">
        <v>-2038887</v>
      </c>
      <c r="C131" s="16">
        <v>-1836392</v>
      </c>
      <c r="D131" s="16">
        <v>33353805</v>
      </c>
      <c r="E131" s="16">
        <v>103493</v>
      </c>
    </row>
    <row r="132" spans="1:5" x14ac:dyDescent="0.2">
      <c r="A132" s="17">
        <v>46045</v>
      </c>
      <c r="B132" s="16">
        <v>-1573427</v>
      </c>
      <c r="C132" s="16">
        <v>-1531190</v>
      </c>
      <c r="D132" s="16">
        <v>34390613</v>
      </c>
      <c r="E132" s="16">
        <v>85433</v>
      </c>
    </row>
    <row r="133" spans="1:5" x14ac:dyDescent="0.2">
      <c r="A133" s="17">
        <v>46044</v>
      </c>
      <c r="B133" s="16">
        <v>-5230027</v>
      </c>
      <c r="C133" s="16">
        <v>-1124166</v>
      </c>
      <c r="D133" s="16">
        <v>37453522</v>
      </c>
      <c r="E133" s="16">
        <v>70833</v>
      </c>
    </row>
    <row r="134" spans="1:5" x14ac:dyDescent="0.2">
      <c r="A134" s="17">
        <v>46043</v>
      </c>
      <c r="B134" s="16">
        <v>-4946387</v>
      </c>
      <c r="C134" s="16">
        <v>-945334</v>
      </c>
      <c r="D134" s="16">
        <v>36091864</v>
      </c>
      <c r="E134" s="16">
        <v>51033</v>
      </c>
    </row>
    <row r="135" spans="1:5" x14ac:dyDescent="0.2">
      <c r="A135" s="17">
        <v>46042</v>
      </c>
      <c r="B135" s="16">
        <v>-8372497</v>
      </c>
      <c r="C135" s="16">
        <v>-709285</v>
      </c>
      <c r="D135" s="16">
        <v>33298893</v>
      </c>
      <c r="E135" s="16">
        <v>42456</v>
      </c>
    </row>
    <row r="136" spans="1:5" x14ac:dyDescent="0.2">
      <c r="A136" s="17">
        <v>46041</v>
      </c>
      <c r="B136" s="16">
        <v>-12658673</v>
      </c>
      <c r="C136" s="16">
        <v>-382545</v>
      </c>
      <c r="D136" s="16">
        <v>28106052</v>
      </c>
      <c r="E136" s="16">
        <v>77500</v>
      </c>
    </row>
    <row r="137" spans="1:5" x14ac:dyDescent="0.2">
      <c r="A137" s="17">
        <v>46038</v>
      </c>
      <c r="B137" s="16">
        <v>-15559911</v>
      </c>
      <c r="C137" s="16">
        <v>-249345</v>
      </c>
      <c r="D137" s="16">
        <v>25606367</v>
      </c>
      <c r="E137" s="16">
        <v>79200</v>
      </c>
    </row>
    <row r="138" spans="1:5" x14ac:dyDescent="0.2">
      <c r="A138" s="17">
        <v>46037</v>
      </c>
      <c r="B138" s="16">
        <v>-13508006</v>
      </c>
      <c r="C138" s="16">
        <v>-97654</v>
      </c>
      <c r="D138" s="16">
        <v>27224467</v>
      </c>
      <c r="E138" s="16">
        <v>106100</v>
      </c>
    </row>
    <row r="139" spans="1:5" x14ac:dyDescent="0.2">
      <c r="A139" s="17">
        <v>46036</v>
      </c>
      <c r="B139" s="16">
        <v>-12287269</v>
      </c>
      <c r="C139" s="16">
        <v>-457078</v>
      </c>
      <c r="D139" s="16">
        <v>27319266</v>
      </c>
      <c r="E139" s="16">
        <v>96897</v>
      </c>
    </row>
    <row r="140" spans="1:5" x14ac:dyDescent="0.2">
      <c r="A140" s="17">
        <v>46035</v>
      </c>
      <c r="B140" s="16">
        <v>-8187569</v>
      </c>
      <c r="C140" s="16">
        <v>-445818</v>
      </c>
      <c r="D140" s="16">
        <v>28577566</v>
      </c>
      <c r="E140" s="16">
        <v>-29300</v>
      </c>
    </row>
    <row r="141" spans="1:5" x14ac:dyDescent="0.2">
      <c r="A141" s="17">
        <v>46034</v>
      </c>
      <c r="B141" s="16">
        <v>-2849098</v>
      </c>
      <c r="C141" s="16">
        <v>-317118</v>
      </c>
      <c r="D141" s="16">
        <v>22011166</v>
      </c>
      <c r="E141" s="16">
        <v>-443682</v>
      </c>
    </row>
    <row r="142" spans="1:5" x14ac:dyDescent="0.2">
      <c r="A142" s="17">
        <v>46031</v>
      </c>
      <c r="B142" s="16">
        <v>-3165873</v>
      </c>
      <c r="C142" s="16">
        <v>25276</v>
      </c>
      <c r="D142" s="16">
        <v>12832802</v>
      </c>
      <c r="E142" s="16">
        <v>-457282</v>
      </c>
    </row>
    <row r="143" spans="1:5" x14ac:dyDescent="0.2">
      <c r="A143" s="17">
        <v>46030</v>
      </c>
      <c r="B143" s="16">
        <v>-3085975</v>
      </c>
      <c r="C143" s="16">
        <v>25906</v>
      </c>
      <c r="D143" s="16">
        <v>12900855</v>
      </c>
      <c r="E143" s="16">
        <v>-3325621</v>
      </c>
    </row>
    <row r="144" spans="1:5" x14ac:dyDescent="0.2">
      <c r="A144" s="17">
        <v>46029</v>
      </c>
      <c r="B144" s="16">
        <v>287060</v>
      </c>
      <c r="C144" s="16">
        <v>-8694</v>
      </c>
      <c r="D144" s="16">
        <v>10878666</v>
      </c>
      <c r="E144" s="16">
        <v>-2776839</v>
      </c>
    </row>
    <row r="145" spans="1:5" x14ac:dyDescent="0.2">
      <c r="A145" s="17">
        <v>46028</v>
      </c>
      <c r="B145" s="16">
        <v>-1857800</v>
      </c>
      <c r="C145" s="16">
        <v>9506</v>
      </c>
      <c r="D145" s="16">
        <v>5853957</v>
      </c>
      <c r="E145" s="16">
        <v>-2868820</v>
      </c>
    </row>
    <row r="146" spans="1:5" x14ac:dyDescent="0.2">
      <c r="A146" s="17">
        <v>46027</v>
      </c>
      <c r="B146" s="16"/>
      <c r="C146" s="16"/>
      <c r="D146" s="16"/>
      <c r="E146" s="1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FiinPro-X</dc:creator>
  <cp:lastModifiedBy>Long Dang</cp:lastModifiedBy>
  <dcterms:created xsi:type="dcterms:W3CDTF">2019-10-07T03:46:21Z</dcterms:created>
  <dcterms:modified xsi:type="dcterms:W3CDTF">2026-08-04T03:35:32Z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