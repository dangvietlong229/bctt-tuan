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40" yWindow="10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  <numFmt numFmtId="171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46227</v>
                </pt>
                <pt idx="2">
                  <v>46226</v>
                </pt>
                <pt idx="3">
                  <v>46225</v>
                </pt>
                <pt idx="4">
                  <v>46224</v>
                </pt>
                <pt idx="5">
                  <v>46223</v>
                </pt>
                <pt idx="6">
                  <v>46220</v>
                </pt>
                <pt idx="7">
                  <v>46219</v>
                </pt>
                <pt idx="8">
                  <v>46218</v>
                </pt>
                <pt idx="9">
                  <v>46217</v>
                </pt>
                <pt idx="10">
                  <v>46216</v>
                </pt>
                <pt idx="11">
                  <v>46213</v>
                </pt>
                <pt idx="12">
                  <v>46212</v>
                </pt>
                <pt idx="13">
                  <v>46211</v>
                </pt>
                <pt idx="14">
                  <v>46210</v>
                </pt>
                <pt idx="15">
                  <v>46209</v>
                </pt>
                <pt idx="16">
                  <v>46206</v>
                </pt>
                <pt idx="17">
                  <v>46205</v>
                </pt>
                <pt idx="18">
                  <v>46204</v>
                </pt>
                <pt idx="19">
                  <v>46203</v>
                </pt>
                <pt idx="20">
                  <v>46202</v>
                </pt>
                <pt idx="21">
                  <v>46199</v>
                </pt>
                <pt idx="22">
                  <v>46198</v>
                </pt>
                <pt idx="23">
                  <v>46197</v>
                </pt>
                <pt idx="24">
                  <v>46196</v>
                </pt>
                <pt idx="25">
                  <v>46195</v>
                </pt>
                <pt idx="26">
                  <v>46192</v>
                </pt>
                <pt idx="27">
                  <v>46191</v>
                </pt>
                <pt idx="28">
                  <v>46190</v>
                </pt>
                <pt idx="29">
                  <v>46189</v>
                </pt>
                <pt idx="30">
                  <v>46188</v>
                </pt>
                <pt idx="31">
                  <v>46185</v>
                </pt>
                <pt idx="32">
                  <v>46184</v>
                </pt>
                <pt idx="33">
                  <v>46183</v>
                </pt>
                <pt idx="34">
                  <v>46182</v>
                </pt>
                <pt idx="35">
                  <v>46181</v>
                </pt>
                <pt idx="36">
                  <v>46178</v>
                </pt>
                <pt idx="37">
                  <v>46177</v>
                </pt>
                <pt idx="38">
                  <v>46176</v>
                </pt>
                <pt idx="39">
                  <v>46175</v>
                </pt>
                <pt idx="40">
                  <v>46174</v>
                </pt>
                <pt idx="41">
                  <v>46171</v>
                </pt>
                <pt idx="42">
                  <v>46170</v>
                </pt>
                <pt idx="43">
                  <v>46169</v>
                </pt>
                <pt idx="44">
                  <v>46168</v>
                </pt>
                <pt idx="45">
                  <v>46167</v>
                </pt>
                <pt idx="46">
                  <v>46164</v>
                </pt>
                <pt idx="47">
                  <v>46163</v>
                </pt>
                <pt idx="48">
                  <v>46162</v>
                </pt>
                <pt idx="49">
                  <v>46161</v>
                </pt>
                <pt idx="50">
                  <v>46160</v>
                </pt>
                <pt idx="51">
                  <v>46157</v>
                </pt>
                <pt idx="52">
                  <v>46156</v>
                </pt>
                <pt idx="53">
                  <v>46155</v>
                </pt>
                <pt idx="54">
                  <v>46154</v>
                </pt>
                <pt idx="55">
                  <v>46153</v>
                </pt>
                <pt idx="56">
                  <v>46150</v>
                </pt>
                <pt idx="57">
                  <v>46149</v>
                </pt>
                <pt idx="58">
                  <v>46148</v>
                </pt>
                <pt idx="59">
                  <v>46147</v>
                </pt>
                <pt idx="60">
                  <v>46146</v>
                </pt>
                <pt idx="61">
                  <v>46141</v>
                </pt>
                <pt idx="62">
                  <v>46140</v>
                </pt>
                <pt idx="63">
                  <v>46136</v>
                </pt>
                <pt idx="64">
                  <v>46135</v>
                </pt>
                <pt idx="65">
                  <v>46134</v>
                </pt>
                <pt idx="66">
                  <v>46133</v>
                </pt>
                <pt idx="67">
                  <v>46132</v>
                </pt>
                <pt idx="68">
                  <v>46129</v>
                </pt>
                <pt idx="69">
                  <v>46128</v>
                </pt>
                <pt idx="70">
                  <v>46127</v>
                </pt>
                <pt idx="71">
                  <v>46126</v>
                </pt>
                <pt idx="72">
                  <v>46125</v>
                </pt>
                <pt idx="73">
                  <v>46122</v>
                </pt>
                <pt idx="74">
                  <v>46121</v>
                </pt>
                <pt idx="75">
                  <v>46120</v>
                </pt>
                <pt idx="76">
                  <v>46119</v>
                </pt>
                <pt idx="77">
                  <v>46118</v>
                </pt>
                <pt idx="78">
                  <v>46115</v>
                </pt>
                <pt idx="79">
                  <v>46114</v>
                </pt>
                <pt idx="80">
                  <v>46113</v>
                </pt>
                <pt idx="81">
                  <v>46112</v>
                </pt>
                <pt idx="82">
                  <v>46111</v>
                </pt>
                <pt idx="83">
                  <v>46108</v>
                </pt>
                <pt idx="84">
                  <v>46107</v>
                </pt>
                <pt idx="85">
                  <v>46106</v>
                </pt>
                <pt idx="86">
                  <v>46105</v>
                </pt>
                <pt idx="87">
                  <v>46104</v>
                </pt>
                <pt idx="88">
                  <v>46101</v>
                </pt>
                <pt idx="89">
                  <v>46100</v>
                </pt>
                <pt idx="90">
                  <v>46099</v>
                </pt>
                <pt idx="91">
                  <v>46098</v>
                </pt>
                <pt idx="92">
                  <v>46097</v>
                </pt>
                <pt idx="93">
                  <v>46094</v>
                </pt>
                <pt idx="94">
                  <v>46093</v>
                </pt>
                <pt idx="95">
                  <v>46092</v>
                </pt>
                <pt idx="96">
                  <v>46091</v>
                </pt>
                <pt idx="97">
                  <v>46090</v>
                </pt>
                <pt idx="98">
                  <v>46087</v>
                </pt>
                <pt idx="99">
                  <v>46086</v>
                </pt>
                <pt idx="100">
                  <v>46085</v>
                </pt>
                <pt idx="101">
                  <v>46084</v>
                </pt>
                <pt idx="102">
                  <v>46083</v>
                </pt>
                <pt idx="103">
                  <v>46080</v>
                </pt>
                <pt idx="104">
                  <v>46079</v>
                </pt>
                <pt idx="105">
                  <v>46078</v>
                </pt>
                <pt idx="106">
                  <v>46077</v>
                </pt>
                <pt idx="107">
                  <v>46076</v>
                </pt>
                <pt idx="108">
                  <v>46066</v>
                </pt>
                <pt idx="109">
                  <v>46065</v>
                </pt>
                <pt idx="110">
                  <v>46064</v>
                </pt>
                <pt idx="111">
                  <v>46063</v>
                </pt>
                <pt idx="112">
                  <v>46062</v>
                </pt>
                <pt idx="113">
                  <v>46059</v>
                </pt>
                <pt idx="114">
                  <v>46058</v>
                </pt>
                <pt idx="115">
                  <v>46057</v>
                </pt>
                <pt idx="116">
                  <v>46056</v>
                </pt>
                <pt idx="117">
                  <v>46055</v>
                </pt>
                <pt idx="118">
                  <v>46052</v>
                </pt>
                <pt idx="119">
                  <v>46051</v>
                </pt>
                <pt idx="120">
                  <v>46050</v>
                </pt>
                <pt idx="121">
                  <v>46049</v>
                </pt>
                <pt idx="122">
                  <v>46048</v>
                </pt>
                <pt idx="123">
                  <v>46045</v>
                </pt>
                <pt idx="124">
                  <v>46044</v>
                </pt>
                <pt idx="125">
                  <v>46043</v>
                </pt>
                <pt idx="126">
                  <v>46042</v>
                </pt>
                <pt idx="127">
                  <v>46041</v>
                </pt>
                <pt idx="128">
                  <v>46038</v>
                </pt>
                <pt idx="129">
                  <v>46037</v>
                </pt>
                <pt idx="130">
                  <v>46036</v>
                </pt>
                <pt idx="131">
                  <v>46035</v>
                </pt>
                <pt idx="132">
                  <v>46034</v>
                </pt>
                <pt idx="133">
                  <v>46031</v>
                </pt>
                <pt idx="134">
                  <v>46030</v>
                </pt>
                <pt idx="135">
                  <v>46029</v>
                </pt>
                <pt idx="136">
                  <v>46028</v>
                </pt>
                <pt idx="137">
                  <v>46027</v>
                </pt>
                <pt idx="138">
                  <formatCode>m/d/yy</formatCode>
                  <v>46022</v>
                </pt>
                <pt idx="139">
                  <formatCode>m/d/yy</formatCode>
                  <v>46021</v>
                </pt>
                <pt idx="140">
                  <formatCode>m/d/yy</formatCode>
                  <v>46020</v>
                </pt>
                <pt idx="141">
                  <formatCode>m/d/yy</formatCode>
                  <v>46017</v>
                </pt>
                <pt idx="142">
                  <formatCode>m/d/yy</formatCode>
                  <v>46016</v>
                </pt>
                <pt idx="143">
                  <formatCode>m/d/yy</formatCode>
                  <v>46015</v>
                </pt>
                <pt idx="144">
                  <formatCode>m/d/yy</formatCode>
                  <v>46014</v>
                </pt>
                <pt idx="145">
                  <formatCode>m/d/yy</formatCode>
                  <v>46013</v>
                </pt>
                <pt idx="146">
                  <formatCode>m/d/yy</formatCode>
                  <v>46010</v>
                </pt>
                <pt idx="147">
                  <formatCode>m/d/yy</formatCode>
                  <v>46009</v>
                </pt>
                <pt idx="148">
                  <formatCode>m/d/yy</formatCode>
                  <v>46008</v>
                </pt>
                <pt idx="149">
                  <formatCode>m/d/yy</formatCode>
                  <v>46007</v>
                </pt>
                <pt idx="150">
                  <formatCode>m/d/yy</formatCode>
                  <v>46006</v>
                </pt>
                <pt idx="151">
                  <formatCode>m/d/yy</formatCode>
                  <v>46003</v>
                </pt>
                <pt idx="152">
                  <formatCode>m/d/yy</formatCode>
                  <v>46002</v>
                </pt>
                <pt idx="153">
                  <formatCode>m/d/yy</formatCode>
                  <v>46001</v>
                </pt>
                <pt idx="154">
                  <formatCode>m/d/yy</formatCode>
                  <v>46000</v>
                </pt>
                <pt idx="155">
                  <formatCode>m/d/yy</formatCode>
                  <v>45999</v>
                </pt>
                <pt idx="156">
                  <formatCode>m/d/yy</formatCode>
                  <v>45996</v>
                </pt>
                <pt idx="157">
                  <formatCode>m/d/yy</formatCode>
                  <v>45995</v>
                </pt>
                <pt idx="158">
                  <formatCode>m/d/yy</formatCode>
                  <v>45994</v>
                </pt>
                <pt idx="159">
                  <formatCode>m/d/yy</formatCode>
                  <v>45993</v>
                </pt>
                <pt idx="160">
                  <formatCode>m/d/yy</formatCode>
                  <v>45992</v>
                </pt>
                <pt idx="161">
                  <formatCode>m/d/yy</formatCode>
                  <v>45989</v>
                </pt>
                <pt idx="162">
                  <formatCode>m/d/yy</formatCode>
                  <v>45988</v>
                </pt>
                <pt idx="163">
                  <formatCode>m/d/yy</formatCode>
                  <v>45987</v>
                </pt>
                <pt idx="164">
                  <formatCode>m/d/yy</formatCode>
                  <v>45986</v>
                </pt>
                <pt idx="165">
                  <formatCode>m/d/yy</formatCode>
                  <v>45985</v>
                </pt>
                <pt idx="166">
                  <formatCode>m/d/yy</formatCode>
                  <v>45982</v>
                </pt>
                <pt idx="167">
                  <formatCode>m/d/yy</formatCode>
                  <v>45981</v>
                </pt>
                <pt idx="168">
                  <formatCode>m/d/yy</formatCode>
                  <v>45980</v>
                </pt>
                <pt idx="169">
                  <formatCode>m/d/yy</formatCode>
                  <v>45979</v>
                </pt>
                <pt idx="170">
                  <formatCode>m/d/yy</formatCode>
                  <v>45978</v>
                </pt>
                <pt idx="171">
                  <formatCode>m/d/yy</formatCode>
                  <v>45975</v>
                </pt>
                <pt idx="172">
                  <formatCode>m/d/yy</formatCode>
                  <v>45974</v>
                </pt>
                <pt idx="173">
                  <formatCode>m/d/yy</formatCode>
                  <v>45973</v>
                </pt>
                <pt idx="174">
                  <formatCode>m/d/yy</formatCode>
                  <v>45972</v>
                </pt>
                <pt idx="175">
                  <formatCode>m/d/yy</formatCode>
                  <v>45971</v>
                </pt>
                <pt idx="176">
                  <formatCode>m/d/yy</formatCode>
                  <v>45968</v>
                </pt>
                <pt idx="177">
                  <formatCode>m/d/yy</formatCode>
                  <v>45967</v>
                </pt>
                <pt idx="178">
                  <formatCode>m/d/yy</formatCode>
                  <v>45966</v>
                </pt>
                <pt idx="179">
                  <formatCode>m/d/yy</formatCode>
                  <v>45965</v>
                </pt>
                <pt idx="180">
                  <formatCode>m/d/yy</formatCode>
                  <v>45964</v>
                </pt>
                <pt idx="181">
                  <formatCode>m/d/yy</formatCode>
                  <v>45961</v>
                </pt>
                <pt idx="182">
                  <formatCode>m/d/yy</formatCode>
                  <v>45960</v>
                </pt>
                <pt idx="183">
                  <formatCode>m/d/yy</formatCode>
                  <v>45959</v>
                </pt>
                <pt idx="184">
                  <formatCode>m/d/yy</formatCode>
                  <v>45958</v>
                </pt>
                <pt idx="185">
                  <formatCode>m/d/yy</formatCode>
                  <v>45957</v>
                </pt>
                <pt idx="186">
                  <formatCode>m/d/yy</formatCode>
                  <v>45954</v>
                </pt>
                <pt idx="187">
                  <formatCode>m/d/yy</formatCode>
                  <v>45953</v>
                </pt>
                <pt idx="188">
                  <formatCode>m/d/yy</formatCode>
                  <v>45952</v>
                </pt>
                <pt idx="189">
                  <formatCode>m/d/yy</formatCode>
                  <v>45951</v>
                </pt>
                <pt idx="190">
                  <formatCode>m/d/yy</formatCode>
                  <v>45950</v>
                </pt>
                <pt idx="191">
                  <formatCode>m/d/yy</formatCode>
                  <v>45947</v>
                </pt>
                <pt idx="192">
                  <formatCode>m/d/yy</formatCode>
                  <v>45946</v>
                </pt>
                <pt idx="193">
                  <formatCode>m/d/yy</formatCode>
                  <v>45945</v>
                </pt>
                <pt idx="194">
                  <formatCode>m/d/yy</formatCode>
                  <v>45944</v>
                </pt>
                <pt idx="195">
                  <formatCode>m/d/yy</formatCode>
                  <v>45943</v>
                </pt>
                <pt idx="196">
                  <formatCode>m/d/yy</formatCode>
                  <v>45940</v>
                </pt>
                <pt idx="197">
                  <formatCode>m/d/yy</formatCode>
                  <v>45939</v>
                </pt>
                <pt idx="198">
                  <formatCode>m/d/yy</formatCode>
                  <v>45938</v>
                </pt>
                <pt idx="199">
                  <formatCode>m/d/yy</formatCode>
                  <v>45937</v>
                </pt>
                <pt idx="200">
                  <formatCode>m/d/yy</formatCode>
                  <v>45936</v>
                </pt>
                <pt idx="201">
                  <formatCode>m/d/yy</formatCode>
                  <v>45933</v>
                </pt>
                <pt idx="202">
                  <formatCode>m/d/yy</formatCode>
                  <v>45932</v>
                </pt>
                <pt idx="203">
                  <formatCode>m/d/yy</formatCode>
                  <v>45931</v>
                </pt>
                <pt idx="204">
                  <formatCode>m/d/yy</formatCode>
                  <v>45930</v>
                </pt>
                <pt idx="205">
                  <formatCode>m/d/yy</formatCode>
                  <v>45929</v>
                </pt>
                <pt idx="206">
                  <formatCode>m/d/yy</formatCode>
                  <v>45926</v>
                </pt>
                <pt idx="207">
                  <formatCode>m/d/yy</formatCode>
                  <v>45925</v>
                </pt>
                <pt idx="208">
                  <formatCode>m/d/yy</formatCode>
                  <v>45924</v>
                </pt>
                <pt idx="209">
                  <formatCode>m/d/yy</formatCode>
                  <v>45923</v>
                </pt>
                <pt idx="210">
                  <formatCode>m/d/yy</formatCode>
                  <v>45922</v>
                </pt>
                <pt idx="211">
                  <formatCode>m/d/yy</formatCode>
                  <v>45919</v>
                </pt>
                <pt idx="212">
                  <formatCode>m/d/yy</formatCode>
                  <v>45918</v>
                </pt>
                <pt idx="213">
                  <formatCode>m/d/yy</formatCode>
                  <v>45917</v>
                </pt>
                <pt idx="214">
                  <formatCode>m/d/yy</formatCode>
                  <v>45916</v>
                </pt>
                <pt idx="215">
                  <formatCode>m/d/yy</formatCode>
                  <v>45915</v>
                </pt>
                <pt idx="216">
                  <formatCode>m/d/yy</formatCode>
                  <v>45912</v>
                </pt>
                <pt idx="217">
                  <formatCode>m/d/yy</formatCode>
                  <v>45911</v>
                </pt>
                <pt idx="218">
                  <formatCode>m/d/yy</formatCode>
                  <v>45910</v>
                </pt>
                <pt idx="219">
                  <formatCode>m/d/yy</formatCode>
                  <v>45909</v>
                </pt>
                <pt idx="220">
                  <formatCode>m/d/yy</formatCode>
                  <v>45908</v>
                </pt>
                <pt idx="221">
                  <formatCode>m/d/yy</formatCode>
                  <v>45905</v>
                </pt>
                <pt idx="222">
                  <formatCode>m/d/yy</formatCode>
                  <v>45904</v>
                </pt>
                <pt idx="223">
                  <formatCode>m/d/yy</formatCode>
                  <v>45903</v>
                </pt>
                <pt idx="224">
                  <formatCode>m/d/yy</formatCode>
                  <v>45898</v>
                </pt>
                <pt idx="225">
                  <formatCode>m/d/yy</formatCode>
                  <v>45897</v>
                </pt>
                <pt idx="226">
                  <formatCode>m/d/yy</formatCode>
                  <v>45896</v>
                </pt>
                <pt idx="227">
                  <formatCode>m/d/yy</formatCode>
                  <v>45895</v>
                </pt>
                <pt idx="228">
                  <formatCode>m/d/yy</formatCode>
                  <v>45894</v>
                </pt>
                <pt idx="229">
                  <formatCode>m/d/yy</formatCode>
                  <v>45891</v>
                </pt>
                <pt idx="230">
                  <formatCode>m/d/yy</formatCode>
                  <v>45890</v>
                </pt>
                <pt idx="231">
                  <formatCode>m/d/yy</formatCode>
                  <v>45889</v>
                </pt>
                <pt idx="232">
                  <formatCode>m/d/yy</formatCode>
                  <v>45888</v>
                </pt>
                <pt idx="233">
                  <formatCode>m/d/yy</formatCode>
                  <v>45887</v>
                </pt>
                <pt idx="234">
                  <formatCode>m/d/yy</formatCode>
                  <v>45884</v>
                </pt>
                <pt idx="235">
                  <formatCode>m/d/yy</formatCode>
                  <v>45883</v>
                </pt>
                <pt idx="236">
                  <formatCode>m/d/yy</formatCode>
                  <v>45882</v>
                </pt>
                <pt idx="237">
                  <formatCode>m/d/yy</formatCode>
                  <v>45881</v>
                </pt>
                <pt idx="238">
                  <formatCode>m/d/yy</formatCode>
                  <v>45880</v>
                </pt>
                <pt idx="239">
                  <formatCode>m/d/yy</formatCode>
                  <v>45877</v>
                </pt>
                <pt idx="240">
                  <formatCode>m/d/yy</formatCode>
                  <v>45876</v>
                </pt>
                <pt idx="241">
                  <formatCode>m/d/yy</formatCode>
                  <v>45875</v>
                </pt>
                <pt idx="242">
                  <formatCode>m/d/yy</formatCode>
                  <v>45874</v>
                </pt>
                <pt idx="243">
                  <formatCode>m/d/yy</formatCode>
                  <v>45873</v>
                </pt>
                <pt idx="244">
                  <formatCode>m/d/yy</formatCode>
                  <v>45870</v>
                </pt>
                <pt idx="245">
                  <formatCode>m/d/yy</formatCode>
                  <v>45869</v>
                </pt>
                <pt idx="246">
                  <formatCode>m/d/yy</formatCode>
                  <v>45868</v>
                </pt>
                <pt idx="247">
                  <formatCode>m/d/yy</formatCode>
                  <v>45867</v>
                </pt>
                <pt idx="248">
                  <formatCode>m/d/yy</formatCode>
                  <v>45866</v>
                </pt>
                <pt idx="249">
                  <formatCode>m/d/yy</formatCode>
                  <v>45863</v>
                </pt>
                <pt idx="250">
                  <formatCode>m/d/yy</formatCode>
                  <v>45862</v>
                </pt>
                <pt idx="251">
                  <formatCode>m/d/yy</formatCode>
                  <v>45861</v>
                </pt>
                <pt idx="252">
                  <formatCode>m/d/yy</formatCode>
                  <v>45860</v>
                </pt>
                <pt idx="253">
                  <formatCode>m/d/yy</formatCode>
                  <v>45859</v>
                </pt>
                <pt idx="254">
                  <formatCode>m/d/yy</formatCode>
                  <v>45856</v>
                </pt>
                <pt idx="255">
                  <formatCode>m/d/yy</formatCode>
                  <v>45855</v>
                </pt>
                <pt idx="256">
                  <formatCode>m/d/yy</formatCode>
                  <v>45854</v>
                </pt>
                <pt idx="257">
                  <formatCode>m/d/yy</formatCode>
                  <v>45853</v>
                </pt>
                <pt idx="258">
                  <formatCode>m/d/yy</formatCode>
                  <v>45852</v>
                </pt>
                <pt idx="259">
                  <formatCode>m/d/yy</formatCode>
                  <v>45849</v>
                </pt>
                <pt idx="260">
                  <formatCode>m/d/yy</formatCode>
                  <v>45848</v>
                </pt>
                <pt idx="261">
                  <formatCode>m/d/yy</formatCode>
                  <v>45847</v>
                </pt>
                <pt idx="262">
                  <formatCode>m/d/yy</formatCode>
                  <v>45846</v>
                </pt>
                <pt idx="263">
                  <formatCode>m/d/yy</formatCode>
                  <v>45845</v>
                </pt>
                <pt idx="264">
                  <formatCode>m/d/yy</formatCode>
                  <v>45842</v>
                </pt>
                <pt idx="265">
                  <formatCode>m/d/yy</formatCode>
                  <v>45841</v>
                </pt>
                <pt idx="266">
                  <formatCode>m/d/yy</formatCode>
                  <v>45840</v>
                </pt>
                <pt idx="267">
                  <formatCode>m/d/yy</formatCode>
                  <v>45839</v>
                </pt>
                <pt idx="268">
                  <formatCode>m/d/yy</formatCode>
                  <v>45838</v>
                </pt>
                <pt idx="269">
                  <formatCode>m/d/yy</formatCode>
                  <v>45835</v>
                </pt>
                <pt idx="270">
                  <formatCode>m/d/yy</formatCode>
                  <v>45834</v>
                </pt>
                <pt idx="271">
                  <formatCode>m/d/yy</formatCode>
                  <v>45833</v>
                </pt>
                <pt idx="272">
                  <formatCode>m/d/yy</formatCode>
                  <v>45832</v>
                </pt>
                <pt idx="273">
                  <formatCode>m/d/yy</formatCode>
                  <v>45831</v>
                </pt>
                <pt idx="274">
                  <formatCode>m/d/yy</formatCode>
                  <v>45828</v>
                </pt>
                <pt idx="275">
                  <formatCode>m/d/yy</formatCode>
                  <v>45827</v>
                </pt>
                <pt idx="276">
                  <formatCode>m/d/yy</formatCode>
                  <v>45826</v>
                </pt>
                <pt idx="277">
                  <formatCode>m/d/yy</formatCode>
                  <v>45825</v>
                </pt>
                <pt idx="278">
                  <formatCode>m/d/yy</formatCode>
                  <v>45824</v>
                </pt>
                <pt idx="279">
                  <formatCode>m/d/yy</formatCode>
                  <v>45821</v>
                </pt>
                <pt idx="280">
                  <formatCode>m/d/yy</formatCode>
                  <v>45820</v>
                </pt>
                <pt idx="281">
                  <formatCode>m/d/yy</formatCode>
                  <v>45819</v>
                </pt>
                <pt idx="282">
                  <formatCode>m/d/yy</formatCode>
                  <v>45818</v>
                </pt>
                <pt idx="283">
                  <formatCode>m/d/yy</formatCode>
                  <v>45817</v>
                </pt>
                <pt idx="284">
                  <formatCode>m/d/yy</formatCode>
                  <v>45814</v>
                </pt>
                <pt idx="285">
                  <formatCode>m/d/yy</formatCode>
                  <v>45813</v>
                </pt>
                <pt idx="286">
                  <formatCode>m/d/yy</formatCode>
                  <v>45812</v>
                </pt>
                <pt idx="287">
                  <formatCode>m/d/yy</formatCode>
                  <v>45811</v>
                </pt>
                <pt idx="288">
                  <formatCode>m/d/yy</formatCode>
                  <v>45810</v>
                </pt>
                <pt idx="289">
                  <formatCode>m/d/yy</formatCode>
                  <v>45807</v>
                </pt>
                <pt idx="290">
                  <formatCode>m/d/yy</formatCode>
                  <v>45806</v>
                </pt>
                <pt idx="291">
                  <formatCode>m/d/yy</formatCode>
                  <v>45805</v>
                </pt>
                <pt idx="292">
                  <formatCode>m/d/yy</formatCode>
                  <v>45804</v>
                </pt>
                <pt idx="293">
                  <formatCode>m/d/yy</formatCode>
                  <v>45803</v>
                </pt>
                <pt idx="294">
                  <formatCode>m/d/yy</formatCode>
                  <v>45800</v>
                </pt>
                <pt idx="295">
                  <formatCode>m/d/yy</formatCode>
                  <v>45799</v>
                </pt>
                <pt idx="296">
                  <formatCode>m/d/yy</formatCode>
                  <v>45798</v>
                </pt>
                <pt idx="297">
                  <formatCode>m/d/yy</formatCode>
                  <v>45797</v>
                </pt>
                <pt idx="298">
                  <formatCode>m/d/yy</formatCode>
                  <v>45796</v>
                </pt>
                <pt idx="299">
                  <formatCode>m/d/yy</formatCode>
                  <v>45793</v>
                </pt>
                <pt idx="300">
                  <formatCode>m/d/yy</formatCode>
                  <v>45792</v>
                </pt>
                <pt idx="301">
                  <formatCode>m/d/yy</formatCode>
                  <v>45791</v>
                </pt>
                <pt idx="302">
                  <formatCode>m/d/yy</formatCode>
                  <v>45790</v>
                </pt>
                <pt idx="303">
                  <formatCode>m/d/yy</formatCode>
                  <v>45789</v>
                </pt>
                <pt idx="304">
                  <formatCode>m/d/yy</formatCode>
                  <v>45786</v>
                </pt>
                <pt idx="305">
                  <formatCode>m/d/yy</formatCode>
                  <v>45785</v>
                </pt>
                <pt idx="306">
                  <formatCode>m/d/yy</formatCode>
                  <v>45784</v>
                </pt>
                <pt idx="307">
                  <formatCode>m/d/yy</formatCode>
                  <v>45783</v>
                </pt>
                <pt idx="308">
                  <formatCode>m/d/yy</formatCode>
                  <v>45782</v>
                </pt>
                <pt idx="309">
                  <formatCode>m/d/yy</formatCode>
                  <v>45776</v>
                </pt>
                <pt idx="310">
                  <formatCode>m/d/yy</formatCode>
                  <v>45775</v>
                </pt>
                <pt idx="311">
                  <formatCode>m/d/yy</formatCode>
                  <v>45772</v>
                </pt>
                <pt idx="312">
                  <formatCode>m/d/yy</formatCode>
                  <v>45771</v>
                </pt>
                <pt idx="313">
                  <formatCode>m/d/yy</formatCode>
                  <v>45770</v>
                </pt>
                <pt idx="314">
                  <formatCode>m/d/yy</formatCode>
                  <v>45769</v>
                </pt>
                <pt idx="315">
                  <formatCode>m/d/yy</formatCode>
                  <v>45768</v>
                </pt>
                <pt idx="316">
                  <formatCode>m/d/yy</formatCode>
                  <v>45765</v>
                </pt>
                <pt idx="317">
                  <formatCode>m/d/yy</formatCode>
                  <v>45764</v>
                </pt>
                <pt idx="318">
                  <formatCode>m/d/yy</formatCode>
                  <v>45763</v>
                </pt>
                <pt idx="319">
                  <formatCode>m/d/yy</formatCode>
                  <v>45762</v>
                </pt>
                <pt idx="320">
                  <formatCode>m/d/yy</formatCode>
                  <v>45761</v>
                </pt>
                <pt idx="321">
                  <formatCode>m/d/yy</formatCode>
                  <v>45758</v>
                </pt>
                <pt idx="322">
                  <formatCode>m/d/yy</formatCode>
                  <v>45757</v>
                </pt>
                <pt idx="323">
                  <formatCode>m/d/yy</formatCode>
                  <v>45756</v>
                </pt>
                <pt idx="324">
                  <formatCode>m/d/yy</formatCode>
                  <v>45755</v>
                </pt>
                <pt idx="325">
                  <formatCode>m/d/yy</formatCode>
                  <v>45751</v>
                </pt>
                <pt idx="326">
                  <formatCode>m/d/yy</formatCode>
                  <v>45750</v>
                </pt>
                <pt idx="327">
                  <formatCode>m/d/yy</formatCode>
                  <v>45749</v>
                </pt>
                <pt idx="328">
                  <formatCode>m/d/yy</formatCode>
                  <v>45748</v>
                </pt>
                <pt idx="329">
                  <formatCode>m/d/yy</formatCode>
                  <v>45747</v>
                </pt>
                <pt idx="330">
                  <formatCode>m/d/yy</formatCode>
                  <v>45744</v>
                </pt>
                <pt idx="331">
                  <formatCode>m/d/yy</formatCode>
                  <v>45743</v>
                </pt>
                <pt idx="332">
                  <formatCode>m/d/yy</formatCode>
                  <v>45742</v>
                </pt>
                <pt idx="333">
                  <formatCode>m/d/yy</formatCode>
                  <v>45741</v>
                </pt>
                <pt idx="334">
                  <formatCode>m/d/yy</formatCode>
                  <v>45740</v>
                </pt>
                <pt idx="335">
                  <formatCode>m/d/yy</formatCode>
                  <v>45737</v>
                </pt>
                <pt idx="336">
                  <formatCode>m/d/yy</formatCode>
                  <v>45736</v>
                </pt>
                <pt idx="337">
                  <formatCode>m/d/yy</formatCode>
                  <v>45735</v>
                </pt>
                <pt idx="338">
                  <formatCode>m/d/yy</formatCode>
                  <v>45734</v>
                </pt>
                <pt idx="339">
                  <formatCode>m/d/yy</formatCode>
                  <v>45733</v>
                </pt>
                <pt idx="340">
                  <formatCode>m/d/yy</formatCode>
                  <v>45730</v>
                </pt>
                <pt idx="341">
                  <formatCode>m/d/yy</formatCode>
                  <v>45729</v>
                </pt>
                <pt idx="342">
                  <formatCode>m/d/yy</formatCode>
                  <v>45728</v>
                </pt>
                <pt idx="343">
                  <formatCode>m/d/yy</formatCode>
                  <v>45727</v>
                </pt>
                <pt idx="344">
                  <formatCode>m/d/yy</formatCode>
                  <v>45726</v>
                </pt>
                <pt idx="345">
                  <formatCode>m/d/yy</formatCode>
                  <v>45723</v>
                </pt>
                <pt idx="346">
                  <formatCode>m/d/yy</formatCode>
                  <v>45722</v>
                </pt>
                <pt idx="347">
                  <formatCode>m/d/yy</formatCode>
                  <v>45721</v>
                </pt>
                <pt idx="348">
                  <formatCode>m/d/yy</formatCode>
                  <v>45720</v>
                </pt>
                <pt idx="349">
                  <formatCode>m/d/yy</formatCode>
                  <v>45719</v>
                </pt>
                <pt idx="350">
                  <formatCode>m/d/yy</formatCode>
                  <v>45716</v>
                </pt>
                <pt idx="351">
                  <formatCode>m/d/yy</formatCode>
                  <v>45715</v>
                </pt>
                <pt idx="352">
                  <formatCode>m/d/yy</formatCode>
                  <v>45714</v>
                </pt>
                <pt idx="353">
                  <formatCode>m/d/yy</formatCode>
                  <v>45713</v>
                </pt>
                <pt idx="354">
                  <formatCode>m/d/yy</formatCode>
                  <v>45712</v>
                </pt>
                <pt idx="355">
                  <formatCode>m/d/yy</formatCode>
                  <v>45709</v>
                </pt>
                <pt idx="356">
                  <formatCode>m/d/yy</formatCode>
                  <v>45708</v>
                </pt>
                <pt idx="357">
                  <formatCode>m/d/yy</formatCode>
                  <v>45707</v>
                </pt>
                <pt idx="358">
                  <formatCode>m/d/yy</formatCode>
                  <v>45706</v>
                </pt>
                <pt idx="359">
                  <formatCode>m/d/yy</formatCode>
                  <v>45705</v>
                </pt>
                <pt idx="360">
                  <formatCode>m/d/yy</formatCode>
                  <v>45702</v>
                </pt>
                <pt idx="361">
                  <formatCode>m/d/yy</formatCode>
                  <v>45701</v>
                </pt>
                <pt idx="362">
                  <formatCode>m/d/yy</formatCode>
                  <v>45700</v>
                </pt>
                <pt idx="363">
                  <formatCode>m/d/yy</formatCode>
                  <v>45699</v>
                </pt>
                <pt idx="364">
                  <formatCode>m/d/yy</formatCode>
                  <v>45698</v>
                </pt>
                <pt idx="365">
                  <formatCode>m/d/yy</formatCode>
                  <v>45695</v>
                </pt>
                <pt idx="366">
                  <formatCode>m/d/yy</formatCode>
                  <v>45694</v>
                </pt>
                <pt idx="367">
                  <formatCode>m/d/yy</formatCode>
                  <v>45693</v>
                </pt>
                <pt idx="368">
                  <formatCode>m/d/yy</formatCode>
                  <v>45692</v>
                </pt>
                <pt idx="369">
                  <formatCode>m/d/yy</formatCode>
                  <v>45691</v>
                </pt>
                <pt idx="370">
                  <formatCode>m/d/yy</formatCode>
                  <v>45681</v>
                </pt>
                <pt idx="371">
                  <formatCode>m/d/yy</formatCode>
                  <v>45680</v>
                </pt>
                <pt idx="372">
                  <formatCode>m/d/yy</formatCode>
                  <v>45679</v>
                </pt>
                <pt idx="373">
                  <formatCode>m/d/yy</formatCode>
                  <v>45678</v>
                </pt>
                <pt idx="374">
                  <formatCode>m/d/yy</formatCode>
                  <v>45677</v>
                </pt>
                <pt idx="375">
                  <formatCode>m/d/yy</formatCode>
                  <v>45674</v>
                </pt>
                <pt idx="376">
                  <formatCode>m/d/yy</formatCode>
                  <v>45673</v>
                </pt>
                <pt idx="377">
                  <formatCode>m/d/yy</formatCode>
                  <v>45672</v>
                </pt>
                <pt idx="378">
                  <formatCode>m/d/yy</formatCode>
                  <v>45671</v>
                </pt>
                <pt idx="379">
                  <formatCode>m/d/yy</formatCode>
                  <v>45670</v>
                </pt>
                <pt idx="380">
                  <formatCode>m/d/yy</formatCode>
                  <v>45667</v>
                </pt>
                <pt idx="381">
                  <formatCode>m/d/yy</formatCode>
                  <v>45666</v>
                </pt>
              </numCache>
            </numRef>
          </cat>
          <val>
            <numRef>
              <f>Sheet1!$B$2:$B$383</f>
              <numCache>
                <formatCode>#,##0.00</formatCode>
                <ptCount val="382"/>
                <pt idx="0">
                  <v>0</v>
                </pt>
                <pt idx="1">
                  <v>1686.11</v>
                </pt>
                <pt idx="2">
                  <v>1699.38</v>
                </pt>
                <pt idx="3">
                  <v>1668.53</v>
                </pt>
                <pt idx="4">
                  <v>1730.56</v>
                </pt>
                <pt idx="5">
                  <v>1743.51</v>
                </pt>
                <pt idx="6">
                  <v>1787.45</v>
                </pt>
                <pt idx="7">
                  <v>1804.24</v>
                </pt>
                <pt idx="8">
                  <v>1782.12</v>
                </pt>
                <pt idx="9">
                  <v>1806.63</v>
                </pt>
                <pt idx="10">
                  <v>1800.54</v>
                </pt>
                <pt idx="11">
                  <v>1828.34</v>
                </pt>
                <pt idx="12">
                  <v>1840.7</v>
                </pt>
                <pt idx="13">
                  <v>1853.7</v>
                </pt>
                <pt idx="14">
                  <v>1848.25</v>
                </pt>
                <pt idx="15">
                  <v>1843.5</v>
                </pt>
                <pt idx="16">
                  <v>1862.08</v>
                </pt>
                <pt idx="17">
                  <v>1866.35</v>
                </pt>
                <pt idx="18">
                  <v>1867.21</v>
                </pt>
                <pt idx="19">
                  <v>1860.01</v>
                </pt>
                <pt idx="20">
                  <v>1854.97</v>
                </pt>
                <pt idx="21">
                  <v>1871.91</v>
                </pt>
                <pt idx="22">
                  <v>1863.07</v>
                </pt>
                <pt idx="23">
                  <v>1878.02</v>
                </pt>
                <pt idx="24">
                  <v>1869.04</v>
                </pt>
                <pt idx="25">
                  <v>1857.91</v>
                </pt>
                <pt idx="26">
                  <v>1824.53</v>
                </pt>
                <pt idx="27">
                  <v>1830.47</v>
                </pt>
                <pt idx="28">
                  <v>1806.2</v>
                </pt>
                <pt idx="29">
                  <v>1807.94</v>
                </pt>
                <pt idx="30">
                  <v>1799.31</v>
                </pt>
                <pt idx="31">
                  <v>1791.65</v>
                </pt>
                <pt idx="32">
                  <v>1798.61</v>
                </pt>
                <pt idx="33">
                  <v>1803.71</v>
                </pt>
                <pt idx="34">
                  <v>1793.05</v>
                </pt>
                <pt idx="35">
                  <v>1790.53</v>
                </pt>
                <pt idx="36">
                  <v>1838.9</v>
                </pt>
                <pt idx="37">
                  <v>1831.55</v>
                </pt>
                <pt idx="38">
                  <v>1819.01</v>
                </pt>
                <pt idx="39">
                  <v>1826.47</v>
                </pt>
                <pt idx="40">
                  <v>1844.54</v>
                </pt>
                <pt idx="41">
                  <v>1863.49</v>
                </pt>
                <pt idx="42">
                  <v>1863.67</v>
                </pt>
                <pt idx="43">
                  <v>1874.43</v>
                </pt>
                <pt idx="44">
                  <v>1884.18</v>
                </pt>
                <pt idx="45">
                  <v>1886.03</v>
                </pt>
                <pt idx="46">
                  <v>1877.13</v>
                </pt>
                <pt idx="47">
                  <v>1896.89</v>
                </pt>
                <pt idx="48">
                  <v>1913.23</v>
                </pt>
                <pt idx="49">
                  <v>1912.93</v>
                </pt>
                <pt idx="50">
                  <v>1927.94</v>
                </pt>
                <pt idx="51">
                  <v>1921.6</v>
                </pt>
                <pt idx="52">
                  <v>1925.46</v>
                </pt>
                <pt idx="53">
                  <v>1898.37</v>
                </pt>
                <pt idx="54">
                  <v>1901.1</v>
                </pt>
                <pt idx="55">
                  <v>1895.5</v>
                </pt>
                <pt idx="56">
                  <v>1915.37</v>
                </pt>
                <pt idx="57">
                  <v>1909.01</v>
                </pt>
                <pt idx="58">
                  <v>1891.2</v>
                </pt>
                <pt idx="59">
                  <v>1874.85</v>
                </pt>
                <pt idx="60">
                  <v>1854.06</v>
                </pt>
                <pt idx="61">
                  <v>1854.1</v>
                </pt>
                <pt idx="62">
                  <v>1875.84</v>
                </pt>
                <pt idx="63">
                  <v>1853.29</v>
                </pt>
                <pt idx="64">
                  <v>1870.36</v>
                </pt>
                <pt idx="65">
                  <v>1857.3</v>
                </pt>
                <pt idx="66">
                  <v>1833.48</v>
                </pt>
                <pt idx="67">
                  <v>1837.11</v>
                </pt>
                <pt idx="68">
                  <v>1817.17</v>
                </pt>
                <pt idx="69">
                  <v>1819.83</v>
                </pt>
                <pt idx="70">
                  <v>1800.65</v>
                </pt>
                <pt idx="71">
                  <v>1775.65</v>
                </pt>
                <pt idx="72">
                  <v>1758.96</v>
                </pt>
                <pt idx="73">
                  <v>1750</v>
                </pt>
                <pt idx="74">
                  <v>1736.68</v>
                </pt>
                <pt idx="75">
                  <v>1756.55</v>
                </pt>
                <pt idx="76">
                  <v>1677.54</v>
                </pt>
                <pt idx="77">
                  <v>1674.99</v>
                </pt>
                <pt idx="78">
                  <v>1684.04</v>
                </pt>
                <pt idx="79">
                  <v>1694.82</v>
                </pt>
                <pt idx="80">
                  <v>1702.93</v>
                </pt>
                <pt idx="81">
                  <v>1674.49</v>
                </pt>
                <pt idx="82">
                  <v>1662.54</v>
                </pt>
                <pt idx="83">
                  <v>1672.8</v>
                </pt>
                <pt idx="84">
                  <v>1644.63</v>
                </pt>
                <pt idx="85">
                  <v>1658.19</v>
                </pt>
                <pt idx="86">
                  <v>1614.77</v>
                </pt>
                <pt idx="87">
                  <v>1591.17</v>
                </pt>
                <pt idx="88">
                  <v>1647.81</v>
                </pt>
                <pt idx="89">
                  <v>1699.13</v>
                </pt>
                <pt idx="90">
                  <v>1713.83</v>
                </pt>
                <pt idx="91">
                  <v>1710.29</v>
                </pt>
                <pt idx="92">
                  <v>1693.21</v>
                </pt>
                <pt idx="93">
                  <v>1696.24</v>
                </pt>
                <pt idx="94">
                  <v>1709.61</v>
                </pt>
                <pt idx="95">
                  <v>1728.34</v>
                </pt>
                <pt idx="96">
                  <v>1676.73</v>
                </pt>
                <pt idx="97">
                  <v>1652.79</v>
                </pt>
                <pt idx="98">
                  <v>1767.84</v>
                </pt>
                <pt idx="99">
                  <v>1808.51</v>
                </pt>
                <pt idx="100">
                  <v>1818.27</v>
                </pt>
                <pt idx="101">
                  <v>1813.14</v>
                </pt>
                <pt idx="102">
                  <v>1846.1</v>
                </pt>
                <pt idx="103">
                  <v>1880.33</v>
                </pt>
                <pt idx="104">
                  <v>1879.64</v>
                </pt>
                <pt idx="105">
                  <v>1860.91</v>
                </pt>
                <pt idx="106">
                  <v>1867.62</v>
                </pt>
                <pt idx="107">
                  <v>1860.14</v>
                </pt>
                <pt idx="108">
                  <v>1824.09</v>
                </pt>
                <pt idx="109">
                  <v>1814.09</v>
                </pt>
                <pt idx="110">
                  <v>1796.85</v>
                </pt>
                <pt idx="111">
                  <v>1754.03</v>
                </pt>
                <pt idx="112">
                  <v>1754.82</v>
                </pt>
                <pt idx="113">
                  <v>1755.49</v>
                </pt>
                <pt idx="114">
                  <v>1782.56</v>
                </pt>
                <pt idx="115">
                  <v>1791.43</v>
                </pt>
                <pt idx="116">
                  <v>1813.4</v>
                </pt>
                <pt idx="117">
                  <v>1806.5</v>
                </pt>
                <pt idx="118">
                  <v>1829.04</v>
                </pt>
                <pt idx="119">
                  <v>1814.98</v>
                </pt>
                <pt idx="120">
                  <v>1802.91</v>
                </pt>
                <pt idx="121">
                  <v>1830.5</v>
                </pt>
                <pt idx="122">
                  <v>1843.72</v>
                </pt>
                <pt idx="123">
                  <v>1870.79</v>
                </pt>
                <pt idx="124">
                  <v>1882.73</v>
                </pt>
                <pt idx="125">
                  <v>1885.44</v>
                </pt>
                <pt idx="126">
                  <v>1893.78</v>
                </pt>
                <pt idx="127">
                  <v>1896.59</v>
                </pt>
                <pt idx="128">
                  <v>1879.13</v>
                </pt>
                <pt idx="129">
                  <v>1864.8</v>
                </pt>
                <pt idx="130">
                  <v>1894.44</v>
                </pt>
                <pt idx="131">
                  <v>1902.93</v>
                </pt>
                <pt idx="132">
                  <v>1877.33</v>
                </pt>
                <pt idx="133">
                  <v>1867.9</v>
                </pt>
                <pt idx="134">
                  <v>1855.56</v>
                </pt>
                <pt idx="135">
                  <v>1861.58</v>
                </pt>
                <pt idx="136">
                  <v>1816.27</v>
                </pt>
                <pt idx="137">
                  <v>1788.4</v>
                </pt>
                <pt idx="138">
                  <v>1784.49</v>
                </pt>
                <pt idx="139">
                  <v>1766.9</v>
                </pt>
                <pt idx="140">
                  <v>1754.84</v>
                </pt>
                <pt idx="141">
                  <v>1729.8</v>
                </pt>
                <pt idx="142">
                  <v>1742.85</v>
                </pt>
                <pt idx="143">
                  <v>1782.82</v>
                </pt>
                <pt idx="144">
                  <v>1772.15</v>
                </pt>
                <pt idx="145">
                  <v>1751.03</v>
                </pt>
                <pt idx="146">
                  <v>1704.31</v>
                </pt>
                <pt idx="147">
                  <v>1676.98</v>
                </pt>
                <pt idx="148">
                  <v>1673.66</v>
                </pt>
                <pt idx="149">
                  <v>1679.18</v>
                </pt>
                <pt idx="150">
                  <v>1646.01</v>
                </pt>
                <pt idx="151">
                  <v>1646.89</v>
                </pt>
                <pt idx="152">
                  <v>1698.9</v>
                </pt>
                <pt idx="153">
                  <v>1718.98</v>
                </pt>
                <pt idx="154">
                  <v>1747.17</v>
                </pt>
                <pt idx="155">
                  <v>1753.74</v>
                </pt>
                <pt idx="156">
                  <v>1741.32</v>
                </pt>
                <pt idx="157">
                  <v>1737.24</v>
                </pt>
                <pt idx="158">
                  <v>1731.77</v>
                </pt>
                <pt idx="159">
                  <v>1717.06</v>
                </pt>
                <pt idx="160">
                  <v>1701.67</v>
                </pt>
                <pt idx="161">
                  <v>1690.99</v>
                </pt>
                <pt idx="162">
                  <v>1684.32</v>
                </pt>
                <pt idx="163">
                  <v>1680.36</v>
                </pt>
                <pt idx="164">
                  <v>1660.36</v>
                </pt>
                <pt idx="165">
                  <v>1667.98</v>
                </pt>
                <pt idx="166">
                  <v>1654.93</v>
                </pt>
                <pt idx="167">
                  <v>1655.99</v>
                </pt>
                <pt idx="168">
                  <v>1649</v>
                </pt>
                <pt idx="169">
                  <v>1659.92</v>
                </pt>
                <pt idx="170">
                  <v>1654.42</v>
                </pt>
                <pt idx="171">
                  <v>1635.46</v>
                </pt>
                <pt idx="172">
                  <v>1631.44</v>
                </pt>
                <pt idx="173">
                  <v>1631.86</v>
                </pt>
                <pt idx="174">
                  <v>1593.61</v>
                </pt>
                <pt idx="175">
                  <v>1580.54</v>
                </pt>
                <pt idx="176">
                  <v>1599.1</v>
                </pt>
                <pt idx="177">
                  <v>1642.64</v>
                </pt>
                <pt idx="178">
                  <v>1654.89</v>
                </pt>
                <pt idx="179">
                  <v>1651.98</v>
                </pt>
                <pt idx="180">
                  <v>1617</v>
                </pt>
                <pt idx="181">
                  <v>1639.65</v>
                </pt>
                <pt idx="182">
                  <v>1669.57</v>
                </pt>
                <pt idx="183">
                  <v>1685.83</v>
                </pt>
                <pt idx="184">
                  <v>1680.5</v>
                </pt>
                <pt idx="185">
                  <v>1652.54</v>
                </pt>
                <pt idx="186">
                  <v>1683.18</v>
                </pt>
                <pt idx="187">
                  <v>1687.06</v>
                </pt>
                <pt idx="188">
                  <v>1678.5</v>
                </pt>
                <pt idx="189">
                  <v>1663.43</v>
                </pt>
                <pt idx="190">
                  <v>1636.43</v>
                </pt>
                <pt idx="191">
                  <v>1731.19</v>
                </pt>
                <pt idx="192">
                  <v>1766.85</v>
                </pt>
                <pt idx="193">
                  <v>1757.95</v>
                </pt>
                <pt idx="194">
                  <v>1761.06</v>
                </pt>
                <pt idx="195">
                  <v>1765.12</v>
                </pt>
                <pt idx="196">
                  <v>1747.55</v>
                </pt>
                <pt idx="197">
                  <v>1716.47</v>
                </pt>
                <pt idx="198">
                  <v>1697.83</v>
                </pt>
                <pt idx="199">
                  <v>1685.3</v>
                </pt>
                <pt idx="200">
                  <v>1695.5</v>
                </pt>
                <pt idx="201">
                  <v>1645.82</v>
                </pt>
                <pt idx="202">
                  <v>1652.71</v>
                </pt>
                <pt idx="203">
                  <v>1665.05</v>
                </pt>
                <pt idx="204">
                  <v>1661.7</v>
                </pt>
                <pt idx="205">
                  <v>1666.48</v>
                </pt>
                <pt idx="206">
                  <v>1660.7</v>
                </pt>
                <pt idx="207">
                  <v>1666.09</v>
                </pt>
                <pt idx="208">
                  <v>1657.46</v>
                </pt>
                <pt idx="209">
                  <v>1635.26</v>
                </pt>
                <pt idx="210">
                  <v>1634.45</v>
                </pt>
                <pt idx="211">
                  <v>1658.62</v>
                </pt>
                <pt idx="212">
                  <v>1665.18</v>
                </pt>
                <pt idx="213">
                  <v>1670.97</v>
                </pt>
                <pt idx="214">
                  <v>1680.9</v>
                </pt>
                <pt idx="215">
                  <v>1684.9</v>
                </pt>
                <pt idx="216">
                  <v>1667.26</v>
                </pt>
                <pt idx="217">
                  <v>1657.75</v>
                </pt>
                <pt idx="218">
                  <v>1643.26</v>
                </pt>
                <pt idx="219">
                  <v>1637.32</v>
                </pt>
                <pt idx="220">
                  <v>1624.53</v>
                </pt>
                <pt idx="221">
                  <v>1666.97</v>
                </pt>
                <pt idx="222">
                  <v>1696.29</v>
                </pt>
                <pt idx="223">
                  <v>1681.3</v>
                </pt>
                <pt idx="224">
                  <v>1682.21</v>
                </pt>
                <pt idx="225">
                  <v>1680.86</v>
                </pt>
                <pt idx="226">
                  <v>1672.78</v>
                </pt>
                <pt idx="227">
                  <v>1667.63</v>
                </pt>
                <pt idx="228">
                  <v>1614.03</v>
                </pt>
                <pt idx="229">
                  <v>1645.47</v>
                </pt>
                <pt idx="230">
                  <v>1688</v>
                </pt>
                <pt idx="231">
                  <v>1664.36</v>
                </pt>
                <pt idx="232">
                  <v>1654.2</v>
                </pt>
                <pt idx="233">
                  <v>1636.37</v>
                </pt>
                <pt idx="234">
                  <v>1630</v>
                </pt>
                <pt idx="235">
                  <v>1640.69</v>
                </pt>
                <pt idx="236">
                  <v>1611.6</v>
                </pt>
                <pt idx="237">
                  <v>1608.22</v>
                </pt>
                <pt idx="238">
                  <v>1596.86</v>
                </pt>
                <pt idx="239">
                  <v>1584.95</v>
                </pt>
                <pt idx="240">
                  <v>1581.81</v>
                </pt>
                <pt idx="241">
                  <v>1573.71</v>
                </pt>
                <pt idx="242">
                  <v>1547.15</v>
                </pt>
                <pt idx="243">
                  <v>1528.19</v>
                </pt>
                <pt idx="244">
                  <v>1495.21</v>
                </pt>
                <pt idx="245">
                  <v>1502.52</v>
                </pt>
                <pt idx="246">
                  <v>1507.63</v>
                </pt>
                <pt idx="247">
                  <v>1493.41</v>
                </pt>
                <pt idx="248">
                  <v>1557.42</v>
                </pt>
                <pt idx="249">
                  <v>1531.13</v>
                </pt>
                <pt idx="250">
                  <v>1521.02</v>
                </pt>
                <pt idx="251">
                  <v>1512.31</v>
                </pt>
                <pt idx="252">
                  <v>1509.54</v>
                </pt>
                <pt idx="253">
                  <v>1485.05</v>
                </pt>
                <pt idx="254">
                  <v>1497.28</v>
                </pt>
                <pt idx="255">
                  <v>1490.01</v>
                </pt>
                <pt idx="256">
                  <v>1475.47</v>
                </pt>
                <pt idx="257">
                  <v>1460.65</v>
                </pt>
                <pt idx="258">
                  <v>1470.42</v>
                </pt>
                <pt idx="259">
                  <v>1457.76</v>
                </pt>
                <pt idx="260">
                  <v>1445.64</v>
                </pt>
                <pt idx="261">
                  <v>1431.32</v>
                </pt>
                <pt idx="262">
                  <v>1415.46</v>
                </pt>
                <pt idx="263">
                  <v>1402.06</v>
                </pt>
                <pt idx="264">
                  <v>1386.97</v>
                </pt>
                <pt idx="265">
                  <v>1381.96</v>
                </pt>
                <pt idx="266">
                  <v>1384.59</v>
                </pt>
                <pt idx="267">
                  <v>1377.84</v>
                </pt>
                <pt idx="268">
                  <v>1376.07</v>
                </pt>
                <pt idx="269">
                  <v>1371.44</v>
                </pt>
                <pt idx="270">
                  <v>1365.67</v>
                </pt>
                <pt idx="271">
                  <v>1366.75</v>
                </pt>
                <pt idx="272">
                  <v>1366.77</v>
                </pt>
                <pt idx="273">
                  <v>1358.18</v>
                </pt>
                <pt idx="274">
                  <v>1349.35</v>
                </pt>
                <pt idx="275">
                  <v>1352.04</v>
                </pt>
                <pt idx="276">
                  <v>1346.83</v>
                </pt>
                <pt idx="277">
                  <v>1347.69</v>
                </pt>
                <pt idx="278">
                  <v>1338.11</v>
                </pt>
                <pt idx="279">
                  <v>1315.49</v>
                </pt>
                <pt idx="280">
                  <v>1322.99</v>
                </pt>
                <pt idx="281">
                  <v>1315.2</v>
                </pt>
                <pt idx="282">
                  <v>1316.23</v>
                </pt>
                <pt idx="283">
                  <v>1310.57</v>
                </pt>
                <pt idx="284">
                  <v>1329.89</v>
                </pt>
                <pt idx="285">
                  <v>1342.09</v>
                </pt>
                <pt idx="286">
                  <v>1345.74</v>
                </pt>
                <pt idx="287">
                  <v>1347.25</v>
                </pt>
                <pt idx="288">
                  <v>1336.3</v>
                </pt>
                <pt idx="289">
                  <v>1332.6</v>
                </pt>
                <pt idx="290">
                  <v>1341.86</v>
                </pt>
                <pt idx="291">
                  <v>1341.87</v>
                </pt>
                <pt idx="292">
                  <v>1339.81</v>
                </pt>
                <pt idx="293">
                  <v>1332.51</v>
                </pt>
                <pt idx="294">
                  <v>1314.46</v>
                </pt>
                <pt idx="295">
                  <v>1313.84</v>
                </pt>
                <pt idx="296">
                  <v>1323.05</v>
                </pt>
                <pt idx="297">
                  <v>1315.15</v>
                </pt>
                <pt idx="298">
                  <v>1296.29</v>
                </pt>
                <pt idx="299">
                  <v>1301.39</v>
                </pt>
                <pt idx="300">
                  <v>1313.2</v>
                </pt>
                <pt idx="301">
                  <v>1309.73</v>
                </pt>
                <pt idx="302">
                  <v>1293.43</v>
                </pt>
                <pt idx="303">
                  <v>1283.26</v>
                </pt>
                <pt idx="304">
                  <v>1267.3</v>
                </pt>
                <pt idx="305">
                  <v>1269.8</v>
                </pt>
                <pt idx="306">
                  <v>1250.37</v>
                </pt>
                <pt idx="307">
                  <v>1241.95</v>
                </pt>
                <pt idx="308">
                  <v>1240.05</v>
                </pt>
                <pt idx="309">
                  <v>1226.3</v>
                </pt>
                <pt idx="310">
                  <v>1226.8</v>
                </pt>
                <pt idx="311">
                  <v>1229.23</v>
                </pt>
                <pt idx="312">
                  <v>1223.35</v>
                </pt>
                <pt idx="313">
                  <v>1211</v>
                </pt>
                <pt idx="314">
                  <v>1197.13</v>
                </pt>
                <pt idx="315">
                  <v>1207.07</v>
                </pt>
                <pt idx="316">
                  <v>1219.12</v>
                </pt>
                <pt idx="317">
                  <v>1217.25</v>
                </pt>
                <pt idx="318">
                  <v>1210.3</v>
                </pt>
                <pt idx="319">
                  <v>1227.79</v>
                </pt>
                <pt idx="320">
                  <v>1241.44</v>
                </pt>
                <pt idx="321">
                  <v>1222.46</v>
                </pt>
                <pt idx="322">
                  <v>1168.34</v>
                </pt>
                <pt idx="323">
                  <v>1094.3</v>
                </pt>
                <pt idx="324">
                  <v>1132.79</v>
                </pt>
                <pt idx="325">
                  <v>1210.67</v>
                </pt>
                <pt idx="326">
                  <v>1229.84</v>
                </pt>
                <pt idx="327">
                  <v>1317.83</v>
                </pt>
                <pt idx="328">
                  <v>1317.33</v>
                </pt>
                <pt idx="329">
                  <v>1306.86</v>
                </pt>
                <pt idx="330">
                  <v>1317.46</v>
                </pt>
                <pt idx="331">
                  <v>1323.81</v>
                </pt>
                <pt idx="332">
                  <v>1326.09</v>
                </pt>
                <pt idx="333">
                  <v>1331.92</v>
                </pt>
                <pt idx="334">
                  <v>1330.32</v>
                </pt>
                <pt idx="335">
                  <v>1324.88</v>
                </pt>
                <pt idx="336">
                  <v>1323.93</v>
                </pt>
                <pt idx="337">
                  <v>1324.63</v>
                </pt>
                <pt idx="338">
                  <v>1330.97</v>
                </pt>
                <pt idx="339">
                  <v>1336.26</v>
                </pt>
                <pt idx="340">
                  <v>1326.15</v>
                </pt>
                <pt idx="341">
                  <v>1326.27</v>
                </pt>
                <pt idx="342">
                  <v>1334.41</v>
                </pt>
                <pt idx="343">
                  <v>1332.54</v>
                </pt>
                <pt idx="344">
                  <v>1330.28</v>
                </pt>
                <pt idx="345">
                  <v>1326.05</v>
                </pt>
                <pt idx="346">
                  <v>1318.22</v>
                </pt>
                <pt idx="347">
                  <v>1304.71</v>
                </pt>
                <pt idx="348">
                  <v>1311.91</v>
                </pt>
                <pt idx="349">
                  <v>1309.37</v>
                </pt>
                <pt idx="350">
                  <v>1305.36</v>
                </pt>
                <pt idx="351">
                  <v>1307.8</v>
                </pt>
                <pt idx="352">
                  <v>1302.96</v>
                </pt>
                <pt idx="353">
                  <v>1303.16</v>
                </pt>
                <pt idx="354">
                  <v>1304.56</v>
                </pt>
                <pt idx="355">
                  <v>1296.75</v>
                </pt>
                <pt idx="356">
                  <v>1292.98</v>
                </pt>
                <pt idx="357">
                  <v>1288.56</v>
                </pt>
                <pt idx="358">
                  <v>1278.14</v>
                </pt>
                <pt idx="359">
                  <v>1272.72</v>
                </pt>
                <pt idx="360">
                  <v>1276.08</v>
                </pt>
                <pt idx="361">
                  <v>1270.35</v>
                </pt>
                <pt idx="362">
                  <v>1266.91</v>
                </pt>
                <pt idx="363">
                  <v>1268.45</v>
                </pt>
                <pt idx="364">
                  <v>1263.26</v>
                </pt>
                <pt idx="365">
                  <v>1275.2</v>
                </pt>
                <pt idx="366">
                  <v>1271.48</v>
                </pt>
                <pt idx="367">
                  <v>1269.61</v>
                </pt>
                <pt idx="368">
                  <v>1264.68</v>
                </pt>
                <pt idx="369">
                  <v>1253.03</v>
                </pt>
                <pt idx="370">
                  <v>1265.05</v>
                </pt>
                <pt idx="371">
                  <v>1259.63</v>
                </pt>
                <pt idx="372">
                  <v>1242.53</v>
                </pt>
                <pt idx="373">
                  <v>1246.09</v>
                </pt>
                <pt idx="374">
                  <v>1249.55</v>
                </pt>
                <pt idx="375">
                  <v>1249.11</v>
                </pt>
                <pt idx="376">
                  <v>1242.36</v>
                </pt>
                <pt idx="377">
                  <v>1236.18</v>
                </pt>
                <pt idx="378">
                  <v>1229.07</v>
                </pt>
                <pt idx="379">
                  <v>1235.65</v>
                </pt>
                <pt idx="380">
                  <v>1230.48</v>
                </pt>
                <pt idx="381">
                  <v>1245.77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46227</v>
                </pt>
                <pt idx="2">
                  <v>46226</v>
                </pt>
                <pt idx="3">
                  <v>46225</v>
                </pt>
                <pt idx="4">
                  <v>46224</v>
                </pt>
                <pt idx="5">
                  <v>46223</v>
                </pt>
                <pt idx="6">
                  <v>46220</v>
                </pt>
                <pt idx="7">
                  <v>46219</v>
                </pt>
                <pt idx="8">
                  <v>46218</v>
                </pt>
                <pt idx="9">
                  <v>46217</v>
                </pt>
                <pt idx="10">
                  <v>46216</v>
                </pt>
                <pt idx="11">
                  <v>46213</v>
                </pt>
                <pt idx="12">
                  <v>46212</v>
                </pt>
                <pt idx="13">
                  <v>46211</v>
                </pt>
                <pt idx="14">
                  <v>46210</v>
                </pt>
                <pt idx="15">
                  <v>46209</v>
                </pt>
                <pt idx="16">
                  <v>46206</v>
                </pt>
                <pt idx="17">
                  <v>46205</v>
                </pt>
                <pt idx="18">
                  <v>46204</v>
                </pt>
                <pt idx="19">
                  <v>46203</v>
                </pt>
                <pt idx="20">
                  <v>46202</v>
                </pt>
                <pt idx="21">
                  <v>46199</v>
                </pt>
                <pt idx="22">
                  <v>46198</v>
                </pt>
                <pt idx="23">
                  <v>46197</v>
                </pt>
                <pt idx="24">
                  <v>46196</v>
                </pt>
                <pt idx="25">
                  <v>46195</v>
                </pt>
                <pt idx="26">
                  <v>46192</v>
                </pt>
                <pt idx="27">
                  <v>46191</v>
                </pt>
                <pt idx="28">
                  <v>46190</v>
                </pt>
                <pt idx="29">
                  <v>46189</v>
                </pt>
                <pt idx="30">
                  <v>46188</v>
                </pt>
                <pt idx="31">
                  <v>46185</v>
                </pt>
                <pt idx="32">
                  <v>46184</v>
                </pt>
                <pt idx="33">
                  <v>46183</v>
                </pt>
                <pt idx="34">
                  <v>46182</v>
                </pt>
                <pt idx="35">
                  <v>46181</v>
                </pt>
                <pt idx="36">
                  <v>46178</v>
                </pt>
                <pt idx="37">
                  <v>46177</v>
                </pt>
                <pt idx="38">
                  <v>46176</v>
                </pt>
                <pt idx="39">
                  <v>46175</v>
                </pt>
                <pt idx="40">
                  <v>46174</v>
                </pt>
                <pt idx="41">
                  <v>46171</v>
                </pt>
                <pt idx="42">
                  <v>46170</v>
                </pt>
                <pt idx="43">
                  <v>46169</v>
                </pt>
                <pt idx="44">
                  <v>46168</v>
                </pt>
                <pt idx="45">
                  <v>46167</v>
                </pt>
                <pt idx="46">
                  <v>46164</v>
                </pt>
                <pt idx="47">
                  <v>46163</v>
                </pt>
                <pt idx="48">
                  <v>46162</v>
                </pt>
                <pt idx="49">
                  <v>46161</v>
                </pt>
                <pt idx="50">
                  <v>46160</v>
                </pt>
                <pt idx="51">
                  <v>46157</v>
                </pt>
                <pt idx="52">
                  <v>46156</v>
                </pt>
                <pt idx="53">
                  <v>46155</v>
                </pt>
                <pt idx="54">
                  <v>46154</v>
                </pt>
                <pt idx="55">
                  <v>46153</v>
                </pt>
                <pt idx="56">
                  <v>46150</v>
                </pt>
                <pt idx="57">
                  <v>46149</v>
                </pt>
                <pt idx="58">
                  <v>46148</v>
                </pt>
                <pt idx="59">
                  <v>46147</v>
                </pt>
                <pt idx="60">
                  <v>46146</v>
                </pt>
                <pt idx="61">
                  <v>46141</v>
                </pt>
                <pt idx="62">
                  <v>46140</v>
                </pt>
                <pt idx="63">
                  <v>46136</v>
                </pt>
                <pt idx="64">
                  <v>46135</v>
                </pt>
                <pt idx="65">
                  <v>46134</v>
                </pt>
                <pt idx="66">
                  <v>46133</v>
                </pt>
                <pt idx="67">
                  <v>46132</v>
                </pt>
                <pt idx="68">
                  <v>46129</v>
                </pt>
                <pt idx="69">
                  <v>46128</v>
                </pt>
                <pt idx="70">
                  <v>46127</v>
                </pt>
                <pt idx="71">
                  <v>46126</v>
                </pt>
                <pt idx="72">
                  <v>46125</v>
                </pt>
                <pt idx="73">
                  <v>46122</v>
                </pt>
                <pt idx="74">
                  <v>46121</v>
                </pt>
                <pt idx="75">
                  <v>46120</v>
                </pt>
                <pt idx="76">
                  <v>46119</v>
                </pt>
                <pt idx="77">
                  <v>46118</v>
                </pt>
                <pt idx="78">
                  <v>46115</v>
                </pt>
                <pt idx="79">
                  <v>46114</v>
                </pt>
                <pt idx="80">
                  <v>46113</v>
                </pt>
                <pt idx="81">
                  <v>46112</v>
                </pt>
                <pt idx="82">
                  <v>46111</v>
                </pt>
                <pt idx="83">
                  <v>46108</v>
                </pt>
                <pt idx="84">
                  <v>46107</v>
                </pt>
                <pt idx="85">
                  <v>46106</v>
                </pt>
                <pt idx="86">
                  <v>46105</v>
                </pt>
                <pt idx="87">
                  <v>46104</v>
                </pt>
                <pt idx="88">
                  <v>46101</v>
                </pt>
                <pt idx="89">
                  <v>46100</v>
                </pt>
                <pt idx="90">
                  <v>46099</v>
                </pt>
                <pt idx="91">
                  <v>46098</v>
                </pt>
                <pt idx="92">
                  <v>46097</v>
                </pt>
                <pt idx="93">
                  <v>46094</v>
                </pt>
                <pt idx="94">
                  <v>46093</v>
                </pt>
                <pt idx="95">
                  <v>46092</v>
                </pt>
                <pt idx="96">
                  <v>46091</v>
                </pt>
                <pt idx="97">
                  <v>46090</v>
                </pt>
                <pt idx="98">
                  <v>46087</v>
                </pt>
                <pt idx="99">
                  <v>46086</v>
                </pt>
                <pt idx="100">
                  <v>46085</v>
                </pt>
                <pt idx="101">
                  <v>46084</v>
                </pt>
                <pt idx="102">
                  <v>46083</v>
                </pt>
                <pt idx="103">
                  <v>46080</v>
                </pt>
                <pt idx="104">
                  <v>46079</v>
                </pt>
                <pt idx="105">
                  <v>46078</v>
                </pt>
                <pt idx="106">
                  <v>46077</v>
                </pt>
                <pt idx="107">
                  <v>46076</v>
                </pt>
                <pt idx="108">
                  <v>46066</v>
                </pt>
                <pt idx="109">
                  <v>46065</v>
                </pt>
                <pt idx="110">
                  <v>46064</v>
                </pt>
                <pt idx="111">
                  <v>46063</v>
                </pt>
                <pt idx="112">
                  <v>46062</v>
                </pt>
                <pt idx="113">
                  <v>46059</v>
                </pt>
                <pt idx="114">
                  <v>46058</v>
                </pt>
                <pt idx="115">
                  <v>46057</v>
                </pt>
                <pt idx="116">
                  <v>46056</v>
                </pt>
                <pt idx="117">
                  <v>46055</v>
                </pt>
                <pt idx="118">
                  <v>46052</v>
                </pt>
                <pt idx="119">
                  <v>46051</v>
                </pt>
                <pt idx="120">
                  <v>46050</v>
                </pt>
                <pt idx="121">
                  <v>46049</v>
                </pt>
                <pt idx="122">
                  <v>46048</v>
                </pt>
                <pt idx="123">
                  <v>46045</v>
                </pt>
                <pt idx="124">
                  <v>46044</v>
                </pt>
                <pt idx="125">
                  <v>46043</v>
                </pt>
                <pt idx="126">
                  <v>46042</v>
                </pt>
                <pt idx="127">
                  <v>46041</v>
                </pt>
                <pt idx="128">
                  <v>46038</v>
                </pt>
                <pt idx="129">
                  <v>46037</v>
                </pt>
                <pt idx="130">
                  <v>46036</v>
                </pt>
                <pt idx="131">
                  <v>46035</v>
                </pt>
                <pt idx="132">
                  <v>46034</v>
                </pt>
                <pt idx="133">
                  <v>46031</v>
                </pt>
                <pt idx="134">
                  <v>46030</v>
                </pt>
                <pt idx="135">
                  <v>46029</v>
                </pt>
                <pt idx="136">
                  <v>46028</v>
                </pt>
                <pt idx="137">
                  <v>46027</v>
                </pt>
                <pt idx="138">
                  <formatCode>m/d/yy</formatCode>
                  <v>46022</v>
                </pt>
                <pt idx="139">
                  <formatCode>m/d/yy</formatCode>
                  <v>46021</v>
                </pt>
                <pt idx="140">
                  <formatCode>m/d/yy</formatCode>
                  <v>46020</v>
                </pt>
                <pt idx="141">
                  <formatCode>m/d/yy</formatCode>
                  <v>46017</v>
                </pt>
                <pt idx="142">
                  <formatCode>m/d/yy</formatCode>
                  <v>46016</v>
                </pt>
                <pt idx="143">
                  <formatCode>m/d/yy</formatCode>
                  <v>46015</v>
                </pt>
                <pt idx="144">
                  <formatCode>m/d/yy</formatCode>
                  <v>46014</v>
                </pt>
                <pt idx="145">
                  <formatCode>m/d/yy</formatCode>
                  <v>46013</v>
                </pt>
                <pt idx="146">
                  <formatCode>m/d/yy</formatCode>
                  <v>46010</v>
                </pt>
                <pt idx="147">
                  <formatCode>m/d/yy</formatCode>
                  <v>46009</v>
                </pt>
                <pt idx="148">
                  <formatCode>m/d/yy</formatCode>
                  <v>46008</v>
                </pt>
                <pt idx="149">
                  <formatCode>m/d/yy</formatCode>
                  <v>46007</v>
                </pt>
                <pt idx="150">
                  <formatCode>m/d/yy</formatCode>
                  <v>46006</v>
                </pt>
                <pt idx="151">
                  <formatCode>m/d/yy</formatCode>
                  <v>46003</v>
                </pt>
                <pt idx="152">
                  <formatCode>m/d/yy</formatCode>
                  <v>46002</v>
                </pt>
                <pt idx="153">
                  <formatCode>m/d/yy</formatCode>
                  <v>46001</v>
                </pt>
                <pt idx="154">
                  <formatCode>m/d/yy</formatCode>
                  <v>46000</v>
                </pt>
                <pt idx="155">
                  <formatCode>m/d/yy</formatCode>
                  <v>45999</v>
                </pt>
                <pt idx="156">
                  <formatCode>m/d/yy</formatCode>
                  <v>45996</v>
                </pt>
                <pt idx="157">
                  <formatCode>m/d/yy</formatCode>
                  <v>45995</v>
                </pt>
                <pt idx="158">
                  <formatCode>m/d/yy</formatCode>
                  <v>45994</v>
                </pt>
                <pt idx="159">
                  <formatCode>m/d/yy</formatCode>
                  <v>45993</v>
                </pt>
                <pt idx="160">
                  <formatCode>m/d/yy</formatCode>
                  <v>45992</v>
                </pt>
                <pt idx="161">
                  <formatCode>m/d/yy</formatCode>
                  <v>45989</v>
                </pt>
                <pt idx="162">
                  <formatCode>m/d/yy</formatCode>
                  <v>45988</v>
                </pt>
                <pt idx="163">
                  <formatCode>m/d/yy</formatCode>
                  <v>45987</v>
                </pt>
                <pt idx="164">
                  <formatCode>m/d/yy</formatCode>
                  <v>45986</v>
                </pt>
                <pt idx="165">
                  <formatCode>m/d/yy</formatCode>
                  <v>45985</v>
                </pt>
                <pt idx="166">
                  <formatCode>m/d/yy</formatCode>
                  <v>45982</v>
                </pt>
                <pt idx="167">
                  <formatCode>m/d/yy</formatCode>
                  <v>45981</v>
                </pt>
                <pt idx="168">
                  <formatCode>m/d/yy</formatCode>
                  <v>45980</v>
                </pt>
                <pt idx="169">
                  <formatCode>m/d/yy</formatCode>
                  <v>45979</v>
                </pt>
                <pt idx="170">
                  <formatCode>m/d/yy</formatCode>
                  <v>45978</v>
                </pt>
                <pt idx="171">
                  <formatCode>m/d/yy</formatCode>
                  <v>45975</v>
                </pt>
                <pt idx="172">
                  <formatCode>m/d/yy</formatCode>
                  <v>45974</v>
                </pt>
                <pt idx="173">
                  <formatCode>m/d/yy</formatCode>
                  <v>45973</v>
                </pt>
                <pt idx="174">
                  <formatCode>m/d/yy</formatCode>
                  <v>45972</v>
                </pt>
                <pt idx="175">
                  <formatCode>m/d/yy</formatCode>
                  <v>45971</v>
                </pt>
                <pt idx="176">
                  <formatCode>m/d/yy</formatCode>
                  <v>45968</v>
                </pt>
                <pt idx="177">
                  <formatCode>m/d/yy</formatCode>
                  <v>45967</v>
                </pt>
                <pt idx="178">
                  <formatCode>m/d/yy</formatCode>
                  <v>45966</v>
                </pt>
                <pt idx="179">
                  <formatCode>m/d/yy</formatCode>
                  <v>45965</v>
                </pt>
                <pt idx="180">
                  <formatCode>m/d/yy</formatCode>
                  <v>45964</v>
                </pt>
                <pt idx="181">
                  <formatCode>m/d/yy</formatCode>
                  <v>45961</v>
                </pt>
                <pt idx="182">
                  <formatCode>m/d/yy</formatCode>
                  <v>45960</v>
                </pt>
                <pt idx="183">
                  <formatCode>m/d/yy</formatCode>
                  <v>45959</v>
                </pt>
                <pt idx="184">
                  <formatCode>m/d/yy</formatCode>
                  <v>45958</v>
                </pt>
                <pt idx="185">
                  <formatCode>m/d/yy</formatCode>
                  <v>45957</v>
                </pt>
                <pt idx="186">
                  <formatCode>m/d/yy</formatCode>
                  <v>45954</v>
                </pt>
                <pt idx="187">
                  <formatCode>m/d/yy</formatCode>
                  <v>45953</v>
                </pt>
                <pt idx="188">
                  <formatCode>m/d/yy</formatCode>
                  <v>45952</v>
                </pt>
                <pt idx="189">
                  <formatCode>m/d/yy</formatCode>
                  <v>45951</v>
                </pt>
                <pt idx="190">
                  <formatCode>m/d/yy</formatCode>
                  <v>45950</v>
                </pt>
                <pt idx="191">
                  <formatCode>m/d/yy</formatCode>
                  <v>45947</v>
                </pt>
                <pt idx="192">
                  <formatCode>m/d/yy</formatCode>
                  <v>45946</v>
                </pt>
                <pt idx="193">
                  <formatCode>m/d/yy</formatCode>
                  <v>45945</v>
                </pt>
                <pt idx="194">
                  <formatCode>m/d/yy</formatCode>
                  <v>45944</v>
                </pt>
                <pt idx="195">
                  <formatCode>m/d/yy</formatCode>
                  <v>45943</v>
                </pt>
                <pt idx="196">
                  <formatCode>m/d/yy</formatCode>
                  <v>45940</v>
                </pt>
                <pt idx="197">
                  <formatCode>m/d/yy</formatCode>
                  <v>45939</v>
                </pt>
                <pt idx="198">
                  <formatCode>m/d/yy</formatCode>
                  <v>45938</v>
                </pt>
                <pt idx="199">
                  <formatCode>m/d/yy</formatCode>
                  <v>45937</v>
                </pt>
                <pt idx="200">
                  <formatCode>m/d/yy</formatCode>
                  <v>45936</v>
                </pt>
                <pt idx="201">
                  <formatCode>m/d/yy</formatCode>
                  <v>45933</v>
                </pt>
                <pt idx="202">
                  <formatCode>m/d/yy</formatCode>
                  <v>45932</v>
                </pt>
                <pt idx="203">
                  <formatCode>m/d/yy</formatCode>
                  <v>45931</v>
                </pt>
                <pt idx="204">
                  <formatCode>m/d/yy</formatCode>
                  <v>45930</v>
                </pt>
                <pt idx="205">
                  <formatCode>m/d/yy</formatCode>
                  <v>45929</v>
                </pt>
                <pt idx="206">
                  <formatCode>m/d/yy</formatCode>
                  <v>45926</v>
                </pt>
                <pt idx="207">
                  <formatCode>m/d/yy</formatCode>
                  <v>45925</v>
                </pt>
                <pt idx="208">
                  <formatCode>m/d/yy</formatCode>
                  <v>45924</v>
                </pt>
                <pt idx="209">
                  <formatCode>m/d/yy</formatCode>
                  <v>45923</v>
                </pt>
                <pt idx="210">
                  <formatCode>m/d/yy</formatCode>
                  <v>45922</v>
                </pt>
                <pt idx="211">
                  <formatCode>m/d/yy</formatCode>
                  <v>45919</v>
                </pt>
                <pt idx="212">
                  <formatCode>m/d/yy</formatCode>
                  <v>45918</v>
                </pt>
                <pt idx="213">
                  <formatCode>m/d/yy</formatCode>
                  <v>45917</v>
                </pt>
                <pt idx="214">
                  <formatCode>m/d/yy</formatCode>
                  <v>45916</v>
                </pt>
                <pt idx="215">
                  <formatCode>m/d/yy</formatCode>
                  <v>45915</v>
                </pt>
                <pt idx="216">
                  <formatCode>m/d/yy</formatCode>
                  <v>45912</v>
                </pt>
                <pt idx="217">
                  <formatCode>m/d/yy</formatCode>
                  <v>45911</v>
                </pt>
                <pt idx="218">
                  <formatCode>m/d/yy</formatCode>
                  <v>45910</v>
                </pt>
                <pt idx="219">
                  <formatCode>m/d/yy</formatCode>
                  <v>45909</v>
                </pt>
                <pt idx="220">
                  <formatCode>m/d/yy</formatCode>
                  <v>45908</v>
                </pt>
                <pt idx="221">
                  <formatCode>m/d/yy</formatCode>
                  <v>45905</v>
                </pt>
                <pt idx="222">
                  <formatCode>m/d/yy</formatCode>
                  <v>45904</v>
                </pt>
                <pt idx="223">
                  <formatCode>m/d/yy</formatCode>
                  <v>45903</v>
                </pt>
                <pt idx="224">
                  <formatCode>m/d/yy</formatCode>
                  <v>45898</v>
                </pt>
                <pt idx="225">
                  <formatCode>m/d/yy</formatCode>
                  <v>45897</v>
                </pt>
                <pt idx="226">
                  <formatCode>m/d/yy</formatCode>
                  <v>45896</v>
                </pt>
                <pt idx="227">
                  <formatCode>m/d/yy</formatCode>
                  <v>45895</v>
                </pt>
                <pt idx="228">
                  <formatCode>m/d/yy</formatCode>
                  <v>45894</v>
                </pt>
                <pt idx="229">
                  <formatCode>m/d/yy</formatCode>
                  <v>45891</v>
                </pt>
                <pt idx="230">
                  <formatCode>m/d/yy</formatCode>
                  <v>45890</v>
                </pt>
                <pt idx="231">
                  <formatCode>m/d/yy</formatCode>
                  <v>45889</v>
                </pt>
                <pt idx="232">
                  <formatCode>m/d/yy</formatCode>
                  <v>45888</v>
                </pt>
                <pt idx="233">
                  <formatCode>m/d/yy</formatCode>
                  <v>45887</v>
                </pt>
                <pt idx="234">
                  <formatCode>m/d/yy</formatCode>
                  <v>45884</v>
                </pt>
                <pt idx="235">
                  <formatCode>m/d/yy</formatCode>
                  <v>45883</v>
                </pt>
                <pt idx="236">
                  <formatCode>m/d/yy</formatCode>
                  <v>45882</v>
                </pt>
                <pt idx="237">
                  <formatCode>m/d/yy</formatCode>
                  <v>45881</v>
                </pt>
                <pt idx="238">
                  <formatCode>m/d/yy</formatCode>
                  <v>45880</v>
                </pt>
                <pt idx="239">
                  <formatCode>m/d/yy</formatCode>
                  <v>45877</v>
                </pt>
                <pt idx="240">
                  <formatCode>m/d/yy</formatCode>
                  <v>45876</v>
                </pt>
                <pt idx="241">
                  <formatCode>m/d/yy</formatCode>
                  <v>45875</v>
                </pt>
                <pt idx="242">
                  <formatCode>m/d/yy</formatCode>
                  <v>45874</v>
                </pt>
                <pt idx="243">
                  <formatCode>m/d/yy</formatCode>
                  <v>45873</v>
                </pt>
                <pt idx="244">
                  <formatCode>m/d/yy</formatCode>
                  <v>45870</v>
                </pt>
                <pt idx="245">
                  <formatCode>m/d/yy</formatCode>
                  <v>45869</v>
                </pt>
                <pt idx="246">
                  <formatCode>m/d/yy</formatCode>
                  <v>45868</v>
                </pt>
                <pt idx="247">
                  <formatCode>m/d/yy</formatCode>
                  <v>45867</v>
                </pt>
                <pt idx="248">
                  <formatCode>m/d/yy</formatCode>
                  <v>45866</v>
                </pt>
                <pt idx="249">
                  <formatCode>m/d/yy</formatCode>
                  <v>45863</v>
                </pt>
                <pt idx="250">
                  <formatCode>m/d/yy</formatCode>
                  <v>45862</v>
                </pt>
                <pt idx="251">
                  <formatCode>m/d/yy</formatCode>
                  <v>45861</v>
                </pt>
                <pt idx="252">
                  <formatCode>m/d/yy</formatCode>
                  <v>45860</v>
                </pt>
                <pt idx="253">
                  <formatCode>m/d/yy</formatCode>
                  <v>45859</v>
                </pt>
                <pt idx="254">
                  <formatCode>m/d/yy</formatCode>
                  <v>45856</v>
                </pt>
                <pt idx="255">
                  <formatCode>m/d/yy</formatCode>
                  <v>45855</v>
                </pt>
                <pt idx="256">
                  <formatCode>m/d/yy</formatCode>
                  <v>45854</v>
                </pt>
                <pt idx="257">
                  <formatCode>m/d/yy</formatCode>
                  <v>45853</v>
                </pt>
                <pt idx="258">
                  <formatCode>m/d/yy</formatCode>
                  <v>45852</v>
                </pt>
                <pt idx="259">
                  <formatCode>m/d/yy</formatCode>
                  <v>45849</v>
                </pt>
                <pt idx="260">
                  <formatCode>m/d/yy</formatCode>
                  <v>45848</v>
                </pt>
                <pt idx="261">
                  <formatCode>m/d/yy</formatCode>
                  <v>45847</v>
                </pt>
                <pt idx="262">
                  <formatCode>m/d/yy</formatCode>
                  <v>45846</v>
                </pt>
                <pt idx="263">
                  <formatCode>m/d/yy</formatCode>
                  <v>45845</v>
                </pt>
                <pt idx="264">
                  <formatCode>m/d/yy</formatCode>
                  <v>45842</v>
                </pt>
                <pt idx="265">
                  <formatCode>m/d/yy</formatCode>
                  <v>45841</v>
                </pt>
                <pt idx="266">
                  <formatCode>m/d/yy</formatCode>
                  <v>45840</v>
                </pt>
                <pt idx="267">
                  <formatCode>m/d/yy</formatCode>
                  <v>45839</v>
                </pt>
                <pt idx="268">
                  <formatCode>m/d/yy</formatCode>
                  <v>45838</v>
                </pt>
                <pt idx="269">
                  <formatCode>m/d/yy</formatCode>
                  <v>45835</v>
                </pt>
                <pt idx="270">
                  <formatCode>m/d/yy</formatCode>
                  <v>45834</v>
                </pt>
                <pt idx="271">
                  <formatCode>m/d/yy</formatCode>
                  <v>45833</v>
                </pt>
                <pt idx="272">
                  <formatCode>m/d/yy</formatCode>
                  <v>45832</v>
                </pt>
                <pt idx="273">
                  <formatCode>m/d/yy</formatCode>
                  <v>45831</v>
                </pt>
                <pt idx="274">
                  <formatCode>m/d/yy</formatCode>
                  <v>45828</v>
                </pt>
                <pt idx="275">
                  <formatCode>m/d/yy</formatCode>
                  <v>45827</v>
                </pt>
                <pt idx="276">
                  <formatCode>m/d/yy</formatCode>
                  <v>45826</v>
                </pt>
                <pt idx="277">
                  <formatCode>m/d/yy</formatCode>
                  <v>45825</v>
                </pt>
                <pt idx="278">
                  <formatCode>m/d/yy</formatCode>
                  <v>45824</v>
                </pt>
                <pt idx="279">
                  <formatCode>m/d/yy</formatCode>
                  <v>45821</v>
                </pt>
                <pt idx="280">
                  <formatCode>m/d/yy</formatCode>
                  <v>45820</v>
                </pt>
                <pt idx="281">
                  <formatCode>m/d/yy</formatCode>
                  <v>45819</v>
                </pt>
                <pt idx="282">
                  <formatCode>m/d/yy</formatCode>
                  <v>45818</v>
                </pt>
                <pt idx="283">
                  <formatCode>m/d/yy</formatCode>
                  <v>45817</v>
                </pt>
                <pt idx="284">
                  <formatCode>m/d/yy</formatCode>
                  <v>45814</v>
                </pt>
                <pt idx="285">
                  <formatCode>m/d/yy</formatCode>
                  <v>45813</v>
                </pt>
                <pt idx="286">
                  <formatCode>m/d/yy</formatCode>
                  <v>45812</v>
                </pt>
                <pt idx="287">
                  <formatCode>m/d/yy</formatCode>
                  <v>45811</v>
                </pt>
                <pt idx="288">
                  <formatCode>m/d/yy</formatCode>
                  <v>45810</v>
                </pt>
                <pt idx="289">
                  <formatCode>m/d/yy</formatCode>
                  <v>45807</v>
                </pt>
                <pt idx="290">
                  <formatCode>m/d/yy</formatCode>
                  <v>45806</v>
                </pt>
                <pt idx="291">
                  <formatCode>m/d/yy</formatCode>
                  <v>45805</v>
                </pt>
                <pt idx="292">
                  <formatCode>m/d/yy</formatCode>
                  <v>45804</v>
                </pt>
                <pt idx="293">
                  <formatCode>m/d/yy</formatCode>
                  <v>45803</v>
                </pt>
                <pt idx="294">
                  <formatCode>m/d/yy</formatCode>
                  <v>45800</v>
                </pt>
                <pt idx="295">
                  <formatCode>m/d/yy</formatCode>
                  <v>45799</v>
                </pt>
                <pt idx="296">
                  <formatCode>m/d/yy</formatCode>
                  <v>45798</v>
                </pt>
                <pt idx="297">
                  <formatCode>m/d/yy</formatCode>
                  <v>45797</v>
                </pt>
                <pt idx="298">
                  <formatCode>m/d/yy</formatCode>
                  <v>45796</v>
                </pt>
                <pt idx="299">
                  <formatCode>m/d/yy</formatCode>
                  <v>45793</v>
                </pt>
                <pt idx="300">
                  <formatCode>m/d/yy</formatCode>
                  <v>45792</v>
                </pt>
                <pt idx="301">
                  <formatCode>m/d/yy</formatCode>
                  <v>45791</v>
                </pt>
                <pt idx="302">
                  <formatCode>m/d/yy</formatCode>
                  <v>45790</v>
                </pt>
                <pt idx="303">
                  <formatCode>m/d/yy</formatCode>
                  <v>45789</v>
                </pt>
                <pt idx="304">
                  <formatCode>m/d/yy</formatCode>
                  <v>45786</v>
                </pt>
                <pt idx="305">
                  <formatCode>m/d/yy</formatCode>
                  <v>45785</v>
                </pt>
                <pt idx="306">
                  <formatCode>m/d/yy</formatCode>
                  <v>45784</v>
                </pt>
                <pt idx="307">
                  <formatCode>m/d/yy</formatCode>
                  <v>45783</v>
                </pt>
                <pt idx="308">
                  <formatCode>m/d/yy</formatCode>
                  <v>45782</v>
                </pt>
                <pt idx="309">
                  <formatCode>m/d/yy</formatCode>
                  <v>45776</v>
                </pt>
                <pt idx="310">
                  <formatCode>m/d/yy</formatCode>
                  <v>45775</v>
                </pt>
                <pt idx="311">
                  <formatCode>m/d/yy</formatCode>
                  <v>45772</v>
                </pt>
                <pt idx="312">
                  <formatCode>m/d/yy</formatCode>
                  <v>45771</v>
                </pt>
                <pt idx="313">
                  <formatCode>m/d/yy</formatCode>
                  <v>45770</v>
                </pt>
                <pt idx="314">
                  <formatCode>m/d/yy</formatCode>
                  <v>45769</v>
                </pt>
                <pt idx="315">
                  <formatCode>m/d/yy</formatCode>
                  <v>45768</v>
                </pt>
                <pt idx="316">
                  <formatCode>m/d/yy</formatCode>
                  <v>45765</v>
                </pt>
                <pt idx="317">
                  <formatCode>m/d/yy</formatCode>
                  <v>45764</v>
                </pt>
                <pt idx="318">
                  <formatCode>m/d/yy</formatCode>
                  <v>45763</v>
                </pt>
                <pt idx="319">
                  <formatCode>m/d/yy</formatCode>
                  <v>45762</v>
                </pt>
                <pt idx="320">
                  <formatCode>m/d/yy</formatCode>
                  <v>45761</v>
                </pt>
                <pt idx="321">
                  <formatCode>m/d/yy</formatCode>
                  <v>45758</v>
                </pt>
                <pt idx="322">
                  <formatCode>m/d/yy</formatCode>
                  <v>45757</v>
                </pt>
                <pt idx="323">
                  <formatCode>m/d/yy</formatCode>
                  <v>45756</v>
                </pt>
                <pt idx="324">
                  <formatCode>m/d/yy</formatCode>
                  <v>45755</v>
                </pt>
                <pt idx="325">
                  <formatCode>m/d/yy</formatCode>
                  <v>45751</v>
                </pt>
                <pt idx="326">
                  <formatCode>m/d/yy</formatCode>
                  <v>45750</v>
                </pt>
                <pt idx="327">
                  <formatCode>m/d/yy</formatCode>
                  <v>45749</v>
                </pt>
                <pt idx="328">
                  <formatCode>m/d/yy</formatCode>
                  <v>45748</v>
                </pt>
                <pt idx="329">
                  <formatCode>m/d/yy</formatCode>
                  <v>45747</v>
                </pt>
                <pt idx="330">
                  <formatCode>m/d/yy</formatCode>
                  <v>45744</v>
                </pt>
                <pt idx="331">
                  <formatCode>m/d/yy</formatCode>
                  <v>45743</v>
                </pt>
                <pt idx="332">
                  <formatCode>m/d/yy</formatCode>
                  <v>45742</v>
                </pt>
                <pt idx="333">
                  <formatCode>m/d/yy</formatCode>
                  <v>45741</v>
                </pt>
                <pt idx="334">
                  <formatCode>m/d/yy</formatCode>
                  <v>45740</v>
                </pt>
                <pt idx="335">
                  <formatCode>m/d/yy</formatCode>
                  <v>45737</v>
                </pt>
                <pt idx="336">
                  <formatCode>m/d/yy</formatCode>
                  <v>45736</v>
                </pt>
                <pt idx="337">
                  <formatCode>m/d/yy</formatCode>
                  <v>45735</v>
                </pt>
                <pt idx="338">
                  <formatCode>m/d/yy</formatCode>
                  <v>45734</v>
                </pt>
                <pt idx="339">
                  <formatCode>m/d/yy</formatCode>
                  <v>45733</v>
                </pt>
                <pt idx="340">
                  <formatCode>m/d/yy</formatCode>
                  <v>45730</v>
                </pt>
                <pt idx="341">
                  <formatCode>m/d/yy</formatCode>
                  <v>45729</v>
                </pt>
                <pt idx="342">
                  <formatCode>m/d/yy</formatCode>
                  <v>45728</v>
                </pt>
                <pt idx="343">
                  <formatCode>m/d/yy</formatCode>
                  <v>45727</v>
                </pt>
                <pt idx="344">
                  <formatCode>m/d/yy</formatCode>
                  <v>45726</v>
                </pt>
                <pt idx="345">
                  <formatCode>m/d/yy</formatCode>
                  <v>45723</v>
                </pt>
                <pt idx="346">
                  <formatCode>m/d/yy</formatCode>
                  <v>45722</v>
                </pt>
                <pt idx="347">
                  <formatCode>m/d/yy</formatCode>
                  <v>45721</v>
                </pt>
                <pt idx="348">
                  <formatCode>m/d/yy</formatCode>
                  <v>45720</v>
                </pt>
                <pt idx="349">
                  <formatCode>m/d/yy</formatCode>
                  <v>45719</v>
                </pt>
                <pt idx="350">
                  <formatCode>m/d/yy</formatCode>
                  <v>45716</v>
                </pt>
                <pt idx="351">
                  <formatCode>m/d/yy</formatCode>
                  <v>45715</v>
                </pt>
                <pt idx="352">
                  <formatCode>m/d/yy</formatCode>
                  <v>45714</v>
                </pt>
                <pt idx="353">
                  <formatCode>m/d/yy</formatCode>
                  <v>45713</v>
                </pt>
                <pt idx="354">
                  <formatCode>m/d/yy</formatCode>
                  <v>45712</v>
                </pt>
                <pt idx="355">
                  <formatCode>m/d/yy</formatCode>
                  <v>45709</v>
                </pt>
                <pt idx="356">
                  <formatCode>m/d/yy</formatCode>
                  <v>45708</v>
                </pt>
                <pt idx="357">
                  <formatCode>m/d/yy</formatCode>
                  <v>45707</v>
                </pt>
                <pt idx="358">
                  <formatCode>m/d/yy</formatCode>
                  <v>45706</v>
                </pt>
                <pt idx="359">
                  <formatCode>m/d/yy</formatCode>
                  <v>45705</v>
                </pt>
                <pt idx="360">
                  <formatCode>m/d/yy</formatCode>
                  <v>45702</v>
                </pt>
                <pt idx="361">
                  <formatCode>m/d/yy</formatCode>
                  <v>45701</v>
                </pt>
                <pt idx="362">
                  <formatCode>m/d/yy</formatCode>
                  <v>45700</v>
                </pt>
                <pt idx="363">
                  <formatCode>m/d/yy</formatCode>
                  <v>45699</v>
                </pt>
                <pt idx="364">
                  <formatCode>m/d/yy</formatCode>
                  <v>45698</v>
                </pt>
                <pt idx="365">
                  <formatCode>m/d/yy</formatCode>
                  <v>45695</v>
                </pt>
                <pt idx="366">
                  <formatCode>m/d/yy</formatCode>
                  <v>45694</v>
                </pt>
                <pt idx="367">
                  <formatCode>m/d/yy</formatCode>
                  <v>45693</v>
                </pt>
                <pt idx="368">
                  <formatCode>m/d/yy</formatCode>
                  <v>45692</v>
                </pt>
                <pt idx="369">
                  <formatCode>m/d/yy</formatCode>
                  <v>45691</v>
                </pt>
                <pt idx="370">
                  <formatCode>m/d/yy</formatCode>
                  <v>45681</v>
                </pt>
                <pt idx="371">
                  <formatCode>m/d/yy</formatCode>
                  <v>45680</v>
                </pt>
                <pt idx="372">
                  <formatCode>m/d/yy</formatCode>
                  <v>45679</v>
                </pt>
                <pt idx="373">
                  <formatCode>m/d/yy</formatCode>
                  <v>45678</v>
                </pt>
                <pt idx="374">
                  <formatCode>m/d/yy</formatCode>
                  <v>45677</v>
                </pt>
                <pt idx="375">
                  <formatCode>m/d/yy</formatCode>
                  <v>45674</v>
                </pt>
                <pt idx="376">
                  <formatCode>m/d/yy</formatCode>
                  <v>45673</v>
                </pt>
                <pt idx="377">
                  <formatCode>m/d/yy</formatCode>
                  <v>45672</v>
                </pt>
                <pt idx="378">
                  <formatCode>m/d/yy</formatCode>
                  <v>45671</v>
                </pt>
                <pt idx="379">
                  <formatCode>m/d/yy</formatCode>
                  <v>45670</v>
                </pt>
                <pt idx="380">
                  <formatCode>m/d/yy</formatCode>
                  <v>45667</v>
                </pt>
                <pt idx="381">
                  <formatCode>m/d/yy</formatCode>
                  <v>45666</v>
                </pt>
              </numCache>
            </numRef>
          </cat>
          <val>
            <numRef>
              <f>Sheet1!$AL$2:$AL$383</f>
              <numCache>
                <formatCode>#,##0.00</formatCode>
                <ptCount val="382"/>
                <pt idx="1">
                  <v>1269.621580809609</v>
                </pt>
                <pt idx="2">
                  <v>1279.495312730459</v>
                </pt>
                <pt idx="3">
                  <v>1273.13386105034</v>
                </pt>
                <pt idx="4">
                  <v>1299.96363070556</v>
                </pt>
                <pt idx="5">
                  <v>1307.971255481914</v>
                </pt>
                <pt idx="6">
                  <v>1347.343729434171</v>
                </pt>
                <pt idx="7">
                  <v>1356.206638938164</v>
                </pt>
                <pt idx="8">
                  <v>1349.941395523904</v>
                </pt>
                <pt idx="9">
                  <v>1366.645503035549</v>
                </pt>
                <pt idx="10">
                  <v>1353.994134054892</v>
                </pt>
                <pt idx="11">
                  <v>1375.872145642091</v>
                </pt>
                <pt idx="12">
                  <v>1389.408475026495</v>
                </pt>
                <pt idx="13">
                  <v>1401.393291711623</v>
                </pt>
                <pt idx="14">
                  <v>1396.9702976181</v>
                </pt>
                <pt idx="15">
                  <v>1388.352766369101</v>
                </pt>
                <pt idx="16">
                  <v>1407.825570024496</v>
                </pt>
                <pt idx="17">
                  <v>1412.68241213041</v>
                </pt>
                <pt idx="18">
                  <v>1419.703430227657</v>
                </pt>
                <pt idx="19">
                  <v>1404.385944621047</v>
                </pt>
                <pt idx="20">
                  <v>1405.365944600918</v>
                </pt>
                <pt idx="21">
                  <v>1394.056265184281</v>
                </pt>
                <pt idx="22">
                  <v>1395.411795121637</v>
                </pt>
                <pt idx="23">
                  <v>1397.384771043251</v>
                </pt>
                <pt idx="24">
                  <v>1394.215925066475</v>
                </pt>
                <pt idx="25">
                  <v>1397.634796519683</v>
                </pt>
                <pt idx="26">
                  <v>1397.315741247268</v>
                </pt>
                <pt idx="27">
                  <v>1403.839981982149</v>
                </pt>
                <pt idx="28">
                  <v>1411.149174273877</v>
                </pt>
                <pt idx="29">
                  <v>1408.086584621701</v>
                </pt>
                <pt idx="30">
                  <v>1402.399158178834</v>
                </pt>
                <pt idx="31">
                  <v>1388.337254006076</v>
                </pt>
                <pt idx="32">
                  <v>1388.079875101328</v>
                </pt>
                <pt idx="33">
                  <v>1390.903725955555</v>
                </pt>
                <pt idx="34">
                  <v>1385.766256220312</v>
                </pt>
                <pt idx="35">
                  <v>1379.843684770723</v>
                </pt>
                <pt idx="36">
                  <v>1402.334744996012</v>
                </pt>
                <pt idx="37">
                  <v>1408.156299293697</v>
                </pt>
                <pt idx="38">
                  <v>1401.256030808065</v>
                </pt>
                <pt idx="39">
                  <v>1394.274936090638</v>
                </pt>
                <pt idx="40">
                  <v>1411.130313973283</v>
                </pt>
                <pt idx="41">
                  <v>1415.17416645133</v>
                </pt>
                <pt idx="42">
                  <v>1415.337037356837</v>
                </pt>
                <pt idx="43">
                  <v>1435.564892842229</v>
                </pt>
                <pt idx="44">
                  <v>1433.953431806208</v>
                </pt>
                <pt idx="45">
                  <v>1422.042826257006</v>
                </pt>
                <pt idx="46">
                  <v>1422.550997324862</v>
                </pt>
                <pt idx="47">
                  <v>1432.943256863557</v>
                </pt>
                <pt idx="48">
                  <v>1436.537312608826</v>
                </pt>
                <pt idx="49">
                  <v>1441.403920117856</v>
                </pt>
                <pt idx="50">
                  <v>1459.793321894595</v>
                </pt>
                <pt idx="51">
                  <v>1445.413361619677</v>
                </pt>
                <pt idx="52">
                  <v>1446.60483751821</v>
                </pt>
                <pt idx="53">
                  <v>1438.246048129796</v>
                </pt>
                <pt idx="54">
                  <v>1431.667930031515</v>
                </pt>
                <pt idx="55">
                  <v>1424.821703222362</v>
                </pt>
                <pt idx="56">
                  <v>1435.141127152907</v>
                </pt>
                <pt idx="57">
                  <v>1433.924842047799</v>
                </pt>
                <pt idx="58">
                  <v>1433.09345784377</v>
                </pt>
                <pt idx="59">
                  <v>1418.001243240917</v>
                </pt>
                <pt idx="60">
                  <v>1419.210761201716</v>
                </pt>
                <pt idx="61">
                  <v>1412.999058872654</v>
                </pt>
                <pt idx="62">
                  <v>1412.894798054669</v>
                </pt>
                <pt idx="63">
                  <v>1422.72955556237</v>
                </pt>
                <pt idx="64">
                  <v>1428.229707489977</v>
                </pt>
                <pt idx="65">
                  <v>1425.357367756173</v>
                </pt>
                <pt idx="66">
                  <v>1427.845337101914</v>
                </pt>
                <pt idx="67">
                  <v>1435.806346485045</v>
                </pt>
                <pt idx="68">
                  <v>1430.445567091621</v>
                </pt>
                <pt idx="69">
                  <v>1422.659135759896</v>
                </pt>
                <pt idx="70">
                  <v>1429.773439431049</v>
                </pt>
                <pt idx="71">
                  <v>1432.750671492195</v>
                </pt>
                <pt idx="72">
                  <v>1430.332874263615</v>
                </pt>
                <pt idx="73">
                  <v>1436.187564672698</v>
                </pt>
                <pt idx="74">
                  <v>1426.492184044585</v>
                </pt>
                <pt idx="75">
                  <v>1436.749978366421</v>
                </pt>
                <pt idx="76">
                  <v>1383.033953124014</v>
                </pt>
                <pt idx="77">
                  <v>1381.438992257937</v>
                </pt>
                <pt idx="78">
                  <v>1388.967320047185</v>
                </pt>
                <pt idx="79">
                  <v>1402.069672384277</v>
                </pt>
                <pt idx="80">
                  <v>1414.911912003526</v>
                </pt>
                <pt idx="81">
                  <v>1403.575379830226</v>
                </pt>
                <pt idx="82">
                  <v>1400.68330178787</v>
                </pt>
                <pt idx="83">
                  <v>1405.9527423794</v>
                </pt>
                <pt idx="84">
                  <v>1384.227107053766</v>
                </pt>
                <pt idx="85">
                  <v>1396.560346331546</v>
                </pt>
                <pt idx="86">
                  <v>1367.065216372059</v>
                </pt>
                <pt idx="87">
                  <v>1342.078647401577</v>
                </pt>
                <pt idx="88">
                  <v>1380.97454238787</v>
                </pt>
                <pt idx="89">
                  <v>1413.247632846637</v>
                </pt>
                <pt idx="90">
                  <v>1427.767718862685</v>
                </pt>
                <pt idx="91">
                  <v>1424.074578446995</v>
                </pt>
                <pt idx="92">
                  <v>1411.565004649389</v>
                </pt>
                <pt idx="93">
                  <v>1415.786416082666</v>
                </pt>
                <pt idx="94">
                  <v>1429.638214145776</v>
                </pt>
                <pt idx="95">
                  <v>1447.715529009491</v>
                </pt>
                <pt idx="96">
                  <v>1410.961717822805</v>
                </pt>
                <pt idx="97">
                  <v>1382.448769728609</v>
                </pt>
                <pt idx="98">
                  <v>1471.064496009799</v>
                </pt>
                <pt idx="99">
                  <v>1498.253286903764</v>
                </pt>
                <pt idx="100">
                  <v>1524.343921577484</v>
                </pt>
                <pt idx="101">
                  <v>1519.564268918324</v>
                </pt>
                <pt idx="102">
                  <v>1524.987378468178</v>
                </pt>
                <pt idx="103">
                  <v>1542.931063783612</v>
                </pt>
                <pt idx="104">
                  <v>1548.007603594474</v>
                </pt>
                <pt idx="105">
                  <v>1548.473710775163</v>
                </pt>
                <pt idx="106">
                  <v>1542.272284735006</v>
                </pt>
                <pt idx="107">
                  <v>1535.337287658092</v>
                </pt>
                <pt idx="108">
                  <v>1504.284622080398</v>
                </pt>
                <pt idx="109">
                  <v>1495.92401104737</v>
                </pt>
                <pt idx="110">
                  <v>1497.362347232088</v>
                </pt>
                <pt idx="111">
                  <v>1472.021595528064</v>
                </pt>
                <pt idx="112">
                  <v>1494.282403450146</v>
                </pt>
                <pt idx="113">
                  <v>1494.971537550412</v>
                </pt>
                <pt idx="114">
                  <v>1521.922186835983</v>
                </pt>
                <pt idx="115">
                  <v>1550.743863971238</v>
                </pt>
                <pt idx="116">
                  <v>1551.962144697843</v>
                </pt>
                <pt idx="117">
                  <v>1544.030080338528</v>
                </pt>
                <pt idx="118">
                  <v>1540.772807394617</v>
                </pt>
                <pt idx="119">
                  <v>1526.124614965096</v>
                </pt>
                <pt idx="120">
                  <v>1517.240367927416</v>
                </pt>
                <pt idx="121">
                  <v>1520.821024555021</v>
                </pt>
                <pt idx="122">
                  <v>1511.465413893589</v>
                </pt>
                <pt idx="123">
                  <v>1525.539602199865</v>
                </pt>
                <pt idx="124">
                  <v>1547.260896552051</v>
                </pt>
                <pt idx="125">
                  <v>1549.259549691374</v>
                </pt>
                <pt idx="126">
                  <v>1556.738013288151</v>
                </pt>
                <pt idx="127">
                  <v>1555.04837471683</v>
                </pt>
                <pt idx="128">
                  <v>1542.023007405739</v>
                </pt>
                <pt idx="129">
                  <v>1543.168770277598</v>
                </pt>
                <pt idx="130">
                  <v>1555.178838117506</v>
                </pt>
                <pt idx="131">
                  <v>1542.46478663517</v>
                </pt>
                <pt idx="132">
                  <v>1528.26502279008</v>
                </pt>
                <pt idx="133">
                  <v>1488.817967372009</v>
                </pt>
                <pt idx="134">
                  <v>1475.459512294419</v>
                </pt>
                <pt idx="135">
                  <v>1464.657067800529</v>
                </pt>
                <pt idx="136">
                  <v>1435.14707060004</v>
                </pt>
                <pt idx="137">
                  <v>1417.657522483986</v>
                </pt>
                <pt idx="138">
                  <v>1430.246730327192</v>
                </pt>
                <pt idx="139">
                  <v>1430.888607376372</v>
                </pt>
                <pt idx="140">
                  <v>1422.747497388091</v>
                </pt>
                <pt idx="141">
                  <v>1413.532159290849</v>
                </pt>
                <pt idx="142">
                  <v>1415.090299154429</v>
                </pt>
                <pt idx="143">
                  <v>1424.945606720871</v>
                </pt>
                <pt idx="144">
                  <v>1421.060896275803</v>
                </pt>
                <pt idx="145">
                  <v>1428.176964686032</v>
                </pt>
                <pt idx="146">
                  <v>1406.594803572184</v>
                </pt>
                <pt idx="147">
                  <v>1397.736064054041</v>
                </pt>
                <pt idx="148">
                  <v>1394.757706743092</v>
                </pt>
                <pt idx="149">
                  <v>1401.660416482092</v>
                </pt>
                <pt idx="150">
                  <v>1373.326830658948</v>
                </pt>
                <pt idx="151">
                  <v>1369.234941493594</v>
                </pt>
                <pt idx="152">
                  <v>1407.860692646243</v>
                </pt>
                <pt idx="153">
                  <v>1418.666716425974</v>
                </pt>
                <pt idx="154">
                  <v>1419.777530660301</v>
                </pt>
                <pt idx="155">
                  <v>1434.888809329771</v>
                </pt>
                <pt idx="156">
                  <v>1442.944737033726</v>
                </pt>
                <pt idx="157">
                  <v>1457.194528317472</v>
                </pt>
                <pt idx="158">
                  <v>1448.914774905899</v>
                </pt>
                <pt idx="159">
                  <v>1427.597363299102</v>
                </pt>
                <pt idx="160">
                  <v>1418.547345496152</v>
                </pt>
                <pt idx="161">
                  <v>1421.717613849952</v>
                </pt>
                <pt idx="162">
                  <v>1428.724133933626</v>
                </pt>
                <pt idx="163">
                  <v>1428.569061994503</v>
                </pt>
                <pt idx="164">
                  <v>1412.380073401478</v>
                </pt>
                <pt idx="165">
                  <v>1423.867037734987</v>
                </pt>
                <pt idx="166">
                  <v>1425.011873359963</v>
                </pt>
                <pt idx="167">
                  <v>1430.052547572319</v>
                </pt>
                <pt idx="168">
                  <v>1430.620088053221</v>
                </pt>
                <pt idx="169">
                  <v>1441.497573017112</v>
                </pt>
                <pt idx="170">
                  <v>1440.575431624</v>
                </pt>
                <pt idx="171">
                  <v>1427.860299637409</v>
                </pt>
                <pt idx="172">
                  <v>1423.935204487147</v>
                </pt>
                <pt idx="173">
                  <v>1423.02630216127</v>
                </pt>
                <pt idx="174">
                  <v>1398.871925243937</v>
                </pt>
                <pt idx="175">
                  <v>1391.668460693976</v>
                </pt>
                <pt idx="176">
                  <v>1403.686235966218</v>
                </pt>
                <pt idx="177">
                  <v>1432.505553176668</v>
                </pt>
                <pt idx="178">
                  <v>1444.65680030402</v>
                </pt>
                <pt idx="179">
                  <v>1445.505377745887</v>
                </pt>
                <pt idx="180">
                  <v>1417.677936068906</v>
                </pt>
                <pt idx="181">
                  <v>1441.859727719247</v>
                </pt>
                <pt idx="182">
                  <v>1455.086908404823</v>
                </pt>
                <pt idx="183">
                  <v>1463.271033176926</v>
                </pt>
                <pt idx="184">
                  <v>1447.15064811377</v>
                </pt>
                <pt idx="185">
                  <v>1424.923857386269</v>
                </pt>
                <pt idx="186">
                  <v>1441.903454973112</v>
                </pt>
                <pt idx="187">
                  <v>1449.144602713654</v>
                </pt>
                <pt idx="188">
                  <v>1453.752321826752</v>
                </pt>
                <pt idx="189">
                  <v>1442.431881955984</v>
                </pt>
                <pt idx="190">
                  <v>1426.275712694452</v>
                </pt>
                <pt idx="191">
                  <v>1501.683105500752</v>
                </pt>
                <pt idx="192">
                  <v>1521.09020831256</v>
                </pt>
                <pt idx="193">
                  <v>1513.614006595902</v>
                </pt>
                <pt idx="194">
                  <v>1510.169004932357</v>
                </pt>
                <pt idx="195">
                  <v>1521.387943973172</v>
                </pt>
                <pt idx="196">
                  <v>1518.329675388685</v>
                </pt>
                <pt idx="197">
                  <v>1507.905999329033</v>
                </pt>
                <pt idx="198">
                  <v>1498.753474563495</v>
                </pt>
                <pt idx="199">
                  <v>1489.384357110186</v>
                </pt>
                <pt idx="200">
                  <v>1502.545858538506</v>
                </pt>
                <pt idx="201">
                  <v>1459.85963054388</v>
                </pt>
                <pt idx="202">
                  <v>1473.363497895565</v>
                </pt>
                <pt idx="203">
                  <v>1483.436734218917</v>
                </pt>
                <pt idx="204">
                  <v>1474.577403884573</v>
                </pt>
                <pt idx="205">
                  <v>1483.448215027843</v>
                </pt>
                <pt idx="206">
                  <v>1488.472765178118</v>
                </pt>
                <pt idx="207">
                  <v>1498.764821612702</v>
                </pt>
                <pt idx="208">
                  <v>1499.76809168127</v>
                </pt>
                <pt idx="209">
                  <v>1477.052474387268</v>
                </pt>
                <pt idx="210">
                  <v>1475.577673844564</v>
                </pt>
                <pt idx="211">
                  <v>1493.492185360453</v>
                </pt>
                <pt idx="212">
                  <v>1505.248804555367</v>
                </pt>
                <pt idx="213">
                  <v>1513.174819620793</v>
                </pt>
                <pt idx="214">
                  <v>1530.339467872454</v>
                </pt>
                <pt idx="215">
                  <v>1530.067922456229</v>
                </pt>
                <pt idx="216">
                  <v>1511.425713289509</v>
                </pt>
                <pt idx="217">
                  <v>1502.955500795357</v>
                </pt>
                <pt idx="218">
                  <v>1497.165181564419</v>
                </pt>
                <pt idx="219">
                  <v>1493.277182167829</v>
                </pt>
                <pt idx="220">
                  <v>1485.558471430621</v>
                </pt>
                <pt idx="221">
                  <v>1527.957006785721</v>
                </pt>
                <pt idx="222">
                  <v>1555.217053781666</v>
                </pt>
                <pt idx="223">
                  <v>1539.884513143305</v>
                </pt>
                <pt idx="224">
                  <v>1536.013710316241</v>
                </pt>
                <pt idx="225">
                  <v>1532.80751240724</v>
                </pt>
                <pt idx="226">
                  <v>1523.087346182598</v>
                </pt>
                <pt idx="227">
                  <v>1513.881717898663</v>
                </pt>
                <pt idx="228">
                  <v>1471.182723070173</v>
                </pt>
                <pt idx="229">
                  <v>1509.054834870098</v>
                </pt>
                <pt idx="230">
                  <v>1548.916877524041</v>
                </pt>
                <pt idx="231">
                  <v>1526.705376957487</v>
                </pt>
                <pt idx="232">
                  <v>1526.723230570854</v>
                </pt>
                <pt idx="233">
                  <v>1508.851752094469</v>
                </pt>
                <pt idx="234">
                  <v>1501.663574628975</v>
                </pt>
                <pt idx="235">
                  <v>1512.568913455684</v>
                </pt>
                <pt idx="236">
                  <v>1486.440600503536</v>
                </pt>
                <pt idx="237">
                  <v>1483.212483739914</v>
                </pt>
                <pt idx="238">
                  <v>1471.429938150623</v>
                </pt>
                <pt idx="239">
                  <v>1456.61605659693</v>
                </pt>
                <pt idx="240">
                  <v>1454.418953844394</v>
                </pt>
                <pt idx="241">
                  <v>1441.057591455477</v>
                </pt>
                <pt idx="242">
                  <v>1416.73408490895</v>
                </pt>
                <pt idx="243">
                  <v>1407.515664234887</v>
                </pt>
                <pt idx="244">
                  <v>1384.733117330233</v>
                </pt>
                <pt idx="245">
                  <v>1390.470939506148</v>
                </pt>
                <pt idx="246">
                  <v>1389.529449712189</v>
                </pt>
                <pt idx="247">
                  <v>1371.222317331044</v>
                </pt>
                <pt idx="248">
                  <v>1428.275078478329</v>
                </pt>
                <pt idx="249">
                  <v>1405.170268954404</v>
                </pt>
                <pt idx="250">
                  <v>1394.670401045665</v>
                </pt>
                <pt idx="251">
                  <v>1386.863159449606</v>
                </pt>
                <pt idx="252">
                  <v>1378.247950558277</v>
                </pt>
                <pt idx="253">
                  <v>1362.297522783163</v>
                </pt>
                <pt idx="254">
                  <v>1363.746752245993</v>
                </pt>
                <pt idx="255">
                  <v>1355.382336262039</v>
                </pt>
                <pt idx="256">
                  <v>1350.841882960967</v>
                </pt>
                <pt idx="257">
                  <v>1341.802548073865</v>
                </pt>
                <pt idx="258">
                  <v>1348.56009197256</v>
                </pt>
                <pt idx="259">
                  <v>1341.272603909131</v>
                </pt>
                <pt idx="260">
                  <v>1336.15208149854</v>
                </pt>
                <pt idx="261">
                  <v>1332.415159108547</v>
                </pt>
                <pt idx="262">
                  <v>1321.077834921596</v>
                </pt>
                <pt idx="263">
                  <v>1310.29999935698</v>
                </pt>
                <pt idx="264">
                  <v>1297.232694306</v>
                </pt>
                <pt idx="265">
                  <v>1289.677110606465</v>
                </pt>
                <pt idx="266">
                  <v>1291.505623991939</v>
                </pt>
                <pt idx="267">
                  <v>1284.502605364186</v>
                </pt>
                <pt idx="268">
                  <v>1282.429802510495</v>
                </pt>
                <pt idx="269">
                  <v>1277.522908567204</v>
                </pt>
                <pt idx="270">
                  <v>1273.311188191922</v>
                </pt>
                <pt idx="271">
                  <v>1271.785729703278</v>
                </pt>
                <pt idx="272">
                  <v>1272.246716011397</v>
                </pt>
                <pt idx="273">
                  <v>1269.60080927419</v>
                </pt>
                <pt idx="274">
                  <v>1270.23748347793</v>
                </pt>
                <pt idx="275">
                  <v>1268.835651150453</v>
                </pt>
                <pt idx="276">
                  <v>1265.142996893215</v>
                </pt>
                <pt idx="277">
                  <v>1267.58443571296</v>
                </pt>
                <pt idx="278">
                  <v>1262.764996108716</v>
                </pt>
                <pt idx="279">
                  <v>1241.494324961462</v>
                </pt>
                <pt idx="280">
                  <v>1245.964217991708</v>
                </pt>
                <pt idx="281">
                  <v>1232.665150107978</v>
                </pt>
                <pt idx="282">
                  <v>1232.649689904397</v>
                </pt>
                <pt idx="283">
                  <v>1229.575681577056</v>
                </pt>
                <pt idx="284">
                  <v>1237.36301357193</v>
                </pt>
                <pt idx="285">
                  <v>1247.64369392421</v>
                </pt>
                <pt idx="286">
                  <v>1251.027804599333</v>
                </pt>
                <pt idx="287">
                  <v>1252.506494871226</v>
                </pt>
                <pt idx="288">
                  <v>1242.113365704801</v>
                </pt>
                <pt idx="289">
                  <v>1236.434418273941</v>
                </pt>
                <pt idx="290">
                  <v>1247.739101584766</v>
                </pt>
                <pt idx="291">
                  <v>1249.607605332262</v>
                </pt>
                <pt idx="292">
                  <v>1252.185683306558</v>
                </pt>
                <pt idx="293">
                  <v>1244.375965727301</v>
                </pt>
                <pt idx="294">
                  <v>1231.950123616668</v>
                </pt>
                <pt idx="295">
                  <v>1231.893507598527</v>
                </pt>
                <pt idx="296">
                  <v>1238.262060676262</v>
                </pt>
                <pt idx="297">
                  <v>1235.696931839582</v>
                </pt>
                <pt idx="298">
                  <v>1227.107301644768</v>
                </pt>
                <pt idx="299">
                  <v>1236.920321687476</v>
                </pt>
                <pt idx="300">
                  <v>1250.471153764533</v>
                </pt>
                <pt idx="301">
                  <v>1247.045442682241</v>
                </pt>
                <pt idx="302">
                  <v>1231.507752153182</v>
                </pt>
                <pt idx="303">
                  <v>1221.171355936384</v>
                </pt>
                <pt idx="304">
                  <v>1208.237746972015</v>
                </pt>
                <pt idx="305">
                  <v>1208.90532520542</v>
                </pt>
                <pt idx="306">
                  <v>1194.399291418116</v>
                </pt>
                <pt idx="307">
                  <v>1189.72202802631</v>
                </pt>
                <pt idx="308">
                  <v>1188.28051431829</v>
                </pt>
                <pt idx="309">
                  <v>1179.499325425257</v>
                </pt>
                <pt idx="310">
                  <v>1180.20017513012</v>
                </pt>
                <pt idx="311">
                  <v>1179.972424039582</v>
                </pt>
                <pt idx="312">
                  <v>1179.109635322102</v>
                </pt>
                <pt idx="313">
                  <v>1173.629112039316</v>
                </pt>
                <pt idx="314">
                  <v>1161.11051000358</v>
                </pt>
                <pt idx="315">
                  <v>1171.329187939019</v>
                </pt>
                <pt idx="316">
                  <v>1179.166873168131</v>
                </pt>
                <pt idx="317">
                  <v>1171.039096404892</v>
                </pt>
                <pt idx="318">
                  <v>1167.222975315168</v>
                </pt>
                <pt idx="319">
                  <v>1181.402762172997</v>
                </pt>
                <pt idx="320">
                  <v>1196.172041159457</v>
                </pt>
                <pt idx="321">
                  <v>1185.442245860603</v>
                </pt>
                <pt idx="322">
                  <v>1136.922244994604</v>
                </pt>
                <pt idx="323">
                  <v>1070.380076866461</v>
                </pt>
                <pt idx="324">
                  <v>1112.357698850223</v>
                </pt>
                <pt idx="325">
                  <v>1183.353565227604</v>
                </pt>
                <pt idx="326">
                  <v>1205.45767617355</v>
                </pt>
                <pt idx="327">
                  <v>1285.1996035391</v>
                </pt>
                <pt idx="328">
                  <v>1285.422283033866</v>
                </pt>
                <pt idx="329">
                  <v>1278.644055537986</v>
                </pt>
                <pt idx="330">
                  <v>1289.151915122382</v>
                </pt>
                <pt idx="331">
                  <v>1296.244801399706</v>
                </pt>
                <pt idx="332">
                  <v>1298.157835120246</v>
                </pt>
                <pt idx="333">
                  <v>1304.161119623566</v>
                </pt>
                <pt idx="334">
                  <v>1303.2951542321</v>
                </pt>
                <pt idx="335">
                  <v>1304.643717490089</v>
                </pt>
                <pt idx="336">
                  <v>1305.981097401801</v>
                </pt>
                <pt idx="337">
                  <v>1306.287379421563</v>
                </pt>
                <pt idx="338">
                  <v>1313.226424795759</v>
                </pt>
                <pt idx="339">
                  <v>1317.15498740003</v>
                </pt>
                <pt idx="340">
                  <v>1306.827685081118</v>
                </pt>
                <pt idx="341">
                  <v>1307.751993444483</v>
                </pt>
                <pt idx="342">
                  <v>1320.024992304776</v>
                </pt>
                <pt idx="343">
                  <v>1320.369844298338</v>
                </pt>
                <pt idx="344">
                  <v>1318.279485827826</v>
                </pt>
                <pt idx="345">
                  <v>1316.253938501212</v>
                </pt>
                <pt idx="346">
                  <v>1312.646641572743</v>
                </pt>
                <pt idx="347">
                  <v>1300.168764425776</v>
                </pt>
                <pt idx="348">
                  <v>1308.310833656197</v>
                </pt>
                <pt idx="349">
                  <v>1305.186392158955</v>
                </pt>
                <pt idx="350">
                  <v>1303.449990660695</v>
                </pt>
                <pt idx="351">
                  <v>1306.284437677304</v>
                </pt>
                <pt idx="352">
                  <v>1301.862497120329</v>
                </pt>
                <pt idx="353">
                  <v>1302.233929040025</v>
                </pt>
                <pt idx="354">
                  <v>1304.163906091251</v>
                </pt>
                <pt idx="355">
                  <v>1296.313280098706</v>
                </pt>
                <pt idx="356">
                  <v>1291.967141045773</v>
                </pt>
                <pt idx="357">
                  <v>1289.562543455219</v>
                </pt>
                <pt idx="358">
                  <v>1279.713962986142</v>
                </pt>
                <pt idx="359">
                  <v>1274.702347817419</v>
                </pt>
                <pt idx="360">
                  <v>1277.842948162073</v>
                </pt>
                <pt idx="361">
                  <v>1272.134963753358</v>
                </pt>
                <pt idx="362">
                  <v>1269.89151442788</v>
                </pt>
                <pt idx="363">
                  <v>1271.632148145822</v>
                </pt>
                <pt idx="364">
                  <v>1266.23782990296</v>
                </pt>
                <pt idx="365">
                  <v>1276.507904860111</v>
                </pt>
                <pt idx="366">
                  <v>1273.004034780962</v>
                </pt>
                <pt idx="367">
                  <v>1271.37010008361</v>
                </pt>
                <pt idx="368">
                  <v>1266.792869267862</v>
                </pt>
                <pt idx="369">
                  <v>1254.942319305869</v>
                </pt>
                <pt idx="370">
                  <v>1266.011956437932</v>
                </pt>
                <pt idx="371">
                  <v>1260.646487563615</v>
                </pt>
                <pt idx="372">
                  <v>1243.628284190515</v>
                </pt>
                <pt idx="373">
                  <v>1246.485964395901</v>
                </pt>
                <pt idx="374">
                  <v>1249.991844424981</v>
                </pt>
                <pt idx="375">
                  <v>1249.434660505947</v>
                </pt>
                <pt idx="376">
                  <v>1242.784525341461</v>
                </pt>
                <pt idx="377">
                  <v>1236.818081357179</v>
                </pt>
                <pt idx="378">
                  <v>1229.975554055975</v>
                </pt>
                <pt idx="379">
                  <v>1236.131076994148</v>
                </pt>
                <pt idx="380">
                  <v>1230.692258286095</v>
                </pt>
                <pt idx="381">
                  <v>1245.267450475524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001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001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46227</v>
                </pt>
                <pt idx="2">
                  <v>46226</v>
                </pt>
                <pt idx="3">
                  <v>46225</v>
                </pt>
                <pt idx="4">
                  <v>46224</v>
                </pt>
                <pt idx="5">
                  <v>46223</v>
                </pt>
                <pt idx="6">
                  <v>46220</v>
                </pt>
                <pt idx="7">
                  <v>46219</v>
                </pt>
                <pt idx="8">
                  <v>46218</v>
                </pt>
                <pt idx="9">
                  <v>46217</v>
                </pt>
                <pt idx="10">
                  <v>46216</v>
                </pt>
                <pt idx="11">
                  <v>46213</v>
                </pt>
                <pt idx="12">
                  <v>46212</v>
                </pt>
                <pt idx="13">
                  <v>46211</v>
                </pt>
                <pt idx="14">
                  <v>46210</v>
                </pt>
                <pt idx="15">
                  <v>46209</v>
                </pt>
                <pt idx="16">
                  <v>46206</v>
                </pt>
                <pt idx="17">
                  <v>46205</v>
                </pt>
                <pt idx="18">
                  <v>46204</v>
                </pt>
                <pt idx="19">
                  <v>46203</v>
                </pt>
                <pt idx="20">
                  <v>46202</v>
                </pt>
                <pt idx="21">
                  <v>46199</v>
                </pt>
                <pt idx="22">
                  <v>46198</v>
                </pt>
                <pt idx="23">
                  <v>46197</v>
                </pt>
                <pt idx="24">
                  <v>46196</v>
                </pt>
                <pt idx="25">
                  <v>46195</v>
                </pt>
                <pt idx="26">
                  <v>46192</v>
                </pt>
                <pt idx="27">
                  <v>46191</v>
                </pt>
                <pt idx="28">
                  <v>46190</v>
                </pt>
                <pt idx="29">
                  <v>46189</v>
                </pt>
                <pt idx="30">
                  <v>46188</v>
                </pt>
                <pt idx="31">
                  <v>46185</v>
                </pt>
                <pt idx="32">
                  <v>46184</v>
                </pt>
                <pt idx="33">
                  <v>46183</v>
                </pt>
                <pt idx="34">
                  <v>46182</v>
                </pt>
                <pt idx="35">
                  <v>46181</v>
                </pt>
                <pt idx="36">
                  <v>46178</v>
                </pt>
                <pt idx="37">
                  <v>46177</v>
                </pt>
                <pt idx="38">
                  <v>46176</v>
                </pt>
                <pt idx="39">
                  <v>46175</v>
                </pt>
                <pt idx="40">
                  <v>46174</v>
                </pt>
                <pt idx="41">
                  <v>46171</v>
                </pt>
                <pt idx="42">
                  <v>46170</v>
                </pt>
                <pt idx="43">
                  <v>46169</v>
                </pt>
                <pt idx="44">
                  <v>46168</v>
                </pt>
                <pt idx="45">
                  <v>46167</v>
                </pt>
                <pt idx="46">
                  <v>46164</v>
                </pt>
                <pt idx="47">
                  <v>46163</v>
                </pt>
                <pt idx="48">
                  <v>46162</v>
                </pt>
                <pt idx="49">
                  <v>46161</v>
                </pt>
                <pt idx="50">
                  <v>46160</v>
                </pt>
                <pt idx="51">
                  <v>46157</v>
                </pt>
                <pt idx="52">
                  <v>46156</v>
                </pt>
                <pt idx="53">
                  <v>46155</v>
                </pt>
                <pt idx="54">
                  <v>46154</v>
                </pt>
                <pt idx="55">
                  <v>46153</v>
                </pt>
                <pt idx="56">
                  <v>46150</v>
                </pt>
                <pt idx="57">
                  <v>46149</v>
                </pt>
                <pt idx="58">
                  <v>46148</v>
                </pt>
                <pt idx="59">
                  <v>46147</v>
                </pt>
                <pt idx="60">
                  <v>46146</v>
                </pt>
                <pt idx="61">
                  <v>46141</v>
                </pt>
                <pt idx="62">
                  <v>46140</v>
                </pt>
                <pt idx="63">
                  <v>46136</v>
                </pt>
                <pt idx="64">
                  <v>46135</v>
                </pt>
                <pt idx="65">
                  <v>46134</v>
                </pt>
                <pt idx="66">
                  <v>46133</v>
                </pt>
                <pt idx="67">
                  <v>46132</v>
                </pt>
                <pt idx="68">
                  <v>46129</v>
                </pt>
                <pt idx="69">
                  <v>46128</v>
                </pt>
                <pt idx="70">
                  <v>46127</v>
                </pt>
                <pt idx="71">
                  <v>46126</v>
                </pt>
                <pt idx="72">
                  <v>46125</v>
                </pt>
                <pt idx="73">
                  <v>46122</v>
                </pt>
                <pt idx="74">
                  <v>46121</v>
                </pt>
                <pt idx="75">
                  <v>46120</v>
                </pt>
                <pt idx="76">
                  <v>46119</v>
                </pt>
                <pt idx="77">
                  <v>46118</v>
                </pt>
                <pt idx="78">
                  <v>46115</v>
                </pt>
                <pt idx="79">
                  <v>46114</v>
                </pt>
                <pt idx="80">
                  <v>46113</v>
                </pt>
                <pt idx="81">
                  <v>46112</v>
                </pt>
                <pt idx="82">
                  <v>46111</v>
                </pt>
                <pt idx="83">
                  <v>46108</v>
                </pt>
                <pt idx="84">
                  <v>46107</v>
                </pt>
                <pt idx="85">
                  <v>46106</v>
                </pt>
                <pt idx="86">
                  <v>46105</v>
                </pt>
                <pt idx="87">
                  <v>46104</v>
                </pt>
                <pt idx="88">
                  <v>46101</v>
                </pt>
                <pt idx="89">
                  <v>46100</v>
                </pt>
                <pt idx="90">
                  <v>46099</v>
                </pt>
                <pt idx="91">
                  <v>46098</v>
                </pt>
                <pt idx="92">
                  <v>46097</v>
                </pt>
                <pt idx="93">
                  <v>46094</v>
                </pt>
                <pt idx="94">
                  <v>46093</v>
                </pt>
                <pt idx="95">
                  <v>46092</v>
                </pt>
                <pt idx="96">
                  <v>46091</v>
                </pt>
                <pt idx="97">
                  <v>46090</v>
                </pt>
                <pt idx="98">
                  <v>46087</v>
                </pt>
                <pt idx="99">
                  <v>46086</v>
                </pt>
                <pt idx="100">
                  <v>46085</v>
                </pt>
                <pt idx="101">
                  <v>46084</v>
                </pt>
                <pt idx="102">
                  <v>46083</v>
                </pt>
                <pt idx="103">
                  <v>46080</v>
                </pt>
                <pt idx="104">
                  <v>46079</v>
                </pt>
                <pt idx="105">
                  <v>46078</v>
                </pt>
                <pt idx="106">
                  <v>46077</v>
                </pt>
                <pt idx="107">
                  <v>46076</v>
                </pt>
                <pt idx="108">
                  <v>46066</v>
                </pt>
                <pt idx="109">
                  <v>46065</v>
                </pt>
                <pt idx="110">
                  <v>46064</v>
                </pt>
                <pt idx="111">
                  <v>46063</v>
                </pt>
                <pt idx="112">
                  <v>46062</v>
                </pt>
                <pt idx="113">
                  <v>46059</v>
                </pt>
                <pt idx="114">
                  <v>46058</v>
                </pt>
                <pt idx="115">
                  <v>46057</v>
                </pt>
                <pt idx="116">
                  <v>46056</v>
                </pt>
                <pt idx="117">
                  <v>46055</v>
                </pt>
                <pt idx="118">
                  <v>46052</v>
                </pt>
                <pt idx="119">
                  <v>46051</v>
                </pt>
                <pt idx="120">
                  <v>46050</v>
                </pt>
                <pt idx="121">
                  <v>46049</v>
                </pt>
                <pt idx="122">
                  <v>46048</v>
                </pt>
                <pt idx="123">
                  <v>46045</v>
                </pt>
                <pt idx="124">
                  <v>46044</v>
                </pt>
                <pt idx="125">
                  <v>46043</v>
                </pt>
                <pt idx="126">
                  <v>46042</v>
                </pt>
                <pt idx="127">
                  <v>46041</v>
                </pt>
                <pt idx="128">
                  <v>46038</v>
                </pt>
                <pt idx="129">
                  <v>46037</v>
                </pt>
                <pt idx="130">
                  <v>46036</v>
                </pt>
                <pt idx="131">
                  <v>46035</v>
                </pt>
                <pt idx="132">
                  <v>46034</v>
                </pt>
                <pt idx="133">
                  <v>46031</v>
                </pt>
                <pt idx="134">
                  <v>46030</v>
                </pt>
                <pt idx="135">
                  <v>46029</v>
                </pt>
                <pt idx="136">
                  <v>46028</v>
                </pt>
                <pt idx="137">
                  <v>46027</v>
                </pt>
                <pt idx="138">
                  <formatCode>m/d/yy</formatCode>
                  <v>46022</v>
                </pt>
                <pt idx="139">
                  <formatCode>m/d/yy</formatCode>
                  <v>46021</v>
                </pt>
                <pt idx="140">
                  <formatCode>m/d/yy</formatCode>
                  <v>46020</v>
                </pt>
                <pt idx="141">
                  <formatCode>m/d/yy</formatCode>
                  <v>46017</v>
                </pt>
                <pt idx="142">
                  <formatCode>m/d/yy</formatCode>
                  <v>46016</v>
                </pt>
                <pt idx="143">
                  <formatCode>m/d/yy</formatCode>
                  <v>46015</v>
                </pt>
                <pt idx="144">
                  <formatCode>m/d/yy</formatCode>
                  <v>46014</v>
                </pt>
                <pt idx="145">
                  <formatCode>m/d/yy</formatCode>
                  <v>46013</v>
                </pt>
                <pt idx="146">
                  <formatCode>m/d/yy</formatCode>
                  <v>46010</v>
                </pt>
                <pt idx="147">
                  <formatCode>m/d/yy</formatCode>
                  <v>46009</v>
                </pt>
                <pt idx="148">
                  <formatCode>m/d/yy</formatCode>
                  <v>46008</v>
                </pt>
                <pt idx="149">
                  <formatCode>m/d/yy</formatCode>
                  <v>46007</v>
                </pt>
                <pt idx="150">
                  <formatCode>m/d/yy</formatCode>
                  <v>46006</v>
                </pt>
                <pt idx="151">
                  <formatCode>m/d/yy</formatCode>
                  <v>46003</v>
                </pt>
                <pt idx="152">
                  <formatCode>m/d/yy</formatCode>
                  <v>46002</v>
                </pt>
                <pt idx="153">
                  <formatCode>m/d/yy</formatCode>
                  <v>46001</v>
                </pt>
                <pt idx="154">
                  <formatCode>m/d/yy</formatCode>
                  <v>46000</v>
                </pt>
                <pt idx="155">
                  <formatCode>m/d/yy</formatCode>
                  <v>45999</v>
                </pt>
                <pt idx="156">
                  <formatCode>m/d/yy</formatCode>
                  <v>45996</v>
                </pt>
                <pt idx="157">
                  <formatCode>m/d/yy</formatCode>
                  <v>45995</v>
                </pt>
                <pt idx="158">
                  <formatCode>m/d/yy</formatCode>
                  <v>45994</v>
                </pt>
                <pt idx="159">
                  <formatCode>m/d/yy</formatCode>
                  <v>45993</v>
                </pt>
                <pt idx="160">
                  <formatCode>m/d/yy</formatCode>
                  <v>45992</v>
                </pt>
                <pt idx="161">
                  <formatCode>m/d/yy</formatCode>
                  <v>45989</v>
                </pt>
                <pt idx="162">
                  <formatCode>m/d/yy</formatCode>
                  <v>45988</v>
                </pt>
                <pt idx="163">
                  <formatCode>m/d/yy</formatCode>
                  <v>45987</v>
                </pt>
                <pt idx="164">
                  <formatCode>m/d/yy</formatCode>
                  <v>45986</v>
                </pt>
                <pt idx="165">
                  <formatCode>m/d/yy</formatCode>
                  <v>45985</v>
                </pt>
                <pt idx="166">
                  <formatCode>m/d/yy</formatCode>
                  <v>45982</v>
                </pt>
                <pt idx="167">
                  <formatCode>m/d/yy</formatCode>
                  <v>45981</v>
                </pt>
                <pt idx="168">
                  <formatCode>m/d/yy</formatCode>
                  <v>45980</v>
                </pt>
                <pt idx="169">
                  <formatCode>m/d/yy</formatCode>
                  <v>45979</v>
                </pt>
                <pt idx="170">
                  <formatCode>m/d/yy</formatCode>
                  <v>45978</v>
                </pt>
                <pt idx="171">
                  <formatCode>m/d/yy</formatCode>
                  <v>45975</v>
                </pt>
                <pt idx="172">
                  <formatCode>m/d/yy</formatCode>
                  <v>45974</v>
                </pt>
                <pt idx="173">
                  <formatCode>m/d/yy</formatCode>
                  <v>45973</v>
                </pt>
                <pt idx="174">
                  <formatCode>m/d/yy</formatCode>
                  <v>45972</v>
                </pt>
                <pt idx="175">
                  <formatCode>m/d/yy</formatCode>
                  <v>45971</v>
                </pt>
                <pt idx="176">
                  <formatCode>m/d/yy</formatCode>
                  <v>45968</v>
                </pt>
                <pt idx="177">
                  <formatCode>m/d/yy</formatCode>
                  <v>45967</v>
                </pt>
                <pt idx="178">
                  <formatCode>m/d/yy</formatCode>
                  <v>45966</v>
                </pt>
                <pt idx="179">
                  <formatCode>m/d/yy</formatCode>
                  <v>45965</v>
                </pt>
                <pt idx="180">
                  <formatCode>m/d/yy</formatCode>
                  <v>45964</v>
                </pt>
                <pt idx="181">
                  <formatCode>m/d/yy</formatCode>
                  <v>45961</v>
                </pt>
                <pt idx="182">
                  <formatCode>m/d/yy</formatCode>
                  <v>45960</v>
                </pt>
                <pt idx="183">
                  <formatCode>m/d/yy</formatCode>
                  <v>45959</v>
                </pt>
                <pt idx="184">
                  <formatCode>m/d/yy</formatCode>
                  <v>45958</v>
                </pt>
                <pt idx="185">
                  <formatCode>m/d/yy</formatCode>
                  <v>45957</v>
                </pt>
                <pt idx="186">
                  <formatCode>m/d/yy</formatCode>
                  <v>45954</v>
                </pt>
                <pt idx="187">
                  <formatCode>m/d/yy</formatCode>
                  <v>45953</v>
                </pt>
                <pt idx="188">
                  <formatCode>m/d/yy</formatCode>
                  <v>45952</v>
                </pt>
                <pt idx="189">
                  <formatCode>m/d/yy</formatCode>
                  <v>45951</v>
                </pt>
                <pt idx="190">
                  <formatCode>m/d/yy</formatCode>
                  <v>45950</v>
                </pt>
                <pt idx="191">
                  <formatCode>m/d/yy</formatCode>
                  <v>45947</v>
                </pt>
                <pt idx="192">
                  <formatCode>m/d/yy</formatCode>
                  <v>45946</v>
                </pt>
                <pt idx="193">
                  <formatCode>m/d/yy</formatCode>
                  <v>45945</v>
                </pt>
                <pt idx="194">
                  <formatCode>m/d/yy</formatCode>
                  <v>45944</v>
                </pt>
                <pt idx="195">
                  <formatCode>m/d/yy</formatCode>
                  <v>45943</v>
                </pt>
                <pt idx="196">
                  <formatCode>m/d/yy</formatCode>
                  <v>45940</v>
                </pt>
                <pt idx="197">
                  <formatCode>m/d/yy</formatCode>
                  <v>45939</v>
                </pt>
                <pt idx="198">
                  <formatCode>m/d/yy</formatCode>
                  <v>45938</v>
                </pt>
                <pt idx="199">
                  <formatCode>m/d/yy</formatCode>
                  <v>45937</v>
                </pt>
                <pt idx="200">
                  <formatCode>m/d/yy</formatCode>
                  <v>45936</v>
                </pt>
                <pt idx="201">
                  <formatCode>m/d/yy</formatCode>
                  <v>45933</v>
                </pt>
                <pt idx="202">
                  <formatCode>m/d/yy</formatCode>
                  <v>45932</v>
                </pt>
                <pt idx="203">
                  <formatCode>m/d/yy</formatCode>
                  <v>45931</v>
                </pt>
                <pt idx="204">
                  <formatCode>m/d/yy</formatCode>
                  <v>45930</v>
                </pt>
                <pt idx="205">
                  <formatCode>m/d/yy</formatCode>
                  <v>45929</v>
                </pt>
                <pt idx="206">
                  <formatCode>m/d/yy</formatCode>
                  <v>45926</v>
                </pt>
                <pt idx="207">
                  <formatCode>m/d/yy</formatCode>
                  <v>45925</v>
                </pt>
                <pt idx="208">
                  <formatCode>m/d/yy</formatCode>
                  <v>45924</v>
                </pt>
                <pt idx="209">
                  <formatCode>m/d/yy</formatCode>
                  <v>45923</v>
                </pt>
                <pt idx="210">
                  <formatCode>m/d/yy</formatCode>
                  <v>45922</v>
                </pt>
                <pt idx="211">
                  <formatCode>m/d/yy</formatCode>
                  <v>45919</v>
                </pt>
                <pt idx="212">
                  <formatCode>m/d/yy</formatCode>
                  <v>45918</v>
                </pt>
                <pt idx="213">
                  <formatCode>m/d/yy</formatCode>
                  <v>45917</v>
                </pt>
                <pt idx="214">
                  <formatCode>m/d/yy</formatCode>
                  <v>45916</v>
                </pt>
                <pt idx="215">
                  <formatCode>m/d/yy</formatCode>
                  <v>45915</v>
                </pt>
                <pt idx="216">
                  <formatCode>m/d/yy</formatCode>
                  <v>45912</v>
                </pt>
                <pt idx="217">
                  <formatCode>m/d/yy</formatCode>
                  <v>45911</v>
                </pt>
                <pt idx="218">
                  <formatCode>m/d/yy</formatCode>
                  <v>45910</v>
                </pt>
                <pt idx="219">
                  <formatCode>m/d/yy</formatCode>
                  <v>45909</v>
                </pt>
                <pt idx="220">
                  <formatCode>m/d/yy</formatCode>
                  <v>45908</v>
                </pt>
                <pt idx="221">
                  <formatCode>m/d/yy</formatCode>
                  <v>45905</v>
                </pt>
                <pt idx="222">
                  <formatCode>m/d/yy</formatCode>
                  <v>45904</v>
                </pt>
                <pt idx="223">
                  <formatCode>m/d/yy</formatCode>
                  <v>45903</v>
                </pt>
                <pt idx="224">
                  <formatCode>m/d/yy</formatCode>
                  <v>45898</v>
                </pt>
                <pt idx="225">
                  <formatCode>m/d/yy</formatCode>
                  <v>45897</v>
                </pt>
                <pt idx="226">
                  <formatCode>m/d/yy</formatCode>
                  <v>45896</v>
                </pt>
                <pt idx="227">
                  <formatCode>m/d/yy</formatCode>
                  <v>45895</v>
                </pt>
                <pt idx="228">
                  <formatCode>m/d/yy</formatCode>
                  <v>45894</v>
                </pt>
                <pt idx="229">
                  <formatCode>m/d/yy</formatCode>
                  <v>45891</v>
                </pt>
                <pt idx="230">
                  <formatCode>m/d/yy</formatCode>
                  <v>45890</v>
                </pt>
                <pt idx="231">
                  <formatCode>m/d/yy</formatCode>
                  <v>45889</v>
                </pt>
                <pt idx="232">
                  <formatCode>m/d/yy</formatCode>
                  <v>45888</v>
                </pt>
                <pt idx="233">
                  <formatCode>m/d/yy</formatCode>
                  <v>45887</v>
                </pt>
                <pt idx="234">
                  <formatCode>m/d/yy</formatCode>
                  <v>45884</v>
                </pt>
                <pt idx="235">
                  <formatCode>m/d/yy</formatCode>
                  <v>45883</v>
                </pt>
                <pt idx="236">
                  <formatCode>m/d/yy</formatCode>
                  <v>45882</v>
                </pt>
                <pt idx="237">
                  <formatCode>m/d/yy</formatCode>
                  <v>45881</v>
                </pt>
                <pt idx="238">
                  <formatCode>m/d/yy</formatCode>
                  <v>45880</v>
                </pt>
                <pt idx="239">
                  <formatCode>m/d/yy</formatCode>
                  <v>45877</v>
                </pt>
                <pt idx="240">
                  <formatCode>m/d/yy</formatCode>
                  <v>45876</v>
                </pt>
                <pt idx="241">
                  <formatCode>m/d/yy</formatCode>
                  <v>45875</v>
                </pt>
                <pt idx="242">
                  <formatCode>m/d/yy</formatCode>
                  <v>45874</v>
                </pt>
                <pt idx="243">
                  <formatCode>m/d/yy</formatCode>
                  <v>45873</v>
                </pt>
                <pt idx="244">
                  <formatCode>m/d/yy</formatCode>
                  <v>45870</v>
                </pt>
                <pt idx="245">
                  <formatCode>m/d/yy</formatCode>
                  <v>45869</v>
                </pt>
                <pt idx="246">
                  <formatCode>m/d/yy</formatCode>
                  <v>45868</v>
                </pt>
                <pt idx="247">
                  <formatCode>m/d/yy</formatCode>
                  <v>45867</v>
                </pt>
                <pt idx="248">
                  <formatCode>m/d/yy</formatCode>
                  <v>45866</v>
                </pt>
                <pt idx="249">
                  <formatCode>m/d/yy</formatCode>
                  <v>45863</v>
                </pt>
                <pt idx="250">
                  <formatCode>m/d/yy</formatCode>
                  <v>45862</v>
                </pt>
                <pt idx="251">
                  <formatCode>m/d/yy</formatCode>
                  <v>45861</v>
                </pt>
                <pt idx="252">
                  <formatCode>m/d/yy</formatCode>
                  <v>45860</v>
                </pt>
                <pt idx="253">
                  <formatCode>m/d/yy</formatCode>
                  <v>45859</v>
                </pt>
                <pt idx="254">
                  <formatCode>m/d/yy</formatCode>
                  <v>45856</v>
                </pt>
                <pt idx="255">
                  <formatCode>m/d/yy</formatCode>
                  <v>45855</v>
                </pt>
                <pt idx="256">
                  <formatCode>m/d/yy</formatCode>
                  <v>45854</v>
                </pt>
                <pt idx="257">
                  <formatCode>m/d/yy</formatCode>
                  <v>45853</v>
                </pt>
                <pt idx="258">
                  <formatCode>m/d/yy</formatCode>
                  <v>45852</v>
                </pt>
                <pt idx="259">
                  <formatCode>m/d/yy</formatCode>
                  <v>45849</v>
                </pt>
                <pt idx="260">
                  <formatCode>m/d/yy</formatCode>
                  <v>45848</v>
                </pt>
                <pt idx="261">
                  <formatCode>m/d/yy</formatCode>
                  <v>45847</v>
                </pt>
                <pt idx="262">
                  <formatCode>m/d/yy</formatCode>
                  <v>45846</v>
                </pt>
                <pt idx="263">
                  <formatCode>m/d/yy</formatCode>
                  <v>45845</v>
                </pt>
                <pt idx="264">
                  <formatCode>m/d/yy</formatCode>
                  <v>45842</v>
                </pt>
                <pt idx="265">
                  <formatCode>m/d/yy</formatCode>
                  <v>45841</v>
                </pt>
                <pt idx="266">
                  <formatCode>m/d/yy</formatCode>
                  <v>45840</v>
                </pt>
                <pt idx="267">
                  <formatCode>m/d/yy</formatCode>
                  <v>45839</v>
                </pt>
                <pt idx="268">
                  <formatCode>m/d/yy</formatCode>
                  <v>45838</v>
                </pt>
                <pt idx="269">
                  <formatCode>m/d/yy</formatCode>
                  <v>45835</v>
                </pt>
                <pt idx="270">
                  <formatCode>m/d/yy</formatCode>
                  <v>45834</v>
                </pt>
                <pt idx="271">
                  <formatCode>m/d/yy</formatCode>
                  <v>45833</v>
                </pt>
                <pt idx="272">
                  <formatCode>m/d/yy</formatCode>
                  <v>45832</v>
                </pt>
                <pt idx="273">
                  <formatCode>m/d/yy</formatCode>
                  <v>45831</v>
                </pt>
                <pt idx="274">
                  <formatCode>m/d/yy</formatCode>
                  <v>45828</v>
                </pt>
                <pt idx="275">
                  <formatCode>m/d/yy</formatCode>
                  <v>45827</v>
                </pt>
                <pt idx="276">
                  <formatCode>m/d/yy</formatCode>
                  <v>45826</v>
                </pt>
                <pt idx="277">
                  <formatCode>m/d/yy</formatCode>
                  <v>45825</v>
                </pt>
                <pt idx="278">
                  <formatCode>m/d/yy</formatCode>
                  <v>45824</v>
                </pt>
                <pt idx="279">
                  <formatCode>m/d/yy</formatCode>
                  <v>45821</v>
                </pt>
                <pt idx="280">
                  <formatCode>m/d/yy</formatCode>
                  <v>45820</v>
                </pt>
                <pt idx="281">
                  <formatCode>m/d/yy</formatCode>
                  <v>45819</v>
                </pt>
                <pt idx="282">
                  <formatCode>m/d/yy</formatCode>
                  <v>45818</v>
                </pt>
                <pt idx="283">
                  <formatCode>m/d/yy</formatCode>
                  <v>45817</v>
                </pt>
                <pt idx="284">
                  <formatCode>m/d/yy</formatCode>
                  <v>45814</v>
                </pt>
                <pt idx="285">
                  <formatCode>m/d/yy</formatCode>
                  <v>45813</v>
                </pt>
                <pt idx="286">
                  <formatCode>m/d/yy</formatCode>
                  <v>45812</v>
                </pt>
                <pt idx="287">
                  <formatCode>m/d/yy</formatCode>
                  <v>45811</v>
                </pt>
                <pt idx="288">
                  <formatCode>m/d/yy</formatCode>
                  <v>45810</v>
                </pt>
                <pt idx="289">
                  <formatCode>m/d/yy</formatCode>
                  <v>45807</v>
                </pt>
                <pt idx="290">
                  <formatCode>m/d/yy</formatCode>
                  <v>45806</v>
                </pt>
                <pt idx="291">
                  <formatCode>m/d/yy</formatCode>
                  <v>45805</v>
                </pt>
                <pt idx="292">
                  <formatCode>m/d/yy</formatCode>
                  <v>45804</v>
                </pt>
                <pt idx="293">
                  <formatCode>m/d/yy</formatCode>
                  <v>45803</v>
                </pt>
                <pt idx="294">
                  <formatCode>m/d/yy</formatCode>
                  <v>45800</v>
                </pt>
                <pt idx="295">
                  <formatCode>m/d/yy</formatCode>
                  <v>45799</v>
                </pt>
                <pt idx="296">
                  <formatCode>m/d/yy</formatCode>
                  <v>45798</v>
                </pt>
                <pt idx="297">
                  <formatCode>m/d/yy</formatCode>
                  <v>45797</v>
                </pt>
                <pt idx="298">
                  <formatCode>m/d/yy</formatCode>
                  <v>45796</v>
                </pt>
                <pt idx="299">
                  <formatCode>m/d/yy</formatCode>
                  <v>45793</v>
                </pt>
                <pt idx="300">
                  <formatCode>m/d/yy</formatCode>
                  <v>45792</v>
                </pt>
                <pt idx="301">
                  <formatCode>m/d/yy</formatCode>
                  <v>45791</v>
                </pt>
                <pt idx="302">
                  <formatCode>m/d/yy</formatCode>
                  <v>45790</v>
                </pt>
                <pt idx="303">
                  <formatCode>m/d/yy</formatCode>
                  <v>45789</v>
                </pt>
                <pt idx="304">
                  <formatCode>m/d/yy</formatCode>
                  <v>45786</v>
                </pt>
                <pt idx="305">
                  <formatCode>m/d/yy</formatCode>
                  <v>45785</v>
                </pt>
                <pt idx="306">
                  <formatCode>m/d/yy</formatCode>
                  <v>45784</v>
                </pt>
                <pt idx="307">
                  <formatCode>m/d/yy</formatCode>
                  <v>45783</v>
                </pt>
                <pt idx="308">
                  <formatCode>m/d/yy</formatCode>
                  <v>45782</v>
                </pt>
                <pt idx="309">
                  <formatCode>m/d/yy</formatCode>
                  <v>45776</v>
                </pt>
                <pt idx="310">
                  <formatCode>m/d/yy</formatCode>
                  <v>45775</v>
                </pt>
                <pt idx="311">
                  <formatCode>m/d/yy</formatCode>
                  <v>45772</v>
                </pt>
                <pt idx="312">
                  <formatCode>m/d/yy</formatCode>
                  <v>45771</v>
                </pt>
                <pt idx="313">
                  <formatCode>m/d/yy</formatCode>
                  <v>45770</v>
                </pt>
                <pt idx="314">
                  <formatCode>m/d/yy</formatCode>
                  <v>45769</v>
                </pt>
                <pt idx="315">
                  <formatCode>m/d/yy</formatCode>
                  <v>45768</v>
                </pt>
                <pt idx="316">
                  <formatCode>m/d/yy</formatCode>
                  <v>45765</v>
                </pt>
                <pt idx="317">
                  <formatCode>m/d/yy</formatCode>
                  <v>45764</v>
                </pt>
                <pt idx="318">
                  <formatCode>m/d/yy</formatCode>
                  <v>45763</v>
                </pt>
                <pt idx="319">
                  <formatCode>m/d/yy</formatCode>
                  <v>45762</v>
                </pt>
                <pt idx="320">
                  <formatCode>m/d/yy</formatCode>
                  <v>45761</v>
                </pt>
                <pt idx="321">
                  <formatCode>m/d/yy</formatCode>
                  <v>45758</v>
                </pt>
                <pt idx="322">
                  <formatCode>m/d/yy</formatCode>
                  <v>45757</v>
                </pt>
                <pt idx="323">
                  <formatCode>m/d/yy</formatCode>
                  <v>45756</v>
                </pt>
                <pt idx="324">
                  <formatCode>m/d/yy</formatCode>
                  <v>45755</v>
                </pt>
                <pt idx="325">
                  <formatCode>m/d/yy</formatCode>
                  <v>45751</v>
                </pt>
                <pt idx="326">
                  <formatCode>m/d/yy</formatCode>
                  <v>45750</v>
                </pt>
                <pt idx="327">
                  <formatCode>m/d/yy</formatCode>
                  <v>45749</v>
                </pt>
                <pt idx="328">
                  <formatCode>m/d/yy</formatCode>
                  <v>45748</v>
                </pt>
                <pt idx="329">
                  <formatCode>m/d/yy</formatCode>
                  <v>45747</v>
                </pt>
                <pt idx="330">
                  <formatCode>m/d/yy</formatCode>
                  <v>45744</v>
                </pt>
                <pt idx="331">
                  <formatCode>m/d/yy</formatCode>
                  <v>45743</v>
                </pt>
                <pt idx="332">
                  <formatCode>m/d/yy</formatCode>
                  <v>45742</v>
                </pt>
                <pt idx="333">
                  <formatCode>m/d/yy</formatCode>
                  <v>45741</v>
                </pt>
                <pt idx="334">
                  <formatCode>m/d/yy</formatCode>
                  <v>45740</v>
                </pt>
                <pt idx="335">
                  <formatCode>m/d/yy</formatCode>
                  <v>45737</v>
                </pt>
                <pt idx="336">
                  <formatCode>m/d/yy</formatCode>
                  <v>45736</v>
                </pt>
                <pt idx="337">
                  <formatCode>m/d/yy</formatCode>
                  <v>45735</v>
                </pt>
                <pt idx="338">
                  <formatCode>m/d/yy</formatCode>
                  <v>45734</v>
                </pt>
                <pt idx="339">
                  <formatCode>m/d/yy</formatCode>
                  <v>45733</v>
                </pt>
                <pt idx="340">
                  <formatCode>m/d/yy</formatCode>
                  <v>45730</v>
                </pt>
                <pt idx="341">
                  <formatCode>m/d/yy</formatCode>
                  <v>45729</v>
                </pt>
                <pt idx="342">
                  <formatCode>m/d/yy</formatCode>
                  <v>45728</v>
                </pt>
                <pt idx="343">
                  <formatCode>m/d/yy</formatCode>
                  <v>45727</v>
                </pt>
                <pt idx="344">
                  <formatCode>m/d/yy</formatCode>
                  <v>45726</v>
                </pt>
                <pt idx="345">
                  <formatCode>m/d/yy</formatCode>
                  <v>45723</v>
                </pt>
                <pt idx="346">
                  <formatCode>m/d/yy</formatCode>
                  <v>45722</v>
                </pt>
                <pt idx="347">
                  <formatCode>m/d/yy</formatCode>
                  <v>45721</v>
                </pt>
                <pt idx="348">
                  <formatCode>m/d/yy</formatCode>
                  <v>45720</v>
                </pt>
                <pt idx="349">
                  <formatCode>m/d/yy</formatCode>
                  <v>45719</v>
                </pt>
                <pt idx="350">
                  <formatCode>m/d/yy</formatCode>
                  <v>45716</v>
                </pt>
                <pt idx="351">
                  <formatCode>m/d/yy</formatCode>
                  <v>45715</v>
                </pt>
                <pt idx="352">
                  <formatCode>m/d/yy</formatCode>
                  <v>45714</v>
                </pt>
                <pt idx="353">
                  <formatCode>m/d/yy</formatCode>
                  <v>45713</v>
                </pt>
                <pt idx="354">
                  <formatCode>m/d/yy</formatCode>
                  <v>45712</v>
                </pt>
                <pt idx="355">
                  <formatCode>m/d/yy</formatCode>
                  <v>45709</v>
                </pt>
                <pt idx="356">
                  <formatCode>m/d/yy</formatCode>
                  <v>45708</v>
                </pt>
                <pt idx="357">
                  <formatCode>m/d/yy</formatCode>
                  <v>45707</v>
                </pt>
                <pt idx="358">
                  <formatCode>m/d/yy</formatCode>
                  <v>45706</v>
                </pt>
                <pt idx="359">
                  <formatCode>m/d/yy</formatCode>
                  <v>45705</v>
                </pt>
                <pt idx="360">
                  <formatCode>m/d/yy</formatCode>
                  <v>45702</v>
                </pt>
                <pt idx="361">
                  <formatCode>m/d/yy</formatCode>
                  <v>45701</v>
                </pt>
                <pt idx="362">
                  <formatCode>m/d/yy</formatCode>
                  <v>45700</v>
                </pt>
                <pt idx="363">
                  <formatCode>m/d/yy</formatCode>
                  <v>45699</v>
                </pt>
                <pt idx="364">
                  <formatCode>m/d/yy</formatCode>
                  <v>45698</v>
                </pt>
                <pt idx="365">
                  <formatCode>m/d/yy</formatCode>
                  <v>45695</v>
                </pt>
                <pt idx="366">
                  <formatCode>m/d/yy</formatCode>
                  <v>45694</v>
                </pt>
                <pt idx="367">
                  <formatCode>m/d/yy</formatCode>
                  <v>45693</v>
                </pt>
                <pt idx="368">
                  <formatCode>m/d/yy</formatCode>
                  <v>45692</v>
                </pt>
                <pt idx="369">
                  <formatCode>m/d/yy</formatCode>
                  <v>45691</v>
                </pt>
                <pt idx="370">
                  <formatCode>m/d/yy</formatCode>
                  <v>45681</v>
                </pt>
                <pt idx="371">
                  <formatCode>m/d/yy</formatCode>
                  <v>45680</v>
                </pt>
                <pt idx="372">
                  <formatCode>m/d/yy</formatCode>
                  <v>45679</v>
                </pt>
                <pt idx="373">
                  <formatCode>m/d/yy</formatCode>
                  <v>45678</v>
                </pt>
                <pt idx="374">
                  <formatCode>m/d/yy</formatCode>
                  <v>45677</v>
                </pt>
                <pt idx="375">
                  <formatCode>m/d/yy</formatCode>
                  <v>45674</v>
                </pt>
                <pt idx="376">
                  <formatCode>m/d/yy</formatCode>
                  <v>45673</v>
                </pt>
                <pt idx="377">
                  <formatCode>m/d/yy</formatCode>
                  <v>45672</v>
                </pt>
                <pt idx="378">
                  <formatCode>m/d/yy</formatCode>
                  <v>45671</v>
                </pt>
                <pt idx="379">
                  <formatCode>m/d/yy</formatCode>
                  <v>45670</v>
                </pt>
                <pt idx="380">
                  <formatCode>m/d/yy</formatCode>
                  <v>45667</v>
                </pt>
                <pt idx="381">
                  <formatCode>m/d/yy</formatCode>
                  <v>45666</v>
                </pt>
              </numCache>
            </numRef>
          </cat>
          <val>
            <numRef>
              <f>Sheet1!$AM$2:$AM$383</f>
              <numCache>
                <formatCode>0.0</formatCode>
                <ptCount val="382"/>
                <pt idx="1">
                  <v>49.479728478855</v>
                </pt>
                <pt idx="2">
                  <v>45.10565751400687</v>
                </pt>
                <pt idx="3">
                  <v>40.55008462593086</v>
                </pt>
                <pt idx="4">
                  <v>33.4486858294715</v>
                </pt>
                <pt idx="5">
                  <v>27.98875979844831</v>
                </pt>
                <pt idx="6">
                  <v>21.78956474568634</v>
                </pt>
                <pt idx="7">
                  <v>19.6762177822585</v>
                </pt>
                <pt idx="8">
                  <v>18.16491193066659</v>
                </pt>
                <pt idx="9">
                  <v>15.5662595690086</v>
                </pt>
                <pt idx="10">
                  <v>14.19577179587294</v>
                </pt>
                <pt idx="11">
                  <v>9.78324561667722</v>
                </pt>
                <pt idx="12">
                  <v>8.461421142318557</v>
                </pt>
                <pt idx="13">
                  <v>8.560168160782339</v>
                </pt>
                <pt idx="14">
                  <v>8.834316445529492</v>
                </pt>
                <pt idx="15">
                  <v>9.388113631277127</v>
                </pt>
                <pt idx="16">
                  <v>10.09312418042756</v>
                </pt>
                <pt idx="17">
                  <v>9.919899915706097</v>
                </pt>
                <pt idx="18">
                  <v>9.637618135545983</v>
                </pt>
                <pt idx="19">
                  <v>8.315644475683998</v>
                </pt>
                <pt idx="20">
                  <v>8.20048718592896</v>
                </pt>
                <pt idx="21">
                  <v>8.591232867811504</v>
                </pt>
                <pt idx="22">
                  <v>9.395586777759986</v>
                </pt>
                <pt idx="23">
                  <v>10.06816697406307</v>
                </pt>
                <pt idx="24">
                  <v>12.85404506246622</v>
                </pt>
                <pt idx="25">
                  <v>14.61314427567748</v>
                </pt>
                <pt idx="26">
                  <v>15.10606459190893</v>
                </pt>
                <pt idx="27">
                  <v>15.50139710817466</v>
                </pt>
                <pt idx="28">
                  <v>16.61319777056897</v>
                </pt>
                <pt idx="29">
                  <v>17.83462891617704</v>
                </pt>
                <pt idx="30">
                  <v>19.26932674551827</v>
                </pt>
                <pt idx="31">
                  <v>22.08341970008327</v>
                </pt>
                <pt idx="32">
                  <v>22.37789152659284</v>
                </pt>
                <pt idx="33">
                  <v>22.34430960317736</v>
                </pt>
                <pt idx="34">
                  <v>21.70420204634939</v>
                </pt>
                <pt idx="35">
                  <v>20.1039270310553</v>
                </pt>
                <pt idx="36">
                  <v>17.25183271807862</v>
                </pt>
                <pt idx="37">
                  <v>16.42717937331988</v>
                </pt>
                <pt idx="38">
                  <v>15.82120832738431</v>
                </pt>
                <pt idx="39">
                  <v>14.43553749630313</v>
                </pt>
                <pt idx="40">
                  <v>12.08746448826052</v>
                </pt>
                <pt idx="41">
                  <v>11.48491462946231</v>
                </pt>
                <pt idx="42">
                  <v>11.66227120860281</v>
                </pt>
                <pt idx="43">
                  <v>11.85667962294133</v>
                </pt>
                <pt idx="44">
                  <v>11.99108435437862</v>
                </pt>
                <pt idx="45">
                  <v>11.99018057602345</v>
                </pt>
                <pt idx="46">
                  <v>11.88356500008454</v>
                </pt>
                <pt idx="47">
                  <v>11.74173756149039</v>
                </pt>
                <pt idx="48">
                  <v>11.7796673510014</v>
                </pt>
                <pt idx="49">
                  <v>11.72079395991788</v>
                </pt>
                <pt idx="50">
                  <v>11.60927086489151</v>
                </pt>
                <pt idx="51">
                  <v>9.298398563647954</v>
                </pt>
                <pt idx="52">
                  <v>8.500447396450431</v>
                </pt>
                <pt idx="53">
                  <v>7.336077416039699</v>
                </pt>
                <pt idx="54">
                  <v>7.187303734330799</v>
                </pt>
                <pt idx="55">
                  <v>7.110490971219058</v>
                </pt>
                <pt idx="56">
                  <v>7.417546871203319</v>
                </pt>
                <pt idx="57">
                  <v>12.20811085714264</v>
                </pt>
                <pt idx="58">
                  <v>15.39670605510081</v>
                </pt>
                <pt idx="59">
                  <v>16.86083407131932</v>
                </pt>
                <pt idx="60">
                  <v>17.33465343854234</v>
                </pt>
                <pt idx="61">
                  <v>17.36243112985509</v>
                </pt>
                <pt idx="62">
                  <v>17.6615438379134</v>
                </pt>
                <pt idx="63">
                  <v>18.07583823607826</v>
                </pt>
                <pt idx="64">
                  <v>18.2334926399618</v>
                </pt>
                <pt idx="65">
                  <v>19.44255991037491</v>
                </pt>
                <pt idx="66">
                  <v>19.69691851455803</v>
                </pt>
                <pt idx="67">
                  <v>21.93280623811635</v>
                </pt>
                <pt idx="68">
                  <v>25.893276389744</v>
                </pt>
                <pt idx="69">
                  <v>25.77747496258386</v>
                </pt>
                <pt idx="70">
                  <v>25.49023856136566</v>
                </pt>
                <pt idx="71">
                  <v>25.38247187466334</v>
                </pt>
                <pt idx="72">
                  <v>24.91260524811494</v>
                </pt>
                <pt idx="73">
                  <v>24.14347661858612</v>
                </pt>
                <pt idx="74">
                  <v>22.99938016232259</v>
                </pt>
                <pt idx="75">
                  <v>23.19741257102671</v>
                </pt>
                <pt idx="76">
                  <v>24.20646701159209</v>
                </pt>
                <pt idx="77">
                  <v>23.91524578607402</v>
                </pt>
                <pt idx="78">
                  <v>23.86954673713713</v>
                </pt>
                <pt idx="79">
                  <v>28.10139366009689</v>
                </pt>
                <pt idx="80">
                  <v>34.73036460208429</v>
                </pt>
                <pt idx="81">
                  <v>42.95465612048434</v>
                </pt>
                <pt idx="82">
                  <v>48.52935174313281</v>
                </pt>
                <pt idx="83">
                  <v>53.28799073271841</v>
                </pt>
                <pt idx="84">
                  <v>58.708531338052</v>
                </pt>
                <pt idx="85">
                  <v>62.44530636990485</v>
                </pt>
                <pt idx="86">
                  <v>65.53982338350663</v>
                </pt>
                <pt idx="87">
                  <v>65.36245500295496</v>
                </pt>
                <pt idx="88">
                  <v>61.11102543112295</v>
                </pt>
                <pt idx="89">
                  <v>57.78974319745022</v>
                </pt>
                <pt idx="90">
                  <v>55.9831919877732</v>
                </pt>
                <pt idx="91">
                  <v>54.69615256281892</v>
                </pt>
                <pt idx="92">
                  <v>52.96631671991744</v>
                </pt>
                <pt idx="93">
                  <v>49.98144739434457</v>
                </pt>
                <pt idx="94">
                  <v>46.8050134697749</v>
                </pt>
                <pt idx="95">
                  <v>44.59770327815055</v>
                </pt>
                <pt idx="96">
                  <v>44.32909530334369</v>
                </pt>
                <pt idx="97">
                  <v>39.725546349468</v>
                </pt>
                <pt idx="98">
                  <v>26.38348689686589</v>
                </pt>
                <pt idx="99">
                  <v>24.21380495818942</v>
                </pt>
                <pt idx="100">
                  <v>23.5298565294101</v>
                </pt>
                <pt idx="101">
                  <v>23.57820945700557</v>
                </pt>
                <pt idx="102">
                  <v>23.56838987641476</v>
                </pt>
                <pt idx="103">
                  <v>23.72366806945517</v>
                </pt>
                <pt idx="104">
                  <v>23.27090923408041</v>
                </pt>
                <pt idx="105">
                  <v>23.22784680586927</v>
                </pt>
                <pt idx="106">
                  <v>23.27535204832346</v>
                </pt>
                <pt idx="107">
                  <v>24.14124415963077</v>
                </pt>
                <pt idx="108">
                  <v>25.06042420458123</v>
                </pt>
                <pt idx="109">
                  <v>24.92704176368096</v>
                </pt>
                <pt idx="110">
                  <v>24.17652596599101</v>
                </pt>
                <pt idx="111">
                  <v>23.75590853906266</v>
                </pt>
                <pt idx="112">
                  <v>19.36266953451161</v>
                </pt>
                <pt idx="113">
                  <v>16.98848682726048</v>
                </pt>
                <pt idx="114">
                  <v>17.81123019600414</v>
                </pt>
                <pt idx="115">
                  <v>22.22046203320905</v>
                </pt>
                <pt idx="116">
                  <v>26.62923812365811</v>
                </pt>
                <pt idx="117">
                  <v>33.36055254904767</v>
                </pt>
                <pt idx="118">
                  <v>40.47202504279777</v>
                </pt>
                <pt idx="119">
                  <v>44.42987989063456</v>
                </pt>
                <pt idx="120">
                  <v>47.77232361369602</v>
                </pt>
                <pt idx="121">
                  <v>51.23928333178067</v>
                </pt>
                <pt idx="122">
                  <v>54.68148717050392</v>
                </pt>
                <pt idx="123">
                  <v>57.49327179453603</v>
                </pt>
                <pt idx="124">
                  <v>58.78656479077944</v>
                </pt>
                <pt idx="125">
                  <v>58.74293214858552</v>
                </pt>
                <pt idx="126">
                  <v>57.52331853493903</v>
                </pt>
                <pt idx="127">
                  <v>56.01237014893199</v>
                </pt>
                <pt idx="128">
                  <v>54.01577458815586</v>
                </pt>
                <pt idx="129">
                  <v>52.13499974696622</v>
                </pt>
                <pt idx="130">
                  <v>48.56683122688039</v>
                </pt>
                <pt idx="131">
                  <v>43.57135320244785</v>
                </pt>
                <pt idx="132">
                  <v>38.0968098205183</v>
                </pt>
                <pt idx="133">
                  <v>29.87946307629528</v>
                </pt>
                <pt idx="134">
                  <v>25.25674585897916</v>
                </pt>
                <pt idx="135">
                  <v>21.28496614288224</v>
                </pt>
                <pt idx="136">
                  <v>18.46022983129152</v>
                </pt>
                <pt idx="137">
                  <v>19.021952110769</v>
                </pt>
                <pt idx="138">
                  <v>21.3757457869995</v>
                </pt>
                <pt idx="139">
                  <v>22.43199828515586</v>
                </pt>
                <pt idx="140">
                  <v>22.33274021154649</v>
                </pt>
                <pt idx="141">
                  <v>22.28897606960661</v>
                </pt>
                <pt idx="142">
                  <v>22.31398845382842</v>
                </pt>
                <pt idx="143">
                  <v>22.47521276977577</v>
                </pt>
                <pt idx="144">
                  <v>22.55525874686225</v>
                </pt>
                <pt idx="145">
                  <v>22.56457655350595</v>
                </pt>
                <pt idx="146">
                  <v>22.47224127812495</v>
                </pt>
                <pt idx="147">
                  <v>22.41154958175478</v>
                </pt>
                <pt idx="148">
                  <v>22.06102987963702</v>
                </pt>
                <pt idx="149">
                  <v>21.41040231066259</v>
                </pt>
                <pt idx="150">
                  <v>21.36189322617039</v>
                </pt>
                <pt idx="151">
                  <v>18.17496282138528</v>
                </pt>
                <pt idx="152">
                  <v>12.21502365511785</v>
                </pt>
                <pt idx="153">
                  <v>11.21349813498974</v>
                </pt>
                <pt idx="154">
                  <v>11.0188589906674</v>
                </pt>
                <pt idx="155">
                  <v>12.9077658067137</v>
                </pt>
                <pt idx="156">
                  <v>15.32205058622066</v>
                </pt>
                <pt idx="157">
                  <v>15.70587423394283</v>
                </pt>
                <pt idx="158">
                  <v>13.92998283533158</v>
                </pt>
                <pt idx="159">
                  <v>13.55638686775985</v>
                </pt>
                <pt idx="160">
                  <v>14.38846765488942</v>
                </pt>
                <pt idx="161">
                  <v>14.40921811814189</v>
                </pt>
                <pt idx="162">
                  <v>14.89147707878764</v>
                </pt>
                <pt idx="163">
                  <v>16.28185812550074</v>
                </pt>
                <pt idx="164">
                  <v>18.20000131665078</v>
                </pt>
                <pt idx="165">
                  <v>18.22163479078253</v>
                </pt>
                <pt idx="166">
                  <v>18.20315663481693</v>
                </pt>
                <pt idx="167">
                  <v>18.32791346803184</v>
                </pt>
                <pt idx="168">
                  <v>18.75092127982612</v>
                </pt>
                <pt idx="169">
                  <v>19.34764153659315</v>
                </pt>
                <pt idx="170">
                  <v>19.36926715833289</v>
                </pt>
                <pt idx="171">
                  <v>19.35728147093782</v>
                </pt>
                <pt idx="172">
                  <v>24.68040149057846</v>
                </pt>
                <pt idx="173">
                  <v>30.87201637210091</v>
                </pt>
                <pt idx="174">
                  <v>34.48269498204442</v>
                </pt>
                <pt idx="175">
                  <v>35.47080750681784</v>
                </pt>
                <pt idx="176">
                  <v>35.83129072997338</v>
                </pt>
                <pt idx="177">
                  <v>35.8738787726227</v>
                </pt>
                <pt idx="178">
                  <v>36.3900644035275</v>
                </pt>
                <pt idx="179">
                  <v>36.62105829679436</v>
                </pt>
                <pt idx="180">
                  <v>36.38393497760334</v>
                </pt>
                <pt idx="181">
                  <v>34.58389504222961</v>
                </pt>
                <pt idx="182">
                  <v>33.86072786009027</v>
                </pt>
                <pt idx="183">
                  <v>33.4702802560095</v>
                </pt>
                <pt idx="184">
                  <v>33.2955037553501</v>
                </pt>
                <pt idx="185">
                  <v>32.45344701663421</v>
                </pt>
                <pt idx="186">
                  <v>29.67676748541631</v>
                </pt>
                <pt idx="187">
                  <v>28.00872437842276</v>
                </pt>
                <pt idx="188">
                  <v>26.74307588770555</v>
                </pt>
                <pt idx="189">
                  <v>25.55264224570587</v>
                </pt>
                <pt idx="190">
                  <v>23.16753284974587</v>
                </pt>
                <pt idx="191">
                  <v>17.73742495708568</v>
                </pt>
                <pt idx="192">
                  <v>17.66843167346647</v>
                </pt>
                <pt idx="193">
                  <v>16.74706709090524</v>
                </pt>
                <pt idx="194">
                  <v>16.7199263165837</v>
                </pt>
                <pt idx="195">
                  <v>18.29725873012037</v>
                </pt>
                <pt idx="196">
                  <v>19.04995251981126</v>
                </pt>
                <pt idx="197">
                  <v>18.66705609565554</v>
                </pt>
                <pt idx="198">
                  <v>18.51680172188124</v>
                </pt>
                <pt idx="199">
                  <v>18.50138471645457</v>
                </pt>
                <pt idx="200">
                  <v>18.4651080908785</v>
                </pt>
                <pt idx="201">
                  <v>18.47594351944978</v>
                </pt>
                <pt idx="202">
                  <v>18.15394477135717</v>
                </pt>
                <pt idx="203">
                  <v>21.41734193348718</v>
                </pt>
                <pt idx="204">
                  <v>22.6183219467846</v>
                </pt>
                <pt idx="205">
                  <v>22.55940133184357</v>
                </pt>
                <pt idx="206">
                  <v>22.51915313212718</v>
                </pt>
                <pt idx="207">
                  <v>22.12772188033597</v>
                </pt>
                <pt idx="208">
                  <v>21.92920145643162</v>
                </pt>
                <pt idx="209">
                  <v>23.64627481576146</v>
                </pt>
                <pt idx="210">
                  <v>22.28847744978072</v>
                </pt>
                <pt idx="211">
                  <v>21.94735353210882</v>
                </pt>
                <pt idx="212">
                  <v>21.40159177671072</v>
                </pt>
                <pt idx="213">
                  <v>21.28259904516575</v>
                </pt>
                <pt idx="214">
                  <v>21.36421123691865</v>
                </pt>
                <pt idx="215">
                  <v>21.49346900452718</v>
                </pt>
                <pt idx="216">
                  <v>21.29388721007008</v>
                </pt>
                <pt idx="217">
                  <v>22.3006046822864</v>
                </pt>
                <pt idx="218">
                  <v>23.2772055899719</v>
                </pt>
                <pt idx="219">
                  <v>24.91127337214361</v>
                </pt>
                <pt idx="220">
                  <v>27.61903836695427</v>
                </pt>
                <pt idx="221">
                  <v>29.90523774506357</v>
                </pt>
                <pt idx="222">
                  <v>33.18926554951487</v>
                </pt>
                <pt idx="223">
                  <v>36.44432606464248</v>
                </pt>
                <pt idx="224">
                  <v>40.26830145816736</v>
                </pt>
                <pt idx="225">
                  <v>45.34411874129466</v>
                </pt>
                <pt idx="226">
                  <v>48.33223428680475</v>
                </pt>
                <pt idx="227">
                  <v>50.76054797121637</v>
                </pt>
                <pt idx="228">
                  <v>54.18983984414962</v>
                </pt>
                <pt idx="229">
                  <v>54.69386729687088</v>
                </pt>
                <pt idx="230">
                  <v>54.80345939980292</v>
                </pt>
                <pt idx="231">
                  <v>51.75025785760965</v>
                </pt>
                <pt idx="232">
                  <v>49.95853423212074</v>
                </pt>
                <pt idx="233">
                  <v>47.50686529553013</v>
                </pt>
                <pt idx="234">
                  <v>46.56327462544461</v>
                </pt>
                <pt idx="235">
                  <v>44.97797670840625</v>
                </pt>
                <pt idx="236">
                  <v>41.40690567269089</v>
                </pt>
                <pt idx="237">
                  <v>39.53241055207386</v>
                </pt>
                <pt idx="238">
                  <v>37.32033580705168</v>
                </pt>
                <pt idx="239">
                  <v>34.52731743421626</v>
                </pt>
                <pt idx="240">
                  <v>32.64384750929347</v>
                </pt>
                <pt idx="241">
                  <v>30.14535150642939</v>
                </pt>
                <pt idx="242">
                  <v>28.24048562895788</v>
                </pt>
                <pt idx="243">
                  <v>28.76995233289565</v>
                </pt>
                <pt idx="244">
                  <v>30.18870549271077</v>
                </pt>
                <pt idx="245">
                  <v>33.30482953571305</v>
                </pt>
                <pt idx="246">
                  <v>36.01142534747257</v>
                </pt>
                <pt idx="247">
                  <v>37.72817458710782</v>
                </pt>
                <pt idx="248">
                  <v>40.10946409564297</v>
                </pt>
                <pt idx="249">
                  <v>37.53942526664936</v>
                </pt>
                <pt idx="250">
                  <v>36.48107125368716</v>
                </pt>
                <pt idx="251">
                  <v>35.64872009302895</v>
                </pt>
                <pt idx="252">
                  <v>34.62406144617204</v>
                </pt>
                <pt idx="253">
                  <v>33.41139929826126</v>
                </pt>
                <pt idx="254">
                  <v>32.96103899290235</v>
                </pt>
                <pt idx="255">
                  <v>31.6257756523927</v>
                </pt>
                <pt idx="256">
                  <v>30.39487157718497</v>
                </pt>
                <pt idx="257">
                  <v>29.0954350784589</v>
                </pt>
                <pt idx="258">
                  <v>27.82329744027535</v>
                </pt>
                <pt idx="259">
                  <v>25.4077529767476</v>
                </pt>
                <pt idx="260">
                  <v>24.43892848759848</v>
                </pt>
                <pt idx="261">
                  <v>22.61885864755239</v>
                </pt>
                <pt idx="262">
                  <v>21.36501139955156</v>
                </pt>
                <pt idx="263">
                  <v>20.41130148950503</v>
                </pt>
                <pt idx="264">
                  <v>20.07904266024277</v>
                </pt>
                <pt idx="265">
                  <v>19.6895098832358</v>
                </pt>
                <pt idx="266">
                  <v>18.96048825658249</v>
                </pt>
                <pt idx="267">
                  <v>17.67687841942123</v>
                </pt>
                <pt idx="268">
                  <v>16.68828543404093</v>
                </pt>
                <pt idx="269">
                  <v>15.95214365906632</v>
                </pt>
                <pt idx="270">
                  <v>15.62283858958486</v>
                </pt>
                <pt idx="271">
                  <v>14.95224098602198</v>
                </pt>
                <pt idx="272">
                  <v>14.23375926497839</v>
                </pt>
                <pt idx="273">
                  <v>13.34890814306178</v>
                </pt>
                <pt idx="274">
                  <v>12.5848887977584</v>
                </pt>
                <pt idx="275">
                  <v>12.06906728158847</v>
                </pt>
                <pt idx="276">
                  <v>11.35404443849015</v>
                </pt>
                <pt idx="277">
                  <v>10.41282771536351</v>
                </pt>
                <pt idx="278">
                  <v>8.910664318140004</v>
                </pt>
                <pt idx="279">
                  <v>8.109735849398977</v>
                </pt>
                <pt idx="280">
                  <v>8.142061652781743</v>
                </pt>
                <pt idx="281">
                  <v>8.369645086682798</v>
                </pt>
                <pt idx="282">
                  <v>8.286611574429179</v>
                </pt>
                <pt idx="283">
                  <v>8.351785156980183</v>
                </pt>
                <pt idx="284">
                  <v>9.135304806037215</v>
                </pt>
                <pt idx="285">
                  <v>11.65970381477246</v>
                </pt>
                <pt idx="286">
                  <v>13.28645467467542</v>
                </pt>
                <pt idx="287">
                  <v>15.9621041285812</v>
                </pt>
                <pt idx="288">
                  <v>18.23169838867109</v>
                </pt>
                <pt idx="289">
                  <v>20.39476896182981</v>
                </pt>
                <pt idx="290">
                  <v>23.04447824590197</v>
                </pt>
                <pt idx="291">
                  <v>24.55172548001307</v>
                </pt>
                <pt idx="292">
                  <v>25.40870911442197</v>
                </pt>
                <pt idx="293">
                  <v>25.62210117847312</v>
                </pt>
                <pt idx="294">
                  <v>26.26299004245897</v>
                </pt>
                <pt idx="295">
                  <v>28.10069663667753</v>
                </pt>
                <pt idx="296">
                  <v>28.66577786243744</v>
                </pt>
                <pt idx="297">
                  <v>28.11107259283932</v>
                </pt>
                <pt idx="298">
                  <v>27.76877714354619</v>
                </pt>
                <pt idx="299">
                  <v>27.80042407690589</v>
                </pt>
                <pt idx="300">
                  <v>26.2207442609991</v>
                </pt>
                <pt idx="301">
                  <v>22.52637600221809</v>
                </pt>
                <pt idx="302">
                  <v>18.17221959725971</v>
                </pt>
                <pt idx="303">
                  <v>18.38909037269553</v>
                </pt>
                <pt idx="304">
                  <v>29.38651001310976</v>
                </pt>
                <pt idx="305">
                  <v>31.44584827483006</v>
                </pt>
                <pt idx="306">
                  <v>30.29333721274749</v>
                </pt>
                <pt idx="307">
                  <v>30.87596232994275</v>
                </pt>
                <pt idx="308">
                  <v>40.14312832160684</v>
                </pt>
                <pt idx="309">
                  <v>47.17643497197172</v>
                </pt>
                <pt idx="310">
                  <v>52.15381563196826</v>
                </pt>
                <pt idx="311">
                  <v>57.16589226331763</v>
                </pt>
                <pt idx="312">
                  <v>61.85281980961538</v>
                </pt>
                <pt idx="313">
                  <v>65.80105578751424</v>
                </pt>
                <pt idx="314">
                  <v>69.28393911340406</v>
                </pt>
                <pt idx="315">
                  <v>71.48807838643226</v>
                </pt>
                <pt idx="316">
                  <v>73.38923073638747</v>
                </pt>
                <pt idx="317">
                  <v>74.98273709133639</v>
                </pt>
                <pt idx="318">
                  <v>75.66781732158226</v>
                </pt>
                <pt idx="319">
                  <v>75.84832818117096</v>
                </pt>
                <pt idx="320">
                  <v>76.20449610700841</v>
                </pt>
                <pt idx="321">
                  <v>76.19308305177007</v>
                </pt>
                <pt idx="322">
                  <v>75.2685721282805</v>
                </pt>
                <pt idx="323">
                  <v>70.42198258153839</v>
                </pt>
                <pt idx="324">
                  <v>53.28523658565015</v>
                </pt>
                <pt idx="325">
                  <v>35.75357038927869</v>
                </pt>
                <pt idx="326">
                  <v>25.19509214599584</v>
                </pt>
                <pt idx="327">
                  <v>12.34475906077469</v>
                </pt>
                <pt idx="328">
                  <v>11.54152839768078</v>
                </pt>
                <pt idx="329">
                  <v>10.56724546217206</v>
                </pt>
                <pt idx="330">
                  <v>8.330761531033392</v>
                </pt>
                <pt idx="331">
                  <v>7.190127785892462</v>
                </pt>
                <pt idx="332">
                  <v>6.623415776133585</v>
                </pt>
                <pt idx="333">
                  <v>6.35277721479363</v>
                </pt>
                <pt idx="334">
                  <v>6.445703314320957</v>
                </pt>
                <pt idx="335">
                  <v>6.407966544322539</v>
                </pt>
                <pt idx="336">
                  <v>6.957042319184522</v>
                </pt>
                <pt idx="337">
                  <v>7.882936616170253</v>
                </pt>
                <pt idx="338">
                  <v>8.890052255585829</v>
                </pt>
                <pt idx="339">
                  <v>10.65751110037231</v>
                </pt>
                <pt idx="340">
                  <v>12.29968208113775</v>
                </pt>
                <pt idx="341">
                  <v>13.51059785067567</v>
                </pt>
                <pt idx="342">
                  <v>14.96175850761927</v>
                </pt>
                <pt idx="343">
                  <v>15.62802190405619</v>
                </pt>
                <pt idx="344">
                  <v>15.68496074798989</v>
                </pt>
                <pt idx="345">
                  <v>15.95683759445111</v>
                </pt>
                <pt idx="346">
                  <v>15.30828573001446</v>
                </pt>
                <pt idx="347">
                  <v>14.85511377026549</v>
                </pt>
                <pt idx="348">
                  <v>15.06475905420471</v>
                </pt>
                <pt idx="349">
                  <v>14.84983212173161</v>
                </pt>
                <pt idx="350">
                  <v>15.49851900208759</v>
                </pt>
                <pt idx="351">
                  <v>15.09450424371702</v>
                </pt>
                <pt idx="352">
                  <v>14.4526449362818</v>
                </pt>
                <pt idx="353">
                  <v>15.31255506505198</v>
                </pt>
                <pt idx="354">
                  <v>15.2571507002882</v>
                </pt>
                <pt idx="355">
                  <v>14.14094552989065</v>
                </pt>
                <pt idx="356">
                  <v>13.41075827264297</v>
                </pt>
                <pt idx="357">
                  <v>13.22018424118444</v>
                </pt>
                <pt idx="358">
                  <v>13.3574387573028</v>
                </pt>
                <pt idx="359">
                  <v>14.56507093004971</v>
                </pt>
                <pt idx="360">
                  <v>15.06667585519161</v>
                </pt>
                <pt idx="361">
                  <v>15.49971212776613</v>
                </pt>
                <pt idx="362">
                  <v>15.16611769726825</v>
                </pt>
                <pt idx="363">
                  <v>14.73192453104463</v>
                </pt>
                <pt idx="364">
                  <v>14.15038948794929</v>
                </pt>
                <pt idx="365">
                  <v>13.80955311578156</v>
                </pt>
                <pt idx="366">
                  <v>12.50910512081255</v>
                </pt>
                <pt idx="367">
                  <v>12.20363753474285</v>
                </pt>
                <pt idx="368">
                  <v>11.81753792962145</v>
                </pt>
                <pt idx="369">
                  <v>11.42176465468028</v>
                </pt>
                <pt idx="370">
                  <v>11.65505095265677</v>
                </pt>
                <pt idx="371">
                  <v>11.14040471575483</v>
                </pt>
                <pt idx="372">
                  <v>10.96112035588246</v>
                </pt>
                <pt idx="373">
                  <v>11.31449103544999</v>
                </pt>
                <pt idx="374">
                  <v>11.74104285619251</v>
                </pt>
                <pt idx="375">
                  <v>12.18562465715419</v>
                </pt>
                <pt idx="376">
                  <v>12.69801180886109</v>
                </pt>
                <pt idx="377">
                  <v>13.26273141121387</v>
                </pt>
                <pt idx="378">
                  <v>13.53938636834614</v>
                </pt>
                <pt idx="379">
                  <v>12.73656949790149</v>
                </pt>
                <pt idx="380">
                  <v>12.47268606233819</v>
                </pt>
                <pt idx="381">
                  <v>9.968310815367108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R18" authorId="0" shapeId="0">
      <text>
        <t>Author:
Chuyển đổi 56.155.405 cổ phiếu ưu đãi sang cổ phiếu thường</t>
      </text>
    </comment>
    <comment ref="R237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40</col>
      <colOff>143602</colOff>
      <row>10</row>
      <rowOff>15422</rowOff>
    </from>
    <to>
      <col>55</col>
      <colOff>470683</colOff>
      <row>31</row>
      <rowOff>13461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39</col>
      <colOff>496602</colOff>
      <row>95</row>
      <rowOff>48846</rowOff>
    </from>
    <to>
      <col>47</col>
      <colOff>444499</colOff>
      <row>108</row>
      <rowOff>146213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94"/>
  <sheetViews>
    <sheetView tabSelected="1" zoomScale="117" zoomScaleNormal="85" workbookViewId="0">
      <pane xSplit="3" ySplit="2" topLeftCell="AL11" activePane="bottomRight" state="frozen"/>
      <selection pane="topRight" activeCell="D1" sqref="D1"/>
      <selection pane="bottomLeft" activeCell="A3" sqref="A3"/>
      <selection pane="bottomRight" activeCell="AQ2" sqref="AQ2"/>
    </sheetView>
  </sheetViews>
  <sheetFormatPr baseColWidth="10" defaultColWidth="8.6640625" defaultRowHeight="15"/>
  <cols>
    <col width="15.1640625" bestFit="1" customWidth="1" style="1" min="1" max="1"/>
    <col width="13.6640625" customWidth="1" style="7" min="2" max="2"/>
    <col width="16.33203125" customWidth="1" min="3" max="3"/>
    <col width="13.1640625" customWidth="1" style="1" min="5" max="5"/>
    <col width="13.1640625" bestFit="1" customWidth="1" min="6" max="6"/>
    <col width="15" bestFit="1" customWidth="1" min="7" max="7"/>
    <col width="13.6640625" customWidth="1" min="8" max="8"/>
    <col width="15.6640625" customWidth="1" min="9" max="9"/>
    <col width="14.6640625" customWidth="1" min="10" max="10"/>
    <col width="16.1640625" customWidth="1" min="11" max="11"/>
    <col width="14.6640625" customWidth="1" min="12" max="15"/>
    <col width="14.6640625" customWidth="1" min="17" max="17"/>
    <col width="24.6640625" bestFit="1" customWidth="1" style="3" min="18" max="18"/>
    <col width="23.1640625" bestFit="1" customWidth="1" style="3" min="19" max="19"/>
    <col width="22.33203125" bestFit="1" customWidth="1" style="3" min="20" max="20"/>
    <col width="22.6640625" bestFit="1" customWidth="1" style="3" min="21" max="21"/>
    <col width="22.33203125" bestFit="1" customWidth="1" style="3" min="22" max="22"/>
    <col width="20.6640625" customWidth="1" style="3" min="23" max="23"/>
    <col width="8.6640625" customWidth="1" style="8" min="30" max="34"/>
    <col width="17.5" customWidth="1" min="35" max="35"/>
    <col width="11.6640625" customWidth="1" min="36" max="37"/>
    <col width="19" bestFit="1" customWidth="1" min="38" max="38"/>
    <col width="8" customWidth="1" style="41" min="39" max="39"/>
  </cols>
  <sheetData>
    <row r="1" ht="64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6" customHeight="1">
      <c r="A3" s="28" t="n">
        <v>46234</v>
      </c>
      <c r="B3" s="29" t="n">
        <v>1735.78</v>
      </c>
      <c r="C3" s="30" t="n">
        <v>8251722</v>
      </c>
      <c r="D3" s="31" t="n"/>
      <c r="E3" s="31" t="n"/>
      <c r="F3" s="30" t="n">
        <v>214100</v>
      </c>
      <c r="G3" s="30" t="n">
        <v>7762186429</v>
      </c>
      <c r="H3" s="30" t="n">
        <v>148100</v>
      </c>
      <c r="I3" s="30" t="n">
        <v>4107412004</v>
      </c>
      <c r="J3" s="30" t="n">
        <v>24800</v>
      </c>
      <c r="K3" s="30" t="n">
        <v>2272318410</v>
      </c>
      <c r="L3" s="30" t="n">
        <v>79600</v>
      </c>
      <c r="M3" s="30" t="n">
        <v>1793300377</v>
      </c>
      <c r="N3" s="30" t="n">
        <v>125000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6" customHeight="1">
      <c r="A4" s="28" t="n">
        <v>46233</v>
      </c>
      <c r="B4" s="29" t="n">
        <v>1744.66</v>
      </c>
      <c r="C4" s="30" t="n">
        <v>8293790</v>
      </c>
      <c r="D4" s="31" t="n"/>
      <c r="E4" s="31" t="n"/>
      <c r="F4" s="30" t="n">
        <v>220000</v>
      </c>
      <c r="G4" s="30" t="n">
        <v>7762186429</v>
      </c>
      <c r="H4" s="30" t="n">
        <v>147900</v>
      </c>
      <c r="I4" s="30" t="n">
        <v>4107412004</v>
      </c>
      <c r="J4" s="30" t="n">
        <v>24300</v>
      </c>
      <c r="K4" s="30" t="n">
        <v>2272318410</v>
      </c>
      <c r="L4" s="30" t="n">
        <v>79500</v>
      </c>
      <c r="M4" s="30" t="n">
        <v>1793300377</v>
      </c>
      <c r="N4" s="30" t="n">
        <v>124200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6" customHeight="1">
      <c r="A5" s="28" t="n">
        <v>46232</v>
      </c>
      <c r="B5" s="29" t="n">
        <v>1704.68</v>
      </c>
      <c r="C5" s="30" t="n">
        <v>8103726</v>
      </c>
      <c r="D5" s="31" t="n"/>
      <c r="E5" s="31" t="n"/>
      <c r="F5" s="30" t="n">
        <v>219400</v>
      </c>
      <c r="G5" s="30" t="n">
        <v>7762186429</v>
      </c>
      <c r="H5" s="30" t="n">
        <v>140000</v>
      </c>
      <c r="I5" s="30" t="n">
        <v>4107412004</v>
      </c>
      <c r="J5" s="30" t="n">
        <v>22750</v>
      </c>
      <c r="K5" s="30" t="n">
        <v>2272318410</v>
      </c>
      <c r="L5" s="30" t="n">
        <v>76900</v>
      </c>
      <c r="M5" s="30" t="n">
        <v>1793300377</v>
      </c>
      <c r="N5" s="30" t="n">
        <v>125500</v>
      </c>
      <c r="O5" s="30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6" customHeight="1">
      <c r="A6" s="28" t="n">
        <v>46231</v>
      </c>
      <c r="B6" s="29" t="n">
        <v>1680.62</v>
      </c>
      <c r="C6" s="30" t="n">
        <v>7989440</v>
      </c>
      <c r="D6" s="31" t="n"/>
      <c r="E6" s="31" t="n"/>
      <c r="F6" s="30" t="n">
        <v>213800</v>
      </c>
      <c r="G6" s="30" t="n">
        <v>7762186429</v>
      </c>
      <c r="H6" s="30" t="n">
        <v>131900</v>
      </c>
      <c r="I6" s="30" t="n">
        <v>4107412004</v>
      </c>
      <c r="J6" s="30" t="n">
        <v>21300</v>
      </c>
      <c r="K6" s="30" t="n">
        <v>2272318410</v>
      </c>
      <c r="L6" s="30" t="n">
        <v>74500</v>
      </c>
      <c r="M6" s="30" t="n">
        <v>1793300377</v>
      </c>
      <c r="N6" s="30" t="n">
        <v>123400</v>
      </c>
      <c r="O6" s="30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6" customHeight="1">
      <c r="A7" s="28" t="n">
        <v>46230</v>
      </c>
      <c r="B7" s="29" t="n">
        <v>1669.01</v>
      </c>
      <c r="C7" s="30" t="n">
        <v>7934498</v>
      </c>
      <c r="D7" s="31" t="n"/>
      <c r="E7" s="31" t="n"/>
      <c r="F7" s="30" t="n">
        <v>213500</v>
      </c>
      <c r="G7" s="30" t="n">
        <v>7762186429</v>
      </c>
      <c r="H7" s="30" t="n">
        <v>131000</v>
      </c>
      <c r="I7" s="30" t="n">
        <v>4107412004</v>
      </c>
      <c r="J7" s="30" t="n">
        <v>21350</v>
      </c>
      <c r="K7" s="30" t="n">
        <v>2272318410</v>
      </c>
      <c r="L7" s="30" t="n">
        <v>74000</v>
      </c>
      <c r="M7" s="30" t="n">
        <v>1793300377</v>
      </c>
      <c r="N7" s="30" t="n">
        <v>126000</v>
      </c>
      <c r="O7" s="30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6" customHeight="1">
      <c r="A8" s="28" t="n">
        <v>46227</v>
      </c>
      <c r="B8" s="29" t="n">
        <v>1686.11</v>
      </c>
      <c r="C8" s="30" t="n">
        <v>8015597</v>
      </c>
      <c r="D8" s="31" t="n"/>
      <c r="E8" s="31" t="n"/>
      <c r="F8" s="30" t="n">
        <v>213100</v>
      </c>
      <c r="G8" s="30" t="n">
        <v>7762186429</v>
      </c>
      <c r="H8" s="30" t="n">
        <v>130000</v>
      </c>
      <c r="I8" s="30" t="n">
        <v>4107412004</v>
      </c>
      <c r="J8" s="30" t="n">
        <v>21900</v>
      </c>
      <c r="K8" s="30" t="n">
        <v>2272318410</v>
      </c>
      <c r="L8" s="30" t="n">
        <v>74500</v>
      </c>
      <c r="M8" s="30" t="n">
        <v>1793300377</v>
      </c>
      <c r="N8" s="30" t="n">
        <v>127400</v>
      </c>
      <c r="O8" s="30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6" customHeight="1">
      <c r="A9" s="28" t="n">
        <v>46226</v>
      </c>
      <c r="B9" s="29" t="n">
        <v>1699.38</v>
      </c>
      <c r="C9" s="30" t="n">
        <v>8078595</v>
      </c>
      <c r="D9" s="31" t="n"/>
      <c r="E9" s="31" t="n"/>
      <c r="F9" s="30" t="n">
        <v>214000</v>
      </c>
      <c r="G9" s="30" t="n">
        <v>7762186429</v>
      </c>
      <c r="H9" s="30" t="n">
        <v>132000</v>
      </c>
      <c r="I9" s="30" t="n">
        <v>4107412004</v>
      </c>
      <c r="J9" s="30" t="n">
        <v>22000</v>
      </c>
      <c r="K9" s="30" t="n">
        <v>2272318410</v>
      </c>
      <c r="L9" s="30" t="n">
        <v>74900</v>
      </c>
      <c r="M9" s="30" t="n">
        <v>1793300377</v>
      </c>
      <c r="N9" s="30" t="n">
        <v>127600</v>
      </c>
      <c r="O9" s="30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6" customHeight="1">
      <c r="A10" s="28" t="n">
        <v>46225</v>
      </c>
      <c r="B10" s="29" t="n">
        <v>1668.53</v>
      </c>
      <c r="C10" s="30" t="n">
        <v>7930690</v>
      </c>
      <c r="D10" s="31" t="n"/>
      <c r="E10" s="31" t="n"/>
      <c r="F10" s="30" t="n">
        <v>202100</v>
      </c>
      <c r="G10" s="30" t="n">
        <v>7762186429</v>
      </c>
      <c r="H10" s="30" t="n">
        <v>126900</v>
      </c>
      <c r="I10" s="30" t="n">
        <v>4107412004</v>
      </c>
      <c r="J10" s="30" t="n">
        <v>21750</v>
      </c>
      <c r="K10" s="30" t="n">
        <v>2272318410</v>
      </c>
      <c r="L10" s="30" t="n">
        <v>73500</v>
      </c>
      <c r="M10" s="30" t="n">
        <v>1793300377</v>
      </c>
      <c r="N10" s="30" t="n">
        <v>126000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6" customHeight="1">
      <c r="A11" s="28" t="n">
        <v>46224</v>
      </c>
      <c r="B11" s="29" t="n">
        <v>1730.56</v>
      </c>
      <c r="C11" s="30" t="n">
        <v>8225622</v>
      </c>
      <c r="D11" s="31" t="n"/>
      <c r="E11" s="31" t="n"/>
      <c r="F11" s="30" t="n">
        <v>217300</v>
      </c>
      <c r="G11" s="30" t="n">
        <v>7762186429</v>
      </c>
      <c r="H11" s="30" t="n">
        <v>136400</v>
      </c>
      <c r="I11" s="30" t="n">
        <v>4107412004</v>
      </c>
      <c r="J11" s="30" t="n">
        <v>23050</v>
      </c>
      <c r="K11" s="30" t="n">
        <v>2272318410</v>
      </c>
      <c r="L11" s="30" t="n">
        <v>77600</v>
      </c>
      <c r="M11" s="30" t="n">
        <v>1793300377</v>
      </c>
      <c r="N11" s="30" t="n">
        <v>130800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6" customHeight="1">
      <c r="A12" s="28" t="n">
        <v>46223</v>
      </c>
      <c r="B12" s="29" t="n">
        <v>1743.51</v>
      </c>
      <c r="C12" s="30" t="n">
        <v>8278071</v>
      </c>
      <c r="D12" s="31" t="n"/>
      <c r="E12" s="31" t="n"/>
      <c r="F12" s="30" t="n">
        <v>220000</v>
      </c>
      <c r="G12" s="30" t="n">
        <v>7762186429</v>
      </c>
      <c r="H12" s="30" t="n">
        <v>136900</v>
      </c>
      <c r="I12" s="30" t="n">
        <v>4107412004</v>
      </c>
      <c r="J12" s="30" t="n">
        <v>23250</v>
      </c>
      <c r="K12" s="30" t="n">
        <v>2272318410</v>
      </c>
      <c r="L12" s="30" t="n">
        <v>77600</v>
      </c>
      <c r="M12" s="30" t="n">
        <v>1793300377</v>
      </c>
      <c r="N12" s="30" t="n">
        <v>132000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6" customHeight="1">
      <c r="A13" s="28" t="n">
        <v>46220</v>
      </c>
      <c r="B13" s="29" t="n">
        <v>1787.45</v>
      </c>
      <c r="C13" s="30" t="n">
        <v>8486556</v>
      </c>
      <c r="D13" s="31" t="n"/>
      <c r="E13" s="31" t="n"/>
      <c r="F13" s="30" t="n">
        <v>220000</v>
      </c>
      <c r="G13" s="30" t="n">
        <v>7762186429</v>
      </c>
      <c r="H13" s="30" t="n">
        <v>140500</v>
      </c>
      <c r="I13" s="30" t="n">
        <v>4107412004</v>
      </c>
      <c r="J13" s="30" t="n">
        <v>24550</v>
      </c>
      <c r="K13" s="30" t="n">
        <v>2272318410</v>
      </c>
      <c r="L13" s="30" t="n">
        <v>79800</v>
      </c>
      <c r="M13" s="30" t="n">
        <v>1793300377</v>
      </c>
      <c r="N13" s="30" t="n">
        <v>131300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O13" s="27">
        <f>B3-B16</f>
        <v/>
      </c>
      <c r="AP13" s="7">
        <f>B3-B384</f>
        <v/>
      </c>
      <c r="AQ13" s="7">
        <f>AL3-AL8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6" customHeight="1">
      <c r="A14" s="28" t="n">
        <v>46219</v>
      </c>
      <c r="B14" s="29" t="n">
        <v>1804.24</v>
      </c>
      <c r="C14" s="30" t="n">
        <v>8566047</v>
      </c>
      <c r="D14" s="31" t="n"/>
      <c r="E14" s="31" t="n"/>
      <c r="F14" s="4" t="n">
        <v>223000</v>
      </c>
      <c r="G14" s="4" t="n">
        <v>7762186429</v>
      </c>
      <c r="H14" s="4" t="n">
        <v>142800</v>
      </c>
      <c r="I14" s="4" t="n">
        <v>4107412004</v>
      </c>
      <c r="J14" s="4" t="n">
        <v>25050</v>
      </c>
      <c r="K14" s="4" t="n">
        <v>2272318410</v>
      </c>
      <c r="L14" s="4" t="n">
        <v>81900</v>
      </c>
      <c r="M14" s="4" t="n">
        <v>1793300377</v>
      </c>
      <c r="N14" s="4" t="n">
        <v>132500</v>
      </c>
      <c r="O14" s="4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</row>
    <row r="15" ht="16" customHeight="1">
      <c r="A15" s="28" t="n">
        <v>46218</v>
      </c>
      <c r="B15" s="29" t="n">
        <v>1782.12</v>
      </c>
      <c r="C15" s="30" t="n">
        <v>8458419.80378142</v>
      </c>
      <c r="D15" s="31" t="n"/>
      <c r="E15" s="31" t="n"/>
      <c r="F15" s="4" t="n">
        <v>217000</v>
      </c>
      <c r="G15" s="4" t="n">
        <v>7762186429</v>
      </c>
      <c r="H15" s="4" t="n">
        <v>136000</v>
      </c>
      <c r="I15" s="4" t="n">
        <v>4107412004</v>
      </c>
      <c r="J15" s="4" t="n">
        <v>24800</v>
      </c>
      <c r="K15" s="4" t="n">
        <v>2272318410</v>
      </c>
      <c r="L15" s="4" t="n">
        <v>81800</v>
      </c>
      <c r="M15" s="4" t="n">
        <v>1793300377</v>
      </c>
      <c r="N15" s="4" t="n">
        <v>129700</v>
      </c>
      <c r="O15" s="4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</row>
    <row r="16" ht="16" customHeight="1">
      <c r="A16" s="28" t="n">
        <v>46217</v>
      </c>
      <c r="B16" s="29" t="n">
        <v>1806.63</v>
      </c>
      <c r="C16" s="30" t="n">
        <v>8576821</v>
      </c>
      <c r="D16" s="31" t="n"/>
      <c r="E16" s="31" t="n"/>
      <c r="F16" s="4" t="n">
        <v>219000</v>
      </c>
      <c r="G16" s="4" t="n">
        <v>7762186429</v>
      </c>
      <c r="H16" s="4" t="n">
        <v>140800</v>
      </c>
      <c r="I16" s="4" t="n">
        <v>4107412004</v>
      </c>
      <c r="J16" s="4" t="n">
        <v>25600</v>
      </c>
      <c r="K16" s="4" t="n">
        <v>2272318410</v>
      </c>
      <c r="L16" s="4" t="n">
        <v>81800</v>
      </c>
      <c r="M16" s="4" t="n">
        <v>1793300377</v>
      </c>
      <c r="N16" s="4" t="n">
        <v>133300</v>
      </c>
      <c r="O16" s="4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</row>
    <row r="17" ht="16" customHeight="1">
      <c r="A17" s="28" t="n">
        <v>46216</v>
      </c>
      <c r="B17" s="29" t="n">
        <v>1800.54</v>
      </c>
      <c r="C17" s="30" t="n">
        <v>8533245</v>
      </c>
      <c r="D17" s="31" t="n"/>
      <c r="E17" s="31" t="n"/>
      <c r="F17" s="30" t="n">
        <v>221500</v>
      </c>
      <c r="G17" s="4" t="n">
        <v>7762186429</v>
      </c>
      <c r="H17" s="30" t="n">
        <v>143000</v>
      </c>
      <c r="I17" s="30" t="n">
        <v>4107412004</v>
      </c>
      <c r="J17" s="30" t="n">
        <v>25900</v>
      </c>
      <c r="K17" s="30" t="n">
        <v>2272318410</v>
      </c>
      <c r="L17" s="30" t="n">
        <v>82900</v>
      </c>
      <c r="M17" s="30" t="n">
        <v>1793300377</v>
      </c>
      <c r="N17" s="30" t="n">
        <v>134400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</row>
    <row r="18" ht="16" customHeight="1">
      <c r="A18" s="28" t="n">
        <v>46213</v>
      </c>
      <c r="B18" s="29" t="n">
        <v>1828.34</v>
      </c>
      <c r="C18" s="30" t="n">
        <v>8650668</v>
      </c>
      <c r="D18" s="31" t="n"/>
      <c r="E18" s="31" t="n"/>
      <c r="F18" s="30" t="n">
        <v>223000</v>
      </c>
      <c r="G18" s="4" t="n">
        <v>7762186429</v>
      </c>
      <c r="H18" s="30" t="n">
        <v>147000</v>
      </c>
      <c r="I18" s="30" t="n">
        <v>4107412004</v>
      </c>
      <c r="J18" s="30" t="n">
        <v>26350</v>
      </c>
      <c r="K18" s="30" t="n">
        <v>2272318410</v>
      </c>
      <c r="L18" s="30" t="n">
        <v>82300</v>
      </c>
      <c r="M18" s="30" t="n">
        <v>1793300377</v>
      </c>
      <c r="N18" s="30" t="n">
        <v>138000</v>
      </c>
      <c r="O18" s="30" t="n">
        <v>769092961</v>
      </c>
      <c r="P18" s="31" t="n"/>
      <c r="Q18" s="12" t="n"/>
      <c r="R18" s="32">
        <f>G19*F18-G19*F19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</row>
    <row r="19" ht="16" customHeight="1">
      <c r="A19" s="28" t="n">
        <v>46212</v>
      </c>
      <c r="B19" s="29" t="n">
        <v>1840.7</v>
      </c>
      <c r="C19" s="30" t="n">
        <v>8709137</v>
      </c>
      <c r="D19" s="31" t="n"/>
      <c r="E19" s="31" t="n"/>
      <c r="F19" s="30" t="n">
        <v>221000</v>
      </c>
      <c r="G19" s="30" t="n">
        <v>7706031024</v>
      </c>
      <c r="H19" s="30" t="n">
        <v>148700</v>
      </c>
      <c r="I19" s="30" t="n">
        <v>4107412004</v>
      </c>
      <c r="J19" s="30" t="n">
        <v>26900</v>
      </c>
      <c r="K19" s="30" t="n">
        <v>2272318410</v>
      </c>
      <c r="L19" s="30" t="n">
        <v>83200</v>
      </c>
      <c r="M19" s="30" t="n">
        <v>1793300377</v>
      </c>
      <c r="N19" s="30" t="n">
        <v>139000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</row>
    <row r="20" ht="16" customHeight="1">
      <c r="A20" s="28" t="n">
        <v>46211</v>
      </c>
      <c r="B20" s="29" t="n">
        <v>1853.7</v>
      </c>
      <c r="C20" s="30" t="n">
        <v>8770735</v>
      </c>
      <c r="D20" s="31" t="n"/>
      <c r="E20" s="31" t="n"/>
      <c r="F20" s="30" t="n">
        <v>220700</v>
      </c>
      <c r="G20" s="30" t="n">
        <v>7706031024</v>
      </c>
      <c r="H20" s="30" t="n">
        <v>150000</v>
      </c>
      <c r="I20" s="30" t="n">
        <v>4107412004</v>
      </c>
      <c r="J20" s="30" t="n">
        <v>27050</v>
      </c>
      <c r="K20" s="30" t="n">
        <v>2272318410</v>
      </c>
      <c r="L20" s="30" t="n">
        <v>84000</v>
      </c>
      <c r="M20" s="30" t="n">
        <v>1793300377</v>
      </c>
      <c r="N20" s="30" t="n">
        <v>138900</v>
      </c>
      <c r="O20" s="30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</row>
    <row r="21" ht="16" customHeight="1">
      <c r="A21" s="28" t="n">
        <v>46210</v>
      </c>
      <c r="B21" s="29" t="n">
        <v>1848.25</v>
      </c>
      <c r="C21" s="30" t="n">
        <v>8744955</v>
      </c>
      <c r="D21" s="31" t="n"/>
      <c r="E21" s="31" t="n"/>
      <c r="F21" s="30" t="n">
        <v>220300</v>
      </c>
      <c r="G21" s="30" t="n">
        <v>7706031024</v>
      </c>
      <c r="H21" s="30" t="n">
        <v>150100</v>
      </c>
      <c r="I21" s="30" t="n">
        <v>4107412004</v>
      </c>
      <c r="J21" s="30" t="n">
        <v>27350</v>
      </c>
      <c r="K21" s="30" t="n">
        <v>2272318410</v>
      </c>
      <c r="L21" s="30" t="n">
        <v>82400</v>
      </c>
      <c r="M21" s="30" t="n">
        <v>1793300377</v>
      </c>
      <c r="N21" s="30" t="n">
        <v>139700</v>
      </c>
      <c r="O21" s="30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</row>
    <row r="22" ht="16" customHeight="1">
      <c r="A22" s="28" t="n">
        <v>46209</v>
      </c>
      <c r="B22" s="29" t="n">
        <v>1843.5</v>
      </c>
      <c r="C22" s="30" t="n">
        <v>8723338</v>
      </c>
      <c r="D22" s="31" t="n"/>
      <c r="E22" s="31" t="n"/>
      <c r="F22" s="30" t="n">
        <v>220300</v>
      </c>
      <c r="G22" s="30" t="n">
        <v>7706031024</v>
      </c>
      <c r="H22" s="30" t="n">
        <v>154100</v>
      </c>
      <c r="I22" s="30" t="n">
        <v>4107412004</v>
      </c>
      <c r="J22" s="30" t="n">
        <v>27700</v>
      </c>
      <c r="K22" s="30" t="n">
        <v>2272318410</v>
      </c>
      <c r="L22" s="30" t="n">
        <v>83000</v>
      </c>
      <c r="M22" s="30" t="n">
        <v>1793300377</v>
      </c>
      <c r="N22" s="30" t="n">
        <v>140600</v>
      </c>
      <c r="O22" s="30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</row>
    <row r="23" ht="16" customHeight="1">
      <c r="A23" s="28" t="n">
        <v>46206</v>
      </c>
      <c r="B23" s="29" t="n">
        <v>1862.08</v>
      </c>
      <c r="C23" s="30" t="n">
        <v>8811360</v>
      </c>
      <c r="D23" s="31" t="n"/>
      <c r="E23" s="31" t="n"/>
      <c r="F23" s="30" t="n">
        <v>220300</v>
      </c>
      <c r="G23" s="30" t="n">
        <v>7706031024</v>
      </c>
      <c r="H23" s="30" t="n">
        <v>151600</v>
      </c>
      <c r="I23" s="30" t="n">
        <v>4107412004</v>
      </c>
      <c r="J23" s="30" t="n">
        <v>28150</v>
      </c>
      <c r="K23" s="30" t="n">
        <v>2272318410</v>
      </c>
      <c r="L23" s="30" t="n">
        <v>85800</v>
      </c>
      <c r="M23" s="30" t="n">
        <v>1793300377</v>
      </c>
      <c r="N23" s="30" t="n">
        <v>141800</v>
      </c>
      <c r="O23" s="30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</row>
    <row r="24" ht="16" customHeight="1">
      <c r="A24" s="28" t="n">
        <v>46205</v>
      </c>
      <c r="B24" s="29" t="n">
        <v>1866.35</v>
      </c>
      <c r="C24" s="30" t="n">
        <v>8831559</v>
      </c>
      <c r="D24" s="31" t="n"/>
      <c r="E24" s="31" t="n"/>
      <c r="F24" s="30" t="n">
        <v>220300</v>
      </c>
      <c r="G24" s="30" t="n">
        <v>7706031024</v>
      </c>
      <c r="H24" s="30" t="n">
        <v>150400</v>
      </c>
      <c r="I24" s="30" t="n">
        <v>4107412004</v>
      </c>
      <c r="J24" s="30" t="n">
        <v>28150</v>
      </c>
      <c r="K24" s="30" t="n">
        <v>2272318410</v>
      </c>
      <c r="L24" s="30" t="n">
        <v>87000</v>
      </c>
      <c r="M24" s="30" t="n">
        <v>1793300377</v>
      </c>
      <c r="N24" s="30" t="n">
        <v>139000</v>
      </c>
      <c r="O24" s="30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</row>
    <row r="25" ht="16" customHeight="1">
      <c r="A25" s="28" t="n">
        <v>46204</v>
      </c>
      <c r="B25" s="29" t="n">
        <v>1867.21</v>
      </c>
      <c r="C25" s="30" t="n">
        <v>8834169</v>
      </c>
      <c r="D25" s="31" t="n"/>
      <c r="E25" s="31" t="n"/>
      <c r="F25" s="30" t="n">
        <v>217100</v>
      </c>
      <c r="G25" s="30" t="n">
        <v>7706031024</v>
      </c>
      <c r="H25" s="30" t="n">
        <v>148700</v>
      </c>
      <c r="I25" s="30" t="n">
        <v>4107412004</v>
      </c>
      <c r="J25" s="30" t="n">
        <v>28300</v>
      </c>
      <c r="K25" s="30" t="n">
        <v>2272318410</v>
      </c>
      <c r="L25" s="30" t="n">
        <v>88200</v>
      </c>
      <c r="M25" s="30" t="n">
        <v>1793300377</v>
      </c>
      <c r="N25" s="30" t="n">
        <v>139300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</row>
    <row r="26" ht="16" customHeight="1">
      <c r="A26" s="28" t="n">
        <v>46203</v>
      </c>
      <c r="B26" s="29" t="n">
        <v>1860.01</v>
      </c>
      <c r="C26" s="30" t="n">
        <v>8799796</v>
      </c>
      <c r="D26" s="31" t="n"/>
      <c r="E26" s="31" t="n"/>
      <c r="F26" s="30" t="n">
        <v>220000</v>
      </c>
      <c r="G26" s="30" t="n">
        <v>7706031024</v>
      </c>
      <c r="H26" s="30" t="n">
        <v>151800</v>
      </c>
      <c r="I26" s="30" t="n">
        <v>4107412004</v>
      </c>
      <c r="J26" s="30" t="n">
        <v>28500</v>
      </c>
      <c r="K26" s="30" t="n">
        <v>2272318410</v>
      </c>
      <c r="L26" s="30" t="n">
        <v>89800</v>
      </c>
      <c r="M26" s="30" t="n">
        <v>1793300377</v>
      </c>
      <c r="N26" s="30" t="n">
        <v>139500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</row>
    <row r="27" ht="16" customHeight="1">
      <c r="A27" s="28" t="n">
        <v>46202</v>
      </c>
      <c r="B27" s="29" t="n">
        <v>1854.97</v>
      </c>
      <c r="C27" s="30" t="n">
        <v>8775263</v>
      </c>
      <c r="D27" s="31" t="n"/>
      <c r="E27" s="31" t="n"/>
      <c r="F27" s="30" t="n">
        <v>217200</v>
      </c>
      <c r="G27" s="30" t="n">
        <v>7706031024</v>
      </c>
      <c r="H27" s="30" t="n">
        <v>150300</v>
      </c>
      <c r="I27" s="30" t="n">
        <v>4107412004</v>
      </c>
      <c r="J27" s="30" t="n">
        <v>29200</v>
      </c>
      <c r="K27" s="30" t="n">
        <v>2272318410</v>
      </c>
      <c r="L27" s="30" t="n">
        <v>88500</v>
      </c>
      <c r="M27" s="30" t="n">
        <v>1793300377</v>
      </c>
      <c r="N27" s="30" t="n">
        <v>138800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</row>
    <row r="28" ht="16" customHeight="1">
      <c r="A28" s="28" t="n">
        <v>46199</v>
      </c>
      <c r="B28" s="29" t="n">
        <v>1871.91</v>
      </c>
      <c r="C28" s="30" t="n">
        <v>8855242</v>
      </c>
      <c r="D28" s="31" t="n"/>
      <c r="E28" s="31" t="n"/>
      <c r="F28" s="30" t="n">
        <v>228000</v>
      </c>
      <c r="G28" s="30" t="n">
        <v>7706031024</v>
      </c>
      <c r="H28" s="30" t="n">
        <v>162000</v>
      </c>
      <c r="I28" s="30" t="n">
        <v>4107412004</v>
      </c>
      <c r="J28" s="30" t="n">
        <v>30000</v>
      </c>
      <c r="K28" s="30" t="n">
        <v>2272318410</v>
      </c>
      <c r="L28" s="30" t="n">
        <v>88800</v>
      </c>
      <c r="M28" s="30" t="n">
        <v>1793300377</v>
      </c>
      <c r="N28" s="30" t="n">
        <v>139500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N28" s="7" t="n"/>
      <c r="AO28" s="26" t="n"/>
      <c r="AP28" s="7" t="n"/>
      <c r="AQ28" s="7" t="n"/>
      <c r="AR28" s="26" t="n"/>
      <c r="AS28" s="7" t="n"/>
      <c r="AT28" s="7" t="n"/>
      <c r="BC28" t="n">
        <v>8855242</v>
      </c>
    </row>
    <row r="29" ht="16" customHeight="1">
      <c r="A29" s="28" t="n">
        <v>46198</v>
      </c>
      <c r="B29" s="29" t="n">
        <v>1863.07</v>
      </c>
      <c r="C29" s="30" t="n">
        <v>8813582</v>
      </c>
      <c r="D29" s="31" t="n"/>
      <c r="E29" s="31" t="n"/>
      <c r="F29" s="30" t="n">
        <v>225000</v>
      </c>
      <c r="G29" s="30" t="n">
        <v>7706031024</v>
      </c>
      <c r="H29" s="30" t="n">
        <v>156500</v>
      </c>
      <c r="I29" s="30" t="n">
        <v>4107412004</v>
      </c>
      <c r="J29" s="30" t="n">
        <v>29600</v>
      </c>
      <c r="K29" s="30" t="n">
        <v>2272318410</v>
      </c>
      <c r="L29" s="30" t="n">
        <v>87900</v>
      </c>
      <c r="M29" s="30" t="n">
        <v>1793300377</v>
      </c>
      <c r="N29" s="30" t="n">
        <v>139400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  <c r="AN29" s="37" t="n"/>
      <c r="AO29" s="38" t="n"/>
      <c r="AP29" s="37" t="n"/>
      <c r="AQ29" s="37" t="n"/>
      <c r="AR29" s="38" t="n"/>
      <c r="AS29" s="37" t="n"/>
      <c r="AT29" s="37" t="n"/>
      <c r="BC29">
        <f>F394*G394</f>
        <v/>
      </c>
    </row>
    <row r="30" ht="16" customHeight="1">
      <c r="A30" s="28" t="n">
        <v>46197</v>
      </c>
      <c r="B30" s="29" t="n">
        <v>1878.02</v>
      </c>
      <c r="C30" s="30" t="n">
        <v>8881302</v>
      </c>
      <c r="D30" s="31" t="n"/>
      <c r="E30" s="31" t="n"/>
      <c r="F30" s="30" t="n">
        <v>230500</v>
      </c>
      <c r="G30" s="30" t="n">
        <v>7706031024</v>
      </c>
      <c r="H30" s="30" t="n">
        <v>159600</v>
      </c>
      <c r="I30" s="30" t="n">
        <v>4107412004</v>
      </c>
      <c r="J30" s="30" t="n">
        <v>30300</v>
      </c>
      <c r="K30" s="30" t="n">
        <v>2272318410</v>
      </c>
      <c r="L30" s="30" t="n">
        <v>90500</v>
      </c>
      <c r="M30" s="30" t="n">
        <v>1793300377</v>
      </c>
      <c r="N30" s="30" t="n">
        <v>136400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  <c r="AN30" s="37" t="n"/>
      <c r="AO30" s="38" t="n"/>
      <c r="AP30" s="37" t="n"/>
      <c r="AQ30" s="37" t="n"/>
      <c r="AR30" s="38" t="n"/>
      <c r="AS30" s="37" t="n"/>
      <c r="AT30" s="37" t="n"/>
      <c r="BC30">
        <f>BC28*1000000000</f>
        <v/>
      </c>
    </row>
    <row r="31" ht="16" customHeight="1">
      <c r="A31" s="28" t="n">
        <v>46196</v>
      </c>
      <c r="B31" s="29" t="n">
        <v>1869.04</v>
      </c>
      <c r="C31" s="30" t="n">
        <v>8838993</v>
      </c>
      <c r="D31" s="31" t="n"/>
      <c r="E31" s="31" t="n"/>
      <c r="F31" s="30" t="n">
        <v>229000</v>
      </c>
      <c r="G31" s="30" t="n">
        <v>7706031024</v>
      </c>
      <c r="H31" s="30" t="n">
        <v>156000</v>
      </c>
      <c r="I31" s="30" t="n">
        <v>4107412004</v>
      </c>
      <c r="J31" s="30" t="n">
        <v>29800</v>
      </c>
      <c r="K31" s="30" t="n">
        <v>2272318410</v>
      </c>
      <c r="L31" s="30" t="n">
        <v>90500</v>
      </c>
      <c r="M31" s="30" t="n">
        <v>1793300377</v>
      </c>
      <c r="N31" s="30" t="n">
        <v>137500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  <c r="AN31" s="37" t="n"/>
      <c r="AO31" s="38" t="n"/>
      <c r="AP31" s="37" t="n"/>
      <c r="AQ31" s="37" t="n"/>
      <c r="AR31" s="38" t="n"/>
      <c r="AS31" s="37" t="n"/>
      <c r="AT31" s="37" t="n"/>
      <c r="BC31">
        <f>F28*G28</f>
        <v/>
      </c>
    </row>
    <row r="32" ht="16" customHeight="1">
      <c r="A32" s="28" t="n">
        <v>46195</v>
      </c>
      <c r="B32" s="29" t="n">
        <v>1857.91</v>
      </c>
      <c r="C32" s="30" t="n">
        <v>8786390</v>
      </c>
      <c r="D32" s="31" t="n"/>
      <c r="E32" s="31" t="n"/>
      <c r="F32" s="30" t="n">
        <v>219800</v>
      </c>
      <c r="G32" s="30" t="n">
        <v>7706031024</v>
      </c>
      <c r="H32" s="30" t="n">
        <v>155400</v>
      </c>
      <c r="I32" s="30" t="n">
        <v>4107412004</v>
      </c>
      <c r="J32" s="30" t="n">
        <v>30700</v>
      </c>
      <c r="K32" s="30" t="n">
        <v>2272318410</v>
      </c>
      <c r="L32" s="30" t="n">
        <v>91900</v>
      </c>
      <c r="M32" s="30" t="n">
        <v>1793300377</v>
      </c>
      <c r="N32" s="30" t="n">
        <v>139500</v>
      </c>
      <c r="O32" s="30" t="n">
        <v>769094734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  <c r="AN32" s="37" t="n"/>
      <c r="AO32" s="38" t="n"/>
      <c r="AP32" s="37" t="n"/>
      <c r="AQ32" s="37" t="n"/>
      <c r="AR32" s="38" t="n"/>
      <c r="AS32" s="37" t="n"/>
      <c r="AT32" s="37" t="n"/>
    </row>
    <row r="33" ht="16" customHeight="1">
      <c r="A33" s="28" t="n">
        <v>46192</v>
      </c>
      <c r="B33" s="29" t="n">
        <v>1824.53</v>
      </c>
      <c r="C33" s="30" t="n">
        <v>8629168</v>
      </c>
      <c r="D33" s="31" t="n"/>
      <c r="E33" s="31" t="n"/>
      <c r="F33" s="30" t="n">
        <v>205500</v>
      </c>
      <c r="G33" s="30" t="n">
        <v>7706031024</v>
      </c>
      <c r="H33" s="30" t="n">
        <v>145300</v>
      </c>
      <c r="I33" s="30" t="n">
        <v>4107412004</v>
      </c>
      <c r="J33" s="30" t="n">
        <v>29350</v>
      </c>
      <c r="K33" s="30" t="n">
        <v>2272318410</v>
      </c>
      <c r="L33" s="30" t="n">
        <v>91000</v>
      </c>
      <c r="M33" s="30" t="n">
        <v>1793300377</v>
      </c>
      <c r="N33" s="30" t="n">
        <v>140500</v>
      </c>
      <c r="O33" s="30" t="n">
        <v>769094734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9">
        <f>AI33+AJ34</f>
        <v/>
      </c>
      <c r="AK33" s="36" t="n"/>
      <c r="AL33" s="37">
        <f>B33-AJ33</f>
        <v/>
      </c>
      <c r="AM33" s="42">
        <f>_xlfn.STDEV.S(AL33:AL52)</f>
        <v/>
      </c>
      <c r="AN33" s="7" t="n"/>
      <c r="AO33" s="26" t="n"/>
      <c r="AP33" s="7" t="n"/>
      <c r="AQ33" s="7" t="n"/>
      <c r="AR33" s="26" t="n"/>
      <c r="AS33" s="7" t="n"/>
      <c r="AT33" s="7" t="n"/>
    </row>
    <row r="34" ht="16" customHeight="1">
      <c r="A34" s="28" t="n">
        <v>46191</v>
      </c>
      <c r="B34" s="29" t="n">
        <v>1830.47</v>
      </c>
      <c r="C34" s="30" t="n">
        <v>8656796</v>
      </c>
      <c r="D34" s="31" t="n"/>
      <c r="E34" s="31" t="n"/>
      <c r="F34" s="30" t="n">
        <v>205400</v>
      </c>
      <c r="G34" s="30" t="n">
        <v>7706031024</v>
      </c>
      <c r="H34" s="30" t="n">
        <v>144400</v>
      </c>
      <c r="I34" s="30" t="n">
        <v>4107412004</v>
      </c>
      <c r="J34" s="30" t="n">
        <v>30100</v>
      </c>
      <c r="K34" s="30" t="n">
        <v>2272318410</v>
      </c>
      <c r="L34" s="30" t="n">
        <v>91000</v>
      </c>
      <c r="M34" s="30" t="n">
        <v>1793300377</v>
      </c>
      <c r="N34" s="30" t="n">
        <v>138400</v>
      </c>
      <c r="O34" s="30" t="n">
        <v>769094734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9">
        <f>AI34+AJ35</f>
        <v/>
      </c>
      <c r="AK34" s="36" t="n"/>
      <c r="AL34" s="37">
        <f>B34-AJ34</f>
        <v/>
      </c>
      <c r="AM34" s="42">
        <f>_xlfn.STDEV.S(AL34:AL53)</f>
        <v/>
      </c>
      <c r="AN34" s="37" t="n"/>
      <c r="AO34" s="38" t="n"/>
      <c r="AP34" s="37" t="n"/>
      <c r="AQ34" s="37" t="n"/>
      <c r="AR34" s="38" t="n"/>
      <c r="AS34" s="37" t="n"/>
      <c r="AT34" s="37" t="n"/>
      <c r="BC34">
        <f>BC31-BC29</f>
        <v/>
      </c>
    </row>
    <row r="35" ht="16" customHeight="1">
      <c r="A35" s="28" t="n">
        <v>46190</v>
      </c>
      <c r="B35" s="29" t="n">
        <v>1806.2</v>
      </c>
      <c r="C35" s="30" t="n">
        <v>8542213</v>
      </c>
      <c r="D35" s="31" t="n"/>
      <c r="E35" s="31" t="n"/>
      <c r="F35" s="30" t="n">
        <v>192000</v>
      </c>
      <c r="G35" s="30" t="n">
        <v>7706031024</v>
      </c>
      <c r="H35" s="30" t="n">
        <v>135000</v>
      </c>
      <c r="I35" s="30" t="n">
        <v>4107412004</v>
      </c>
      <c r="J35" s="30" t="n">
        <v>28150</v>
      </c>
      <c r="K35" s="30" t="n">
        <v>2272318410</v>
      </c>
      <c r="L35" s="30" t="n">
        <v>89300</v>
      </c>
      <c r="M35" s="30" t="n">
        <v>1793300377</v>
      </c>
      <c r="N35" s="30" t="n">
        <v>143900</v>
      </c>
      <c r="O35" s="30" t="n">
        <v>769094734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9">
        <f>AI35+AJ36</f>
        <v/>
      </c>
      <c r="AK35" s="36" t="n"/>
      <c r="AL35" s="37">
        <f>B35-AJ35</f>
        <v/>
      </c>
      <c r="AM35" s="42">
        <f>_xlfn.STDEV.S(AL35:AL54)</f>
        <v/>
      </c>
      <c r="AN35" s="37" t="n"/>
      <c r="AO35" s="38" t="n"/>
      <c r="AP35" s="37" t="n"/>
      <c r="AQ35" s="37" t="n"/>
      <c r="AR35" s="38" t="n"/>
      <c r="AS35" s="37" t="n"/>
      <c r="AT35" s="37" t="n"/>
      <c r="BC35">
        <f>BC30-BC34</f>
        <v/>
      </c>
    </row>
    <row r="36" ht="16" customHeight="1">
      <c r="A36" s="28" t="n">
        <v>46189</v>
      </c>
      <c r="B36" s="29" t="n">
        <v>1807.94</v>
      </c>
      <c r="C36" s="30" t="n">
        <v>8548955</v>
      </c>
      <c r="D36" s="31" t="n"/>
      <c r="E36" s="31" t="n"/>
      <c r="F36" s="30" t="n">
        <v>194000</v>
      </c>
      <c r="G36" s="30" t="n">
        <v>7706031024</v>
      </c>
      <c r="H36" s="30" t="n">
        <v>136500</v>
      </c>
      <c r="I36" s="30" t="n">
        <v>4107412004</v>
      </c>
      <c r="J36" s="30" t="n">
        <v>28650</v>
      </c>
      <c r="K36" s="30" t="n">
        <v>2272318410</v>
      </c>
      <c r="L36" s="30" t="n">
        <v>89300</v>
      </c>
      <c r="M36" s="30" t="n">
        <v>1793300377</v>
      </c>
      <c r="N36" s="30" t="n">
        <v>138000</v>
      </c>
      <c r="O36" s="30" t="n">
        <v>769094734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9">
        <f>AI36+AJ37</f>
        <v/>
      </c>
      <c r="AK36" s="36" t="n"/>
      <c r="AL36" s="37">
        <f>B36-AJ36</f>
        <v/>
      </c>
      <c r="AM36" s="42">
        <f>_xlfn.STDEV.S(AL36:AL55)</f>
        <v/>
      </c>
      <c r="AN36" s="37" t="n"/>
      <c r="AO36" s="38" t="n"/>
      <c r="AP36" s="37" t="n"/>
      <c r="AQ36" s="37" t="n"/>
      <c r="AR36" s="38" t="n"/>
      <c r="AS36" s="37" t="n"/>
      <c r="AT36" s="37" t="n"/>
      <c r="BC36">
        <f>BC35/BC30</f>
        <v/>
      </c>
    </row>
    <row r="37" ht="16" customHeight="1">
      <c r="A37" s="28" t="n">
        <v>46188</v>
      </c>
      <c r="B37" s="29" t="n">
        <v>1799.31</v>
      </c>
      <c r="C37" s="30" t="n">
        <v>8508032</v>
      </c>
      <c r="D37" s="31" t="n"/>
      <c r="E37" s="31" t="n"/>
      <c r="F37" s="30" t="n">
        <v>192600</v>
      </c>
      <c r="G37" s="30" t="n">
        <v>7706031024</v>
      </c>
      <c r="H37" s="30" t="n">
        <v>136100</v>
      </c>
      <c r="I37" s="30" t="n">
        <v>4107412004</v>
      </c>
      <c r="J37" s="30" t="n">
        <v>28550</v>
      </c>
      <c r="K37" s="30" t="n">
        <v>2272318410</v>
      </c>
      <c r="L37" s="30" t="n">
        <v>88600</v>
      </c>
      <c r="M37" s="30" t="n">
        <v>1793300377</v>
      </c>
      <c r="N37" s="30" t="n">
        <v>183700</v>
      </c>
      <c r="O37" s="30" t="n">
        <v>591611334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9">
        <f>AI37+AJ38</f>
        <v/>
      </c>
      <c r="AK37" s="36" t="n"/>
      <c r="AL37" s="37">
        <f>B37-AJ37</f>
        <v/>
      </c>
      <c r="AM37" s="42">
        <f>_xlfn.STDEV.S(AL37:AL56)</f>
        <v/>
      </c>
      <c r="AN37" s="37" t="n"/>
      <c r="AO37" s="38" t="n"/>
      <c r="AP37" s="37" t="n"/>
      <c r="AQ37" s="37" t="n"/>
      <c r="AR37" s="38" t="n"/>
      <c r="AS37" s="37" t="n"/>
      <c r="AT37" s="37" t="n"/>
      <c r="BC37">
        <f>BC36*B28</f>
        <v/>
      </c>
    </row>
    <row r="38" ht="16" customHeight="1">
      <c r="A38" s="10" t="n">
        <v>46185</v>
      </c>
      <c r="B38" s="20" t="n">
        <v>1791.65</v>
      </c>
      <c r="C38" s="4" t="n">
        <v>8471731</v>
      </c>
      <c r="F38" s="4" t="n">
        <v>195500</v>
      </c>
      <c r="G38" s="4" t="n">
        <v>7706031024</v>
      </c>
      <c r="H38" s="4" t="n">
        <v>138700</v>
      </c>
      <c r="I38" s="4" t="n">
        <v>4107412004</v>
      </c>
      <c r="J38" s="4" t="n">
        <v>28600</v>
      </c>
      <c r="K38" s="4" t="n">
        <v>2272318410</v>
      </c>
      <c r="L38" s="4" t="n">
        <v>87000</v>
      </c>
      <c r="M38" s="4" t="n">
        <v>1793300377</v>
      </c>
      <c r="N38" s="4" t="n">
        <v>180800</v>
      </c>
      <c r="O38" s="4" t="n">
        <v>591611334</v>
      </c>
      <c r="Q38" s="12" t="n"/>
      <c r="R38" s="3">
        <f>G38*F38-G39*F39</f>
        <v/>
      </c>
      <c r="S38" s="3">
        <f>I38*H38-I39*H39</f>
        <v/>
      </c>
      <c r="T38" s="3">
        <f>K38*J38-K39*J39</f>
        <v/>
      </c>
      <c r="U38" s="3">
        <f>M38*L38-M39*L39</f>
        <v/>
      </c>
      <c r="V38" s="3">
        <f>O38*N38-O39*N39</f>
        <v/>
      </c>
      <c r="X38" s="2">
        <f>R38/10^9</f>
        <v/>
      </c>
      <c r="Y38" s="2">
        <f>S38/10^9</f>
        <v/>
      </c>
      <c r="Z38" s="2">
        <f>T38/10^9</f>
        <v/>
      </c>
      <c r="AA38" s="2">
        <f>U38/10^9</f>
        <v/>
      </c>
      <c r="AB38" s="2">
        <f>V38/10^9</f>
        <v/>
      </c>
      <c r="AD38" s="8">
        <f>X38/$C39*$B39</f>
        <v/>
      </c>
      <c r="AE38" s="8">
        <f>Y38/$C39*$B39</f>
        <v/>
      </c>
      <c r="AF38" s="8">
        <f>Z38/$C39*$B39</f>
        <v/>
      </c>
      <c r="AG38" s="8">
        <f>AA38/$C39*$B39</f>
        <v/>
      </c>
      <c r="AH38" s="11">
        <f>AB38/$C39*$B39</f>
        <v/>
      </c>
      <c r="AI38" s="8">
        <f>SUM(AD38:AG38)</f>
        <v/>
      </c>
      <c r="AJ38" s="9">
        <f>AI38+AJ39</f>
        <v/>
      </c>
      <c r="AL38" s="7">
        <f>B38-AJ38</f>
        <v/>
      </c>
      <c r="AM38" s="42">
        <f>_xlfn.STDEV.S(AL38:AL57)</f>
        <v/>
      </c>
      <c r="AN38" s="7" t="n"/>
      <c r="AO38" s="26" t="n"/>
      <c r="AP38" s="7" t="n"/>
      <c r="AQ38" s="7" t="n"/>
      <c r="AR38" s="26" t="n"/>
      <c r="AS38" s="7" t="n"/>
      <c r="AT38" s="7" t="n"/>
    </row>
    <row r="39" ht="16" customHeight="1">
      <c r="A39" s="10" t="n">
        <v>46184</v>
      </c>
      <c r="B39" s="20" t="n">
        <v>1798.61</v>
      </c>
      <c r="C39" s="4" t="n">
        <v>8504472</v>
      </c>
      <c r="F39" s="4" t="n">
        <v>196000</v>
      </c>
      <c r="G39" s="4" t="n">
        <v>7706031024</v>
      </c>
      <c r="H39" s="4" t="n">
        <v>144500</v>
      </c>
      <c r="I39" s="4" t="n">
        <v>4107412004</v>
      </c>
      <c r="J39" s="4" t="n">
        <v>29150</v>
      </c>
      <c r="K39" s="4" t="n">
        <v>2272318410</v>
      </c>
      <c r="L39" s="4" t="n">
        <v>89900</v>
      </c>
      <c r="M39" s="4" t="n">
        <v>1793300377</v>
      </c>
      <c r="N39" s="4" t="n">
        <v>177500</v>
      </c>
      <c r="O39" s="4" t="n">
        <v>591611334</v>
      </c>
      <c r="Q39" s="12" t="n"/>
      <c r="R39" s="3">
        <f>G39*F39-G40*F40</f>
        <v/>
      </c>
      <c r="S39" s="3">
        <f>I39*H39-I40*H40</f>
        <v/>
      </c>
      <c r="T39" s="3">
        <f>K39*J39-K40*J40</f>
        <v/>
      </c>
      <c r="U39" s="3">
        <f>M39*L39-M40*L40</f>
        <v/>
      </c>
      <c r="V39" s="3">
        <f>O39*N39-O40*N40</f>
        <v/>
      </c>
      <c r="X39" s="2">
        <f>R39/10^9</f>
        <v/>
      </c>
      <c r="Y39" s="2">
        <f>S39/10^9</f>
        <v/>
      </c>
      <c r="Z39" s="2">
        <f>T39/10^9</f>
        <v/>
      </c>
      <c r="AA39" s="2">
        <f>U39/10^9</f>
        <v/>
      </c>
      <c r="AB39" s="2">
        <f>V39/10^9</f>
        <v/>
      </c>
      <c r="AD39" s="8">
        <f>X39/$C40*$B40</f>
        <v/>
      </c>
      <c r="AE39" s="8">
        <f>Y39/$C40*$B40</f>
        <v/>
      </c>
      <c r="AF39" s="8">
        <f>Z39/$C40*$B40</f>
        <v/>
      </c>
      <c r="AG39" s="8">
        <f>AA39/$C40*$B40</f>
        <v/>
      </c>
      <c r="AH39" s="11">
        <f>AB39/$C40*$B40</f>
        <v/>
      </c>
      <c r="AI39" s="8">
        <f>SUM(AD39:AG39)</f>
        <v/>
      </c>
      <c r="AJ39" s="9">
        <f>AI39+AJ40</f>
        <v/>
      </c>
      <c r="AL39" s="7">
        <f>B39-AJ39</f>
        <v/>
      </c>
      <c r="AM39" s="42">
        <f>_xlfn.STDEV.S(AL39:AL58)</f>
        <v/>
      </c>
      <c r="BC39">
        <f>H28*I28</f>
        <v/>
      </c>
    </row>
    <row r="40" ht="16" customHeight="1">
      <c r="A40" s="10" t="n">
        <v>46183</v>
      </c>
      <c r="B40" s="20" t="n">
        <v>1803.71</v>
      </c>
      <c r="C40" s="4" t="n">
        <v>8528657</v>
      </c>
      <c r="F40" s="4" t="n">
        <v>196000</v>
      </c>
      <c r="G40" s="4" t="n">
        <v>7706031024</v>
      </c>
      <c r="H40" s="4" t="n">
        <v>146800</v>
      </c>
      <c r="I40" s="4" t="n">
        <v>4107412004</v>
      </c>
      <c r="J40" s="4" t="n">
        <v>29650</v>
      </c>
      <c r="K40" s="4" t="n">
        <v>2272318410</v>
      </c>
      <c r="L40" s="4" t="n">
        <v>90000</v>
      </c>
      <c r="M40" s="4" t="n">
        <v>1793300377</v>
      </c>
      <c r="N40" s="4" t="n">
        <v>182000</v>
      </c>
      <c r="O40" s="4" t="n">
        <v>591611334</v>
      </c>
      <c r="Q40" s="12" t="n"/>
      <c r="R40" s="3">
        <f>G40*F40-G41*F41</f>
        <v/>
      </c>
      <c r="S40" s="3">
        <f>I40*H40-I41*H41</f>
        <v/>
      </c>
      <c r="T40" s="3">
        <f>K40*J40-K41*J41</f>
        <v/>
      </c>
      <c r="U40" s="3">
        <f>M40*L40-M41*L41</f>
        <v/>
      </c>
      <c r="V40" s="3">
        <f>O40*N40-O41*N41</f>
        <v/>
      </c>
      <c r="X40" s="2">
        <f>R40/10^9</f>
        <v/>
      </c>
      <c r="Y40" s="2">
        <f>S40/10^9</f>
        <v/>
      </c>
      <c r="Z40" s="2">
        <f>T40/10^9</f>
        <v/>
      </c>
      <c r="AA40" s="2">
        <f>U40/10^9</f>
        <v/>
      </c>
      <c r="AB40" s="2">
        <f>V40/10^9</f>
        <v/>
      </c>
      <c r="AD40" s="8">
        <f>X40/$C41*$B41</f>
        <v/>
      </c>
      <c r="AE40" s="8">
        <f>Y40/$C41*$B41</f>
        <v/>
      </c>
      <c r="AF40" s="8">
        <f>Z40/$C41*$B41</f>
        <v/>
      </c>
      <c r="AG40" s="8">
        <f>AA40/$C41*$B41</f>
        <v/>
      </c>
      <c r="AH40" s="11">
        <f>AB40/$C41*$B41</f>
        <v/>
      </c>
      <c r="AI40" s="8">
        <f>SUM(AD40:AG40)</f>
        <v/>
      </c>
      <c r="AJ40" s="9">
        <f>AI40+AJ41</f>
        <v/>
      </c>
      <c r="AL40" s="7">
        <f>B40-AJ40</f>
        <v/>
      </c>
      <c r="AM40" s="42">
        <f>_xlfn.STDEV.S(AL40:AL59)</f>
        <v/>
      </c>
      <c r="BC40">
        <f>H394*I394</f>
        <v/>
      </c>
    </row>
    <row r="41" ht="16" customHeight="1">
      <c r="A41" s="10" t="n">
        <v>46182</v>
      </c>
      <c r="B41" s="20" t="n">
        <v>1793.05</v>
      </c>
      <c r="C41" s="4" t="n">
        <v>8478212</v>
      </c>
      <c r="F41" s="4" t="n">
        <v>193200</v>
      </c>
      <c r="G41" s="4" t="n">
        <v>7706031024</v>
      </c>
      <c r="H41" s="4" t="n">
        <v>146000</v>
      </c>
      <c r="I41" s="4" t="n">
        <v>4107412004</v>
      </c>
      <c r="J41" s="4" t="n">
        <v>29100</v>
      </c>
      <c r="K41" s="4" t="n">
        <v>2272318410</v>
      </c>
      <c r="L41" s="4" t="n">
        <v>90000</v>
      </c>
      <c r="M41" s="4" t="n">
        <v>1793300377</v>
      </c>
      <c r="N41" s="4" t="n">
        <v>179000</v>
      </c>
      <c r="O41" s="4" t="n">
        <v>591611334</v>
      </c>
      <c r="Q41" s="12" t="n"/>
      <c r="R41" s="3">
        <f>G41*F41-G42*F42</f>
        <v/>
      </c>
      <c r="S41" s="3">
        <f>I41*H41-I42*H42</f>
        <v/>
      </c>
      <c r="T41" s="3">
        <f>K41*J41-K42*J42</f>
        <v/>
      </c>
      <c r="U41" s="3">
        <f>M41*L41-M42*L42</f>
        <v/>
      </c>
      <c r="V41" s="3">
        <f>O41*N41-O42*N42</f>
        <v/>
      </c>
      <c r="X41" s="2">
        <f>R41/10^9</f>
        <v/>
      </c>
      <c r="Y41" s="2">
        <f>S41/10^9</f>
        <v/>
      </c>
      <c r="Z41" s="2">
        <f>T41/10^9</f>
        <v/>
      </c>
      <c r="AA41" s="2">
        <f>U41/10^9</f>
        <v/>
      </c>
      <c r="AB41" s="2">
        <f>V41/10^9</f>
        <v/>
      </c>
      <c r="AD41" s="8">
        <f>X41/$C42*$B42</f>
        <v/>
      </c>
      <c r="AE41" s="8">
        <f>Y41/$C42*$B42</f>
        <v/>
      </c>
      <c r="AF41" s="8">
        <f>Z41/$C42*$B42</f>
        <v/>
      </c>
      <c r="AG41" s="8">
        <f>AA41/$C42*$B42</f>
        <v/>
      </c>
      <c r="AH41" s="11">
        <f>AB41/$C42*$B42</f>
        <v/>
      </c>
      <c r="AI41" s="8">
        <f>SUM(AD41:AG41)</f>
        <v/>
      </c>
      <c r="AJ41" s="9">
        <f>AI41+AJ42</f>
        <v/>
      </c>
      <c r="AL41" s="7">
        <f>B41-AJ41</f>
        <v/>
      </c>
      <c r="AM41" s="42">
        <f>_xlfn.STDEV.S(AL41:AL60)</f>
        <v/>
      </c>
      <c r="BC41">
        <f>BC39-BC40</f>
        <v/>
      </c>
    </row>
    <row r="42" ht="16" customHeight="1">
      <c r="A42" s="10" t="n">
        <v>46181</v>
      </c>
      <c r="B42" s="20" t="n">
        <v>1790.53</v>
      </c>
      <c r="C42" s="4" t="n">
        <v>8466439</v>
      </c>
      <c r="F42" s="4" t="n">
        <v>195000</v>
      </c>
      <c r="G42" s="4" t="n">
        <v>7706031024</v>
      </c>
      <c r="H42" s="4" t="n">
        <v>146700</v>
      </c>
      <c r="I42" s="4" t="n">
        <v>4107412004</v>
      </c>
      <c r="J42" s="4" t="n">
        <v>29600</v>
      </c>
      <c r="K42" s="4" t="n">
        <v>2272318410</v>
      </c>
      <c r="L42" s="4" t="n">
        <v>89000</v>
      </c>
      <c r="M42" s="4" t="n">
        <v>1793300377</v>
      </c>
      <c r="N42" s="4" t="n">
        <v>176800</v>
      </c>
      <c r="O42" s="4" t="n">
        <v>591611334</v>
      </c>
      <c r="Q42" s="12" t="n"/>
      <c r="R42" s="3">
        <f>G42*F42-G43*F43</f>
        <v/>
      </c>
      <c r="S42" s="3">
        <f>I42*H42-I43*H43</f>
        <v/>
      </c>
      <c r="T42" s="3">
        <f>K42*J42-K43*J43</f>
        <v/>
      </c>
      <c r="U42" s="3">
        <f>M42*L42-M43*L43</f>
        <v/>
      </c>
      <c r="V42" s="3">
        <f>O42*N42-O43*N43</f>
        <v/>
      </c>
      <c r="X42" s="2">
        <f>R42/10^9</f>
        <v/>
      </c>
      <c r="Y42" s="2">
        <f>S42/10^9</f>
        <v/>
      </c>
      <c r="Z42" s="2">
        <f>T42/10^9</f>
        <v/>
      </c>
      <c r="AA42" s="2">
        <f>U42/10^9</f>
        <v/>
      </c>
      <c r="AB42" s="2">
        <f>V42/10^9</f>
        <v/>
      </c>
      <c r="AD42" s="8">
        <f>X42/$C43*$B43</f>
        <v/>
      </c>
      <c r="AE42" s="8">
        <f>Y42/$C43*$B43</f>
        <v/>
      </c>
      <c r="AF42" s="8">
        <f>Z42/$C43*$B43</f>
        <v/>
      </c>
      <c r="AG42" s="8">
        <f>AA42/$C43*$B43</f>
        <v/>
      </c>
      <c r="AH42" s="11">
        <f>AB42/$C43*$B43</f>
        <v/>
      </c>
      <c r="AI42" s="8">
        <f>SUM(AD42:AG42)</f>
        <v/>
      </c>
      <c r="AJ42" s="9">
        <f>AI42+AJ43</f>
        <v/>
      </c>
      <c r="AL42" s="7">
        <f>B42-AJ42</f>
        <v/>
      </c>
      <c r="AM42" s="42">
        <f>_xlfn.STDEV.S(AL42:AL61)</f>
        <v/>
      </c>
    </row>
    <row r="43" ht="16" customHeight="1">
      <c r="A43" s="10" t="n">
        <v>46178</v>
      </c>
      <c r="B43" s="20" t="n">
        <v>1838.9</v>
      </c>
      <c r="C43" s="4" t="n">
        <v>8694673.71101916</v>
      </c>
      <c r="F43" s="4" t="n">
        <v>207000</v>
      </c>
      <c r="G43" s="4" t="n">
        <v>7706031024</v>
      </c>
      <c r="H43" s="4" t="n">
        <v>152000</v>
      </c>
      <c r="I43" s="4" t="n">
        <v>4107412004</v>
      </c>
      <c r="J43" s="4" t="n">
        <v>31200</v>
      </c>
      <c r="K43" s="4" t="n">
        <v>2272318410</v>
      </c>
      <c r="L43" s="4" t="n">
        <v>91500</v>
      </c>
      <c r="M43" s="4" t="n">
        <v>1793300377</v>
      </c>
      <c r="N43" s="4" t="n">
        <v>184600</v>
      </c>
      <c r="O43" s="4" t="n">
        <v>591611334</v>
      </c>
      <c r="Q43" s="12" t="n"/>
      <c r="R43" s="3">
        <f>G43*F43-G44*F44</f>
        <v/>
      </c>
      <c r="S43" s="3">
        <f>I43*H43-I44*H44</f>
        <v/>
      </c>
      <c r="T43" s="3">
        <f>K43*J43-K44*J44</f>
        <v/>
      </c>
      <c r="U43" s="3">
        <f>M43*L43-M44*L44</f>
        <v/>
      </c>
      <c r="V43" s="3">
        <f>O43*N43-O44*N44</f>
        <v/>
      </c>
      <c r="X43" s="2">
        <f>R43/10^9</f>
        <v/>
      </c>
      <c r="Y43" s="2">
        <f>S43/10^9</f>
        <v/>
      </c>
      <c r="Z43" s="2">
        <f>T43/10^9</f>
        <v/>
      </c>
      <c r="AA43" s="2">
        <f>U43/10^9</f>
        <v/>
      </c>
      <c r="AB43" s="2">
        <f>V43/10^9</f>
        <v/>
      </c>
      <c r="AD43" s="8">
        <f>X43/$C44*$B44</f>
        <v/>
      </c>
      <c r="AE43" s="8">
        <f>Y43/$C44*$B44</f>
        <v/>
      </c>
      <c r="AF43" s="8">
        <f>Z43/$C44*$B44</f>
        <v/>
      </c>
      <c r="AG43" s="8">
        <f>AA43/$C44*$B44</f>
        <v/>
      </c>
      <c r="AH43" s="11">
        <f>AB43/$C44*$B44</f>
        <v/>
      </c>
      <c r="AI43" s="8">
        <f>SUM(AD43:AG43)</f>
        <v/>
      </c>
      <c r="AJ43" s="9">
        <f>AI43+AJ44</f>
        <v/>
      </c>
      <c r="AK43" s="27" t="n"/>
      <c r="AL43" s="7">
        <f>B43-AJ43</f>
        <v/>
      </c>
      <c r="AM43" s="42">
        <f>_xlfn.STDEV.S(AL43:AL62)</f>
        <v/>
      </c>
      <c r="AN43" s="7" t="n"/>
      <c r="AO43" s="26" t="n"/>
      <c r="AP43" s="7" t="n"/>
      <c r="AQ43" s="7" t="n"/>
      <c r="AR43" s="26" t="n"/>
      <c r="AS43" s="7" t="n"/>
      <c r="AT43" s="7" t="n"/>
      <c r="AV43" s="7" t="n"/>
    </row>
    <row r="44" ht="16" customHeight="1">
      <c r="A44" s="10" t="n">
        <v>46177</v>
      </c>
      <c r="B44" s="20" t="n">
        <v>1831.55</v>
      </c>
      <c r="C44" s="4" t="n">
        <v>8659929.715684811</v>
      </c>
      <c r="F44" s="4" t="n">
        <v>200200</v>
      </c>
      <c r="G44" s="4" t="n">
        <v>7706031024</v>
      </c>
      <c r="H44" s="4" t="n">
        <v>150000</v>
      </c>
      <c r="I44" s="4" t="n">
        <v>4107412004</v>
      </c>
      <c r="J44" s="4" t="n">
        <v>31100</v>
      </c>
      <c r="K44" s="4" t="n">
        <v>2272318410</v>
      </c>
      <c r="L44" s="4" t="n">
        <v>90700</v>
      </c>
      <c r="M44" s="4" t="n">
        <v>1793300377</v>
      </c>
      <c r="N44" s="4" t="n">
        <v>172600</v>
      </c>
      <c r="O44" s="4" t="n">
        <v>591611334</v>
      </c>
      <c r="Q44" s="12" t="n"/>
      <c r="R44" s="3">
        <f>G44*F44-G45*F45</f>
        <v/>
      </c>
      <c r="S44" s="3">
        <f>I44*H44-I45*H45</f>
        <v/>
      </c>
      <c r="T44" s="3">
        <f>K44*J44-K45*J45</f>
        <v/>
      </c>
      <c r="U44" s="3">
        <f>M44*L44-M45*L45</f>
        <v/>
      </c>
      <c r="V44" s="3">
        <f>O44*N44-O45*N45</f>
        <v/>
      </c>
      <c r="X44" s="2">
        <f>R44/10^9</f>
        <v/>
      </c>
      <c r="Y44" s="2">
        <f>S44/10^9</f>
        <v/>
      </c>
      <c r="Z44" s="2">
        <f>T44/10^9</f>
        <v/>
      </c>
      <c r="AA44" s="2">
        <f>U44/10^9</f>
        <v/>
      </c>
      <c r="AB44" s="2">
        <f>V44/10^9</f>
        <v/>
      </c>
      <c r="AD44" s="8">
        <f>X44/$C45*$B45</f>
        <v/>
      </c>
      <c r="AE44" s="8">
        <f>Y44/$C45*$B45</f>
        <v/>
      </c>
      <c r="AF44" s="8">
        <f>Z44/$C45*$B45</f>
        <v/>
      </c>
      <c r="AG44" s="8">
        <f>AA44/$C45*$B45</f>
        <v/>
      </c>
      <c r="AH44" s="11">
        <f>AB44/$C45*$B45</f>
        <v/>
      </c>
      <c r="AI44" s="8">
        <f>SUM(AD44:AG44)</f>
        <v/>
      </c>
      <c r="AJ44" s="9">
        <f>AI44+AJ45</f>
        <v/>
      </c>
      <c r="AK44" s="27" t="n"/>
      <c r="AL44" s="7">
        <f>B44-AJ44</f>
        <v/>
      </c>
      <c r="AM44" s="42">
        <f>_xlfn.STDEV.S(AL44:AL63)</f>
        <v/>
      </c>
      <c r="AS44" s="7" t="n"/>
      <c r="AV44" s="7" t="n"/>
      <c r="BC44">
        <f>BC35-BC41</f>
        <v/>
      </c>
    </row>
    <row r="45" ht="16" customHeight="1">
      <c r="A45" s="10" t="n">
        <v>46176</v>
      </c>
      <c r="B45" s="20" t="n">
        <v>1819.01</v>
      </c>
      <c r="C45" s="4" t="n">
        <v>8599483.62174907</v>
      </c>
      <c r="F45" s="4" t="n">
        <v>197600</v>
      </c>
      <c r="G45" s="4" t="n">
        <v>7706031024</v>
      </c>
      <c r="H45" s="4" t="n">
        <v>148400</v>
      </c>
      <c r="I45" s="4" t="n">
        <v>4107412004</v>
      </c>
      <c r="J45" s="4" t="n">
        <v>30050</v>
      </c>
      <c r="K45" s="4" t="n">
        <v>2272318410</v>
      </c>
      <c r="L45" s="4" t="n">
        <v>92000</v>
      </c>
      <c r="M45" s="4" t="n">
        <v>1793300377</v>
      </c>
      <c r="N45" s="4" t="n">
        <v>170800</v>
      </c>
      <c r="O45" s="4" t="n">
        <v>591611334</v>
      </c>
      <c r="Q45" s="12" t="n"/>
      <c r="R45" s="3">
        <f>G45*F45-G46*F46</f>
        <v/>
      </c>
      <c r="S45" s="3">
        <f>I45*H45-I46*H46</f>
        <v/>
      </c>
      <c r="T45" s="3">
        <f>K45*J45-K46*J46</f>
        <v/>
      </c>
      <c r="U45" s="3">
        <f>M45*L45-M46*L46</f>
        <v/>
      </c>
      <c r="V45" s="3">
        <f>O45*N45-O46*N46</f>
        <v/>
      </c>
      <c r="X45" s="2">
        <f>R45/10^9</f>
        <v/>
      </c>
      <c r="Y45" s="2">
        <f>S45/10^9</f>
        <v/>
      </c>
      <c r="Z45" s="2">
        <f>T45/10^9</f>
        <v/>
      </c>
      <c r="AA45" s="2">
        <f>U45/10^9</f>
        <v/>
      </c>
      <c r="AB45" s="2">
        <f>V45/10^9</f>
        <v/>
      </c>
      <c r="AD45" s="8">
        <f>X45/$C46*$B46</f>
        <v/>
      </c>
      <c r="AE45" s="8">
        <f>Y45/$C46*$B46</f>
        <v/>
      </c>
      <c r="AF45" s="8">
        <f>Z45/$C46*$B46</f>
        <v/>
      </c>
      <c r="AG45" s="8">
        <f>AA45/$C46*$B46</f>
        <v/>
      </c>
      <c r="AH45" s="11">
        <f>AB45/$C46*$B46</f>
        <v/>
      </c>
      <c r="AI45" s="8">
        <f>SUM(AD45:AG45)</f>
        <v/>
      </c>
      <c r="AJ45" s="9">
        <f>AI45+AJ46</f>
        <v/>
      </c>
      <c r="AK45" s="27" t="n"/>
      <c r="AL45" s="7">
        <f>B45-AJ45</f>
        <v/>
      </c>
      <c r="AM45" s="42">
        <f>_xlfn.STDEV.S(AL45:AL64)</f>
        <v/>
      </c>
      <c r="AS45" s="7" t="n"/>
      <c r="BC45">
        <f>BC44/BC30</f>
        <v/>
      </c>
    </row>
    <row r="46" ht="16" customHeight="1">
      <c r="A46" s="10" t="n">
        <v>46175</v>
      </c>
      <c r="B46" s="20" t="n">
        <v>1826.47</v>
      </c>
      <c r="C46" s="4" t="n">
        <v>8634667.59543822</v>
      </c>
      <c r="F46" s="4" t="n">
        <v>204900</v>
      </c>
      <c r="G46" s="4" t="n">
        <v>7706031024</v>
      </c>
      <c r="H46" s="4" t="n">
        <v>150800</v>
      </c>
      <c r="I46" s="4" t="n">
        <v>4107412004</v>
      </c>
      <c r="J46" s="4" t="n">
        <v>31000</v>
      </c>
      <c r="K46" s="4" t="n">
        <v>2272318410</v>
      </c>
      <c r="L46" s="4" t="n">
        <v>92000</v>
      </c>
      <c r="M46" s="4" t="n">
        <v>1793300377</v>
      </c>
      <c r="N46" s="4" t="n">
        <v>170100</v>
      </c>
      <c r="O46" s="4" t="n">
        <v>591611334</v>
      </c>
      <c r="Q46" s="12" t="n"/>
      <c r="R46" s="3">
        <f>G46*F46-G47*F47</f>
        <v/>
      </c>
      <c r="S46" s="3">
        <f>I46*H46-I47*H47</f>
        <v/>
      </c>
      <c r="T46" s="3">
        <f>K46*J46-K47*J47</f>
        <v/>
      </c>
      <c r="U46" s="3">
        <f>M46*L46-M47*L47</f>
        <v/>
      </c>
      <c r="V46" s="3">
        <f>O46*N46-O47*N47</f>
        <v/>
      </c>
      <c r="X46" s="2">
        <f>R46/10^9</f>
        <v/>
      </c>
      <c r="Y46" s="2">
        <f>S46/10^9</f>
        <v/>
      </c>
      <c r="Z46" s="2">
        <f>T46/10^9</f>
        <v/>
      </c>
      <c r="AA46" s="2">
        <f>U46/10^9</f>
        <v/>
      </c>
      <c r="AB46" s="2">
        <f>V46/10^9</f>
        <v/>
      </c>
      <c r="AD46" s="8">
        <f>X46/$C47*$B47</f>
        <v/>
      </c>
      <c r="AE46" s="8">
        <f>Y46/$C47*$B47</f>
        <v/>
      </c>
      <c r="AF46" s="8">
        <f>Z46/$C47*$B47</f>
        <v/>
      </c>
      <c r="AG46" s="8">
        <f>AA46/$C47*$B47</f>
        <v/>
      </c>
      <c r="AH46" s="11">
        <f>AB46/$C47*$B47</f>
        <v/>
      </c>
      <c r="AI46" s="8">
        <f>SUM(AD46:AG46)</f>
        <v/>
      </c>
      <c r="AJ46" s="9">
        <f>AI46+AJ47</f>
        <v/>
      </c>
      <c r="AK46" s="27" t="n"/>
      <c r="AL46" s="7">
        <f>B46-AJ46</f>
        <v/>
      </c>
      <c r="AM46" s="42">
        <f>_xlfn.STDEV.S(AL46:AL65)</f>
        <v/>
      </c>
      <c r="BC46">
        <f>BC45*B28</f>
        <v/>
      </c>
    </row>
    <row r="47" ht="16" customHeight="1">
      <c r="A47" s="10" t="n">
        <v>46174</v>
      </c>
      <c r="B47" s="20" t="n">
        <v>1844.54</v>
      </c>
      <c r="C47" s="4" t="n">
        <v>8719898.995394889</v>
      </c>
      <c r="F47" s="4" t="n">
        <v>204900</v>
      </c>
      <c r="G47" s="4" t="n">
        <v>7706031024</v>
      </c>
      <c r="H47" s="4" t="n">
        <v>152000</v>
      </c>
      <c r="I47" s="4" t="n">
        <v>4107412004</v>
      </c>
      <c r="J47" s="4" t="n">
        <v>31200</v>
      </c>
      <c r="K47" s="4" t="n">
        <v>2272318410</v>
      </c>
      <c r="L47" s="4" t="n">
        <v>92200</v>
      </c>
      <c r="M47" s="4" t="n">
        <v>1793300377</v>
      </c>
      <c r="N47" s="4" t="n">
        <v>171000</v>
      </c>
      <c r="O47" s="4" t="n">
        <v>591611334</v>
      </c>
      <c r="Q47" s="12" t="n"/>
      <c r="R47" s="3">
        <f>G47*F47-G48*F48</f>
        <v/>
      </c>
      <c r="S47" s="3">
        <f>I47*H47-I48*H48</f>
        <v/>
      </c>
      <c r="T47" s="3">
        <f>K47*J47-K48*J48</f>
        <v/>
      </c>
      <c r="U47" s="3">
        <f>M47*L47-M48*L48</f>
        <v/>
      </c>
      <c r="V47" s="3">
        <f>O47*N47-O48*N48</f>
        <v/>
      </c>
      <c r="X47" s="2">
        <f>R47/10^9</f>
        <v/>
      </c>
      <c r="Y47" s="2">
        <f>S47/10^9</f>
        <v/>
      </c>
      <c r="Z47" s="2">
        <f>T47/10^9</f>
        <v/>
      </c>
      <c r="AA47" s="2">
        <f>U47/10^9</f>
        <v/>
      </c>
      <c r="AB47" s="2">
        <f>V47/10^9</f>
        <v/>
      </c>
      <c r="AD47" s="8">
        <f>X47/$C48*$B48</f>
        <v/>
      </c>
      <c r="AE47" s="8">
        <f>Y47/$C48*$B48</f>
        <v/>
      </c>
      <c r="AF47" s="8">
        <f>Z47/$C48*$B48</f>
        <v/>
      </c>
      <c r="AG47" s="8">
        <f>AA47/$C48*$B48</f>
        <v/>
      </c>
      <c r="AH47" s="11">
        <f>AB47/$C48*$B48</f>
        <v/>
      </c>
      <c r="AI47" s="8">
        <f>SUM(AD47:AG47)</f>
        <v/>
      </c>
      <c r="AJ47" s="9">
        <f>AI47+AJ48</f>
        <v/>
      </c>
      <c r="AK47" s="27" t="n"/>
      <c r="AL47" s="7">
        <f>B47-AJ47</f>
        <v/>
      </c>
      <c r="AM47" s="42">
        <f>_xlfn.STDEV.S(AL47:AL66)</f>
        <v/>
      </c>
    </row>
    <row r="48" ht="16" customHeight="1">
      <c r="A48" s="10" t="n">
        <v>46171</v>
      </c>
      <c r="B48" s="20" t="n">
        <v>1863.49</v>
      </c>
      <c r="C48" s="4" t="n">
        <v>8809231.29786082</v>
      </c>
      <c r="F48" s="4" t="n">
        <v>211300</v>
      </c>
      <c r="G48" s="4" t="n">
        <v>7706031024</v>
      </c>
      <c r="H48" s="4" t="n">
        <v>156000</v>
      </c>
      <c r="I48" s="4" t="n">
        <v>4107412004</v>
      </c>
      <c r="J48" s="4" t="n">
        <v>32250</v>
      </c>
      <c r="K48" s="4" t="n">
        <v>2272318410</v>
      </c>
      <c r="L48" s="4" t="n">
        <v>93500</v>
      </c>
      <c r="M48" s="4" t="n">
        <v>1793300377</v>
      </c>
      <c r="N48" s="4" t="n">
        <v>171900</v>
      </c>
      <c r="O48" s="4" t="n">
        <v>591611334</v>
      </c>
      <c r="Q48" s="12" t="n"/>
      <c r="R48" s="3">
        <f>G48*F48-G49*F49</f>
        <v/>
      </c>
      <c r="S48" s="3">
        <f>I48*H48-I49*H49</f>
        <v/>
      </c>
      <c r="T48" s="3">
        <f>K48*J48-K49*J49</f>
        <v/>
      </c>
      <c r="U48" s="3">
        <f>M48*L48-M49*L49</f>
        <v/>
      </c>
      <c r="V48" s="3">
        <f>O48*N48-O49*N49</f>
        <v/>
      </c>
      <c r="X48" s="2">
        <f>R48/10^9</f>
        <v/>
      </c>
      <c r="Y48" s="2">
        <f>S48/10^9</f>
        <v/>
      </c>
      <c r="Z48" s="2">
        <f>T48/10^9</f>
        <v/>
      </c>
      <c r="AA48" s="2">
        <f>U48/10^9</f>
        <v/>
      </c>
      <c r="AB48" s="2">
        <f>V48/10^9</f>
        <v/>
      </c>
      <c r="AD48" s="8">
        <f>X48/$C49*$B49</f>
        <v/>
      </c>
      <c r="AE48" s="8">
        <f>Y48/$C49*$B49</f>
        <v/>
      </c>
      <c r="AF48" s="8">
        <f>Z48/$C49*$B49</f>
        <v/>
      </c>
      <c r="AG48" s="8">
        <f>AA48/$C49*$B49</f>
        <v/>
      </c>
      <c r="AH48" s="11">
        <f>AB48/$C49*$B49</f>
        <v/>
      </c>
      <c r="AI48" s="8">
        <f>SUM(AD48:AG48)</f>
        <v/>
      </c>
      <c r="AJ48" s="9">
        <f>AI48+AJ49</f>
        <v/>
      </c>
      <c r="AK48" s="27" t="n"/>
      <c r="AL48" s="7">
        <f>B48-AJ48</f>
        <v/>
      </c>
      <c r="AM48" s="42">
        <f>_xlfn.STDEV.S(AL48:AL67)</f>
        <v/>
      </c>
      <c r="AN48" s="7" t="n"/>
      <c r="AO48" s="26" t="n"/>
      <c r="AP48" s="7" t="n"/>
      <c r="AQ48" s="7" t="n"/>
      <c r="AR48" s="26" t="n"/>
      <c r="AS48" s="7" t="n"/>
      <c r="AT48" s="7" t="n"/>
      <c r="AV48" s="7" t="n"/>
    </row>
    <row r="49" ht="16" customHeight="1">
      <c r="A49" s="10" t="n">
        <v>46170</v>
      </c>
      <c r="B49" s="20" t="n">
        <v>1863.67</v>
      </c>
      <c r="C49" s="4" t="n">
        <v>8810114.73379679</v>
      </c>
      <c r="F49" s="4" t="n">
        <v>210800</v>
      </c>
      <c r="G49" s="4" t="n">
        <v>7706031024</v>
      </c>
      <c r="H49" s="4" t="n">
        <v>157700</v>
      </c>
      <c r="I49" s="4" t="n">
        <v>4107412004</v>
      </c>
      <c r="J49" s="4" t="n">
        <v>32250</v>
      </c>
      <c r="K49" s="4" t="n">
        <v>2272318410</v>
      </c>
      <c r="L49" s="4" t="n">
        <v>91800</v>
      </c>
      <c r="M49" s="4" t="n">
        <v>1793300377</v>
      </c>
      <c r="N49" s="4" t="n">
        <v>170400</v>
      </c>
      <c r="O49" s="4" t="n">
        <v>591611334</v>
      </c>
      <c r="Q49" s="12" t="n"/>
      <c r="R49" s="3">
        <f>G49*F49-G50*F50</f>
        <v/>
      </c>
      <c r="S49" s="3">
        <f>I49*H49-I50*H50</f>
        <v/>
      </c>
      <c r="T49" s="3">
        <f>K49*J49-K50*J50</f>
        <v/>
      </c>
      <c r="U49" s="3">
        <f>M49*L49-M50*L50</f>
        <v/>
      </c>
      <c r="V49" s="3">
        <f>O49*N49-O50*N50</f>
        <v/>
      </c>
      <c r="X49" s="2">
        <f>R49/10^9</f>
        <v/>
      </c>
      <c r="Y49" s="2">
        <f>S49/10^9</f>
        <v/>
      </c>
      <c r="Z49" s="2">
        <f>T49/10^9</f>
        <v/>
      </c>
      <c r="AA49" s="2">
        <f>U49/10^9</f>
        <v/>
      </c>
      <c r="AB49" s="2">
        <f>V49/10^9</f>
        <v/>
      </c>
      <c r="AD49" s="8">
        <f>X49/$C50*$B50</f>
        <v/>
      </c>
      <c r="AE49" s="8">
        <f>Y49/$C50*$B50</f>
        <v/>
      </c>
      <c r="AF49" s="8">
        <f>Z49/$C50*$B50</f>
        <v/>
      </c>
      <c r="AG49" s="8">
        <f>AA49/$C50*$B50</f>
        <v/>
      </c>
      <c r="AH49" s="11">
        <f>AB49/$C50*$B50</f>
        <v/>
      </c>
      <c r="AI49" s="8">
        <f>SUM(AD49:AG49)</f>
        <v/>
      </c>
      <c r="AJ49" s="9">
        <f>AI49+AJ50</f>
        <v/>
      </c>
      <c r="AL49" s="7">
        <f>B49-AJ49</f>
        <v/>
      </c>
      <c r="AM49" s="42">
        <f>_xlfn.STDEV.S(AL49:AL68)</f>
        <v/>
      </c>
      <c r="AS49" s="7" t="n"/>
      <c r="AV49" s="7" t="n"/>
    </row>
    <row r="50" ht="16" customHeight="1">
      <c r="A50" s="10" t="n">
        <v>46169</v>
      </c>
      <c r="B50" s="20" t="n">
        <v>1874.43</v>
      </c>
      <c r="C50" s="4" t="n">
        <v>8861111.498864811</v>
      </c>
      <c r="F50" s="4" t="n">
        <v>210800</v>
      </c>
      <c r="G50" s="4" t="n">
        <v>7706031024</v>
      </c>
      <c r="H50" s="4" t="n">
        <v>147400</v>
      </c>
      <c r="I50" s="4" t="n">
        <v>4107412004</v>
      </c>
      <c r="J50" s="4" t="n">
        <v>31250</v>
      </c>
      <c r="K50" s="4" t="n">
        <v>2272318410</v>
      </c>
      <c r="L50" s="4" t="n">
        <v>91700</v>
      </c>
      <c r="M50" s="4" t="n">
        <v>1793300377</v>
      </c>
      <c r="N50" s="4" t="n">
        <v>172100</v>
      </c>
      <c r="O50" s="4" t="n">
        <v>591611334</v>
      </c>
      <c r="Q50" s="12" t="n"/>
      <c r="R50" s="3">
        <f>G50*F50-G51*F51</f>
        <v/>
      </c>
      <c r="S50" s="3">
        <f>I50*H50-I51*H51</f>
        <v/>
      </c>
      <c r="T50" s="3">
        <f>K50*J50-K51*J51</f>
        <v/>
      </c>
      <c r="U50" s="3">
        <f>M50*L50-M51*L51</f>
        <v/>
      </c>
      <c r="V50" s="3">
        <f>O50*N50-O51*N51</f>
        <v/>
      </c>
      <c r="X50" s="2">
        <f>R50/10^9</f>
        <v/>
      </c>
      <c r="Y50" s="2">
        <f>S50/10^9</f>
        <v/>
      </c>
      <c r="Z50" s="2">
        <f>T50/10^9</f>
        <v/>
      </c>
      <c r="AA50" s="2">
        <f>U50/10^9</f>
        <v/>
      </c>
      <c r="AB50" s="2">
        <f>V50/10^9</f>
        <v/>
      </c>
      <c r="AD50" s="8">
        <f>X50/$C51*$B51</f>
        <v/>
      </c>
      <c r="AE50" s="8">
        <f>Y50/$C51*$B51</f>
        <v/>
      </c>
      <c r="AF50" s="8">
        <f>Z50/$C51*$B51</f>
        <v/>
      </c>
      <c r="AG50" s="8">
        <f>AA50/$C51*$B51</f>
        <v/>
      </c>
      <c r="AH50" s="11">
        <f>AB50/$C51*$B51</f>
        <v/>
      </c>
      <c r="AI50" s="8">
        <f>SUM(AD50:AG50)</f>
        <v/>
      </c>
      <c r="AJ50" s="9">
        <f>AI50+AJ51</f>
        <v/>
      </c>
      <c r="AL50" s="7">
        <f>B50-AJ50</f>
        <v/>
      </c>
      <c r="AM50" s="42">
        <f>_xlfn.STDEV.S(AL50:AL69)</f>
        <v/>
      </c>
      <c r="AS50" s="7" t="n"/>
    </row>
    <row r="51" ht="16" customHeight="1">
      <c r="A51" s="10" t="n">
        <v>46168</v>
      </c>
      <c r="B51" s="20" t="n">
        <v>1884.18</v>
      </c>
      <c r="C51" s="4" t="n">
        <v>8907039.92194885</v>
      </c>
      <c r="F51" s="4" t="n">
        <v>213000</v>
      </c>
      <c r="G51" s="4" t="n">
        <v>7706031024</v>
      </c>
      <c r="H51" s="4" t="n">
        <v>153800</v>
      </c>
      <c r="I51" s="4" t="n">
        <v>4107412004</v>
      </c>
      <c r="J51" s="4" t="n">
        <v>32700</v>
      </c>
      <c r="K51" s="4" t="n">
        <v>2272318410</v>
      </c>
      <c r="L51" s="4" t="n">
        <v>95700</v>
      </c>
      <c r="M51" s="4" t="n">
        <v>1793300377</v>
      </c>
      <c r="N51" s="4" t="n">
        <v>172600</v>
      </c>
      <c r="O51" s="4" t="n">
        <v>591611334</v>
      </c>
      <c r="Q51" s="12" t="n"/>
      <c r="R51" s="3">
        <f>G51*F51-G52*F52</f>
        <v/>
      </c>
      <c r="S51" s="3">
        <f>I51*H51-I52*H52</f>
        <v/>
      </c>
      <c r="T51" s="3">
        <f>K51*J51-K52*J52</f>
        <v/>
      </c>
      <c r="U51" s="3">
        <f>M51*L51-M52*L52</f>
        <v/>
      </c>
      <c r="V51" s="3">
        <f>O51*N51-O52*N52</f>
        <v/>
      </c>
      <c r="X51" s="2">
        <f>R51/10^9</f>
        <v/>
      </c>
      <c r="Y51" s="2">
        <f>S51/10^9</f>
        <v/>
      </c>
      <c r="Z51" s="2">
        <f>T51/10^9</f>
        <v/>
      </c>
      <c r="AA51" s="2">
        <f>U51/10^9</f>
        <v/>
      </c>
      <c r="AB51" s="2">
        <f>V51/10^9</f>
        <v/>
      </c>
      <c r="AD51" s="8">
        <f>X51/$C52*$B52</f>
        <v/>
      </c>
      <c r="AE51" s="8">
        <f>Y51/$C52*$B52</f>
        <v/>
      </c>
      <c r="AF51" s="8">
        <f>Z51/$C52*$B52</f>
        <v/>
      </c>
      <c r="AG51" s="8">
        <f>AA51/$C52*$B52</f>
        <v/>
      </c>
      <c r="AH51" s="11">
        <f>AB51/$C52*$B52</f>
        <v/>
      </c>
      <c r="AI51" s="8">
        <f>SUM(AD51:AG51)</f>
        <v/>
      </c>
      <c r="AJ51" s="9">
        <f>AI51+AJ52</f>
        <v/>
      </c>
      <c r="AL51" s="7">
        <f>B51-AJ51</f>
        <v/>
      </c>
      <c r="AM51" s="42">
        <f>_xlfn.STDEV.S(AL51:AL70)</f>
        <v/>
      </c>
      <c r="AS51" s="7" t="n"/>
    </row>
    <row r="52" ht="16" customHeight="1">
      <c r="A52" s="10" t="n">
        <v>46167</v>
      </c>
      <c r="B52" s="20" t="n">
        <v>1886.03</v>
      </c>
      <c r="C52" s="4" t="n">
        <v>8915558.238224469</v>
      </c>
      <c r="F52" s="4" t="n">
        <v>218800</v>
      </c>
      <c r="G52" s="4" t="n">
        <v>7706031024</v>
      </c>
      <c r="H52" s="4" t="n">
        <v>158700</v>
      </c>
      <c r="I52" s="4" t="n">
        <v>4107412004</v>
      </c>
      <c r="J52" s="4" t="n">
        <v>32800</v>
      </c>
      <c r="K52" s="4" t="n">
        <v>2272318410</v>
      </c>
      <c r="L52" s="4" t="n">
        <v>95700</v>
      </c>
      <c r="M52" s="4" t="n">
        <v>1793300377</v>
      </c>
      <c r="N52" s="4" t="n">
        <v>173800</v>
      </c>
      <c r="O52" s="4" t="n">
        <v>591611334</v>
      </c>
      <c r="Q52" s="12" t="n"/>
      <c r="R52" s="3">
        <f>G52*F52-G53*F53</f>
        <v/>
      </c>
      <c r="S52" s="3">
        <f>I52*H52-I53*H53</f>
        <v/>
      </c>
      <c r="T52" s="3">
        <f>K52*J52-K53*J53</f>
        <v/>
      </c>
      <c r="U52" s="3">
        <f>M52*L52-M53*L53</f>
        <v/>
      </c>
      <c r="V52" s="3">
        <f>O52*N52-O53*N53</f>
        <v/>
      </c>
      <c r="X52" s="2">
        <f>R52/10^9</f>
        <v/>
      </c>
      <c r="Y52" s="2">
        <f>S52/10^9</f>
        <v/>
      </c>
      <c r="Z52" s="2">
        <f>T52/10^9</f>
        <v/>
      </c>
      <c r="AA52" s="2">
        <f>U52/10^9</f>
        <v/>
      </c>
      <c r="AB52" s="2">
        <f>V52/10^9</f>
        <v/>
      </c>
      <c r="AD52" s="8">
        <f>X52/$C53*$B53</f>
        <v/>
      </c>
      <c r="AE52" s="8">
        <f>Y52/$C53*$B53</f>
        <v/>
      </c>
      <c r="AF52" s="8">
        <f>Z52/$C53*$B53</f>
        <v/>
      </c>
      <c r="AG52" s="8">
        <f>AA52/$C53*$B53</f>
        <v/>
      </c>
      <c r="AH52" s="11">
        <f>AB52/$C53*$B53</f>
        <v/>
      </c>
      <c r="AI52" s="8">
        <f>SUM(AD52:AG52)</f>
        <v/>
      </c>
      <c r="AJ52" s="9">
        <f>AI52+AJ53</f>
        <v/>
      </c>
      <c r="AL52" s="7">
        <f>B52-AJ52</f>
        <v/>
      </c>
      <c r="AM52" s="42">
        <f>_xlfn.STDEV.S(AL52:AL71)</f>
        <v/>
      </c>
      <c r="AS52" s="7" t="n"/>
    </row>
    <row r="53" ht="16" customHeight="1">
      <c r="A53" s="10" t="n">
        <v>46164</v>
      </c>
      <c r="B53" s="20" t="n">
        <v>1877.13</v>
      </c>
      <c r="C53" s="4" t="n">
        <v>8873573.928207939</v>
      </c>
      <c r="F53" s="4" t="n">
        <v>216500</v>
      </c>
      <c r="G53" s="4" t="n">
        <v>7706031024</v>
      </c>
      <c r="H53" s="4" t="n">
        <v>153800</v>
      </c>
      <c r="I53" s="4" t="n">
        <v>4107412004</v>
      </c>
      <c r="J53" s="4" t="n">
        <v>31700</v>
      </c>
      <c r="K53" s="4" t="n">
        <v>2272318410</v>
      </c>
      <c r="L53" s="4" t="n">
        <v>93400</v>
      </c>
      <c r="M53" s="4" t="n">
        <v>1793300377</v>
      </c>
      <c r="N53" s="4" t="n">
        <v>170100</v>
      </c>
      <c r="O53" s="23" t="n">
        <v>591611334</v>
      </c>
      <c r="Q53" s="12" t="n"/>
      <c r="R53" s="3">
        <f>G53*F53-G54*F54</f>
        <v/>
      </c>
      <c r="S53" s="3">
        <f>I53*H53-I54*H54</f>
        <v/>
      </c>
      <c r="T53" s="3">
        <f>K53*J53-K54*J54</f>
        <v/>
      </c>
      <c r="U53" s="3">
        <f>M53*L53-M54*L54</f>
        <v/>
      </c>
      <c r="V53" s="3">
        <f>O53*N53-O54*N54</f>
        <v/>
      </c>
      <c r="X53" s="2">
        <f>R53/10^9</f>
        <v/>
      </c>
      <c r="Y53" s="2">
        <f>S53/10^9</f>
        <v/>
      </c>
      <c r="Z53" s="2">
        <f>T53/10^9</f>
        <v/>
      </c>
      <c r="AA53" s="2">
        <f>U53/10^9</f>
        <v/>
      </c>
      <c r="AB53" s="2">
        <f>V53/10^9</f>
        <v/>
      </c>
      <c r="AD53" s="8">
        <f>X53/$C54*$B54</f>
        <v/>
      </c>
      <c r="AE53" s="8">
        <f>Y53/$C54*$B54</f>
        <v/>
      </c>
      <c r="AF53" s="8">
        <f>Z53/$C54*$B54</f>
        <v/>
      </c>
      <c r="AG53" s="8">
        <f>AA53/$C54*$B54</f>
        <v/>
      </c>
      <c r="AH53" s="11">
        <f>AB53/$C54*$B54</f>
        <v/>
      </c>
      <c r="AI53" s="8">
        <f>SUM(AD53:AG53)</f>
        <v/>
      </c>
      <c r="AJ53" s="9">
        <f>AI53+AJ54</f>
        <v/>
      </c>
      <c r="AL53" s="7">
        <f>B53-AJ53</f>
        <v/>
      </c>
      <c r="AM53" s="42">
        <f>_xlfn.STDEV.S(AL53:AL72)</f>
        <v/>
      </c>
      <c r="AN53" s="7" t="n"/>
      <c r="AO53" s="26" t="n"/>
      <c r="AP53" s="7" t="n"/>
      <c r="AQ53" s="7" t="n"/>
      <c r="AR53" s="26" t="n"/>
      <c r="AS53" s="7" t="n"/>
      <c r="AT53" s="7" t="n"/>
    </row>
    <row r="54" ht="16" customHeight="1">
      <c r="A54" s="10" t="n">
        <v>46163</v>
      </c>
      <c r="B54" s="20" t="n">
        <v>1896.89</v>
      </c>
      <c r="C54" s="4" t="n">
        <v>8965649.628254941</v>
      </c>
      <c r="F54" s="4" t="n">
        <v>218700</v>
      </c>
      <c r="G54" s="4" t="n">
        <v>7706031024</v>
      </c>
      <c r="H54" s="4" t="n">
        <v>159800</v>
      </c>
      <c r="I54" s="4" t="n">
        <v>4107412004</v>
      </c>
      <c r="J54" s="4" t="n">
        <v>32800</v>
      </c>
      <c r="K54" s="4" t="n">
        <v>2272318410</v>
      </c>
      <c r="L54" s="4" t="n">
        <v>93500</v>
      </c>
      <c r="M54" s="4" t="n">
        <v>1793300377</v>
      </c>
      <c r="N54" s="4" t="n">
        <v>173500</v>
      </c>
      <c r="O54" s="23" t="n">
        <v>591611334</v>
      </c>
      <c r="Q54" s="12" t="n"/>
      <c r="R54" s="3">
        <f>G54*F54-G55*F55</f>
        <v/>
      </c>
      <c r="S54" s="3">
        <f>I54*H54-I55*H55</f>
        <v/>
      </c>
      <c r="T54" s="3">
        <f>K54*J54-K55*J55</f>
        <v/>
      </c>
      <c r="U54" s="3">
        <f>M54*L54-M55*L55</f>
        <v/>
      </c>
      <c r="V54" s="3">
        <f>O54*N54-O55*N55</f>
        <v/>
      </c>
      <c r="X54" s="2">
        <f>R54/10^9</f>
        <v/>
      </c>
      <c r="Y54" s="2">
        <f>S54/10^9</f>
        <v/>
      </c>
      <c r="Z54" s="2">
        <f>T54/10^9</f>
        <v/>
      </c>
      <c r="AA54" s="2">
        <f>U54/10^9</f>
        <v/>
      </c>
      <c r="AB54" s="2">
        <f>V54/10^9</f>
        <v/>
      </c>
      <c r="AD54" s="8">
        <f>X54/$C55*$B55</f>
        <v/>
      </c>
      <c r="AE54" s="8">
        <f>Y54/$C55*$B55</f>
        <v/>
      </c>
      <c r="AF54" s="8">
        <f>Z54/$C55*$B55</f>
        <v/>
      </c>
      <c r="AG54" s="8">
        <f>AA54/$C55*$B55</f>
        <v/>
      </c>
      <c r="AH54" s="11">
        <f>AB54/$C55*$B55</f>
        <v/>
      </c>
      <c r="AI54" s="8">
        <f>SUM(AD54:AG54)</f>
        <v/>
      </c>
      <c r="AJ54" s="9">
        <f>AI54+AJ55</f>
        <v/>
      </c>
      <c r="AL54" s="7">
        <f>B54-AJ54</f>
        <v/>
      </c>
      <c r="AM54" s="42">
        <f>_xlfn.STDEV.S(AL54:AL73)</f>
        <v/>
      </c>
    </row>
    <row r="55" ht="16" customHeight="1">
      <c r="A55" s="10" t="n">
        <v>46162</v>
      </c>
      <c r="B55" s="20" t="n">
        <v>1913.23</v>
      </c>
      <c r="C55" s="4" t="n">
        <v>9042676.858248221</v>
      </c>
      <c r="F55" s="4" t="n">
        <v>226700</v>
      </c>
      <c r="G55" s="4" t="n">
        <v>7706031024</v>
      </c>
      <c r="H55" s="4" t="n">
        <v>159900</v>
      </c>
      <c r="I55" s="4" t="n">
        <v>4107412004</v>
      </c>
      <c r="J55" s="4" t="n">
        <v>33500</v>
      </c>
      <c r="K55" s="4" t="n">
        <v>2272318410</v>
      </c>
      <c r="L55" s="4" t="n">
        <v>91600</v>
      </c>
      <c r="M55" s="4" t="n">
        <v>1793300377</v>
      </c>
      <c r="N55" s="4" t="n">
        <v>170600</v>
      </c>
      <c r="O55" s="23" t="n">
        <v>591611334</v>
      </c>
      <c r="Q55" s="12" t="n"/>
      <c r="R55" s="3">
        <f>G55*F55-G56*F56</f>
        <v/>
      </c>
      <c r="S55" s="3">
        <f>I55*H55-I56*H56</f>
        <v/>
      </c>
      <c r="T55" s="3">
        <f>K55*J55-K56*J56</f>
        <v/>
      </c>
      <c r="U55" s="3">
        <f>M55*L55-M56*L56</f>
        <v/>
      </c>
      <c r="V55" s="3">
        <f>O55*N55-O56*N56</f>
        <v/>
      </c>
      <c r="X55" s="2">
        <f>R55/10^9</f>
        <v/>
      </c>
      <c r="Y55" s="2">
        <f>S55/10^9</f>
        <v/>
      </c>
      <c r="Z55" s="2">
        <f>T55/10^9</f>
        <v/>
      </c>
      <c r="AA55" s="2">
        <f>U55/10^9</f>
        <v/>
      </c>
      <c r="AB55" s="2">
        <f>V55/10^9</f>
        <v/>
      </c>
      <c r="AD55" s="8">
        <f>X55/$C56*$B56</f>
        <v/>
      </c>
      <c r="AE55" s="8">
        <f>Y55/$C56*$B56</f>
        <v/>
      </c>
      <c r="AF55" s="8">
        <f>Z55/$C56*$B56</f>
        <v/>
      </c>
      <c r="AG55" s="8">
        <f>AA55/$C56*$B56</f>
        <v/>
      </c>
      <c r="AH55" s="11">
        <f>AB55/$C56*$B56</f>
        <v/>
      </c>
      <c r="AI55" s="8">
        <f>SUM(AD55:AG55)</f>
        <v/>
      </c>
      <c r="AJ55" s="9">
        <f>AI55+AJ56</f>
        <v/>
      </c>
      <c r="AL55" s="7">
        <f>B55-AJ55</f>
        <v/>
      </c>
      <c r="AM55" s="42">
        <f>_xlfn.STDEV.S(AL55:AL74)</f>
        <v/>
      </c>
    </row>
    <row r="56" ht="16" customHeight="1">
      <c r="A56" s="10" t="n">
        <v>46161</v>
      </c>
      <c r="B56" s="20" t="n">
        <v>1912.93</v>
      </c>
      <c r="C56" s="4" t="n">
        <v>9041650.286016971</v>
      </c>
      <c r="F56" s="4" t="n">
        <v>225100</v>
      </c>
      <c r="G56" s="4" t="n">
        <v>7706031024</v>
      </c>
      <c r="H56" s="4" t="n">
        <v>157000</v>
      </c>
      <c r="I56" s="4" t="n">
        <v>4107412004</v>
      </c>
      <c r="J56" s="4" t="n">
        <v>33500</v>
      </c>
      <c r="K56" s="4" t="n">
        <v>2272318410</v>
      </c>
      <c r="L56" s="4" t="n">
        <v>91500</v>
      </c>
      <c r="M56" s="4" t="n">
        <v>1793300377</v>
      </c>
      <c r="N56" s="4" t="n">
        <v>172000</v>
      </c>
      <c r="O56" s="23" t="n">
        <v>591611334</v>
      </c>
      <c r="Q56" s="12" t="n"/>
      <c r="R56" s="3">
        <f>G56*F56-G57*F57</f>
        <v/>
      </c>
      <c r="S56" s="3">
        <f>I56*H56-I57*H57</f>
        <v/>
      </c>
      <c r="T56" s="3">
        <f>K56*J56-K57*J57</f>
        <v/>
      </c>
      <c r="U56" s="3">
        <f>M56*L56-M57*L57</f>
        <v/>
      </c>
      <c r="V56" s="3">
        <f>O56*N56-O57*N57</f>
        <v/>
      </c>
      <c r="X56" s="2">
        <f>R56/10^9</f>
        <v/>
      </c>
      <c r="Y56" s="2">
        <f>S56/10^9</f>
        <v/>
      </c>
      <c r="Z56" s="2">
        <f>T56/10^9</f>
        <v/>
      </c>
      <c r="AA56" s="2">
        <f>U56/10^9</f>
        <v/>
      </c>
      <c r="AB56" s="2">
        <f>V56/10^9</f>
        <v/>
      </c>
      <c r="AD56" s="8">
        <f>X56/$C57*$B57</f>
        <v/>
      </c>
      <c r="AE56" s="8">
        <f>Y56/$C57*$B57</f>
        <v/>
      </c>
      <c r="AF56" s="8">
        <f>Z56/$C57*$B57</f>
        <v/>
      </c>
      <c r="AG56" s="8">
        <f>AA56/$C57*$B57</f>
        <v/>
      </c>
      <c r="AH56" s="11">
        <f>AB56/$C57*$B57</f>
        <v/>
      </c>
      <c r="AI56" s="8">
        <f>SUM(AD56:AG56)</f>
        <v/>
      </c>
      <c r="AJ56" s="9">
        <f>AI56+AJ57</f>
        <v/>
      </c>
      <c r="AL56" s="7">
        <f>B56-AJ56</f>
        <v/>
      </c>
      <c r="AM56" s="42">
        <f>_xlfn.STDEV.S(AL56:AL75)</f>
        <v/>
      </c>
    </row>
    <row r="57" ht="16" customHeight="1">
      <c r="A57" s="10" t="n">
        <v>46160</v>
      </c>
      <c r="B57" s="20" t="n">
        <v>1927.94</v>
      </c>
      <c r="C57" s="4" t="n">
        <v>9113352.238278961</v>
      </c>
      <c r="F57" s="4" t="n">
        <v>225000</v>
      </c>
      <c r="G57" s="4" t="n">
        <v>7706031024</v>
      </c>
      <c r="H57" s="4" t="n">
        <v>154000</v>
      </c>
      <c r="I57" s="4" t="n">
        <v>4107412004</v>
      </c>
      <c r="J57" s="4" t="n">
        <v>33100</v>
      </c>
      <c r="K57" s="4" t="n">
        <v>2272318410</v>
      </c>
      <c r="L57" s="4" t="n">
        <v>90400</v>
      </c>
      <c r="M57" s="4" t="n">
        <v>1793300377</v>
      </c>
      <c r="N57" s="4" t="n">
        <v>171100</v>
      </c>
      <c r="O57" s="23" t="n">
        <v>591611334</v>
      </c>
      <c r="Q57" s="12" t="n"/>
      <c r="R57" s="3">
        <f>G57*F57-G58*F58</f>
        <v/>
      </c>
      <c r="S57" s="3">
        <f>I57*H57-I58*H58</f>
        <v/>
      </c>
      <c r="T57" s="3">
        <f>K57*J57-K58*J58</f>
        <v/>
      </c>
      <c r="U57" s="3">
        <f>M57*L57-M58*L58</f>
        <v/>
      </c>
      <c r="V57" s="3">
        <f>O57*N57-O58*N58</f>
        <v/>
      </c>
      <c r="X57" s="2">
        <f>R57/10^9</f>
        <v/>
      </c>
      <c r="Y57" s="2">
        <f>S57/10^9</f>
        <v/>
      </c>
      <c r="Z57" s="2">
        <f>T57/10^9</f>
        <v/>
      </c>
      <c r="AA57" s="2">
        <f>U57/10^9</f>
        <v/>
      </c>
      <c r="AB57" s="2">
        <f>V57/10^9</f>
        <v/>
      </c>
      <c r="AD57" s="8">
        <f>X57/$C58*$B58</f>
        <v/>
      </c>
      <c r="AE57" s="8">
        <f>Y57/$C58*$B58</f>
        <v/>
      </c>
      <c r="AF57" s="8">
        <f>Z57/$C58*$B58</f>
        <v/>
      </c>
      <c r="AG57" s="8">
        <f>AA57/$C58*$B58</f>
        <v/>
      </c>
      <c r="AH57" s="11">
        <f>AB57/$C58*$B58</f>
        <v/>
      </c>
      <c r="AI57" s="8">
        <f>SUM(AD57:AG57)</f>
        <v/>
      </c>
      <c r="AJ57" s="9">
        <f>AI57+AJ58</f>
        <v/>
      </c>
      <c r="AL57" s="7">
        <f>B57-AJ57</f>
        <v/>
      </c>
      <c r="AM57" s="42">
        <f>_xlfn.STDEV.S(AL57:AL76)</f>
        <v/>
      </c>
    </row>
    <row r="58" ht="16" customHeight="1">
      <c r="A58" s="10" t="n">
        <v>46157</v>
      </c>
      <c r="B58" s="20" t="n">
        <v>1921.6</v>
      </c>
      <c r="C58" s="4" t="n">
        <v>9083722.197564879</v>
      </c>
      <c r="F58" s="4" t="n">
        <v>228000</v>
      </c>
      <c r="G58" s="4" t="n">
        <v>7706031024</v>
      </c>
      <c r="H58" s="4" t="n">
        <v>158000</v>
      </c>
      <c r="I58" s="4" t="n">
        <v>4107412004</v>
      </c>
      <c r="J58" s="4" t="n">
        <v>34000</v>
      </c>
      <c r="K58" s="4" t="n">
        <v>2272318410</v>
      </c>
      <c r="L58" s="4" t="n">
        <v>88400</v>
      </c>
      <c r="M58" s="4" t="n">
        <v>1793300377</v>
      </c>
      <c r="N58" s="4" t="n">
        <v>171300</v>
      </c>
      <c r="O58" s="23" t="n">
        <v>591611334</v>
      </c>
      <c r="Q58" s="12" t="n"/>
      <c r="R58" s="3">
        <f>G58*F58-G59*F59</f>
        <v/>
      </c>
      <c r="S58" s="3">
        <f>I58*H58-I59*H59</f>
        <v/>
      </c>
      <c r="T58" s="3">
        <f>K58*J58-K59*J59</f>
        <v/>
      </c>
      <c r="U58" s="3">
        <f>M58*L58-M59*L59</f>
        <v/>
      </c>
      <c r="V58" s="3">
        <f>O58*N58-O59*N59</f>
        <v/>
      </c>
      <c r="X58" s="2">
        <f>R58/10^9</f>
        <v/>
      </c>
      <c r="Y58" s="2">
        <f>S58/10^9</f>
        <v/>
      </c>
      <c r="Z58" s="2">
        <f>T58/10^9</f>
        <v/>
      </c>
      <c r="AA58" s="2">
        <f>U58/10^9</f>
        <v/>
      </c>
      <c r="AB58" s="2">
        <f>V58/10^9</f>
        <v/>
      </c>
      <c r="AD58" s="8">
        <f>X58/$C59*$B59</f>
        <v/>
      </c>
      <c r="AE58" s="8">
        <f>Y58/$C59*$B59</f>
        <v/>
      </c>
      <c r="AF58" s="8">
        <f>Z58/$C59*$B59</f>
        <v/>
      </c>
      <c r="AG58" s="8">
        <f>AA58/$C59*$B59</f>
        <v/>
      </c>
      <c r="AH58" s="11">
        <f>AB58/$C59*$B59</f>
        <v/>
      </c>
      <c r="AI58" s="8">
        <f>SUM(AD58:AG58)</f>
        <v/>
      </c>
      <c r="AJ58" s="9">
        <f>AI58+AJ59</f>
        <v/>
      </c>
      <c r="AL58" s="7">
        <f>B58-AJ58</f>
        <v/>
      </c>
      <c r="AM58" s="42">
        <f>_xlfn.STDEV.S(AL58:AL77)</f>
        <v/>
      </c>
    </row>
    <row r="59" ht="16" customHeight="1">
      <c r="A59" s="10" t="n">
        <v>46156</v>
      </c>
      <c r="B59" s="20" t="n">
        <v>1925.46</v>
      </c>
      <c r="C59" s="4" t="n">
        <v>9102225.718548929</v>
      </c>
      <c r="F59" s="4" t="n">
        <v>229800</v>
      </c>
      <c r="G59" s="4" t="n">
        <v>7706031024</v>
      </c>
      <c r="H59" s="4" t="n">
        <v>157000</v>
      </c>
      <c r="I59" s="4" t="n">
        <v>4107412004</v>
      </c>
      <c r="J59" s="4" t="n">
        <v>34150</v>
      </c>
      <c r="K59" s="4" t="n">
        <v>2272318410</v>
      </c>
      <c r="L59" s="4" t="n">
        <v>89800</v>
      </c>
      <c r="M59" s="4" t="n">
        <v>1793300377</v>
      </c>
      <c r="N59" s="4" t="n">
        <v>173100</v>
      </c>
      <c r="O59" s="23" t="n">
        <v>591611334</v>
      </c>
      <c r="Q59" s="12" t="n"/>
      <c r="R59" s="3">
        <f>G59*F59-G60*F60</f>
        <v/>
      </c>
      <c r="S59" s="3">
        <f>I59*H59-I60*H60</f>
        <v/>
      </c>
      <c r="T59" s="3">
        <f>K59*J59-K60*J60</f>
        <v/>
      </c>
      <c r="U59" s="3">
        <f>M59*L59-M60*L60</f>
        <v/>
      </c>
      <c r="V59" s="3">
        <f>O59*N59-O60*N60</f>
        <v/>
      </c>
      <c r="X59" s="2">
        <f>R59/10^9</f>
        <v/>
      </c>
      <c r="Y59" s="2">
        <f>S59/10^9</f>
        <v/>
      </c>
      <c r="Z59" s="2">
        <f>T59/10^9</f>
        <v/>
      </c>
      <c r="AA59" s="2">
        <f>U59/10^9</f>
        <v/>
      </c>
      <c r="AB59" s="2">
        <f>V59/10^9</f>
        <v/>
      </c>
      <c r="AD59" s="8">
        <f>X59/$C60*$B60</f>
        <v/>
      </c>
      <c r="AE59" s="8">
        <f>Y59/$C60*$B60</f>
        <v/>
      </c>
      <c r="AF59" s="8">
        <f>Z59/$C60*$B60</f>
        <v/>
      </c>
      <c r="AG59" s="8">
        <f>AA59/$C60*$B60</f>
        <v/>
      </c>
      <c r="AH59" s="11">
        <f>AB59/$C60*$B60</f>
        <v/>
      </c>
      <c r="AI59" s="8">
        <f>SUM(AD59:AG59)</f>
        <v/>
      </c>
      <c r="AJ59" s="9">
        <f>AI59+AJ60</f>
        <v/>
      </c>
      <c r="AL59" s="7">
        <f>B59-AJ59</f>
        <v/>
      </c>
      <c r="AM59" s="42">
        <f>_xlfn.STDEV.S(AL59:AL78)</f>
        <v/>
      </c>
    </row>
    <row r="60" ht="16" customHeight="1">
      <c r="A60" s="10" t="n">
        <v>46155</v>
      </c>
      <c r="B60" s="20" t="n">
        <v>1898.37</v>
      </c>
      <c r="C60" s="4" t="n">
        <v>8974456.50486117</v>
      </c>
      <c r="F60" s="4" t="n">
        <v>221000</v>
      </c>
      <c r="G60" s="4" t="n">
        <v>7706031024</v>
      </c>
      <c r="H60" s="4" t="n">
        <v>152500</v>
      </c>
      <c r="I60" s="4" t="n">
        <v>4107412004</v>
      </c>
      <c r="J60" s="4" t="n">
        <v>33000</v>
      </c>
      <c r="K60" s="4" t="n">
        <v>2272318410</v>
      </c>
      <c r="L60" s="4" t="n">
        <v>90000</v>
      </c>
      <c r="M60" s="4" t="n">
        <v>1793300377</v>
      </c>
      <c r="N60" s="4" t="n">
        <v>173100</v>
      </c>
      <c r="O60" s="23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</row>
    <row r="61" ht="16" customHeight="1">
      <c r="A61" s="10" t="n">
        <v>46154</v>
      </c>
      <c r="B61" s="20" t="n">
        <v>1901.1</v>
      </c>
      <c r="C61" s="4" t="n">
        <v>8987349.16316486</v>
      </c>
      <c r="F61" s="4" t="n">
        <v>222000</v>
      </c>
      <c r="G61" s="4" t="n">
        <v>7706031024</v>
      </c>
      <c r="H61" s="4" t="n">
        <v>160200</v>
      </c>
      <c r="I61" s="4" t="n">
        <v>4107412004</v>
      </c>
      <c r="J61" s="4" t="n">
        <v>35450</v>
      </c>
      <c r="K61" s="4" t="n">
        <v>2272318410</v>
      </c>
      <c r="L61" s="4" t="n">
        <v>89500</v>
      </c>
      <c r="M61" s="4" t="n">
        <v>1793300377</v>
      </c>
      <c r="N61" s="4" t="n">
        <v>175000</v>
      </c>
      <c r="O61" s="23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</row>
    <row r="62" ht="16" customHeight="1">
      <c r="A62" s="10" t="n">
        <v>46153</v>
      </c>
      <c r="B62" s="20" t="n">
        <v>1895.5</v>
      </c>
      <c r="C62" s="4" t="n">
        <v>8960952.126969529</v>
      </c>
      <c r="F62" s="4" t="n">
        <v>223000</v>
      </c>
      <c r="G62" s="4" t="n">
        <v>7706031024</v>
      </c>
      <c r="H62" s="4" t="n">
        <v>161000</v>
      </c>
      <c r="I62" s="4" t="n">
        <v>4107412004</v>
      </c>
      <c r="J62" s="4" t="n">
        <v>33600</v>
      </c>
      <c r="K62" s="4" t="n">
        <v>2272318410</v>
      </c>
      <c r="L62" s="4" t="n">
        <v>89000</v>
      </c>
      <c r="M62" s="4" t="n">
        <v>1793300377</v>
      </c>
      <c r="N62" s="4" t="n">
        <v>170500</v>
      </c>
      <c r="O62" s="23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</row>
    <row r="63" ht="16" customHeight="1">
      <c r="A63" s="10" t="n">
        <v>46150</v>
      </c>
      <c r="B63" s="20" t="n">
        <v>1915.37</v>
      </c>
      <c r="C63" s="4" t="n">
        <v>9054824.23534145</v>
      </c>
      <c r="F63" s="4" t="n">
        <v>226000</v>
      </c>
      <c r="G63" s="4" t="n">
        <v>7706031024</v>
      </c>
      <c r="H63" s="4" t="n">
        <v>164000</v>
      </c>
      <c r="I63" s="4" t="n">
        <v>4107412004</v>
      </c>
      <c r="J63" s="4" t="n">
        <v>35900</v>
      </c>
      <c r="K63" s="4" t="n">
        <v>2272318410</v>
      </c>
      <c r="L63" s="4" t="n">
        <v>91500</v>
      </c>
      <c r="M63" s="4" t="n">
        <v>1793300377</v>
      </c>
      <c r="N63" s="21" t="n">
        <v>176200</v>
      </c>
      <c r="O63" s="23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AN63" s="7" t="n"/>
    </row>
    <row r="64" ht="16" customHeight="1">
      <c r="A64" s="10" t="n">
        <v>46149</v>
      </c>
      <c r="B64" s="20" t="n">
        <v>1909.01</v>
      </c>
      <c r="C64" s="4" t="n">
        <v>9024951.97586089</v>
      </c>
      <c r="F64" s="4" t="n">
        <v>224000</v>
      </c>
      <c r="G64" s="4" t="n">
        <v>7706031024</v>
      </c>
      <c r="H64" s="4" t="n">
        <v>161500</v>
      </c>
      <c r="I64" s="4" t="n">
        <v>4107412004</v>
      </c>
      <c r="J64" s="4" t="n">
        <v>36500</v>
      </c>
      <c r="K64" s="4" t="n">
        <v>2272318410</v>
      </c>
      <c r="L64" s="4" t="n">
        <v>91500</v>
      </c>
      <c r="M64" s="4" t="n">
        <v>1793300377</v>
      </c>
      <c r="N64" s="21" t="n">
        <v>182000</v>
      </c>
      <c r="O64" s="23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6" customHeight="1">
      <c r="A65" s="10" t="n">
        <v>46148</v>
      </c>
      <c r="B65" s="20" t="n">
        <v>1891.2</v>
      </c>
      <c r="C65" s="4" t="n">
        <v>8940790.374977149</v>
      </c>
      <c r="F65" s="4" t="n">
        <v>219500</v>
      </c>
      <c r="G65" s="4" t="n">
        <v>7706031024</v>
      </c>
      <c r="H65" s="4" t="n">
        <v>151000</v>
      </c>
      <c r="I65" s="4" t="n">
        <v>4107412004</v>
      </c>
      <c r="J65" s="4" t="n">
        <v>36600</v>
      </c>
      <c r="K65" s="4" t="n">
        <v>2272318410</v>
      </c>
      <c r="L65" s="4" t="n">
        <v>90000</v>
      </c>
      <c r="M65" s="4" t="n">
        <v>1793300377</v>
      </c>
      <c r="N65" s="21" t="n">
        <v>181500</v>
      </c>
      <c r="O65" s="23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L65" s="7">
        <f>B65-AJ65</f>
        <v/>
      </c>
      <c r="AM65" s="42">
        <f>_xlfn.STDEV.S(AL65:AL84)</f>
        <v/>
      </c>
    </row>
    <row r="66" ht="16" customHeight="1">
      <c r="A66" s="10" t="n">
        <v>46147</v>
      </c>
      <c r="B66" s="20" t="n">
        <v>1874.85</v>
      </c>
      <c r="C66" s="4" t="n">
        <v>8863627.14114256</v>
      </c>
      <c r="F66" s="4" t="n">
        <v>219500</v>
      </c>
      <c r="G66" s="4" t="n">
        <v>7706031024</v>
      </c>
      <c r="H66" s="4" t="n">
        <v>151200</v>
      </c>
      <c r="I66" s="4" t="n">
        <v>4107412004</v>
      </c>
      <c r="J66" s="4" t="n">
        <v>35200</v>
      </c>
      <c r="K66" s="4" t="n">
        <v>2272318410</v>
      </c>
      <c r="L66" s="4" t="n">
        <v>88000</v>
      </c>
      <c r="M66" s="4" t="n">
        <v>1793300377</v>
      </c>
      <c r="N66" s="22" t="n">
        <v>181000</v>
      </c>
      <c r="O66" s="23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L66" s="7">
        <f>B66-AJ66</f>
        <v/>
      </c>
      <c r="AM66" s="42">
        <f>_xlfn.STDEV.S(AL66:AL85)</f>
        <v/>
      </c>
    </row>
    <row r="67" ht="16" customHeight="1">
      <c r="A67" s="10" t="n">
        <v>46146</v>
      </c>
      <c r="B67" s="20" t="n">
        <v>1854.06</v>
      </c>
      <c r="C67" s="4" t="n">
        <v>8765946.872380558</v>
      </c>
      <c r="F67" s="4" t="n">
        <v>212000</v>
      </c>
      <c r="G67" s="4" t="n">
        <v>7706031024</v>
      </c>
      <c r="H67" s="4" t="n">
        <v>142000</v>
      </c>
      <c r="I67" s="4" t="n">
        <v>4107412004</v>
      </c>
      <c r="J67" s="4" t="n">
        <v>33700</v>
      </c>
      <c r="K67" s="4" t="n">
        <v>2272318410</v>
      </c>
      <c r="L67" s="4" t="n">
        <v>85200</v>
      </c>
      <c r="M67" s="4" t="n">
        <v>1793300377</v>
      </c>
      <c r="N67" s="25" t="n">
        <v>179900</v>
      </c>
      <c r="O67" s="4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L67" s="7">
        <f>B67-AJ67</f>
        <v/>
      </c>
      <c r="AM67" s="42">
        <f>_xlfn.STDEV.S(AL67:AL86)</f>
        <v/>
      </c>
    </row>
    <row r="68" ht="16" customHeight="1">
      <c r="A68" s="10" t="n">
        <v>46141</v>
      </c>
      <c r="B68" s="20" t="n">
        <v>1854.1</v>
      </c>
      <c r="C68" s="4" t="n">
        <v>8765907.759209121</v>
      </c>
      <c r="F68" s="4" t="n">
        <v>214000</v>
      </c>
      <c r="G68" s="4" t="n">
        <v>7706031024</v>
      </c>
      <c r="H68" s="4" t="n">
        <v>146000</v>
      </c>
      <c r="I68" s="4" t="n">
        <v>4107412004</v>
      </c>
      <c r="J68" s="4" t="n">
        <v>32300</v>
      </c>
      <c r="K68" s="4" t="n">
        <v>2272318410</v>
      </c>
      <c r="L68" s="4" t="n">
        <v>85700</v>
      </c>
      <c r="M68" s="4" t="n">
        <v>1793300377</v>
      </c>
      <c r="N68" s="4" t="n">
        <v>180000</v>
      </c>
      <c r="O68" s="4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L68" s="7">
        <f>B68-AJ68</f>
        <v/>
      </c>
      <c r="AM68" s="42">
        <f>_xlfn.STDEV.S(AL68:AL87)</f>
        <v/>
      </c>
      <c r="AN68" s="7">
        <f>B57-B77</f>
        <v/>
      </c>
    </row>
    <row r="69" ht="16" customHeight="1">
      <c r="A69" s="10" t="n">
        <v>46140</v>
      </c>
      <c r="B69" s="20" t="n">
        <v>1875.84</v>
      </c>
      <c r="C69" s="4" t="n">
        <v>8865335.08439764</v>
      </c>
      <c r="F69" s="4" t="n">
        <v>225500</v>
      </c>
      <c r="G69" s="4" t="n">
        <v>7706031024</v>
      </c>
      <c r="H69" s="4" t="n">
        <v>151000</v>
      </c>
      <c r="I69" s="4" t="n">
        <v>4107412004</v>
      </c>
      <c r="J69" s="4" t="n">
        <v>30800</v>
      </c>
      <c r="K69" s="4" t="n">
        <v>2272318410</v>
      </c>
      <c r="L69" s="4" t="n">
        <v>84300</v>
      </c>
      <c r="M69" s="4" t="n">
        <v>1793300377</v>
      </c>
      <c r="N69" s="4" t="n">
        <v>178700</v>
      </c>
      <c r="O69" s="4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L69" s="7">
        <f>B69-AJ69</f>
        <v/>
      </c>
      <c r="AM69" s="42">
        <f>_xlfn.STDEV.S(AL69:AL88)</f>
        <v/>
      </c>
    </row>
    <row r="70" ht="16" customHeight="1">
      <c r="A70" s="10" t="n">
        <v>46136</v>
      </c>
      <c r="B70" s="20" t="n">
        <v>1853.29</v>
      </c>
      <c r="C70" s="4" t="n">
        <v>8760306.255794588</v>
      </c>
      <c r="F70" s="4" t="n">
        <v>212100</v>
      </c>
      <c r="G70" s="4" t="n">
        <v>7706031024</v>
      </c>
      <c r="H70" s="4" t="n">
        <v>141200</v>
      </c>
      <c r="I70" s="4" t="n">
        <v>4107412004</v>
      </c>
      <c r="J70" s="4" t="n">
        <v>28800</v>
      </c>
      <c r="K70" s="4" t="n">
        <v>2272318410</v>
      </c>
      <c r="L70" s="4" t="n">
        <v>81500</v>
      </c>
      <c r="M70" s="4" t="n">
        <v>1793300377</v>
      </c>
      <c r="N70" s="4" t="n">
        <v>180500</v>
      </c>
      <c r="O70" s="4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L70" s="7">
        <f>B70-AJ70</f>
        <v/>
      </c>
      <c r="AM70" s="42">
        <f>_xlfn.STDEV.S(AL70:AL89)</f>
        <v/>
      </c>
    </row>
    <row r="71" ht="16" customHeight="1">
      <c r="A71" s="10" t="n">
        <v>46135</v>
      </c>
      <c r="B71" s="20" t="n">
        <v>1870.36</v>
      </c>
      <c r="C71" s="4" t="n">
        <v>8840593.03642956</v>
      </c>
      <c r="F71" s="4" t="n">
        <v>214500</v>
      </c>
      <c r="G71" s="4" t="n">
        <v>7706031024</v>
      </c>
      <c r="H71" s="4" t="n">
        <v>149000</v>
      </c>
      <c r="I71" s="4" t="n">
        <v>4107412004</v>
      </c>
      <c r="J71" s="4" t="n">
        <v>29050</v>
      </c>
      <c r="K71" s="4" t="n">
        <v>2272318410</v>
      </c>
      <c r="L71" s="4" t="n">
        <v>83500</v>
      </c>
      <c r="M71" s="4" t="n">
        <v>1793300377</v>
      </c>
      <c r="N71" s="4" t="n">
        <v>174900</v>
      </c>
      <c r="O71" s="4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</row>
    <row r="72" ht="16" customHeight="1">
      <c r="A72" s="10" t="n">
        <v>46134</v>
      </c>
      <c r="B72" s="20" t="n">
        <v>1857.3</v>
      </c>
      <c r="C72" s="4" t="n">
        <v>8778529.89060845</v>
      </c>
      <c r="F72" s="4" t="n">
        <v>207200</v>
      </c>
      <c r="G72" s="4" t="n">
        <v>7706031024</v>
      </c>
      <c r="H72" s="4" t="n">
        <v>150300</v>
      </c>
      <c r="I72" s="4" t="n">
        <v>4107412004</v>
      </c>
      <c r="J72" s="4" t="n">
        <v>29950</v>
      </c>
      <c r="K72" s="4" t="n">
        <v>2272318410</v>
      </c>
      <c r="L72" s="4" t="n">
        <v>83900</v>
      </c>
      <c r="M72" s="4" t="n">
        <v>1793300377</v>
      </c>
      <c r="N72" s="4" t="n">
        <v>175700</v>
      </c>
      <c r="O72" s="4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</row>
    <row r="73" ht="16" customHeight="1">
      <c r="A73" s="10" t="n">
        <v>46133</v>
      </c>
      <c r="B73" s="20" t="n">
        <v>1833.48</v>
      </c>
      <c r="C73" s="4" t="n">
        <v>8666349.02610763</v>
      </c>
      <c r="F73" s="4" t="n">
        <v>193700</v>
      </c>
      <c r="G73" s="4" t="n">
        <v>7706031024</v>
      </c>
      <c r="H73" s="4" t="n">
        <v>145800</v>
      </c>
      <c r="I73" s="4" t="n">
        <v>4107412004</v>
      </c>
      <c r="J73" s="4" t="n">
        <v>29300</v>
      </c>
      <c r="K73" s="4" t="n">
        <v>2272318410</v>
      </c>
      <c r="L73" s="4" t="n">
        <v>83700</v>
      </c>
      <c r="M73" s="4" t="n">
        <v>1793300377</v>
      </c>
      <c r="N73" s="4" t="n">
        <v>175700</v>
      </c>
      <c r="O73" s="4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</row>
    <row r="74" ht="16" customHeight="1">
      <c r="A74" s="10" t="n">
        <v>46132</v>
      </c>
      <c r="B74" s="20" t="n">
        <v>1837.11</v>
      </c>
      <c r="C74" s="4" t="n">
        <v>8683451.61297263</v>
      </c>
      <c r="F74" s="4" t="n">
        <v>191000</v>
      </c>
      <c r="G74" s="4" t="n">
        <v>7706031024</v>
      </c>
      <c r="H74" s="4" t="n">
        <v>145100</v>
      </c>
      <c r="I74" s="4" t="n">
        <v>4107412004</v>
      </c>
      <c r="J74" s="4" t="n">
        <v>29450</v>
      </c>
      <c r="K74" s="4" t="n">
        <v>2272318410</v>
      </c>
      <c r="L74" s="4" t="n">
        <v>85300</v>
      </c>
      <c r="M74" s="4" t="n">
        <v>1793300377</v>
      </c>
      <c r="N74" s="4" t="n">
        <v>175300</v>
      </c>
      <c r="O74" s="4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</row>
    <row r="75" ht="16" customFormat="1" customHeight="1" s="16">
      <c r="A75" s="10" t="n">
        <v>46129</v>
      </c>
      <c r="B75" s="20" t="n">
        <v>1817.17</v>
      </c>
      <c r="C75" s="4" t="n">
        <v>8589402.97498275</v>
      </c>
      <c r="F75" s="4" t="n">
        <v>187900</v>
      </c>
      <c r="G75" s="4" t="n">
        <v>7706031024</v>
      </c>
      <c r="H75" s="4" t="n">
        <v>135700</v>
      </c>
      <c r="I75" s="4" t="n">
        <v>4107412004</v>
      </c>
      <c r="J75" s="4" t="n">
        <v>28600</v>
      </c>
      <c r="K75" s="4" t="n">
        <v>2272318410</v>
      </c>
      <c r="L75" s="4" t="n">
        <v>82800</v>
      </c>
      <c r="M75" s="4" t="n">
        <v>1793300377</v>
      </c>
      <c r="N75" s="4" t="n">
        <v>177800</v>
      </c>
      <c r="O75" s="4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</row>
    <row r="76" ht="16" customFormat="1" customHeight="1" s="16">
      <c r="A76" s="10" t="n">
        <v>46128</v>
      </c>
      <c r="B76" s="20" t="n">
        <v>1819.83</v>
      </c>
      <c r="C76" s="4" t="n">
        <v>8601155.470317399</v>
      </c>
      <c r="F76" s="4" t="n">
        <v>189300</v>
      </c>
      <c r="G76" s="4" t="n">
        <v>7706031024</v>
      </c>
      <c r="H76" s="4" t="n">
        <v>143100</v>
      </c>
      <c r="I76" s="4" t="n">
        <v>4107412004</v>
      </c>
      <c r="J76" s="4" t="n">
        <v>29600</v>
      </c>
      <c r="K76" s="4" t="n">
        <v>2272318410</v>
      </c>
      <c r="L76" s="4" t="n">
        <v>86100</v>
      </c>
      <c r="M76" s="4" t="n">
        <v>1793300377</v>
      </c>
      <c r="N76" s="4" t="n">
        <v>178200</v>
      </c>
      <c r="O76" s="4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6" customFormat="1" customHeight="1" s="16">
      <c r="A77" s="10" t="n">
        <v>46127</v>
      </c>
      <c r="B77" s="20" t="n">
        <v>1800.65</v>
      </c>
      <c r="C77" s="4" t="n">
        <v>8511251.235415012</v>
      </c>
      <c r="F77" s="4" t="n">
        <v>177000</v>
      </c>
      <c r="G77" s="4" t="n">
        <v>7706031024</v>
      </c>
      <c r="H77" s="4" t="n">
        <v>137000</v>
      </c>
      <c r="I77" s="4" t="n">
        <v>4107412004</v>
      </c>
      <c r="J77" s="4" t="n">
        <v>29300</v>
      </c>
      <c r="K77" s="4" t="n">
        <v>2272318410</v>
      </c>
      <c r="L77" s="4" t="n">
        <v>84000</v>
      </c>
      <c r="M77" s="4" t="n">
        <v>1793300377</v>
      </c>
      <c r="N77" s="4" t="n">
        <v>178200</v>
      </c>
      <c r="O77" s="4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6" customFormat="1" customHeight="1" s="16">
      <c r="A78" s="10" t="n">
        <v>46126</v>
      </c>
      <c r="B78" s="20" t="n">
        <v>1775.65</v>
      </c>
      <c r="C78" s="4" t="n">
        <v>8393209.745484721</v>
      </c>
      <c r="F78" s="4" t="n">
        <v>165500</v>
      </c>
      <c r="G78" s="4" t="n">
        <v>7706031024</v>
      </c>
      <c r="H78" s="4" t="n">
        <v>128900</v>
      </c>
      <c r="I78" s="4" t="n">
        <v>4107412004</v>
      </c>
      <c r="J78" s="4" t="n">
        <v>27900</v>
      </c>
      <c r="K78" s="4" t="n">
        <v>2272318410</v>
      </c>
      <c r="L78" s="4" t="n">
        <v>80000</v>
      </c>
      <c r="M78" s="4" t="n">
        <v>1793300377</v>
      </c>
      <c r="N78" s="4" t="n">
        <v>166800</v>
      </c>
      <c r="O78" s="4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</row>
    <row r="79" ht="16" customFormat="1" customHeight="1" s="16">
      <c r="A79" s="10" t="n">
        <v>46125</v>
      </c>
      <c r="B79" s="20" t="n">
        <v>1758.96</v>
      </c>
      <c r="C79" s="4" t="n">
        <v>8314553.57783024</v>
      </c>
      <c r="F79" s="4" t="n">
        <v>160000</v>
      </c>
      <c r="G79" s="4" t="n">
        <v>7706031024</v>
      </c>
      <c r="H79" s="4" t="n">
        <v>122900</v>
      </c>
      <c r="I79" s="4" t="n">
        <v>4107412004</v>
      </c>
      <c r="J79" s="4" t="n">
        <v>27550</v>
      </c>
      <c r="K79" s="4" t="n">
        <v>2272318410</v>
      </c>
      <c r="L79" s="4" t="n">
        <v>80200</v>
      </c>
      <c r="M79" s="4" t="n">
        <v>1793300377</v>
      </c>
      <c r="N79" s="4" t="n">
        <v>166800</v>
      </c>
      <c r="O79" s="4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6" customFormat="1" customHeight="1" s="16">
      <c r="A80" s="10" t="n">
        <v>46122</v>
      </c>
      <c r="B80" s="20" t="n">
        <v>1750</v>
      </c>
      <c r="C80" s="4" t="n">
        <v>8272643.733016</v>
      </c>
      <c r="F80" s="4" t="n">
        <v>151700</v>
      </c>
      <c r="G80" s="4" t="n">
        <v>7706031024</v>
      </c>
      <c r="H80" s="4" t="n">
        <v>121100</v>
      </c>
      <c r="I80" s="4" t="n">
        <v>4107412004</v>
      </c>
      <c r="J80" s="4" t="n">
        <v>27500</v>
      </c>
      <c r="K80" s="4" t="n">
        <v>2272318410</v>
      </c>
      <c r="L80" s="4" t="n">
        <v>81000</v>
      </c>
      <c r="M80" s="4" t="n">
        <v>1793300377</v>
      </c>
      <c r="N80" s="4" t="n">
        <v>167000</v>
      </c>
      <c r="O80" s="4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6" customFormat="1" customHeight="1" s="16">
      <c r="A81" s="10" t="n">
        <v>46121</v>
      </c>
      <c r="B81" s="20" t="n">
        <v>1736.68</v>
      </c>
      <c r="C81" s="4" t="n">
        <v>8209717.3517341</v>
      </c>
      <c r="F81" s="4" t="n">
        <v>149200</v>
      </c>
      <c r="G81" s="4" t="n">
        <v>7706031024</v>
      </c>
      <c r="H81" s="4" t="n">
        <v>122000</v>
      </c>
      <c r="I81" s="4" t="n">
        <v>4107412004</v>
      </c>
      <c r="J81" s="4" t="n">
        <v>27600</v>
      </c>
      <c r="K81" s="4" t="n">
        <v>2272318410</v>
      </c>
      <c r="L81" s="4" t="n">
        <v>80000</v>
      </c>
      <c r="M81" s="4" t="n">
        <v>1793300377</v>
      </c>
      <c r="N81" s="4" t="n">
        <v>166000</v>
      </c>
      <c r="O81" s="4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6" customFormat="1" customHeight="1" s="16">
      <c r="A82" s="10" t="n">
        <v>46120</v>
      </c>
      <c r="B82" s="20" t="n">
        <v>1756.55</v>
      </c>
      <c r="C82" s="4" t="n">
        <v>8303640.91801735</v>
      </c>
      <c r="F82" s="4" t="n">
        <v>153400</v>
      </c>
      <c r="G82" s="4" t="n">
        <v>7706031024</v>
      </c>
      <c r="H82" s="4" t="n">
        <v>123000</v>
      </c>
      <c r="I82" s="4" t="n">
        <v>4107412004</v>
      </c>
      <c r="J82" s="4" t="n">
        <v>27600</v>
      </c>
      <c r="K82" s="4" t="n">
        <v>2272318410</v>
      </c>
      <c r="L82" s="4" t="n">
        <v>85000</v>
      </c>
      <c r="M82" s="4" t="n">
        <v>1793300377</v>
      </c>
      <c r="N82" s="4" t="n">
        <v>169500</v>
      </c>
      <c r="O82" s="4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6" customFormat="1" customHeight="1" s="16">
      <c r="A83" s="10" t="n">
        <v>46119</v>
      </c>
      <c r="B83" s="20" t="n">
        <v>1677.54</v>
      </c>
      <c r="C83" s="4" t="n">
        <v>7930022.858348081</v>
      </c>
      <c r="F83" s="4" t="n">
        <v>143400</v>
      </c>
      <c r="G83" s="4" t="n">
        <v>7706031024</v>
      </c>
      <c r="H83" s="4" t="n">
        <v>115000</v>
      </c>
      <c r="I83" s="4" t="n">
        <v>4107412004</v>
      </c>
      <c r="J83" s="4" t="n">
        <v>25800</v>
      </c>
      <c r="K83" s="4" t="n">
        <v>2272318410</v>
      </c>
      <c r="L83" s="4" t="n">
        <v>81900</v>
      </c>
      <c r="M83" s="4" t="n">
        <v>1793300377</v>
      </c>
      <c r="N83" s="4" t="n">
        <v>163500</v>
      </c>
      <c r="O83" s="4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6" customFormat="1" customHeight="1" s="16">
      <c r="A84" s="10" t="n">
        <v>46118</v>
      </c>
      <c r="B84" s="20" t="n">
        <v>1674.99</v>
      </c>
      <c r="C84" s="4" t="n">
        <v>7917445.35570239</v>
      </c>
      <c r="F84" s="4" t="n">
        <v>141600</v>
      </c>
      <c r="G84" s="4" t="n">
        <v>7706031024</v>
      </c>
      <c r="H84" s="4" t="n">
        <v>117000</v>
      </c>
      <c r="I84" s="4" t="n">
        <v>4107412004</v>
      </c>
      <c r="J84" s="4" t="n">
        <v>25750</v>
      </c>
      <c r="K84" s="4" t="n">
        <v>2272318410</v>
      </c>
      <c r="L84" s="4" t="n">
        <v>82600</v>
      </c>
      <c r="M84" s="4" t="n">
        <v>1793300377</v>
      </c>
      <c r="N84" s="4" t="n">
        <v>163300</v>
      </c>
      <c r="O84" s="4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6" customFormat="1" customHeight="1" s="16">
      <c r="A85" s="10" t="n">
        <v>46115</v>
      </c>
      <c r="B85" s="20" t="n">
        <v>1684.04</v>
      </c>
      <c r="C85" s="4" t="n">
        <v>7960415.34385849</v>
      </c>
      <c r="F85" s="4" t="n">
        <v>141000</v>
      </c>
      <c r="G85" s="4" t="n">
        <v>7706031024</v>
      </c>
      <c r="H85" s="4" t="n">
        <v>119200</v>
      </c>
      <c r="I85" s="4" t="n">
        <v>4107412004</v>
      </c>
      <c r="J85" s="4" t="n">
        <v>26500</v>
      </c>
      <c r="K85" s="4" t="n">
        <v>2272318410</v>
      </c>
      <c r="L85" s="4" t="n">
        <v>83200</v>
      </c>
      <c r="M85" s="4" t="n">
        <v>1793300377</v>
      </c>
      <c r="N85" s="4" t="n">
        <v>161100</v>
      </c>
      <c r="O85" s="4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</row>
    <row r="86" ht="16" customFormat="1" customHeight="1" s="16">
      <c r="A86" s="10" t="n">
        <v>46114</v>
      </c>
      <c r="B86" s="20" t="n">
        <v>1694.82</v>
      </c>
      <c r="C86" s="18" t="n">
        <v>8005997</v>
      </c>
      <c r="E86" s="14" t="n"/>
      <c r="F86" s="4" t="n">
        <v>139900</v>
      </c>
      <c r="G86" s="4" t="n">
        <v>7706031024</v>
      </c>
      <c r="H86" s="4" t="n">
        <v>117900</v>
      </c>
      <c r="I86" s="4" t="n">
        <v>4107412004</v>
      </c>
      <c r="J86" s="4" t="n">
        <v>27200</v>
      </c>
      <c r="K86" s="4" t="n">
        <v>2272318410</v>
      </c>
      <c r="L86" s="4" t="n">
        <v>83900</v>
      </c>
      <c r="M86" s="4" t="n">
        <v>1793300377</v>
      </c>
      <c r="N86" s="4" t="n">
        <v>165500</v>
      </c>
      <c r="O86" s="4" t="n">
        <v>591611334</v>
      </c>
      <c r="Q86" s="17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W86" s="3" t="n"/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C86" s="2" t="n"/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6" customFormat="1" customHeight="1" s="16">
      <c r="A87" s="10" t="n">
        <v>46113</v>
      </c>
      <c r="B87" s="20" t="n">
        <v>1702.93</v>
      </c>
      <c r="C87" s="18" t="n">
        <v>8044651</v>
      </c>
      <c r="E87" s="14" t="n"/>
      <c r="F87" s="4" t="n">
        <v>141000</v>
      </c>
      <c r="G87" s="4" t="n">
        <v>7706031024</v>
      </c>
      <c r="H87" s="4" t="n">
        <v>110200</v>
      </c>
      <c r="I87" s="4" t="n">
        <v>4107412004</v>
      </c>
      <c r="J87" s="4" t="n">
        <v>27550</v>
      </c>
      <c r="K87" s="4" t="n">
        <v>2272318410</v>
      </c>
      <c r="L87" s="4" t="n">
        <v>83900</v>
      </c>
      <c r="M87" s="4" t="n">
        <v>1793300377</v>
      </c>
      <c r="N87" s="4" t="n">
        <v>166900</v>
      </c>
      <c r="O87" s="4" t="n">
        <v>591611334</v>
      </c>
      <c r="Q87" s="17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W87" s="3" t="n"/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C87" s="2" t="n"/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6" customFormat="1" customHeight="1" s="16">
      <c r="A88" s="10" t="n">
        <v>46112</v>
      </c>
      <c r="B88" s="20" t="n">
        <v>1674.49</v>
      </c>
      <c r="C88" s="18" t="n">
        <v>7910251</v>
      </c>
      <c r="E88" s="14" t="n"/>
      <c r="F88" s="4" t="n">
        <v>135000</v>
      </c>
      <c r="G88" s="4" t="n">
        <v>7706031024</v>
      </c>
      <c r="H88" s="4" t="n">
        <v>103000</v>
      </c>
      <c r="I88" s="4" t="n">
        <v>4107412004</v>
      </c>
      <c r="J88" s="4" t="n">
        <v>25750</v>
      </c>
      <c r="K88" s="4" t="n">
        <v>2272318410</v>
      </c>
      <c r="L88" s="4" t="n">
        <v>83400</v>
      </c>
      <c r="M88" s="4" t="n">
        <v>1793300377</v>
      </c>
      <c r="N88" s="4" t="n">
        <v>156000</v>
      </c>
      <c r="O88" s="4" t="n">
        <v>591611334</v>
      </c>
      <c r="Q88" s="17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W88" s="3" t="n"/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C88" s="2" t="n"/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6" customFormat="1" customHeight="1" s="16">
      <c r="A89" s="10" t="n">
        <v>46111</v>
      </c>
      <c r="B89" s="20" t="n">
        <v>1662.54</v>
      </c>
      <c r="C89" s="18" t="n">
        <v>7853859</v>
      </c>
      <c r="E89" s="14" t="n"/>
      <c r="F89" s="4" t="n">
        <v>129500</v>
      </c>
      <c r="G89" s="4" t="n">
        <v>7706031024</v>
      </c>
      <c r="H89" s="4" t="n">
        <v>103000</v>
      </c>
      <c r="I89" s="4" t="n">
        <v>4107412004</v>
      </c>
      <c r="J89" s="4" t="n">
        <v>25650</v>
      </c>
      <c r="K89" s="4" t="n">
        <v>2272318410</v>
      </c>
      <c r="L89" s="4" t="n">
        <v>83300</v>
      </c>
      <c r="M89" s="4" t="n">
        <v>1793300377</v>
      </c>
      <c r="N89" s="4" t="n">
        <v>157100</v>
      </c>
      <c r="O89" s="4" t="n">
        <v>591611334</v>
      </c>
      <c r="Q89" s="17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W89" s="3" t="n"/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C89" s="2" t="n"/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6" customFormat="1" customHeight="1" s="16">
      <c r="A90" s="10" t="n">
        <v>46108</v>
      </c>
      <c r="B90" s="20" t="n">
        <v>1672.8</v>
      </c>
      <c r="C90" s="18" t="n">
        <v>7903157</v>
      </c>
      <c r="E90" s="14" t="n"/>
      <c r="F90" s="4" t="n">
        <v>132600</v>
      </c>
      <c r="G90" s="4" t="n">
        <v>7706031024</v>
      </c>
      <c r="H90" s="4" t="n">
        <v>103000</v>
      </c>
      <c r="I90" s="4" t="n">
        <v>4107412004</v>
      </c>
      <c r="J90" s="4" t="n">
        <v>25750</v>
      </c>
      <c r="K90" s="4" t="n">
        <v>2272318410</v>
      </c>
      <c r="L90" s="4" t="n">
        <v>83000</v>
      </c>
      <c r="M90" s="4" t="n">
        <v>1793300377</v>
      </c>
      <c r="N90" s="4" t="n">
        <v>157000</v>
      </c>
      <c r="O90" s="4" t="n">
        <v>591611334</v>
      </c>
      <c r="Q90" s="17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W90" s="3" t="n"/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C90" s="2" t="n"/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</row>
    <row r="91" ht="16" customFormat="1" customHeight="1" s="16">
      <c r="A91" s="10" t="n">
        <v>46107</v>
      </c>
      <c r="B91" s="20" t="n">
        <v>1644.63</v>
      </c>
      <c r="C91" s="18" t="n">
        <v>7770000</v>
      </c>
      <c r="E91" s="14" t="n"/>
      <c r="F91" s="4" t="n">
        <v>130000</v>
      </c>
      <c r="G91" s="4" t="n">
        <v>7706031024</v>
      </c>
      <c r="H91" s="4" t="n">
        <v>101100</v>
      </c>
      <c r="I91" s="4" t="n">
        <v>4107412004</v>
      </c>
      <c r="J91" s="4" t="n">
        <v>25550</v>
      </c>
      <c r="K91" s="4" t="n">
        <v>2272318410</v>
      </c>
      <c r="L91" s="4" t="n">
        <v>81800</v>
      </c>
      <c r="M91" s="4" t="n">
        <v>1793300377</v>
      </c>
      <c r="N91" s="4" t="n">
        <v>155000</v>
      </c>
      <c r="O91" s="4" t="n">
        <v>591611334</v>
      </c>
      <c r="Q91" s="17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W91" s="3" t="n"/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C91" s="2" t="n"/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6" customFormat="1" customHeight="1" s="16">
      <c r="A92" s="10" t="n">
        <v>46106</v>
      </c>
      <c r="B92" s="20" t="n">
        <v>1658.19</v>
      </c>
      <c r="C92" s="18" t="n">
        <v>7823941.62864379</v>
      </c>
      <c r="E92" s="14" t="n"/>
      <c r="F92" s="4" t="n">
        <v>128700</v>
      </c>
      <c r="G92" s="4" t="n">
        <v>7706031024</v>
      </c>
      <c r="H92" s="4" t="n">
        <v>104200</v>
      </c>
      <c r="I92" s="4" t="n">
        <v>4107412004</v>
      </c>
      <c r="J92" s="4" t="n">
        <v>26350</v>
      </c>
      <c r="K92" s="4" t="n">
        <v>2272318410</v>
      </c>
      <c r="L92" s="4" t="n">
        <v>82500</v>
      </c>
      <c r="M92" s="4" t="n">
        <v>1793300377</v>
      </c>
      <c r="N92" s="4" t="n">
        <v>153000</v>
      </c>
      <c r="O92" s="4" t="n">
        <v>591611334</v>
      </c>
      <c r="Q92" s="17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W92" s="3" t="n"/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C92" s="2" t="n"/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6" customFormat="1" customHeight="1" s="16">
      <c r="A93" s="10" t="n">
        <v>46105</v>
      </c>
      <c r="B93" s="20" t="n">
        <v>1614.77</v>
      </c>
      <c r="C93" s="18" t="n">
        <v>7618930.960391601</v>
      </c>
      <c r="E93" s="14" t="n"/>
      <c r="F93" s="4" t="n">
        <v>124000</v>
      </c>
      <c r="G93" s="4" t="n">
        <v>7706031024</v>
      </c>
      <c r="H93" s="4" t="n">
        <v>99000</v>
      </c>
      <c r="I93" s="4" t="n">
        <v>4107412004</v>
      </c>
      <c r="J93" s="4" t="n">
        <v>25300</v>
      </c>
      <c r="K93" s="4" t="n">
        <v>2272318410</v>
      </c>
      <c r="L93" s="4" t="n">
        <v>79300</v>
      </c>
      <c r="M93" s="4" t="n">
        <v>1793300377</v>
      </c>
      <c r="N93" s="4" t="n">
        <v>153000</v>
      </c>
      <c r="O93" s="4" t="n">
        <v>591611334</v>
      </c>
      <c r="Q93" s="17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W93" s="3" t="n"/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C93" s="2" t="n"/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6" customFormat="1" customHeight="1" s="16">
      <c r="A94" s="10" t="n">
        <v>46104</v>
      </c>
      <c r="B94" s="20" t="n">
        <v>1591.17</v>
      </c>
      <c r="C94" s="18" t="n">
        <v>7507967.19218369</v>
      </c>
      <c r="E94" s="14" t="n"/>
      <c r="F94" s="4" t="n">
        <v>125600</v>
      </c>
      <c r="G94" s="4" t="n">
        <v>7706031024</v>
      </c>
      <c r="H94" s="4" t="n">
        <v>98000</v>
      </c>
      <c r="I94" s="4" t="n">
        <v>4107412004</v>
      </c>
      <c r="J94" s="4" t="n">
        <v>25350</v>
      </c>
      <c r="K94" s="4" t="n">
        <v>2272318410</v>
      </c>
      <c r="L94" s="4" t="n">
        <v>78300</v>
      </c>
      <c r="M94" s="4" t="n">
        <v>1793300377</v>
      </c>
      <c r="N94" s="4" t="n">
        <v>151800</v>
      </c>
      <c r="O94" s="4" t="n">
        <v>591611334</v>
      </c>
      <c r="Q94" s="17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W94" s="3" t="n"/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C94" s="2" t="n"/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6" customFormat="1" customHeight="1" s="16">
      <c r="A95" s="10" t="n">
        <v>46101</v>
      </c>
      <c r="B95" s="20" t="n">
        <v>1647.81</v>
      </c>
      <c r="C95" s="18" t="n">
        <v>7775109.86747049</v>
      </c>
      <c r="E95" s="14" t="n"/>
      <c r="F95" s="4" t="n">
        <v>135000</v>
      </c>
      <c r="G95" s="4" t="n">
        <v>7706031024</v>
      </c>
      <c r="H95" s="4" t="n">
        <v>100000</v>
      </c>
      <c r="I95" s="4" t="n">
        <v>4107412004</v>
      </c>
      <c r="J95" s="4" t="n">
        <v>26150</v>
      </c>
      <c r="K95" s="4" t="n">
        <v>2272318410</v>
      </c>
      <c r="L95" s="4" t="n">
        <v>79000</v>
      </c>
      <c r="M95" s="4" t="n">
        <v>1793300377</v>
      </c>
      <c r="N95" s="4" t="n">
        <v>157300</v>
      </c>
      <c r="O95" s="4" t="n">
        <v>591611334</v>
      </c>
      <c r="Q95" s="17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W95" s="3" t="n"/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C95" s="2" t="n"/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6" customFormat="1" customHeight="1" s="16">
      <c r="A96" s="10" t="n">
        <v>46100</v>
      </c>
      <c r="B96" s="20" t="n">
        <v>1699.13</v>
      </c>
      <c r="C96" s="18" t="n">
        <v>8016799.31922288</v>
      </c>
      <c r="E96" s="14" t="n"/>
      <c r="F96" s="4" t="n">
        <v>145000</v>
      </c>
      <c r="G96" s="4" t="n">
        <v>7706031024</v>
      </c>
      <c r="H96" s="4" t="n">
        <v>102300</v>
      </c>
      <c r="I96" s="4" t="n">
        <v>4107412004</v>
      </c>
      <c r="J96" s="4" t="n">
        <v>26050</v>
      </c>
      <c r="K96" s="4" t="n">
        <v>2272318410</v>
      </c>
      <c r="L96" s="4" t="n">
        <v>81000</v>
      </c>
      <c r="M96" s="4" t="n">
        <v>1793300377</v>
      </c>
      <c r="N96" s="4" t="n">
        <v>158700</v>
      </c>
      <c r="O96" s="4" t="n">
        <v>591611334</v>
      </c>
      <c r="Q96" s="17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W96" s="3" t="n"/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C96" s="2" t="n"/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6" customFormat="1" customHeight="1" s="16">
      <c r="A97" s="10" t="n">
        <v>46099</v>
      </c>
      <c r="B97" s="20" t="n">
        <v>1713.83</v>
      </c>
      <c r="C97" s="18" t="n">
        <v>8086116.28807787</v>
      </c>
      <c r="E97" s="14" t="n"/>
      <c r="F97" s="4" t="n">
        <v>146000</v>
      </c>
      <c r="G97" s="4" t="n">
        <v>7706031024</v>
      </c>
      <c r="H97" s="4" t="n">
        <v>102000</v>
      </c>
      <c r="I97" s="4" t="n">
        <v>4107412004</v>
      </c>
      <c r="J97" s="4" t="n">
        <v>26100</v>
      </c>
      <c r="K97" s="4" t="n">
        <v>2272318410</v>
      </c>
      <c r="L97" s="4" t="n">
        <v>77800</v>
      </c>
      <c r="M97" s="4" t="n">
        <v>1793300377</v>
      </c>
      <c r="N97" s="4" t="n">
        <v>160000</v>
      </c>
      <c r="O97" s="4" t="n">
        <v>591611334</v>
      </c>
      <c r="Q97" s="17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W97" s="3" t="n"/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C97" s="2" t="n"/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6" customFormat="1" customHeight="1" s="16">
      <c r="A98" s="10" t="n">
        <v>46098</v>
      </c>
      <c r="B98" s="20" t="n">
        <v>1710.29</v>
      </c>
      <c r="C98" s="18" t="n">
        <v>8069492.50812789</v>
      </c>
      <c r="E98" s="14" t="n"/>
      <c r="F98" s="4" t="n">
        <v>146200</v>
      </c>
      <c r="G98" s="4" t="n">
        <v>7706031024</v>
      </c>
      <c r="H98" s="4" t="n">
        <v>102000</v>
      </c>
      <c r="I98" s="4" t="n">
        <v>4107412004</v>
      </c>
      <c r="J98" s="4" t="n">
        <v>26450</v>
      </c>
      <c r="K98" s="4" t="n">
        <v>2272318410</v>
      </c>
      <c r="L98" s="4" t="n">
        <v>76900</v>
      </c>
      <c r="M98" s="4" t="n">
        <v>1793300377</v>
      </c>
      <c r="N98" s="4" t="n">
        <v>157000</v>
      </c>
      <c r="O98" s="4" t="n">
        <v>591611334</v>
      </c>
      <c r="Q98" s="17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W98" s="3" t="n"/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C98" s="2" t="n"/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6" customFormat="1" customHeight="1" s="16">
      <c r="A99" s="10" t="n">
        <v>46097</v>
      </c>
      <c r="B99" s="20" t="n">
        <v>1693.21</v>
      </c>
      <c r="C99" s="18" t="n">
        <v>7987959.04511696</v>
      </c>
      <c r="E99" s="14" t="n"/>
      <c r="F99" s="4" t="n">
        <v>144700</v>
      </c>
      <c r="G99" s="4" t="n">
        <v>7706031024</v>
      </c>
      <c r="H99" s="4" t="n">
        <v>100000</v>
      </c>
      <c r="I99" s="4" t="n">
        <v>4107412004</v>
      </c>
      <c r="J99" s="4" t="n">
        <v>25900</v>
      </c>
      <c r="K99" s="4" t="n">
        <v>2272318410</v>
      </c>
      <c r="L99" s="4" t="n">
        <v>76600</v>
      </c>
      <c r="M99" s="4" t="n">
        <v>1793300377</v>
      </c>
      <c r="N99" s="4" t="n">
        <v>154000</v>
      </c>
      <c r="O99" s="4" t="n">
        <v>591611334</v>
      </c>
      <c r="Q99" s="17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W99" s="3" t="n"/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C99" s="2" t="n"/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6" customFormat="1" customHeight="1" s="16">
      <c r="A100" s="10" t="n">
        <v>46094</v>
      </c>
      <c r="B100" s="20" t="n">
        <v>1696.24</v>
      </c>
      <c r="C100" s="18" t="n">
        <v>8002068.61149225</v>
      </c>
      <c r="E100" s="14" t="n"/>
      <c r="F100" s="4" t="n">
        <v>144600</v>
      </c>
      <c r="G100" s="4" t="n">
        <v>7706031024</v>
      </c>
      <c r="H100" s="4" t="n">
        <v>98000</v>
      </c>
      <c r="I100" s="4" t="n">
        <v>4107412004</v>
      </c>
      <c r="J100" s="4" t="n">
        <v>25250</v>
      </c>
      <c r="K100" s="4" t="n">
        <v>2272318410</v>
      </c>
      <c r="L100" s="4" t="n">
        <v>79300</v>
      </c>
      <c r="M100" s="4" t="n">
        <v>1793300377</v>
      </c>
      <c r="N100" s="4" t="n">
        <v>156800</v>
      </c>
      <c r="O100" s="4" t="n">
        <v>591611334</v>
      </c>
      <c r="Q100" s="17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W100" s="3" t="n"/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C100" s="2" t="n"/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6" customFormat="1" customHeight="1" s="16">
      <c r="A101" s="10" t="n">
        <v>46093</v>
      </c>
      <c r="B101" s="20" t="n">
        <v>1709.61</v>
      </c>
      <c r="C101" s="18" t="n">
        <v>8064954.212872561</v>
      </c>
      <c r="E101" s="14" t="n"/>
      <c r="F101" s="4" t="n">
        <v>145000</v>
      </c>
      <c r="G101" s="4" t="n">
        <v>7706031024</v>
      </c>
      <c r="H101" s="4" t="n">
        <v>95900</v>
      </c>
      <c r="I101" s="4" t="n">
        <v>4107412004</v>
      </c>
      <c r="J101" s="4" t="n">
        <v>25900</v>
      </c>
      <c r="K101" s="4" t="n">
        <v>2272318410</v>
      </c>
      <c r="L101" s="4" t="n">
        <v>80300</v>
      </c>
      <c r="M101" s="4" t="n">
        <v>1793300377</v>
      </c>
      <c r="N101" s="4" t="n">
        <v>152800</v>
      </c>
      <c r="O101" s="4" t="n">
        <v>591611334</v>
      </c>
      <c r="Q101" s="17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W101" s="3" t="n"/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C101" s="2" t="n"/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6" customFormat="1" customHeight="1" s="16">
      <c r="A102" s="10" t="n">
        <v>46092</v>
      </c>
      <c r="B102" s="20" t="n">
        <v>1728.34</v>
      </c>
      <c r="C102" s="18" t="n">
        <v>8153530.1205109</v>
      </c>
      <c r="E102" s="14" t="n"/>
      <c r="F102" s="4" t="n">
        <v>146000</v>
      </c>
      <c r="G102" s="4" t="n">
        <v>7706031024</v>
      </c>
      <c r="H102" s="4" t="n">
        <v>95900</v>
      </c>
      <c r="I102" s="4" t="n">
        <v>4107412004</v>
      </c>
      <c r="J102" s="4" t="n">
        <v>25600</v>
      </c>
      <c r="K102" s="4" t="n">
        <v>2272318410</v>
      </c>
      <c r="L102" s="4" t="n">
        <v>78100</v>
      </c>
      <c r="M102" s="4" t="n">
        <v>1793300377</v>
      </c>
      <c r="N102" s="4" t="n">
        <v>159700</v>
      </c>
      <c r="O102" s="4" t="n">
        <v>591611334</v>
      </c>
      <c r="Q102" s="17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W102" s="3" t="n"/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C102" s="2" t="n"/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6" customFormat="1" customHeight="1" s="16">
      <c r="A103" s="10" t="n">
        <v>46091</v>
      </c>
      <c r="B103" s="20" t="n">
        <v>1676.73</v>
      </c>
      <c r="C103" s="18" t="n">
        <v>7910470.18015925</v>
      </c>
      <c r="E103" s="14" t="n"/>
      <c r="F103" s="4" t="n">
        <v>141800</v>
      </c>
      <c r="G103" s="4" t="n">
        <v>7706031024</v>
      </c>
      <c r="H103" s="4" t="n">
        <v>89800</v>
      </c>
      <c r="I103" s="4" t="n">
        <v>4107412004</v>
      </c>
      <c r="J103" s="4" t="n">
        <v>24050</v>
      </c>
      <c r="K103" s="4" t="n">
        <v>2272318410</v>
      </c>
      <c r="L103" s="4" t="n">
        <v>73000</v>
      </c>
      <c r="M103" s="4" t="n">
        <v>1793300377</v>
      </c>
      <c r="N103" s="4" t="n">
        <v>155000</v>
      </c>
      <c r="O103" s="4" t="n">
        <v>591611334</v>
      </c>
      <c r="Q103" s="17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W103" s="3" t="n"/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C103" s="2" t="n"/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6" customFormat="1" customHeight="1" s="16">
      <c r="A104" s="10" t="n">
        <v>46090</v>
      </c>
      <c r="B104" s="20" t="n">
        <v>1652.79</v>
      </c>
      <c r="C104" s="18" t="n">
        <v>7796785.7093985</v>
      </c>
      <c r="E104" s="14" t="n"/>
      <c r="F104" s="4" t="n">
        <v>145600</v>
      </c>
      <c r="G104" s="4" t="n">
        <v>7706031024</v>
      </c>
      <c r="H104" s="4" t="n">
        <v>88400</v>
      </c>
      <c r="I104" s="4" t="n">
        <v>4107412004</v>
      </c>
      <c r="J104" s="4" t="n">
        <v>24450</v>
      </c>
      <c r="K104" s="4" t="n">
        <v>2272318410</v>
      </c>
      <c r="L104" s="4" t="n">
        <v>71400</v>
      </c>
      <c r="M104" s="4" t="n">
        <v>1793300377</v>
      </c>
      <c r="N104" s="4" t="n">
        <v>153000</v>
      </c>
      <c r="O104" s="4" t="n">
        <v>591611334</v>
      </c>
      <c r="Q104" s="17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W104" s="3" t="n"/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C104" s="2" t="n"/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6" customFormat="1" customHeight="1" s="16">
      <c r="A105" s="10" t="n">
        <v>46087</v>
      </c>
      <c r="B105" s="20" t="n">
        <v>1767.84</v>
      </c>
      <c r="C105" s="18" t="n">
        <v>8339493.3666795</v>
      </c>
      <c r="E105" s="14" t="n"/>
      <c r="F105" s="4" t="n">
        <v>156500</v>
      </c>
      <c r="G105" s="4" t="n">
        <v>7706031024</v>
      </c>
      <c r="H105" s="4" t="n">
        <v>95000</v>
      </c>
      <c r="I105" s="4" t="n">
        <v>4107412004</v>
      </c>
      <c r="J105" s="4" t="n">
        <v>26250</v>
      </c>
      <c r="K105" s="4" t="n">
        <v>2272318410</v>
      </c>
      <c r="L105" s="4" t="n">
        <v>76700</v>
      </c>
      <c r="M105" s="4" t="n">
        <v>1793300377</v>
      </c>
      <c r="N105" s="4" t="n">
        <v>156400</v>
      </c>
      <c r="O105" s="4" t="n">
        <v>591611334</v>
      </c>
      <c r="Q105" s="17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W105" s="3" t="n"/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C105" s="2" t="n"/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6" customFormat="1" customHeight="1" s="16">
      <c r="A106" s="10" t="n">
        <v>46086</v>
      </c>
      <c r="B106" s="20" t="n">
        <v>1808.51</v>
      </c>
      <c r="C106" s="18" t="n">
        <v>8520207.1722514</v>
      </c>
      <c r="E106" s="14" t="n"/>
      <c r="F106" s="4" t="n">
        <v>164800</v>
      </c>
      <c r="G106" s="4" t="n">
        <v>7706031024</v>
      </c>
      <c r="H106" s="4" t="n">
        <v>95000</v>
      </c>
      <c r="I106" s="4" t="n">
        <v>4107412004</v>
      </c>
      <c r="J106" s="4" t="n">
        <v>27000</v>
      </c>
      <c r="K106" s="4" t="n">
        <v>2272318410</v>
      </c>
      <c r="L106" s="4" t="n">
        <v>75500</v>
      </c>
      <c r="M106" s="4" t="n">
        <v>1793300377</v>
      </c>
      <c r="N106" s="4" t="n">
        <v>156400</v>
      </c>
      <c r="O106" s="4" t="n">
        <v>591611334</v>
      </c>
      <c r="Q106" s="17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W106" s="3" t="n"/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C106" s="2" t="n"/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6" customFormat="1" customHeight="1" s="16">
      <c r="A107" s="10" t="n">
        <v>46085</v>
      </c>
      <c r="B107" s="20" t="n">
        <v>1818.27</v>
      </c>
      <c r="C107" s="18" t="n">
        <v>8566162.29829707</v>
      </c>
      <c r="E107" s="14" t="n"/>
      <c r="F107" s="4" t="n">
        <v>155600</v>
      </c>
      <c r="G107" s="4" t="n">
        <v>7706031024</v>
      </c>
      <c r="H107" s="4" t="n">
        <v>93500</v>
      </c>
      <c r="I107" s="4" t="n">
        <v>4107412004</v>
      </c>
      <c r="J107" s="4" t="n">
        <v>28000</v>
      </c>
      <c r="K107" s="4" t="n">
        <v>2272318410</v>
      </c>
      <c r="L107" s="4" t="n">
        <v>74300</v>
      </c>
      <c r="M107" s="4" t="n">
        <v>1793300377</v>
      </c>
      <c r="N107" s="4" t="n">
        <v>163200</v>
      </c>
      <c r="O107" s="4" t="n">
        <v>591611334</v>
      </c>
      <c r="Q107" s="17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W107" s="3" t="n"/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C107" s="2" t="n"/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6" customFormat="1" customHeight="1" s="16">
      <c r="A108" s="10" t="n">
        <v>46084</v>
      </c>
      <c r="B108" s="20" t="n">
        <v>1813.14</v>
      </c>
      <c r="C108" s="18" t="n">
        <v>8542538.61945086</v>
      </c>
      <c r="E108" s="14" t="n"/>
      <c r="F108" s="4" t="n">
        <v>155500</v>
      </c>
      <c r="G108" s="4" t="n">
        <v>7706031024</v>
      </c>
      <c r="H108" s="4" t="n">
        <v>93500</v>
      </c>
      <c r="I108" s="4" t="n">
        <v>4107412004</v>
      </c>
      <c r="J108" s="4" t="n">
        <v>26350</v>
      </c>
      <c r="K108" s="4" t="n">
        <v>2272318410</v>
      </c>
      <c r="L108" s="4" t="n">
        <v>75900</v>
      </c>
      <c r="M108" s="4" t="n">
        <v>1793300377</v>
      </c>
      <c r="N108" s="4" t="n">
        <v>164100</v>
      </c>
      <c r="O108" s="4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6" customFormat="1" customHeight="1" s="16">
      <c r="A109" s="10" t="n">
        <v>46083</v>
      </c>
      <c r="B109" s="20" t="n">
        <v>1846.1</v>
      </c>
      <c r="C109" s="18" t="n">
        <v>8697840.54593605</v>
      </c>
      <c r="E109" s="14" t="n"/>
      <c r="F109" s="4" t="n">
        <v>167200</v>
      </c>
      <c r="G109" s="4" t="n">
        <v>7706031024</v>
      </c>
      <c r="H109" s="4" t="n">
        <v>100500</v>
      </c>
      <c r="I109" s="4" t="n">
        <v>4107412004</v>
      </c>
      <c r="J109" s="4" t="n">
        <v>27800</v>
      </c>
      <c r="K109" s="4" t="n">
        <v>2272318410</v>
      </c>
      <c r="L109" s="4" t="n">
        <v>80100</v>
      </c>
      <c r="M109" s="4" t="n">
        <v>1793300377</v>
      </c>
      <c r="N109" s="4" t="n">
        <v>169000</v>
      </c>
      <c r="O109" s="4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6" customFormat="1" customHeight="1" s="16">
      <c r="A110" s="10" t="n">
        <v>46080</v>
      </c>
      <c r="B110" s="20" t="n">
        <v>1880.33</v>
      </c>
      <c r="C110" s="18" t="n">
        <v>8859080.884591758</v>
      </c>
      <c r="E110" s="14" t="n"/>
      <c r="F110" s="4" t="n">
        <v>172000</v>
      </c>
      <c r="G110" s="4" t="n">
        <v>7706031024</v>
      </c>
      <c r="H110" s="4" t="n">
        <v>108000</v>
      </c>
      <c r="I110" s="4" t="n">
        <v>4107412004</v>
      </c>
      <c r="J110" s="4" t="n">
        <v>29050</v>
      </c>
      <c r="K110" s="4" t="n">
        <v>2272318410</v>
      </c>
      <c r="L110" s="4" t="n">
        <v>83500</v>
      </c>
      <c r="M110" s="4" t="n">
        <v>1793300377</v>
      </c>
      <c r="N110" s="4" t="n">
        <v>175800</v>
      </c>
      <c r="O110" s="4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6" customFormat="1" customHeight="1" s="16">
      <c r="A111" s="10" t="n">
        <v>46079</v>
      </c>
      <c r="B111" s="20" t="n">
        <v>1879.64</v>
      </c>
      <c r="C111" s="18" t="n">
        <v>8855899.88549792</v>
      </c>
      <c r="E111" s="14" t="n"/>
      <c r="F111" s="4" t="n">
        <v>168900</v>
      </c>
      <c r="G111" s="4" t="n">
        <v>7706031024</v>
      </c>
      <c r="H111" s="4" t="n">
        <v>107600</v>
      </c>
      <c r="I111" s="4" t="n">
        <v>4107412004</v>
      </c>
      <c r="J111" s="4" t="n">
        <v>29750</v>
      </c>
      <c r="K111" s="4" t="n">
        <v>2272318410</v>
      </c>
      <c r="L111" s="4" t="n">
        <v>81700</v>
      </c>
      <c r="M111" s="4" t="n">
        <v>1793300377</v>
      </c>
      <c r="N111" s="4" t="n">
        <v>178500</v>
      </c>
      <c r="O111" s="4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6" customFormat="1" customHeight="1" s="16">
      <c r="A112" s="10" t="n">
        <v>46078</v>
      </c>
      <c r="B112" s="20" t="n">
        <v>1860.91</v>
      </c>
      <c r="C112" s="18" t="n">
        <v>8767659.89309844</v>
      </c>
      <c r="E112" s="14" t="n"/>
      <c r="F112" s="4" t="n">
        <v>158000</v>
      </c>
      <c r="G112" s="4" t="n">
        <v>7706031024</v>
      </c>
      <c r="H112" s="4" t="n">
        <v>107000</v>
      </c>
      <c r="I112" s="4" t="n">
        <v>4107412004</v>
      </c>
      <c r="J112" s="4" t="n">
        <v>28550</v>
      </c>
      <c r="K112" s="4" t="n">
        <v>2272318410</v>
      </c>
      <c r="L112" s="4" t="n">
        <v>81000</v>
      </c>
      <c r="M112" s="4" t="n">
        <v>1793300377</v>
      </c>
      <c r="N112" s="4" t="n">
        <v>178500</v>
      </c>
      <c r="O112" s="4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6" customFormat="1" customHeight="1" s="16">
      <c r="A113" s="10" t="n">
        <v>46077</v>
      </c>
      <c r="B113" s="20" t="n">
        <v>1867.62</v>
      </c>
      <c r="C113" s="18" t="n">
        <v>8799142.595254531</v>
      </c>
      <c r="E113" s="14" t="n"/>
      <c r="F113" s="4" t="n">
        <v>162900</v>
      </c>
      <c r="G113" s="4" t="n">
        <v>7706031024</v>
      </c>
      <c r="H113" s="4" t="n">
        <v>111000</v>
      </c>
      <c r="I113" s="4" t="n">
        <v>4107412004</v>
      </c>
      <c r="J113" s="4" t="n">
        <v>29500</v>
      </c>
      <c r="K113" s="4" t="n">
        <v>2272318410</v>
      </c>
      <c r="L113" s="4" t="n">
        <v>83500</v>
      </c>
      <c r="M113" s="4" t="n">
        <v>1793300377</v>
      </c>
      <c r="N113" s="4" t="n">
        <v>186600</v>
      </c>
      <c r="O113" s="4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6" customFormat="1" customHeight="1" s="16">
      <c r="A114" s="10" t="n">
        <v>46076</v>
      </c>
      <c r="B114" s="20" t="n">
        <v>1860.14</v>
      </c>
      <c r="C114" s="18" t="n">
        <v>8763849.21454238</v>
      </c>
      <c r="E114" s="14" t="n"/>
      <c r="F114" s="4" t="n">
        <v>162300</v>
      </c>
      <c r="G114" s="4" t="n">
        <v>7706031024</v>
      </c>
      <c r="H114" s="4" t="n">
        <v>110700</v>
      </c>
      <c r="I114" s="4" t="n">
        <v>4107412004</v>
      </c>
      <c r="J114" s="4" t="n">
        <v>30000</v>
      </c>
      <c r="K114" s="4" t="n">
        <v>2272318410</v>
      </c>
      <c r="L114" s="4" t="n">
        <v>84700</v>
      </c>
      <c r="M114" s="4" t="n">
        <v>1793300377</v>
      </c>
      <c r="N114" s="4" t="n">
        <v>174900</v>
      </c>
      <c r="O114" s="4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6" customFormat="1" customHeight="1" s="16">
      <c r="A115" s="10" t="n">
        <v>46066</v>
      </c>
      <c r="B115" s="20" t="n">
        <v>1824.09</v>
      </c>
      <c r="C115" s="18" t="n">
        <v>8594938.811001079</v>
      </c>
      <c r="E115" s="14" t="n"/>
      <c r="F115" s="4" t="n">
        <v>160000</v>
      </c>
      <c r="G115" s="4" t="n">
        <v>7706031024</v>
      </c>
      <c r="H115" s="4" t="n">
        <v>109000</v>
      </c>
      <c r="I115" s="4" t="n">
        <v>4107412004</v>
      </c>
      <c r="J115" s="4" t="n">
        <v>29800</v>
      </c>
      <c r="K115" s="4" t="n">
        <v>2272318410</v>
      </c>
      <c r="L115" s="4" t="n">
        <v>85600</v>
      </c>
      <c r="M115" s="4" t="n">
        <v>1793300377</v>
      </c>
      <c r="N115" s="4" t="n">
        <v>169200</v>
      </c>
      <c r="O115" s="4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6" customFormat="1" customHeight="1" s="16">
      <c r="A116" s="10" t="n">
        <v>46065</v>
      </c>
      <c r="B116" s="20" t="n">
        <v>1814.09</v>
      </c>
      <c r="C116" s="18" t="n">
        <v>8546932.57252308</v>
      </c>
      <c r="E116" s="14" t="n"/>
      <c r="F116" s="4" t="n">
        <v>159000</v>
      </c>
      <c r="G116" s="4" t="n">
        <v>7706031024</v>
      </c>
      <c r="H116" s="4" t="n">
        <v>109000</v>
      </c>
      <c r="I116" s="4" t="n">
        <v>4107412004</v>
      </c>
      <c r="J116" s="4" t="n">
        <v>29950</v>
      </c>
      <c r="K116" s="4" t="n">
        <v>2272318410</v>
      </c>
      <c r="L116" s="4" t="n">
        <v>85400</v>
      </c>
      <c r="M116" s="4" t="n">
        <v>1793300377</v>
      </c>
      <c r="N116" s="4" t="n">
        <v>168000</v>
      </c>
      <c r="O116" s="4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6" customFormat="1" customHeight="1" s="16">
      <c r="A117" s="10" t="n">
        <v>46064</v>
      </c>
      <c r="B117" s="20" t="n">
        <v>1796.85</v>
      </c>
      <c r="C117" s="18" t="n">
        <v>8466314.79860655</v>
      </c>
      <c r="E117" s="14" t="n"/>
      <c r="F117" s="4" t="n">
        <v>150800</v>
      </c>
      <c r="G117" s="4" t="n">
        <v>7706031024</v>
      </c>
      <c r="H117" s="4" t="n">
        <v>103000</v>
      </c>
      <c r="I117" s="4" t="n">
        <v>4107412004</v>
      </c>
      <c r="J117" s="4" t="n">
        <v>29400</v>
      </c>
      <c r="K117" s="4" t="n">
        <v>2272318410</v>
      </c>
      <c r="L117" s="4" t="n">
        <v>86000</v>
      </c>
      <c r="M117" s="4" t="n">
        <v>1793300377</v>
      </c>
      <c r="N117" s="4" t="n">
        <v>168000</v>
      </c>
      <c r="O117" s="4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6" customFormat="1" customHeight="1" s="16">
      <c r="A118" s="10" t="n">
        <v>46063</v>
      </c>
      <c r="B118" s="20" t="n">
        <v>1754.03</v>
      </c>
      <c r="C118" s="18" t="n">
        <v>8264885.479363441</v>
      </c>
      <c r="E118" s="14" t="n"/>
      <c r="F118" s="4" t="n">
        <v>141500</v>
      </c>
      <c r="G118" s="4" t="n">
        <v>7706031024</v>
      </c>
      <c r="H118" s="4" t="n">
        <v>101300</v>
      </c>
      <c r="I118" s="4" t="n">
        <v>4107412004</v>
      </c>
      <c r="J118" s="4" t="n">
        <v>28950</v>
      </c>
      <c r="K118" s="4" t="n">
        <v>2272318410</v>
      </c>
      <c r="L118" s="4" t="n">
        <v>84500</v>
      </c>
      <c r="M118" s="4" t="n">
        <v>1793300377</v>
      </c>
      <c r="N118" s="4" t="n">
        <v>163000</v>
      </c>
      <c r="O118" s="4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6" customFormat="1" customHeight="1" s="16">
      <c r="A119" s="10" t="n">
        <v>46062</v>
      </c>
      <c r="B119" s="20" t="n">
        <v>1754.82</v>
      </c>
      <c r="C119" s="18" t="n">
        <v>8268378.66478647</v>
      </c>
      <c r="E119" s="14" t="n"/>
      <c r="F119" s="4" t="n">
        <v>132300</v>
      </c>
      <c r="G119" s="4" t="n">
        <v>7706031024</v>
      </c>
      <c r="H119" s="4" t="n">
        <v>95000</v>
      </c>
      <c r="I119" s="4" t="n">
        <v>4107412004</v>
      </c>
      <c r="J119" s="4" t="n">
        <v>28200</v>
      </c>
      <c r="K119" s="4" t="n">
        <v>2272318410</v>
      </c>
      <c r="L119" s="4" t="n">
        <v>83000</v>
      </c>
      <c r="M119" s="4" t="n">
        <v>1793300377</v>
      </c>
      <c r="N119" s="4" t="n">
        <v>165000</v>
      </c>
      <c r="O119" s="4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6" customFormat="1" customHeight="1" s="16">
      <c r="A120" s="10" t="n">
        <v>46059</v>
      </c>
      <c r="B120" s="20" t="n">
        <v>1755.49</v>
      </c>
      <c r="C120" s="18" t="n">
        <v>8271703.94204918</v>
      </c>
      <c r="E120" s="14" t="n"/>
      <c r="F120" s="4" t="n">
        <v>131000</v>
      </c>
      <c r="G120" s="4" t="n">
        <v>7706031024</v>
      </c>
      <c r="H120" s="4" t="n">
        <v>97500</v>
      </c>
      <c r="I120" s="4" t="n">
        <v>4107412004</v>
      </c>
      <c r="J120" s="4" t="n">
        <v>28050</v>
      </c>
      <c r="K120" s="4" t="n">
        <v>2272318410</v>
      </c>
      <c r="L120" s="4" t="n">
        <v>83000</v>
      </c>
      <c r="M120" s="4" t="n">
        <v>1793300377</v>
      </c>
      <c r="N120" s="4" t="n">
        <v>166000</v>
      </c>
      <c r="O120" s="4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6" customFormat="1" customHeight="1" s="16">
      <c r="A121" s="10" t="n">
        <v>46058</v>
      </c>
      <c r="B121" s="20" t="n">
        <v>1782.56</v>
      </c>
      <c r="C121" s="18" t="n">
        <v>8355701.361328131</v>
      </c>
      <c r="E121" s="14" t="n"/>
      <c r="F121" s="4" t="n">
        <v>130100</v>
      </c>
      <c r="G121" s="4" t="n">
        <v>7706031024</v>
      </c>
      <c r="H121" s="4" t="n">
        <v>97600</v>
      </c>
      <c r="I121" s="4" t="n">
        <v>4107412004</v>
      </c>
      <c r="J121" s="4" t="n">
        <v>28800</v>
      </c>
      <c r="K121" s="4" t="n">
        <v>2272318410</v>
      </c>
      <c r="L121" s="4" t="n">
        <v>86000</v>
      </c>
      <c r="M121" s="4" t="n">
        <v>1793300377</v>
      </c>
      <c r="N121" s="4" t="n">
        <v>166500</v>
      </c>
      <c r="O121" s="4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6" customFormat="1" customHeight="1" s="16">
      <c r="A122" s="10" t="n">
        <v>46057</v>
      </c>
      <c r="B122" s="20" t="n">
        <v>1791.43</v>
      </c>
      <c r="C122" s="18" t="n">
        <v>8397408.76145798</v>
      </c>
      <c r="E122" s="14" t="n"/>
      <c r="F122" s="4" t="n">
        <v>121600</v>
      </c>
      <c r="G122" s="4" t="n">
        <v>7706031024</v>
      </c>
      <c r="H122" s="4" t="n">
        <v>91300</v>
      </c>
      <c r="I122" s="4" t="n">
        <v>4107412004</v>
      </c>
      <c r="J122" s="4" t="n">
        <v>28250</v>
      </c>
      <c r="K122" s="4" t="n">
        <v>2272318410</v>
      </c>
      <c r="L122" s="4" t="n">
        <v>85500</v>
      </c>
      <c r="M122" s="4" t="n">
        <v>1793300377</v>
      </c>
      <c r="N122" s="4" t="n">
        <v>165000</v>
      </c>
      <c r="O122" s="4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6" customFormat="1" customHeight="1" s="16">
      <c r="A123" s="10" t="n">
        <v>46056</v>
      </c>
      <c r="B123" s="20" t="n">
        <v>1813.4</v>
      </c>
      <c r="C123" s="18" t="n">
        <v>8499305.684311282</v>
      </c>
      <c r="E123" s="14" t="n"/>
      <c r="F123" s="4" t="n">
        <v>130700</v>
      </c>
      <c r="G123" s="4" t="n">
        <v>7706031024</v>
      </c>
      <c r="H123" s="4" t="n">
        <v>97300</v>
      </c>
      <c r="I123" s="4" t="n">
        <v>4107412004</v>
      </c>
      <c r="J123" s="4" t="n">
        <v>28400</v>
      </c>
      <c r="K123" s="4" t="n">
        <v>2272318410</v>
      </c>
      <c r="L123" s="4" t="n">
        <v>86700</v>
      </c>
      <c r="M123" s="4" t="n">
        <v>1793300377</v>
      </c>
      <c r="N123" s="4" t="n">
        <v>168000</v>
      </c>
      <c r="O123" s="4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6" customFormat="1" customHeight="1" s="16">
      <c r="A124" s="10" t="n">
        <v>46055</v>
      </c>
      <c r="B124" s="20" t="n">
        <v>1806.5</v>
      </c>
      <c r="C124" s="18" t="n">
        <v>8467038.31280216</v>
      </c>
      <c r="E124" s="14" t="n"/>
      <c r="F124" s="4" t="n">
        <v>130700</v>
      </c>
      <c r="G124" s="4" t="n">
        <v>7706031024</v>
      </c>
      <c r="H124" s="4" t="n">
        <v>98600</v>
      </c>
      <c r="I124" s="4" t="n">
        <v>4107412004</v>
      </c>
      <c r="J124" s="4" t="n">
        <v>28100</v>
      </c>
      <c r="K124" s="4" t="n">
        <v>2272318410</v>
      </c>
      <c r="L124" s="4" t="n">
        <v>86800</v>
      </c>
      <c r="M124" s="4" t="n">
        <v>1793300377</v>
      </c>
      <c r="N124" s="4" t="n">
        <v>170000</v>
      </c>
      <c r="O124" s="4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6" customFormat="1" customHeight="1" s="16">
      <c r="A125" s="10" t="n">
        <v>46052</v>
      </c>
      <c r="B125" s="20" t="n">
        <v>1829.04</v>
      </c>
      <c r="C125" s="18" t="n">
        <v>8572413.788743909</v>
      </c>
      <c r="E125" s="14" t="n"/>
      <c r="F125" s="4" t="n">
        <v>140500</v>
      </c>
      <c r="G125" s="4" t="n">
        <v>7706031024</v>
      </c>
      <c r="H125" s="4" t="n">
        <v>106000</v>
      </c>
      <c r="I125" s="4" t="n">
        <v>4107412004</v>
      </c>
      <c r="J125" s="4" t="n">
        <v>30200</v>
      </c>
      <c r="K125" s="4" t="n">
        <v>2272318410</v>
      </c>
      <c r="L125" s="4" t="n">
        <v>92500</v>
      </c>
      <c r="M125" s="4" t="n">
        <v>1793300377</v>
      </c>
      <c r="N125" s="4" t="n">
        <v>170500</v>
      </c>
      <c r="O125" s="4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6" customFormat="1" customHeight="1" s="16">
      <c r="A126" s="10" t="n">
        <v>46051</v>
      </c>
      <c r="B126" s="20" t="n">
        <v>1814.98</v>
      </c>
      <c r="C126" s="18" t="n">
        <v>8505083.940664981</v>
      </c>
      <c r="E126" s="14" t="n"/>
      <c r="F126" s="4" t="n">
        <v>140500</v>
      </c>
      <c r="G126" s="4" t="n">
        <v>7706031024</v>
      </c>
      <c r="H126" s="4" t="n">
        <v>107000</v>
      </c>
      <c r="I126" s="4" t="n">
        <v>4107412004</v>
      </c>
      <c r="J126" s="4" t="n">
        <v>30000</v>
      </c>
      <c r="K126" s="4" t="n">
        <v>2272318410</v>
      </c>
      <c r="L126" s="4" t="n">
        <v>92000</v>
      </c>
      <c r="M126" s="4" t="n">
        <v>1793300377</v>
      </c>
      <c r="N126" s="4" t="n">
        <v>164000</v>
      </c>
      <c r="O126" s="4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6" customFormat="1" customHeight="1" s="16">
      <c r="A127" s="10" t="n">
        <v>46050</v>
      </c>
      <c r="B127" s="20" t="n">
        <v>1802.91</v>
      </c>
      <c r="C127" s="18" t="n">
        <v>8448414.1748285</v>
      </c>
      <c r="E127" s="14" t="n"/>
      <c r="F127" s="4" t="n">
        <v>140500</v>
      </c>
      <c r="G127" s="4" t="n">
        <v>7706031024</v>
      </c>
      <c r="H127" s="4" t="n">
        <v>104300</v>
      </c>
      <c r="I127" s="4" t="n">
        <v>4107412004</v>
      </c>
      <c r="J127" s="4" t="n">
        <v>29100</v>
      </c>
      <c r="K127" s="4" t="n">
        <v>2272318410</v>
      </c>
      <c r="L127" s="4" t="n">
        <v>91000</v>
      </c>
      <c r="M127" s="4" t="n">
        <v>1793300377</v>
      </c>
      <c r="N127" s="4" t="n">
        <v>171500</v>
      </c>
      <c r="O127" s="4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6" customFormat="1" customHeight="1" s="16">
      <c r="A128" s="10" t="n">
        <v>46049</v>
      </c>
      <c r="B128" s="20" t="n">
        <v>1830.5</v>
      </c>
      <c r="C128" s="18" t="n">
        <v>8576684.733615849</v>
      </c>
      <c r="E128" s="14" t="n"/>
      <c r="F128" s="4" t="n">
        <v>151000</v>
      </c>
      <c r="G128" s="4" t="n">
        <v>7706031024</v>
      </c>
      <c r="H128" s="4" t="n">
        <v>110600</v>
      </c>
      <c r="I128" s="4" t="n">
        <v>4107412004</v>
      </c>
      <c r="J128" s="4" t="n">
        <v>30900</v>
      </c>
      <c r="K128" s="4" t="n">
        <v>2272318410</v>
      </c>
      <c r="L128" s="4" t="n">
        <v>91900</v>
      </c>
      <c r="M128" s="4" t="n">
        <v>1793300377</v>
      </c>
      <c r="N128" s="4" t="n">
        <v>178800</v>
      </c>
      <c r="O128" s="4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6" customFormat="1" customHeight="1" s="16">
      <c r="A129" s="10" t="n">
        <v>46048</v>
      </c>
      <c r="B129" s="20" t="n">
        <v>1843.72</v>
      </c>
      <c r="C129" s="18" t="n">
        <v>8638234.2763854</v>
      </c>
      <c r="E129" s="14" t="n"/>
      <c r="F129" s="4" t="n">
        <v>159900</v>
      </c>
      <c r="G129" s="4" t="n">
        <v>7706031024</v>
      </c>
      <c r="H129" s="4" t="n">
        <v>118900</v>
      </c>
      <c r="I129" s="4" t="n">
        <v>4107412004</v>
      </c>
      <c r="J129" s="4" t="n">
        <v>31000</v>
      </c>
      <c r="K129" s="4" t="n">
        <v>2272318410</v>
      </c>
      <c r="L129" s="4" t="n">
        <v>93500</v>
      </c>
      <c r="M129" s="4" t="n">
        <v>1793300377</v>
      </c>
      <c r="N129" s="4" t="n">
        <v>182000</v>
      </c>
      <c r="O129" s="4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6" customFormat="1" customHeight="1" s="16">
      <c r="A130" s="10" t="n">
        <v>46045</v>
      </c>
      <c r="B130" s="20" t="n">
        <v>1870.79</v>
      </c>
      <c r="C130" s="18" t="n">
        <v>8765185.497228179</v>
      </c>
      <c r="E130" s="14" t="n"/>
      <c r="F130" s="4" t="n">
        <v>165400</v>
      </c>
      <c r="G130" s="4" t="n">
        <v>7706031024</v>
      </c>
      <c r="H130" s="4" t="n">
        <v>122500</v>
      </c>
      <c r="I130" s="4" t="n">
        <v>4107412004</v>
      </c>
      <c r="J130" s="4" t="n">
        <v>32400</v>
      </c>
      <c r="K130" s="4" t="n">
        <v>2272318410</v>
      </c>
      <c r="L130" s="4" t="n">
        <v>93800</v>
      </c>
      <c r="M130" s="4" t="n">
        <v>1793300377</v>
      </c>
      <c r="N130" s="4" t="n">
        <v>193600</v>
      </c>
      <c r="O130" s="4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6" customFormat="1" customHeight="1" s="16">
      <c r="A131" s="10" t="n">
        <v>46044</v>
      </c>
      <c r="B131" s="20" t="n">
        <v>1882.73</v>
      </c>
      <c r="C131" s="18" t="n">
        <v>8821188.51247583</v>
      </c>
      <c r="E131" s="14" t="n"/>
      <c r="F131" s="4" t="n">
        <v>161100</v>
      </c>
      <c r="G131" s="4" t="n">
        <v>7706031024</v>
      </c>
      <c r="H131" s="4" t="n">
        <v>120500</v>
      </c>
      <c r="I131" s="4" t="n">
        <v>4107412004</v>
      </c>
      <c r="J131" s="4" t="n">
        <v>31850</v>
      </c>
      <c r="K131" s="4" t="n">
        <v>2272318410</v>
      </c>
      <c r="L131" s="4" t="n">
        <v>92000</v>
      </c>
      <c r="M131" s="4" t="n">
        <v>1793300377</v>
      </c>
      <c r="N131" s="4" t="n">
        <v>181000</v>
      </c>
      <c r="O131" s="4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6" customFormat="1" customHeight="1" s="16">
      <c r="A132" s="10" t="n">
        <v>46043</v>
      </c>
      <c r="B132" s="20" t="n">
        <v>1885.44</v>
      </c>
      <c r="C132" s="18" t="n">
        <v>8833628.300884988</v>
      </c>
      <c r="E132" s="14" t="n"/>
      <c r="F132" s="4" t="n">
        <v>160500</v>
      </c>
      <c r="G132" s="4" t="n">
        <v>7706031024</v>
      </c>
      <c r="H132" s="4" t="n">
        <v>122900</v>
      </c>
      <c r="I132" s="4" t="n">
        <v>4107412004</v>
      </c>
      <c r="J132" s="4" t="n">
        <v>31250</v>
      </c>
      <c r="K132" s="4" t="n">
        <v>2272318410</v>
      </c>
      <c r="L132" s="4" t="n">
        <v>91700</v>
      </c>
      <c r="M132" s="4" t="n">
        <v>1793300377</v>
      </c>
      <c r="N132" s="4" t="n">
        <v>181800</v>
      </c>
      <c r="O132" s="4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6" customFormat="1" customHeight="1" s="16">
      <c r="A133" s="10" t="n">
        <v>46042</v>
      </c>
      <c r="B133" s="20" t="n">
        <v>1893.78</v>
      </c>
      <c r="C133" s="18" t="n">
        <v>8872857.887800099</v>
      </c>
      <c r="E133" s="14" t="n"/>
      <c r="F133" s="4" t="n">
        <v>161000</v>
      </c>
      <c r="G133" s="4" t="n">
        <v>7706031024</v>
      </c>
      <c r="H133" s="4" t="n">
        <v>123000</v>
      </c>
      <c r="I133" s="4" t="n">
        <v>4107412004</v>
      </c>
      <c r="J133" s="4" t="n">
        <v>31150</v>
      </c>
      <c r="K133" s="4" t="n">
        <v>2272318410</v>
      </c>
      <c r="L133" s="4" t="n">
        <v>91700</v>
      </c>
      <c r="M133" s="4" t="n">
        <v>1793300377</v>
      </c>
      <c r="N133" s="4" t="n">
        <v>181800</v>
      </c>
      <c r="O133" s="4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6" customHeight="1">
      <c r="A134" s="10" t="n">
        <v>46041</v>
      </c>
      <c r="B134" s="20" t="n">
        <v>1896.59</v>
      </c>
      <c r="C134" s="18" t="n">
        <v>8885296.39443244</v>
      </c>
      <c r="E134" s="14" t="n"/>
      <c r="F134" s="4" t="n">
        <v>162000</v>
      </c>
      <c r="G134" s="4" t="n">
        <v>7706031024</v>
      </c>
      <c r="H134" s="4" t="n">
        <v>125000</v>
      </c>
      <c r="I134" s="4" t="n">
        <v>4107412004</v>
      </c>
      <c r="J134" s="4" t="n">
        <v>32000</v>
      </c>
      <c r="K134" s="4" t="n">
        <v>2272318410</v>
      </c>
      <c r="L134" s="4" t="n">
        <v>93500</v>
      </c>
      <c r="M134" s="4" t="n">
        <v>1793300377</v>
      </c>
      <c r="N134" s="4" t="n">
        <v>185000</v>
      </c>
      <c r="O134" s="4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6" customHeight="1">
      <c r="A135" s="10" t="n">
        <v>46038</v>
      </c>
      <c r="B135" s="20" t="n">
        <v>1879.13</v>
      </c>
      <c r="C135" s="18" t="n">
        <v>8803610.48562089</v>
      </c>
      <c r="E135" s="14" t="n"/>
      <c r="F135" s="4" t="n">
        <v>159900</v>
      </c>
      <c r="G135" s="4" t="n">
        <v>7706031024</v>
      </c>
      <c r="H135" s="4" t="n">
        <v>124100</v>
      </c>
      <c r="I135" s="4" t="n">
        <v>4107412004</v>
      </c>
      <c r="J135" s="4" t="n">
        <v>32000</v>
      </c>
      <c r="K135" s="4" t="n">
        <v>2272318410</v>
      </c>
      <c r="L135" s="4" t="n">
        <v>93000</v>
      </c>
      <c r="M135" s="4" t="n">
        <v>1793300377</v>
      </c>
      <c r="N135" s="4" t="n">
        <v>184000</v>
      </c>
      <c r="O135" s="4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6" customHeight="1">
      <c r="A136" s="10" t="n">
        <v>46037</v>
      </c>
      <c r="B136" s="20" t="n">
        <v>1864.8</v>
      </c>
      <c r="C136" s="18" t="n">
        <v>8738171.298833581</v>
      </c>
      <c r="E136" s="14" t="n"/>
      <c r="F136" s="4" t="n">
        <v>153000</v>
      </c>
      <c r="G136" s="4" t="n">
        <v>7706031024</v>
      </c>
      <c r="H136" s="4" t="n">
        <v>120000</v>
      </c>
      <c r="I136" s="4" t="n">
        <v>4107412004</v>
      </c>
      <c r="J136" s="4" t="n">
        <v>31450</v>
      </c>
      <c r="K136" s="4" t="n">
        <v>2272318410</v>
      </c>
      <c r="L136" s="4" t="n">
        <v>92300</v>
      </c>
      <c r="M136" s="4" t="n">
        <v>1793300377</v>
      </c>
      <c r="N136" s="4" t="n">
        <v>180500</v>
      </c>
      <c r="O136" s="4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6" customHeight="1">
      <c r="A137" s="10" t="n">
        <v>46036</v>
      </c>
      <c r="B137" s="20" t="n">
        <v>1894.44</v>
      </c>
      <c r="C137" s="18" t="n">
        <v>8866624.79579407</v>
      </c>
      <c r="E137" s="14" t="n"/>
      <c r="F137" s="4" t="n">
        <v>160200</v>
      </c>
      <c r="G137" s="4" t="n">
        <v>7706031024</v>
      </c>
      <c r="H137" s="4" t="n">
        <v>126300</v>
      </c>
      <c r="I137" s="4" t="n">
        <v>4107412004</v>
      </c>
      <c r="J137" s="4" t="n">
        <v>31800</v>
      </c>
      <c r="K137" s="4" t="n">
        <v>2272318410</v>
      </c>
      <c r="L137" s="4" t="n">
        <v>92500</v>
      </c>
      <c r="M137" s="4" t="n">
        <v>1793300377</v>
      </c>
      <c r="N137" s="4" t="n">
        <v>189400</v>
      </c>
      <c r="O137" s="4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6" customHeight="1">
      <c r="A138" s="10" t="n">
        <v>46035</v>
      </c>
      <c r="B138" s="20" t="n">
        <v>1902.93</v>
      </c>
      <c r="C138" s="18" t="n">
        <v>8906522.65103161</v>
      </c>
      <c r="E138" s="14" t="n"/>
      <c r="F138" s="4" t="n">
        <v>167900</v>
      </c>
      <c r="G138" s="4" t="n">
        <v>7706031024</v>
      </c>
      <c r="H138" s="4" t="n">
        <v>134000</v>
      </c>
      <c r="I138" s="4" t="n">
        <v>4107412004</v>
      </c>
      <c r="J138" s="4" t="n">
        <v>33550</v>
      </c>
      <c r="K138" s="4" t="n">
        <v>2272318410</v>
      </c>
      <c r="L138" s="4" t="n">
        <v>94900</v>
      </c>
      <c r="M138" s="4" t="n">
        <v>1793300377</v>
      </c>
      <c r="N138" s="4" t="n">
        <v>195000</v>
      </c>
      <c r="O138" s="4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6" customHeight="1">
      <c r="A139" s="10" t="n">
        <v>46034</v>
      </c>
      <c r="B139" s="20" t="n">
        <v>1877.33</v>
      </c>
      <c r="C139" s="18" t="n">
        <v>8787062.701645181</v>
      </c>
      <c r="E139" s="14" t="n"/>
      <c r="F139" s="4" t="n">
        <v>163700</v>
      </c>
      <c r="G139" s="4" t="n">
        <v>7706031024</v>
      </c>
      <c r="H139" s="4" t="n">
        <v>130200</v>
      </c>
      <c r="I139" s="4" t="n">
        <v>4107412004</v>
      </c>
      <c r="J139" s="4" t="n">
        <v>32600</v>
      </c>
      <c r="K139" s="4" t="n">
        <v>2272318410</v>
      </c>
      <c r="L139" s="4" t="n">
        <v>93100</v>
      </c>
      <c r="M139" s="4" t="n">
        <v>1793300377</v>
      </c>
      <c r="N139" s="4" t="n">
        <v>195000</v>
      </c>
      <c r="O139" s="4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6" customHeight="1">
      <c r="A140" s="10" t="n">
        <v>46031</v>
      </c>
      <c r="B140" s="20" t="n">
        <v>1867.9</v>
      </c>
      <c r="C140" s="18" t="n">
        <v>8742429.379973412</v>
      </c>
      <c r="E140" s="14" t="n"/>
      <c r="F140" s="4" t="n">
        <v>176000</v>
      </c>
      <c r="G140" s="4" t="n">
        <v>7706031024</v>
      </c>
      <c r="H140" s="4" t="n">
        <v>140000</v>
      </c>
      <c r="I140" s="4" t="n">
        <v>4107412004</v>
      </c>
      <c r="J140" s="4" t="n">
        <v>35000</v>
      </c>
      <c r="K140" s="4" t="n">
        <v>2272318410</v>
      </c>
      <c r="L140" s="4" t="n">
        <v>93100</v>
      </c>
      <c r="M140" s="4" t="n">
        <v>1793300377</v>
      </c>
      <c r="N140" s="4" t="n">
        <v>198700</v>
      </c>
      <c r="O140" s="4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6" customHeight="1">
      <c r="A141" s="10" t="n">
        <v>46030</v>
      </c>
      <c r="B141" s="20" t="n">
        <v>1855.56</v>
      </c>
      <c r="C141" s="18" t="n">
        <v>8682135.08469056</v>
      </c>
      <c r="E141" s="14" t="n"/>
      <c r="F141" s="4" t="n">
        <v>176600</v>
      </c>
      <c r="G141" s="4" t="n">
        <v>7706031024</v>
      </c>
      <c r="H141" s="4" t="n">
        <v>139100</v>
      </c>
      <c r="I141" s="4" t="n">
        <v>4107412004</v>
      </c>
      <c r="J141" s="4" t="n">
        <v>35900</v>
      </c>
      <c r="K141" s="4" t="n">
        <v>2272318410</v>
      </c>
      <c r="L141" s="4" t="n">
        <v>94100</v>
      </c>
      <c r="M141" s="4" t="n">
        <v>1793300377</v>
      </c>
      <c r="N141" s="4" t="n">
        <v>203000</v>
      </c>
      <c r="O141" s="4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6" customHeight="1">
      <c r="A142" s="10" t="n">
        <v>46029</v>
      </c>
      <c r="B142" s="20" t="n">
        <v>1861.58</v>
      </c>
      <c r="C142" s="18" t="n">
        <v>8710123.41843175</v>
      </c>
      <c r="E142" s="14" t="n"/>
      <c r="F142" s="4" t="n">
        <v>179000</v>
      </c>
      <c r="G142" s="4" t="n">
        <v>7706031024</v>
      </c>
      <c r="H142" s="4" t="n">
        <v>149500</v>
      </c>
      <c r="I142" s="4" t="n">
        <v>4107412004</v>
      </c>
      <c r="J142" s="4" t="n">
        <v>38550</v>
      </c>
      <c r="K142" s="4" t="n">
        <v>2272318410</v>
      </c>
      <c r="L142" s="4" t="n">
        <v>100500</v>
      </c>
      <c r="M142" s="4" t="n">
        <v>1793300377</v>
      </c>
      <c r="N142" s="4" t="n">
        <v>209600</v>
      </c>
      <c r="O142" s="4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6" customHeight="1">
      <c r="A143" s="10" t="n">
        <v>46028</v>
      </c>
      <c r="B143" s="20" t="n">
        <v>1816.27</v>
      </c>
      <c r="C143" s="18" t="n">
        <v>8497945.760903019</v>
      </c>
      <c r="E143" s="14" t="n"/>
      <c r="F143" s="4" t="n">
        <v>173100</v>
      </c>
      <c r="G143" s="4" t="n">
        <v>7706031024</v>
      </c>
      <c r="H143" s="4" t="n">
        <v>141800</v>
      </c>
      <c r="I143" s="4" t="n">
        <v>4107412004</v>
      </c>
      <c r="J143" s="4" t="n">
        <v>38050</v>
      </c>
      <c r="K143" s="4" t="n">
        <v>2272318410</v>
      </c>
      <c r="L143" s="4" t="n">
        <v>102900</v>
      </c>
      <c r="M143" s="4" t="n">
        <v>1793300377</v>
      </c>
      <c r="N143" s="4" t="n">
        <v>212200</v>
      </c>
      <c r="O143" s="4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6" customHeight="1">
      <c r="A144" s="10" t="n">
        <v>46027</v>
      </c>
      <c r="B144" s="20" t="n">
        <v>1788.4</v>
      </c>
      <c r="C144" s="18" t="n">
        <v>8365478.40018588</v>
      </c>
      <c r="E144" s="14" t="n"/>
      <c r="F144" s="4" t="n">
        <v>173100</v>
      </c>
      <c r="G144" s="4" t="n">
        <v>7706031024</v>
      </c>
      <c r="H144" s="4" t="n">
        <v>132600</v>
      </c>
      <c r="I144" s="4" t="n">
        <v>4107412004</v>
      </c>
      <c r="J144" s="4" t="n">
        <v>35600</v>
      </c>
      <c r="K144" s="4" t="n">
        <v>2272318410</v>
      </c>
      <c r="L144" s="4" t="n">
        <v>100000</v>
      </c>
      <c r="M144" s="4" t="n">
        <v>1793300377</v>
      </c>
      <c r="N144" s="4" t="n">
        <v>207500</v>
      </c>
      <c r="O144" s="4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6" customFormat="1" customHeight="1" s="16">
      <c r="A145" s="1" t="n">
        <v>46022</v>
      </c>
      <c r="B145" s="20" t="n">
        <v>1784.49</v>
      </c>
      <c r="C145" s="19" t="n">
        <v>8341757.261007281</v>
      </c>
      <c r="E145" s="1" t="n">
        <v>46022</v>
      </c>
      <c r="F145" s="4" t="n">
        <v>169600</v>
      </c>
      <c r="G145" s="4" t="n">
        <v>7706031024</v>
      </c>
      <c r="H145" s="4" t="n">
        <v>124000</v>
      </c>
      <c r="I145" s="4" t="n">
        <v>4107412004</v>
      </c>
      <c r="J145" s="4" t="n">
        <v>33650</v>
      </c>
      <c r="K145" s="4" t="n">
        <v>2272318410</v>
      </c>
      <c r="L145" s="4" t="n">
        <v>94200</v>
      </c>
      <c r="M145" s="4" t="n">
        <v>1793300377</v>
      </c>
      <c r="N145" s="4" t="n">
        <v>209000</v>
      </c>
      <c r="O145" s="4" t="n">
        <v>591611334</v>
      </c>
      <c r="Q145" s="12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K145" s="16" t="n"/>
      <c r="AL145" s="7">
        <f>B145-AJ145</f>
        <v/>
      </c>
      <c r="AM145" s="42">
        <f>_xlfn.STDEV.S(AL145:AL164)</f>
        <v/>
      </c>
      <c r="AO145" s="7" t="n"/>
      <c r="AP145" s="7" t="n"/>
    </row>
    <row r="146" ht="16" customFormat="1" customHeight="1" s="16">
      <c r="A146" s="1" t="n">
        <v>46021</v>
      </c>
      <c r="B146" s="7" t="n">
        <v>1766.9</v>
      </c>
      <c r="C146" s="19" t="n">
        <v>8259675</v>
      </c>
      <c r="E146" s="1" t="n">
        <v>46011</v>
      </c>
      <c r="F146" s="4" t="n">
        <v>163000</v>
      </c>
      <c r="G146" s="4" t="n">
        <v>7706031024</v>
      </c>
      <c r="H146" s="4" t="n">
        <v>117500</v>
      </c>
      <c r="I146" s="4" t="n">
        <v>4107412004</v>
      </c>
      <c r="J146" s="4" t="n">
        <v>32800</v>
      </c>
      <c r="K146" s="4" t="n">
        <v>2272318410</v>
      </c>
      <c r="L146" s="4" t="n">
        <v>91000</v>
      </c>
      <c r="M146" s="4" t="n">
        <v>1793300377</v>
      </c>
      <c r="N146" s="4" t="n">
        <v>205400</v>
      </c>
      <c r="O146" s="4" t="n">
        <v>591611334</v>
      </c>
      <c r="Q146" s="12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K146" s="16" t="n"/>
      <c r="AL146" s="7">
        <f>B146-AJ146</f>
        <v/>
      </c>
      <c r="AM146" s="42">
        <f>_xlfn.STDEV.S(AL146:AL165)</f>
        <v/>
      </c>
    </row>
    <row r="147" ht="16" customHeight="1">
      <c r="A147" s="1" t="n">
        <v>46020</v>
      </c>
      <c r="B147" s="7" t="n">
        <v>1754.84</v>
      </c>
      <c r="C147" s="19" t="n">
        <v>8203331</v>
      </c>
      <c r="E147" s="1" t="n">
        <v>46020</v>
      </c>
      <c r="F147" s="4" t="n">
        <v>159700</v>
      </c>
      <c r="G147" s="4" t="n">
        <v>7706031024</v>
      </c>
      <c r="H147" s="4" t="n">
        <v>117700</v>
      </c>
      <c r="I147" s="4" t="n">
        <v>4107412004</v>
      </c>
      <c r="J147" s="4" t="n">
        <v>33200</v>
      </c>
      <c r="K147" s="4" t="n">
        <v>2272318410</v>
      </c>
      <c r="L147" s="4" t="n">
        <v>94000</v>
      </c>
      <c r="M147" s="4" t="n">
        <v>1793300377</v>
      </c>
      <c r="N147" s="4" t="n">
        <v>208200</v>
      </c>
      <c r="O147" s="4" t="n">
        <v>591611334</v>
      </c>
      <c r="Q147" s="12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K147" s="16" t="n"/>
      <c r="AL147" s="7">
        <f>B147-AJ147</f>
        <v/>
      </c>
      <c r="AM147" s="42">
        <f>_xlfn.STDEV.S(AL147:AL166)</f>
        <v/>
      </c>
    </row>
    <row r="148" ht="16" customHeight="1">
      <c r="A148" s="1" t="n">
        <v>46017</v>
      </c>
      <c r="B148" s="7" t="n">
        <v>1729.8</v>
      </c>
      <c r="C148" s="19" t="n">
        <v>8086725</v>
      </c>
      <c r="E148" s="1" t="n">
        <v>46017</v>
      </c>
      <c r="F148" s="4" t="n">
        <v>155000</v>
      </c>
      <c r="G148" s="4" t="n">
        <v>7706031024</v>
      </c>
      <c r="H148" s="4" t="n">
        <v>110000</v>
      </c>
      <c r="I148" s="4" t="n">
        <v>4107412004</v>
      </c>
      <c r="J148" s="4" t="n">
        <v>32000</v>
      </c>
      <c r="K148" s="4" t="n">
        <v>2272318410</v>
      </c>
      <c r="L148" s="4" t="n">
        <v>92100</v>
      </c>
      <c r="M148" s="4" t="n">
        <v>1793300377</v>
      </c>
      <c r="N148" s="4" t="n">
        <v>207900</v>
      </c>
      <c r="O148" s="4" t="n">
        <v>591611334</v>
      </c>
      <c r="Q148" s="12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K148" s="16" t="n"/>
      <c r="AL148" s="7">
        <f>B148-AJ148</f>
        <v/>
      </c>
      <c r="AM148" s="42">
        <f>_xlfn.STDEV.S(AL148:AL167)</f>
        <v/>
      </c>
    </row>
    <row r="149" ht="16" customHeight="1">
      <c r="A149" s="1" t="n">
        <v>46016</v>
      </c>
      <c r="B149" s="7" t="n">
        <v>1742.85</v>
      </c>
      <c r="C149" s="19" t="n">
        <v>8147425</v>
      </c>
      <c r="E149" s="1" t="n">
        <v>46016</v>
      </c>
      <c r="F149" s="4" t="n">
        <v>158000</v>
      </c>
      <c r="G149" s="4" t="n">
        <v>7706031024</v>
      </c>
      <c r="H149" s="4" t="n">
        <v>114300</v>
      </c>
      <c r="I149" s="4" t="n">
        <v>4107412004</v>
      </c>
      <c r="J149" s="4" t="n">
        <v>32250</v>
      </c>
      <c r="K149" s="4" t="n">
        <v>2272318410</v>
      </c>
      <c r="L149" s="4" t="n">
        <v>99000</v>
      </c>
      <c r="M149" s="4" t="n">
        <v>1793300377</v>
      </c>
      <c r="N149" s="4" t="n">
        <v>212000</v>
      </c>
      <c r="O149" s="4" t="n">
        <v>591611334</v>
      </c>
      <c r="Q149" s="12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K149" s="16" t="n"/>
      <c r="AL149" s="7">
        <f>B149-AJ149</f>
        <v/>
      </c>
      <c r="AM149" s="42">
        <f>_xlfn.STDEV.S(AL149:AL168)</f>
        <v/>
      </c>
    </row>
    <row r="150" ht="16" customHeight="1">
      <c r="A150" s="1" t="n">
        <v>46015</v>
      </c>
      <c r="B150" s="7" t="n">
        <v>1782.82</v>
      </c>
      <c r="C150" s="19" t="n">
        <v>8091453</v>
      </c>
      <c r="E150" s="1" t="n">
        <v>46015</v>
      </c>
      <c r="F150" s="4" t="n">
        <v>169800</v>
      </c>
      <c r="G150" s="4" t="n">
        <v>7706031024</v>
      </c>
      <c r="H150" s="4" t="n">
        <v>122800</v>
      </c>
      <c r="I150" s="4" t="n">
        <v>4107412004</v>
      </c>
      <c r="J150" s="4" t="n">
        <v>34650</v>
      </c>
      <c r="K150" s="4" t="n">
        <v>2272318410</v>
      </c>
      <c r="L150" s="4" t="n">
        <v>102000</v>
      </c>
      <c r="M150" s="4" t="n">
        <v>1793300377</v>
      </c>
      <c r="N150" s="4" t="n">
        <v>199000</v>
      </c>
      <c r="O150" s="4" t="n">
        <v>591611334</v>
      </c>
      <c r="Q150" s="12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6" customHeight="1">
      <c r="A151" s="1" t="n">
        <v>46014</v>
      </c>
      <c r="B151" s="7" t="n">
        <v>1772.15</v>
      </c>
      <c r="C151" s="19" t="n">
        <v>8042522</v>
      </c>
      <c r="E151" s="1" t="n">
        <v>46014</v>
      </c>
      <c r="F151" s="4" t="n">
        <v>169900</v>
      </c>
      <c r="G151" s="4" t="n">
        <v>7706031024</v>
      </c>
      <c r="H151" s="4" t="n">
        <v>114900</v>
      </c>
      <c r="I151" s="4" t="n">
        <v>4107412004</v>
      </c>
      <c r="J151" s="4" t="n">
        <v>34250</v>
      </c>
      <c r="K151" s="4" t="n">
        <v>2272318410</v>
      </c>
      <c r="L151" s="4" t="n">
        <v>103000</v>
      </c>
      <c r="M151" s="4" t="n">
        <v>1793300377</v>
      </c>
      <c r="N151" s="4" t="n">
        <v>206500</v>
      </c>
      <c r="O151" s="4" t="n">
        <v>591611334</v>
      </c>
      <c r="Q151" s="12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6" customHeight="1">
      <c r="A152" s="1" t="n">
        <v>46013</v>
      </c>
      <c r="B152" s="7" t="n">
        <v>1751.03</v>
      </c>
      <c r="C152" s="19" t="n">
        <v>7947052</v>
      </c>
      <c r="E152" s="1" t="n">
        <v>46013</v>
      </c>
      <c r="F152" s="4" t="n">
        <v>158800</v>
      </c>
      <c r="G152" s="4" t="n">
        <v>7706031024</v>
      </c>
      <c r="H152" s="4" t="n">
        <v>107400</v>
      </c>
      <c r="I152" s="4" t="n">
        <v>4107412004</v>
      </c>
      <c r="J152" s="4" t="n">
        <v>33000</v>
      </c>
      <c r="K152" s="4" t="n">
        <v>2272318410</v>
      </c>
      <c r="L152" s="4" t="n">
        <v>98000</v>
      </c>
      <c r="M152" s="4" t="n">
        <v>1793300377</v>
      </c>
      <c r="N152" s="4" t="n">
        <v>206000</v>
      </c>
      <c r="O152" s="4" t="n">
        <v>591611334</v>
      </c>
      <c r="Q152" s="12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K152" s="16" t="n"/>
      <c r="AL152" s="7">
        <f>B152-AJ152</f>
        <v/>
      </c>
      <c r="AM152" s="42">
        <f>_xlfn.STDEV.S(AL152:AL171)</f>
        <v/>
      </c>
    </row>
    <row r="153" ht="16" customHeight="1">
      <c r="A153" s="1" t="n">
        <v>46010</v>
      </c>
      <c r="B153" s="7" t="n">
        <v>1704.31</v>
      </c>
      <c r="C153" s="19" t="n">
        <v>7735258</v>
      </c>
      <c r="E153" s="1" t="n">
        <v>46010</v>
      </c>
      <c r="F153" s="4" t="n">
        <v>148500</v>
      </c>
      <c r="G153" s="4" t="n">
        <v>7706031024</v>
      </c>
      <c r="H153" s="4" t="n">
        <v>101500</v>
      </c>
      <c r="I153" s="4" t="n">
        <v>4107412004</v>
      </c>
      <c r="J153" s="4" t="n">
        <v>31700</v>
      </c>
      <c r="K153" s="4" t="n">
        <v>2272318410</v>
      </c>
      <c r="L153" s="4" t="n">
        <v>93800</v>
      </c>
      <c r="M153" s="4" t="n">
        <v>1793300377</v>
      </c>
      <c r="N153" s="4" t="n">
        <v>199900</v>
      </c>
      <c r="O153" s="4" t="n">
        <v>591611334</v>
      </c>
      <c r="Q153" s="12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K153" s="16" t="n"/>
      <c r="AL153" s="7">
        <f>B153-AJ153</f>
        <v/>
      </c>
      <c r="AM153" s="42">
        <f>_xlfn.STDEV.S(AL153:AL172)</f>
        <v/>
      </c>
    </row>
    <row r="154">
      <c r="A154" s="1" t="n">
        <v>46009</v>
      </c>
      <c r="B154" s="7" t="n">
        <v>1676.98</v>
      </c>
      <c r="C154" s="19" t="n">
        <v>7611538</v>
      </c>
      <c r="E154" s="1" t="n">
        <v>46009</v>
      </c>
      <c r="F154" s="4" t="n">
        <v>142700</v>
      </c>
      <c r="G154" s="4" t="n">
        <v>7706031024</v>
      </c>
      <c r="H154" s="4" t="n">
        <v>94900</v>
      </c>
      <c r="I154" s="4" t="n">
        <v>4107412004</v>
      </c>
      <c r="J154" s="4" t="n">
        <v>30350</v>
      </c>
      <c r="K154" s="4" t="n">
        <v>2272318410</v>
      </c>
      <c r="L154" s="4" t="n">
        <v>88800</v>
      </c>
      <c r="M154" s="4" t="n">
        <v>1793300377</v>
      </c>
      <c r="N154" s="4" t="n">
        <v>191500</v>
      </c>
      <c r="O154" s="4" t="n">
        <v>591611334</v>
      </c>
      <c r="Q154" s="12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K154" s="16" t="n"/>
      <c r="AL154" s="7">
        <f>B154-AJ154</f>
        <v/>
      </c>
      <c r="AM154" s="42">
        <f>_xlfn.STDEV.S(AL154:AL173)</f>
        <v/>
      </c>
      <c r="AO154" s="16" t="n"/>
      <c r="AP154" s="16" t="n"/>
      <c r="AQ154" s="16" t="n"/>
      <c r="AR154" s="16" t="n"/>
      <c r="AS154" s="16" t="n"/>
      <c r="AT154" s="16" t="n"/>
      <c r="AU154" s="16" t="n"/>
      <c r="AV154" s="16" t="n"/>
    </row>
    <row r="155">
      <c r="A155" s="1" t="n">
        <v>46008</v>
      </c>
      <c r="B155" s="7" t="n">
        <v>1673.66</v>
      </c>
      <c r="C155" s="19" t="n">
        <v>7592113</v>
      </c>
      <c r="E155" s="1" t="n">
        <v>46008</v>
      </c>
      <c r="F155" s="4" t="n">
        <v>142900</v>
      </c>
      <c r="G155" s="4" t="n">
        <v>7706031024</v>
      </c>
      <c r="H155" s="4" t="n">
        <v>94900</v>
      </c>
      <c r="I155" s="4" t="n">
        <v>4107412004</v>
      </c>
      <c r="J155" s="4" t="n">
        <v>29700</v>
      </c>
      <c r="K155" s="4" t="n">
        <v>2272318410</v>
      </c>
      <c r="L155" s="4" t="n">
        <v>87900</v>
      </c>
      <c r="M155" s="4" t="n">
        <v>1793300377</v>
      </c>
      <c r="N155" s="4" t="n">
        <v>191500</v>
      </c>
      <c r="O155" s="4" t="n">
        <v>591611334</v>
      </c>
      <c r="Q155" s="12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>
      <c r="A156" s="14" t="n">
        <v>46007</v>
      </c>
      <c r="B156" s="15" t="n">
        <v>1679.18</v>
      </c>
      <c r="C156" s="18" t="n">
        <v>7617247</v>
      </c>
      <c r="E156" s="14" t="n">
        <v>46007</v>
      </c>
      <c r="F156" s="4" t="n">
        <v>142900</v>
      </c>
      <c r="G156" s="4" t="n">
        <v>7706031024</v>
      </c>
      <c r="H156" s="4" t="n">
        <v>95000</v>
      </c>
      <c r="I156" s="4" t="n">
        <v>4107412004</v>
      </c>
      <c r="J156" s="4" t="n">
        <v>29600</v>
      </c>
      <c r="K156" s="4" t="n">
        <v>2272318410</v>
      </c>
      <c r="L156" s="4" t="n">
        <v>84300</v>
      </c>
      <c r="M156" s="4" t="n">
        <v>1793300377</v>
      </c>
      <c r="N156" s="4" t="n">
        <v>191500</v>
      </c>
      <c r="O156" s="4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>
      <c r="A157" s="14" t="n">
        <v>46006</v>
      </c>
      <c r="B157" s="15" t="n">
        <v>1646.01</v>
      </c>
      <c r="C157" s="18" t="n">
        <v>7392901</v>
      </c>
      <c r="E157" s="14" t="n">
        <v>46006</v>
      </c>
      <c r="F157" s="4" t="n">
        <v>142900</v>
      </c>
      <c r="G157" s="4" t="n">
        <v>7706031024</v>
      </c>
      <c r="H157" s="4" t="n">
        <v>92500</v>
      </c>
      <c r="I157" s="4" t="n">
        <v>4107412004</v>
      </c>
      <c r="J157" s="4" t="n">
        <v>28900</v>
      </c>
      <c r="K157" s="4" t="n">
        <v>2272318410</v>
      </c>
      <c r="L157" s="4" t="n">
        <v>78800</v>
      </c>
      <c r="M157" s="4" t="n">
        <v>1793300377</v>
      </c>
      <c r="N157" s="4" t="n">
        <v>186000</v>
      </c>
      <c r="O157" s="4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>
      <c r="A158" s="1" t="n">
        <v>46003</v>
      </c>
      <c r="B158" s="7" t="n">
        <v>1646.89</v>
      </c>
      <c r="C158" s="19" t="n">
        <v>7397955</v>
      </c>
      <c r="E158" s="1" t="n">
        <v>46003</v>
      </c>
      <c r="F158" s="4" t="n">
        <v>144000</v>
      </c>
      <c r="G158" s="4" t="n">
        <v>7706031024</v>
      </c>
      <c r="H158" s="4" t="n">
        <v>94100</v>
      </c>
      <c r="I158" s="4" t="n">
        <v>4107412004</v>
      </c>
      <c r="J158" s="4" t="n">
        <v>27450</v>
      </c>
      <c r="K158" s="4" t="n">
        <v>2272318410</v>
      </c>
      <c r="L158" s="4" t="n">
        <v>84700</v>
      </c>
      <c r="M158" s="4" t="n">
        <v>1793300377</v>
      </c>
      <c r="N158" s="4" t="n">
        <v>185000</v>
      </c>
      <c r="O158" s="4" t="n">
        <v>591611334</v>
      </c>
      <c r="Q158" s="12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K158" s="9" t="n"/>
      <c r="AL158" s="7">
        <f>B158-AJ158</f>
        <v/>
      </c>
      <c r="AM158" s="42">
        <f>_xlfn.STDEV.S(AL158:AL177)</f>
        <v/>
      </c>
    </row>
    <row r="159">
      <c r="A159" s="1" t="n">
        <v>46002</v>
      </c>
      <c r="B159" s="7" t="n">
        <v>1698.9</v>
      </c>
      <c r="C159" s="19" t="n">
        <v>7631198</v>
      </c>
      <c r="E159" s="10" t="n">
        <v>46002</v>
      </c>
      <c r="F159" s="4" t="n">
        <v>146000</v>
      </c>
      <c r="G159" s="4" t="n">
        <v>7706031024</v>
      </c>
      <c r="H159" s="4" t="n">
        <v>101100</v>
      </c>
      <c r="I159" s="4" t="n">
        <v>4107412004</v>
      </c>
      <c r="J159" s="4" t="n">
        <v>29500</v>
      </c>
      <c r="K159" s="4" t="n">
        <v>2272318410</v>
      </c>
      <c r="L159" s="4" t="n">
        <v>91000</v>
      </c>
      <c r="M159" s="4" t="n">
        <v>1793300377</v>
      </c>
      <c r="N159" s="4" t="n">
        <v>188000</v>
      </c>
      <c r="O159" s="4" t="n">
        <v>591611334</v>
      </c>
      <c r="Q159" s="3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K159" s="9" t="n"/>
      <c r="AL159" s="7">
        <f>B159-AJ159</f>
        <v/>
      </c>
      <c r="AM159" s="42">
        <f>_xlfn.STDEV.S(AL159:AL178)</f>
        <v/>
      </c>
    </row>
    <row r="160">
      <c r="A160" s="1" t="n">
        <v>46001</v>
      </c>
      <c r="B160" s="7" t="n">
        <v>1718.98</v>
      </c>
      <c r="C160" s="3" t="n">
        <v>7632683.11</v>
      </c>
      <c r="E160" s="10" t="n">
        <v>46001</v>
      </c>
      <c r="F160" s="4" t="n">
        <v>148800</v>
      </c>
      <c r="G160" s="4" t="n">
        <v>7706031024</v>
      </c>
      <c r="H160" s="4" t="n">
        <v>103500</v>
      </c>
      <c r="I160" s="4" t="n">
        <v>4107412004</v>
      </c>
      <c r="J160" s="4" t="n">
        <v>30000</v>
      </c>
      <c r="K160" s="4" t="n">
        <v>2272318410</v>
      </c>
      <c r="L160" s="4" t="n">
        <v>95800</v>
      </c>
      <c r="M160" s="4" t="n">
        <v>1793300377</v>
      </c>
      <c r="N160" s="4" t="n">
        <v>196600</v>
      </c>
      <c r="O160" s="4" t="n">
        <v>591611334</v>
      </c>
      <c r="Q160" s="3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K160" s="9" t="n"/>
      <c r="AL160" s="7">
        <f>B160-AJ160</f>
        <v/>
      </c>
      <c r="AM160" s="42">
        <f>_xlfn.STDEV.S(AL160:AL179)</f>
        <v/>
      </c>
    </row>
    <row r="161">
      <c r="A161" s="1" t="n">
        <v>46000</v>
      </c>
      <c r="B161" s="7" t="n">
        <v>1747.17</v>
      </c>
      <c r="C161" s="3" t="n">
        <v>7754983.67</v>
      </c>
      <c r="E161" s="10" t="n">
        <v>46000</v>
      </c>
      <c r="F161" s="4" t="n">
        <v>160000</v>
      </c>
      <c r="G161" s="4" t="n">
        <v>7706031024</v>
      </c>
      <c r="H161" s="4" t="n">
        <v>107500</v>
      </c>
      <c r="I161" s="4" t="n">
        <v>4107412004</v>
      </c>
      <c r="J161" s="4" t="n">
        <v>32000</v>
      </c>
      <c r="K161" s="4" t="n">
        <v>2272318410</v>
      </c>
      <c r="L161" s="4" t="n">
        <v>103000</v>
      </c>
      <c r="M161" s="4" t="n">
        <v>1793300377</v>
      </c>
      <c r="N161" s="4" t="n">
        <v>200000</v>
      </c>
      <c r="O161" s="4" t="n">
        <v>591611334</v>
      </c>
      <c r="Q161" s="3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K161" s="9" t="n"/>
      <c r="AL161" s="7">
        <f>B161-AJ161</f>
        <v/>
      </c>
      <c r="AM161" s="42">
        <f>_xlfn.STDEV.S(AL161:AL180)</f>
        <v/>
      </c>
    </row>
    <row r="162">
      <c r="A162" s="1" t="n">
        <v>45999</v>
      </c>
      <c r="B162" s="7" t="n">
        <v>1753.74</v>
      </c>
      <c r="C162" s="3" t="n">
        <v>7783654.14</v>
      </c>
      <c r="E162" s="10" t="n">
        <v>45999</v>
      </c>
      <c r="F162" s="4" t="n">
        <v>152700</v>
      </c>
      <c r="G162" s="4" t="n">
        <v>7706031024</v>
      </c>
      <c r="H162" s="4" t="n">
        <v>110000</v>
      </c>
      <c r="I162" s="4" t="n">
        <v>4107412004</v>
      </c>
      <c r="J162" s="4" t="n">
        <v>32950</v>
      </c>
      <c r="K162" s="4" t="n">
        <v>2272318410</v>
      </c>
      <c r="L162" s="4" t="n">
        <v>106300</v>
      </c>
      <c r="M162" s="4" t="n">
        <v>1793300377</v>
      </c>
      <c r="N162" s="4" t="n">
        <v>206400</v>
      </c>
      <c r="O162" s="4" t="n">
        <v>591611334</v>
      </c>
      <c r="Q162" s="3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K162" s="9" t="n"/>
      <c r="AL162" s="7">
        <f>B162-AJ162</f>
        <v/>
      </c>
      <c r="AM162" s="42">
        <f>_xlfn.STDEV.S(AL162:AL181)</f>
        <v/>
      </c>
    </row>
    <row r="163">
      <c r="A163" s="1" t="n">
        <v>45996</v>
      </c>
      <c r="B163" s="7" t="n">
        <v>1741.32</v>
      </c>
      <c r="C163" s="3" t="n">
        <v>7722271.5</v>
      </c>
      <c r="E163" s="10" t="n">
        <v>45996</v>
      </c>
      <c r="F163" s="4" t="n">
        <v>142800</v>
      </c>
      <c r="G163" s="4" t="n">
        <v>7706031024</v>
      </c>
      <c r="H163" s="4" t="n">
        <v>107000</v>
      </c>
      <c r="I163" s="4" t="n">
        <v>4107412004</v>
      </c>
      <c r="J163" s="4" t="n">
        <v>33800</v>
      </c>
      <c r="K163" s="4" t="n">
        <v>2272318410</v>
      </c>
      <c r="L163" s="4" t="n">
        <v>104000</v>
      </c>
      <c r="M163" s="4" t="n">
        <v>1793300377</v>
      </c>
      <c r="N163" s="4" t="n">
        <v>207500</v>
      </c>
      <c r="O163" s="4" t="n">
        <v>591611334</v>
      </c>
      <c r="Q163" s="3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K163" s="9" t="n"/>
      <c r="AL163" s="7">
        <f>B163-AJ163</f>
        <v/>
      </c>
      <c r="AM163" s="42">
        <f>_xlfn.STDEV.S(AL163:AL182)</f>
        <v/>
      </c>
    </row>
    <row r="164">
      <c r="A164" s="1" t="n">
        <v>45995</v>
      </c>
      <c r="B164" s="7" t="n">
        <v>1737.24</v>
      </c>
      <c r="C164" s="3" t="n">
        <v>7703713.1</v>
      </c>
      <c r="E164" s="10" t="n">
        <v>45995</v>
      </c>
      <c r="F164" s="4" t="n">
        <v>267000</v>
      </c>
      <c r="G164" s="4" t="n">
        <v>3853015512</v>
      </c>
      <c r="H164" s="4" t="n">
        <v>105200</v>
      </c>
      <c r="I164" s="4" t="n">
        <v>4107412004</v>
      </c>
      <c r="J164" s="4" t="n">
        <v>34400</v>
      </c>
      <c r="K164" s="4" t="n">
        <v>2272318410</v>
      </c>
      <c r="L164" s="4" t="n">
        <v>102000</v>
      </c>
      <c r="M164" s="4" t="n">
        <v>1793300377</v>
      </c>
      <c r="N164" s="4" t="n">
        <v>206000</v>
      </c>
      <c r="O164" s="4" t="n">
        <v>591611334</v>
      </c>
      <c r="Q164" s="3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K164" s="9" t="n"/>
      <c r="AL164" s="7">
        <f>B164-AJ164</f>
        <v/>
      </c>
      <c r="AM164" s="42">
        <f>_xlfn.STDEV.S(AL164:AL183)</f>
        <v/>
      </c>
    </row>
    <row r="165">
      <c r="A165" s="1" t="n">
        <v>45994</v>
      </c>
      <c r="B165" s="7" t="n">
        <v>1731.77</v>
      </c>
      <c r="C165" s="3" t="n">
        <v>7679457.65</v>
      </c>
      <c r="E165" s="10" t="n">
        <v>45994</v>
      </c>
      <c r="F165" s="4" t="n">
        <v>269400</v>
      </c>
      <c r="G165" s="4" t="n">
        <v>3853015512</v>
      </c>
      <c r="H165" s="4" t="n">
        <v>106800</v>
      </c>
      <c r="I165" s="4" t="n">
        <v>4107412004</v>
      </c>
      <c r="J165" s="4" t="n">
        <v>34500</v>
      </c>
      <c r="K165" s="4" t="n">
        <v>2272318410</v>
      </c>
      <c r="L165" s="4" t="n">
        <v>100000</v>
      </c>
      <c r="M165" s="4" t="n">
        <v>1793300377</v>
      </c>
      <c r="N165" s="4" t="n">
        <v>214000</v>
      </c>
      <c r="O165" s="4" t="n">
        <v>591611334</v>
      </c>
      <c r="Q165" s="3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K165" s="9" t="n"/>
      <c r="AL165" s="7">
        <f>B165-AJ165</f>
        <v/>
      </c>
      <c r="AM165" s="42">
        <f>_xlfn.STDEV.S(AL165:AL184)</f>
        <v/>
      </c>
    </row>
    <row r="166">
      <c r="A166" s="1" t="n">
        <v>45993</v>
      </c>
      <c r="B166" s="7" t="n">
        <v>1717.06</v>
      </c>
      <c r="C166" s="3" t="n">
        <v>7614247.71</v>
      </c>
      <c r="E166" s="10" t="n">
        <v>45993</v>
      </c>
      <c r="F166" s="4" t="n">
        <v>275000</v>
      </c>
      <c r="G166" s="4" t="n">
        <v>3853015512</v>
      </c>
      <c r="H166" s="4" t="n">
        <v>106800</v>
      </c>
      <c r="I166" s="4" t="n">
        <v>4107412004</v>
      </c>
      <c r="J166" s="4" t="n">
        <v>34900</v>
      </c>
      <c r="K166" s="4" t="n">
        <v>2272318410</v>
      </c>
      <c r="L166" s="4" t="n">
        <v>103800</v>
      </c>
      <c r="M166" s="4" t="n">
        <v>1793300377</v>
      </c>
      <c r="N166" s="4" t="n">
        <v>217900</v>
      </c>
      <c r="O166" s="4" t="n">
        <v>591611334</v>
      </c>
      <c r="Q166" s="3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K166" s="9" t="n"/>
      <c r="AL166" s="7">
        <f>B166-AJ166</f>
        <v/>
      </c>
      <c r="AM166" s="42">
        <f>_xlfn.STDEV.S(AL166:AL185)</f>
        <v/>
      </c>
    </row>
    <row r="167">
      <c r="A167" s="1" t="n">
        <v>45992</v>
      </c>
      <c r="B167" s="7" t="n">
        <v>1701.67</v>
      </c>
      <c r="C167" s="3" t="n">
        <v>7545825.35</v>
      </c>
      <c r="E167" s="10" t="n">
        <v>45992</v>
      </c>
      <c r="F167" s="4" t="n">
        <v>269900</v>
      </c>
      <c r="G167" s="4" t="n">
        <v>3853015512</v>
      </c>
      <c r="H167" s="4" t="n">
        <v>105700</v>
      </c>
      <c r="I167" s="4" t="n">
        <v>4107412004</v>
      </c>
      <c r="J167" s="4" t="n">
        <v>34900</v>
      </c>
      <c r="K167" s="4" t="n">
        <v>2272318410</v>
      </c>
      <c r="L167" s="4" t="n">
        <v>101600</v>
      </c>
      <c r="M167" s="4" t="n">
        <v>1793300377</v>
      </c>
      <c r="N167" s="4" t="n">
        <v>203900</v>
      </c>
      <c r="O167" s="4" t="n">
        <v>591611334</v>
      </c>
      <c r="Q167" s="3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9" t="n"/>
      <c r="AL167" s="7">
        <f>B167-AJ167</f>
        <v/>
      </c>
      <c r="AM167" s="42">
        <f>_xlfn.STDEV.S(AL167:AL186)</f>
        <v/>
      </c>
    </row>
    <row r="168">
      <c r="A168" s="1" t="n">
        <v>45989</v>
      </c>
      <c r="B168" s="7" t="n">
        <v>1690.99</v>
      </c>
      <c r="C168" s="3" t="n">
        <v>7498472.39</v>
      </c>
      <c r="E168" s="10" t="n">
        <v>45989</v>
      </c>
      <c r="F168" s="4" t="n">
        <v>260400</v>
      </c>
      <c r="G168" s="4" t="n">
        <v>3853015512</v>
      </c>
      <c r="H168" s="4" t="n">
        <v>102900</v>
      </c>
      <c r="I168" s="4" t="n">
        <v>4107412004</v>
      </c>
      <c r="J168" s="4" t="n">
        <v>34250</v>
      </c>
      <c r="K168" s="4" t="n">
        <v>2272318410</v>
      </c>
      <c r="L168" s="4" t="n">
        <v>95000</v>
      </c>
      <c r="M168" s="4" t="n">
        <v>1793300377</v>
      </c>
      <c r="N168" s="4" t="n">
        <v>203500</v>
      </c>
      <c r="O168" s="4" t="n">
        <v>591611334</v>
      </c>
      <c r="Q168" s="3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9" t="n"/>
      <c r="AL168" s="7">
        <f>B168-AJ168</f>
        <v/>
      </c>
      <c r="AM168" s="42">
        <f>_xlfn.STDEV.S(AL168:AL187)</f>
        <v/>
      </c>
    </row>
    <row r="169">
      <c r="A169" s="1" t="n">
        <v>45988</v>
      </c>
      <c r="B169" s="7" t="n">
        <v>1684.32</v>
      </c>
      <c r="C169" s="3" t="n">
        <v>7468916.54</v>
      </c>
      <c r="E169" s="10" t="n">
        <v>45988</v>
      </c>
      <c r="F169" s="4" t="n">
        <v>248000</v>
      </c>
      <c r="G169" s="4" t="n">
        <v>3853015512</v>
      </c>
      <c r="H169" s="4" t="n">
        <v>102500</v>
      </c>
      <c r="I169" s="4" t="n">
        <v>4107412004</v>
      </c>
      <c r="J169" s="4" t="n">
        <v>33650</v>
      </c>
      <c r="K169" s="4" t="n">
        <v>2272318410</v>
      </c>
      <c r="L169" s="4" t="n">
        <v>89500</v>
      </c>
      <c r="M169" s="4" t="n">
        <v>1793300377</v>
      </c>
      <c r="N169" s="4" t="n">
        <v>202000</v>
      </c>
      <c r="O169" s="4" t="n">
        <v>591611334</v>
      </c>
      <c r="Q169" s="3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9" t="n"/>
      <c r="AL169" s="7">
        <f>B169-AJ169</f>
        <v/>
      </c>
      <c r="AM169" s="42">
        <f>_xlfn.STDEV.S(AL169:AL188)</f>
        <v/>
      </c>
    </row>
    <row r="170">
      <c r="A170" s="1" t="n">
        <v>45987</v>
      </c>
      <c r="B170" s="7" t="n">
        <v>1680.36</v>
      </c>
      <c r="C170" s="3" t="n">
        <v>7451196.51</v>
      </c>
      <c r="E170" s="10" t="n">
        <v>45987</v>
      </c>
      <c r="F170" s="4" t="n">
        <v>245000</v>
      </c>
      <c r="G170" s="4" t="n">
        <v>3853015512</v>
      </c>
      <c r="H170" s="4" t="n">
        <v>102100</v>
      </c>
      <c r="I170" s="4" t="n">
        <v>4107412004</v>
      </c>
      <c r="J170" s="4" t="n">
        <v>33850</v>
      </c>
      <c r="K170" s="4" t="n">
        <v>2272318410</v>
      </c>
      <c r="L170" s="4" t="n">
        <v>87200</v>
      </c>
      <c r="M170" s="4" t="n">
        <v>1793300377</v>
      </c>
      <c r="N170" s="4" t="n">
        <v>207800</v>
      </c>
      <c r="O170" s="4" t="n">
        <v>591611334</v>
      </c>
      <c r="Q170" s="3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9" t="n"/>
      <c r="AL170" s="7">
        <f>B170-AJ170</f>
        <v/>
      </c>
      <c r="AM170" s="42">
        <f>_xlfn.STDEV.S(AL170:AL189)</f>
        <v/>
      </c>
    </row>
    <row r="171">
      <c r="A171" s="1" t="n">
        <v>45986</v>
      </c>
      <c r="B171" s="7" t="n">
        <v>1660.36</v>
      </c>
      <c r="C171" s="3" t="n">
        <v>7361450.64</v>
      </c>
      <c r="E171" s="10" t="n">
        <v>45986</v>
      </c>
      <c r="F171" s="4" t="n">
        <v>243000</v>
      </c>
      <c r="G171" s="4" t="n">
        <v>3853015512</v>
      </c>
      <c r="H171" s="4" t="n">
        <v>102600</v>
      </c>
      <c r="I171" s="4" t="n">
        <v>4107412004</v>
      </c>
      <c r="J171" s="4" t="n">
        <v>33400</v>
      </c>
      <c r="K171" s="4" t="n">
        <v>2272318410</v>
      </c>
      <c r="L171" s="4" t="n">
        <v>81500</v>
      </c>
      <c r="M171" s="4" t="n">
        <v>1793300377</v>
      </c>
      <c r="N171" s="4" t="n">
        <v>219100</v>
      </c>
      <c r="O171" s="4" t="n">
        <v>591611334</v>
      </c>
      <c r="Q171" s="3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9" t="n"/>
      <c r="AL171" s="7">
        <f>B171-AJ171</f>
        <v/>
      </c>
      <c r="AM171" s="42">
        <f>_xlfn.STDEV.S(AL171:AL190)</f>
        <v/>
      </c>
    </row>
    <row r="172">
      <c r="A172" s="1" t="n">
        <v>45985</v>
      </c>
      <c r="B172" s="7" t="n">
        <v>1667.98</v>
      </c>
      <c r="C172" s="3" t="n">
        <v>7395236.81</v>
      </c>
      <c r="E172" s="1" t="n">
        <v>45985</v>
      </c>
      <c r="F172" s="4" t="n">
        <v>239500</v>
      </c>
      <c r="G172" s="4" t="n">
        <v>3853015512</v>
      </c>
      <c r="H172" s="4" t="n">
        <v>102700</v>
      </c>
      <c r="I172" s="4" t="n">
        <v>4107412004</v>
      </c>
      <c r="J172" s="4" t="n">
        <v>34450</v>
      </c>
      <c r="K172" s="4" t="n">
        <v>2272318410</v>
      </c>
      <c r="L172" s="4" t="n">
        <v>77900</v>
      </c>
      <c r="M172" s="4" t="n">
        <v>1793300377</v>
      </c>
      <c r="N172" s="4" t="n">
        <v>204800</v>
      </c>
      <c r="O172" s="4" t="n">
        <v>591611334</v>
      </c>
      <c r="Q172" s="3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K172" s="9" t="n"/>
      <c r="AL172" s="7">
        <f>B172-AJ172</f>
        <v/>
      </c>
      <c r="AM172" s="42">
        <f>_xlfn.STDEV.S(AL172:AL191)</f>
        <v/>
      </c>
    </row>
    <row r="173">
      <c r="A173" s="1" t="n">
        <v>45982</v>
      </c>
      <c r="B173" s="7" t="n">
        <v>1654.93</v>
      </c>
      <c r="C173" s="3" t="n">
        <v>7337352.13</v>
      </c>
      <c r="E173" s="1" t="n">
        <v>45982</v>
      </c>
      <c r="F173" s="4" t="n">
        <v>229700</v>
      </c>
      <c r="G173" s="4" t="n">
        <v>3853015512</v>
      </c>
      <c r="H173" s="4" t="n">
        <v>99300</v>
      </c>
      <c r="I173" s="4" t="n">
        <v>4107412004</v>
      </c>
      <c r="J173" s="4" t="n">
        <v>32200</v>
      </c>
      <c r="K173" s="4" t="n">
        <v>2272318410</v>
      </c>
      <c r="L173" s="4" t="n">
        <v>74500</v>
      </c>
      <c r="M173" s="4" t="n">
        <v>1793300377</v>
      </c>
      <c r="N173" s="4" t="n">
        <v>194600</v>
      </c>
      <c r="O173" s="4" t="n">
        <v>591611334</v>
      </c>
      <c r="Q173" s="3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K173" s="9" t="n"/>
      <c r="AL173" s="7">
        <f>B173-AJ173</f>
        <v/>
      </c>
      <c r="AM173" s="42">
        <f>_xlfn.STDEV.S(AL173:AL192)</f>
        <v/>
      </c>
    </row>
    <row r="174">
      <c r="A174" s="1" t="n">
        <v>45981</v>
      </c>
      <c r="B174" s="7" t="n">
        <v>1655.99</v>
      </c>
      <c r="C174" s="3" t="n">
        <v>7342097.86</v>
      </c>
      <c r="E174" s="1" t="n">
        <v>45981</v>
      </c>
      <c r="F174" s="4" t="n">
        <v>228000</v>
      </c>
      <c r="G174" s="4" t="n">
        <v>3853015512</v>
      </c>
      <c r="H174" s="4" t="n">
        <v>97800</v>
      </c>
      <c r="I174" s="4" t="n">
        <v>4107412004</v>
      </c>
      <c r="J174" s="4" t="n">
        <v>32000</v>
      </c>
      <c r="K174" s="4" t="n">
        <v>2272318410</v>
      </c>
      <c r="L174" s="4" t="n">
        <v>72000</v>
      </c>
      <c r="M174" s="4" t="n">
        <v>1793300377</v>
      </c>
      <c r="N174" s="4" t="n">
        <v>190400</v>
      </c>
      <c r="O174" s="4" t="n">
        <v>591611334</v>
      </c>
      <c r="Q174" s="3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9" t="n"/>
      <c r="AL174" s="7">
        <f>B174-AJ174</f>
        <v/>
      </c>
      <c r="AM174" s="42">
        <f>_xlfn.STDEV.S(AL174:AL193)</f>
        <v/>
      </c>
    </row>
    <row r="175">
      <c r="A175" s="1" t="n">
        <v>45980</v>
      </c>
      <c r="B175" s="7" t="n">
        <v>1649</v>
      </c>
      <c r="C175" s="3" t="n">
        <v>7310156.11</v>
      </c>
      <c r="E175" s="1" t="n">
        <v>45980</v>
      </c>
      <c r="F175" s="4" t="n">
        <v>220500</v>
      </c>
      <c r="G175" s="4" t="n">
        <v>3853015512</v>
      </c>
      <c r="H175" s="4" t="n">
        <v>96900</v>
      </c>
      <c r="I175" s="4" t="n">
        <v>4107412004</v>
      </c>
      <c r="J175" s="4" t="n">
        <v>31600</v>
      </c>
      <c r="K175" s="4" t="n">
        <v>2272318410</v>
      </c>
      <c r="L175" s="4" t="n">
        <v>72000</v>
      </c>
      <c r="M175" s="4" t="n">
        <v>1793300377</v>
      </c>
      <c r="N175" s="4" t="n">
        <v>178000</v>
      </c>
      <c r="O175" s="4" t="n">
        <v>591611334</v>
      </c>
      <c r="Q175" s="3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9" t="n"/>
      <c r="AL175" s="7">
        <f>B175-AJ175</f>
        <v/>
      </c>
      <c r="AM175" s="42">
        <f>_xlfn.STDEV.S(AL175:AL194)</f>
        <v/>
      </c>
    </row>
    <row r="176">
      <c r="A176" s="1" t="n">
        <v>45979</v>
      </c>
      <c r="B176" s="7" t="n">
        <v>1659.92</v>
      </c>
      <c r="C176" s="3" t="n">
        <v>7358546.27</v>
      </c>
      <c r="E176" s="1" t="n">
        <v>45979</v>
      </c>
      <c r="F176" s="4" t="n">
        <v>220000</v>
      </c>
      <c r="G176" s="4" t="n">
        <v>3853015512</v>
      </c>
      <c r="H176" s="4" t="n">
        <v>97000</v>
      </c>
      <c r="I176" s="4" t="n">
        <v>4107412004</v>
      </c>
      <c r="J176" s="4" t="n">
        <v>32350</v>
      </c>
      <c r="K176" s="4" t="n">
        <v>2272318410</v>
      </c>
      <c r="L176" s="4" t="n">
        <v>72000</v>
      </c>
      <c r="M176" s="4" t="n">
        <v>1793300377</v>
      </c>
      <c r="N176" s="4" t="n">
        <v>179100</v>
      </c>
      <c r="O176" s="4" t="n">
        <v>591611334</v>
      </c>
      <c r="Q176" s="3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9" t="n"/>
      <c r="AL176" s="7">
        <f>B176-AJ176</f>
        <v/>
      </c>
      <c r="AM176" s="42">
        <f>_xlfn.STDEV.S(AL176:AL195)</f>
        <v/>
      </c>
    </row>
    <row r="177">
      <c r="A177" s="1" t="n">
        <v>45978</v>
      </c>
      <c r="B177" s="7" t="n">
        <v>1654.42</v>
      </c>
      <c r="C177" s="3" t="n">
        <v>7334188.83</v>
      </c>
      <c r="E177" s="1" t="n">
        <v>45978</v>
      </c>
      <c r="F177" s="4" t="n">
        <v>217000</v>
      </c>
      <c r="G177" s="4" t="n">
        <v>3853015512</v>
      </c>
      <c r="H177" s="4" t="n">
        <v>95000</v>
      </c>
      <c r="I177" s="4" t="n">
        <v>4107412004</v>
      </c>
      <c r="J177" s="4" t="n">
        <v>32200</v>
      </c>
      <c r="K177" s="4" t="n">
        <v>2272318410</v>
      </c>
      <c r="L177" s="4" t="n">
        <v>71900</v>
      </c>
      <c r="M177" s="4" t="n">
        <v>1793300377</v>
      </c>
      <c r="N177" s="4" t="n">
        <v>179000</v>
      </c>
      <c r="O177" s="4" t="n">
        <v>591611334</v>
      </c>
      <c r="Q177" s="3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K177" s="9" t="n"/>
      <c r="AL177" s="7">
        <f>B177-AJ177</f>
        <v/>
      </c>
      <c r="AM177" s="42">
        <f>_xlfn.STDEV.S(AL177:AL196)</f>
        <v/>
      </c>
    </row>
    <row r="178">
      <c r="A178" s="1" t="n">
        <v>45975</v>
      </c>
      <c r="B178" s="7" t="n">
        <v>1635.46</v>
      </c>
      <c r="C178" s="3" t="n">
        <v>7250163.93</v>
      </c>
      <c r="E178" s="1" t="n">
        <v>45975</v>
      </c>
      <c r="F178" s="4" t="n">
        <v>211000</v>
      </c>
      <c r="G178" s="4" t="n">
        <v>3853015512</v>
      </c>
      <c r="H178" s="4" t="n">
        <v>93900</v>
      </c>
      <c r="I178" s="4" t="n">
        <v>4107412004</v>
      </c>
      <c r="J178" s="4" t="n">
        <v>32100</v>
      </c>
      <c r="K178" s="4" t="n">
        <v>2272318410</v>
      </c>
      <c r="L178" s="4" t="n">
        <v>72000</v>
      </c>
      <c r="M178" s="4" t="n">
        <v>1793300377</v>
      </c>
      <c r="N178" s="4" t="n">
        <v>176400</v>
      </c>
      <c r="O178" s="4" t="n">
        <v>591611334</v>
      </c>
      <c r="Q178" s="3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K178" s="9" t="n"/>
      <c r="AL178" s="7">
        <f>B178-AJ178</f>
        <v/>
      </c>
      <c r="AM178" s="42">
        <f>_xlfn.STDEV.S(AL178:AL197)</f>
        <v/>
      </c>
    </row>
    <row r="179">
      <c r="A179" s="1" t="n">
        <v>45974</v>
      </c>
      <c r="B179" s="7" t="n">
        <v>1631.44</v>
      </c>
      <c r="C179" s="3" t="n">
        <v>7232316.6</v>
      </c>
      <c r="E179" s="1" t="n">
        <v>45974</v>
      </c>
      <c r="F179" s="4" t="n">
        <v>211200</v>
      </c>
      <c r="G179" s="4" t="n">
        <v>3853015512</v>
      </c>
      <c r="H179" s="4" t="n">
        <v>93300</v>
      </c>
      <c r="I179" s="4" t="n">
        <v>4107412004</v>
      </c>
      <c r="J179" s="4" t="n">
        <v>31950</v>
      </c>
      <c r="K179" s="4" t="n">
        <v>2272318410</v>
      </c>
      <c r="L179" s="4" t="n">
        <v>72900</v>
      </c>
      <c r="M179" s="4" t="n">
        <v>1793300377</v>
      </c>
      <c r="N179" s="4" t="n">
        <v>176300</v>
      </c>
      <c r="O179" s="4" t="n">
        <v>591611334</v>
      </c>
      <c r="Q179" s="3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K179" s="9" t="n"/>
      <c r="AL179" s="7">
        <f>B179-AJ179</f>
        <v/>
      </c>
      <c r="AM179" s="42">
        <f>_xlfn.STDEV.S(AL179:AL198)</f>
        <v/>
      </c>
    </row>
    <row r="180">
      <c r="A180" s="1" t="n">
        <v>45973</v>
      </c>
      <c r="B180" s="7" t="n">
        <v>1631.86</v>
      </c>
      <c r="C180" s="3" t="n">
        <v>7223739.13</v>
      </c>
      <c r="E180" s="1" t="n">
        <v>45973</v>
      </c>
      <c r="F180" s="4" t="n">
        <v>211200</v>
      </c>
      <c r="G180" s="4" t="n">
        <v>3853015512</v>
      </c>
      <c r="H180" s="4" t="n">
        <v>94000</v>
      </c>
      <c r="I180" s="4" t="n">
        <v>4107412004</v>
      </c>
      <c r="J180" s="4" t="n">
        <v>32800</v>
      </c>
      <c r="K180" s="4" t="n">
        <v>2272318410</v>
      </c>
      <c r="L180" s="4" t="n">
        <v>73500</v>
      </c>
      <c r="M180" s="4" t="n">
        <v>1793300377</v>
      </c>
      <c r="N180" s="4" t="n">
        <v>176100</v>
      </c>
      <c r="O180" s="4" t="n">
        <v>591611334</v>
      </c>
      <c r="Q180" s="3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45972</v>
      </c>
      <c r="B181" s="7" t="n">
        <v>1593.61</v>
      </c>
      <c r="C181" s="3" t="n">
        <v>7054412.96</v>
      </c>
      <c r="E181" s="1" t="n">
        <v>45972</v>
      </c>
      <c r="F181" s="4" t="n">
        <v>201000</v>
      </c>
      <c r="G181" s="4" t="n">
        <v>3853015512</v>
      </c>
      <c r="H181" s="4" t="n">
        <v>90000</v>
      </c>
      <c r="I181" s="4" t="n">
        <v>4107412004</v>
      </c>
      <c r="J181" s="4" t="n">
        <v>31050</v>
      </c>
      <c r="K181" s="4" t="n">
        <v>2272318410</v>
      </c>
      <c r="L181" s="4" t="n">
        <v>72000</v>
      </c>
      <c r="M181" s="4" t="n">
        <v>1793300377</v>
      </c>
      <c r="N181" s="4" t="n">
        <v>174900</v>
      </c>
      <c r="O181" s="4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45971</v>
      </c>
      <c r="B182" s="7" t="n">
        <v>1580.54</v>
      </c>
      <c r="C182" s="3" t="n">
        <v>6996566.81</v>
      </c>
      <c r="E182" s="1" t="n">
        <v>45971</v>
      </c>
      <c r="F182" s="4" t="n">
        <v>199000</v>
      </c>
      <c r="G182" s="4" t="n">
        <v>3853015512</v>
      </c>
      <c r="H182" s="4" t="n">
        <v>86900</v>
      </c>
      <c r="I182" s="4" t="n">
        <v>4107412004</v>
      </c>
      <c r="J182" s="4" t="n">
        <v>29800</v>
      </c>
      <c r="K182" s="4" t="n">
        <v>2272318410</v>
      </c>
      <c r="L182" s="4" t="n">
        <v>70500</v>
      </c>
      <c r="M182" s="4" t="n">
        <v>1793300377</v>
      </c>
      <c r="N182" s="4" t="n">
        <v>176500</v>
      </c>
      <c r="O182" s="4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45968</v>
      </c>
      <c r="B183" s="7" t="n">
        <v>1599.1</v>
      </c>
      <c r="C183" s="3" t="n">
        <v>7078696.81</v>
      </c>
      <c r="E183" s="1" t="n">
        <v>45968</v>
      </c>
      <c r="F183" s="4" t="n">
        <v>199700</v>
      </c>
      <c r="G183" s="4" t="n">
        <v>3853015512</v>
      </c>
      <c r="H183" s="4" t="n">
        <v>92000</v>
      </c>
      <c r="I183" s="4" t="n">
        <v>4107412004</v>
      </c>
      <c r="J183" s="4" t="n">
        <v>31350</v>
      </c>
      <c r="K183" s="4" t="n">
        <v>2272318410</v>
      </c>
      <c r="L183" s="4" t="n">
        <v>71500</v>
      </c>
      <c r="M183" s="4" t="n">
        <v>1793300377</v>
      </c>
      <c r="N183" s="4" t="n">
        <v>178000</v>
      </c>
      <c r="O183" s="4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45967</v>
      </c>
      <c r="B184" s="7" t="n">
        <v>1642.64</v>
      </c>
      <c r="C184" s="3" t="n">
        <v>7270148.81</v>
      </c>
      <c r="E184" s="5" t="n">
        <v>45967</v>
      </c>
      <c r="F184" s="4" t="n">
        <v>207800</v>
      </c>
      <c r="G184" s="4" t="n">
        <v>3853015512</v>
      </c>
      <c r="H184" s="4" t="n">
        <v>98900</v>
      </c>
      <c r="I184" s="4" t="n">
        <v>4107412004</v>
      </c>
      <c r="J184" s="4" t="n">
        <v>32000</v>
      </c>
      <c r="K184" s="4" t="n">
        <v>2272318410</v>
      </c>
      <c r="L184" s="4" t="n">
        <v>73800</v>
      </c>
      <c r="M184" s="4" t="n">
        <v>1793300377</v>
      </c>
      <c r="N184" s="4" t="n">
        <v>180900</v>
      </c>
      <c r="O184" s="4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45966</v>
      </c>
      <c r="B185" s="7" t="n">
        <v>1654.89</v>
      </c>
      <c r="C185" s="3" t="n">
        <v>7324334.16</v>
      </c>
      <c r="E185" s="5" t="n">
        <v>45966</v>
      </c>
      <c r="F185" s="4" t="n">
        <v>206500</v>
      </c>
      <c r="G185" s="4" t="n">
        <v>3853015512</v>
      </c>
      <c r="H185" s="4" t="n">
        <v>99600</v>
      </c>
      <c r="I185" s="4" t="n">
        <v>4107412004</v>
      </c>
      <c r="J185" s="4" t="n">
        <v>32500</v>
      </c>
      <c r="K185" s="4" t="n">
        <v>2272318410</v>
      </c>
      <c r="L185" s="4" t="n">
        <v>74600</v>
      </c>
      <c r="M185" s="4" t="n">
        <v>1793300377</v>
      </c>
      <c r="N185" s="4" t="n">
        <v>184500</v>
      </c>
      <c r="O185" s="4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45965</v>
      </c>
      <c r="B186" s="7" t="n">
        <v>1651.98</v>
      </c>
      <c r="C186" s="3" t="n">
        <v>7311085.94</v>
      </c>
      <c r="E186" s="5" t="n">
        <v>45965</v>
      </c>
      <c r="F186" s="4" t="n">
        <v>201000</v>
      </c>
      <c r="G186" s="4" t="n">
        <v>3853015512</v>
      </c>
      <c r="H186" s="4" t="n">
        <v>100200</v>
      </c>
      <c r="I186" s="4" t="n">
        <v>4107412004</v>
      </c>
      <c r="J186" s="4" t="n">
        <v>33500</v>
      </c>
      <c r="K186" s="4" t="n">
        <v>2272318410</v>
      </c>
      <c r="L186" s="4" t="n">
        <v>74500</v>
      </c>
      <c r="M186" s="4" t="n">
        <v>1793300377</v>
      </c>
      <c r="N186" s="4" t="n">
        <v>185800</v>
      </c>
      <c r="O186" s="4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45964</v>
      </c>
      <c r="B187" s="7" t="n">
        <v>1617</v>
      </c>
      <c r="C187" s="3" t="n">
        <v>7155586.92</v>
      </c>
      <c r="E187" s="5" t="n">
        <v>45964</v>
      </c>
      <c r="F187" s="4" t="n">
        <v>195400</v>
      </c>
      <c r="G187" s="4" t="n">
        <v>3853015512</v>
      </c>
      <c r="H187" s="4" t="n">
        <v>98500</v>
      </c>
      <c r="I187" s="4" t="n">
        <v>4107412004</v>
      </c>
      <c r="J187" s="4" t="n">
        <v>31350</v>
      </c>
      <c r="K187" s="4" t="n">
        <v>2272318410</v>
      </c>
      <c r="L187" s="4" t="n">
        <v>75500</v>
      </c>
      <c r="M187" s="4" t="n">
        <v>1793300377</v>
      </c>
      <c r="N187" s="4" t="n">
        <v>183500</v>
      </c>
      <c r="O187" s="4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45961</v>
      </c>
      <c r="B188" s="7" t="n">
        <v>1639.65</v>
      </c>
      <c r="C188" s="3" t="n">
        <v>7255023.4</v>
      </c>
      <c r="E188" s="5" t="n">
        <v>45961</v>
      </c>
      <c r="F188" s="4" t="n">
        <v>191000</v>
      </c>
      <c r="G188" s="4" t="n">
        <v>3853015512</v>
      </c>
      <c r="H188" s="4" t="n">
        <v>99200</v>
      </c>
      <c r="I188" s="4" t="n">
        <v>4107412004</v>
      </c>
      <c r="J188" s="4" t="n">
        <v>33300</v>
      </c>
      <c r="K188" s="4" t="n">
        <v>2272318410</v>
      </c>
      <c r="L188" s="4" t="n">
        <v>77100</v>
      </c>
      <c r="M188" s="4" t="n">
        <v>1793300377</v>
      </c>
      <c r="N188" s="4" t="n">
        <v>187000</v>
      </c>
      <c r="O188" s="4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45960</v>
      </c>
      <c r="B189" s="7" t="n">
        <v>1669.57</v>
      </c>
      <c r="C189" s="3" t="n">
        <v>7387416.12</v>
      </c>
      <c r="E189" s="5" t="n">
        <v>45960</v>
      </c>
      <c r="F189" s="4" t="n">
        <v>204100</v>
      </c>
      <c r="G189" s="4" t="n">
        <v>3853015512</v>
      </c>
      <c r="H189" s="4" t="n">
        <v>104000</v>
      </c>
      <c r="I189" s="4" t="n">
        <v>4107412004</v>
      </c>
      <c r="J189" s="4" t="n">
        <v>34600</v>
      </c>
      <c r="K189" s="4" t="n">
        <v>2272318410</v>
      </c>
      <c r="L189" s="4" t="n">
        <v>77500</v>
      </c>
      <c r="M189" s="4" t="n">
        <v>1793300377</v>
      </c>
      <c r="N189" s="4" t="n">
        <v>195500</v>
      </c>
      <c r="O189" s="4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45959</v>
      </c>
      <c r="B190" s="7" t="n">
        <v>1685.83</v>
      </c>
      <c r="C190" s="3" t="n">
        <v>7459345.34</v>
      </c>
      <c r="E190" s="5" t="n">
        <v>45959</v>
      </c>
      <c r="F190" s="4" t="n">
        <v>212000</v>
      </c>
      <c r="G190" s="4" t="n">
        <v>3853015512</v>
      </c>
      <c r="H190" s="4" t="n">
        <v>103800</v>
      </c>
      <c r="I190" s="4" t="n">
        <v>4107412004</v>
      </c>
      <c r="J190" s="4" t="n">
        <v>35950</v>
      </c>
      <c r="K190" s="4" t="n">
        <v>2272318410</v>
      </c>
      <c r="L190" s="4" t="n">
        <v>79200</v>
      </c>
      <c r="M190" s="4" t="n">
        <v>1793300377</v>
      </c>
      <c r="N190" s="4" t="n">
        <v>195100</v>
      </c>
      <c r="O190" s="4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45958</v>
      </c>
      <c r="B191" s="7" t="n">
        <v>1680.5</v>
      </c>
      <c r="C191" s="3" t="n">
        <v>7431820.79</v>
      </c>
      <c r="E191" s="5" t="n">
        <v>45958</v>
      </c>
      <c r="F191" s="4" t="n">
        <v>220100</v>
      </c>
      <c r="G191" s="4" t="n">
        <v>3853015512</v>
      </c>
      <c r="H191" s="4" t="n">
        <v>107000</v>
      </c>
      <c r="I191" s="4" t="n">
        <v>4107412004</v>
      </c>
      <c r="J191" s="4" t="n">
        <v>36800</v>
      </c>
      <c r="K191" s="4" t="n">
        <v>2272318410</v>
      </c>
      <c r="L191" s="4" t="n">
        <v>80000</v>
      </c>
      <c r="M191" s="4" t="n">
        <v>1793300377</v>
      </c>
      <c r="N191" s="4" t="n">
        <v>187500</v>
      </c>
      <c r="O191" s="4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45957</v>
      </c>
      <c r="B192" s="7" t="n">
        <v>1652.54</v>
      </c>
      <c r="C192" s="3" t="n">
        <v>7308157.86</v>
      </c>
      <c r="E192" s="5" t="n">
        <v>45957</v>
      </c>
      <c r="F192" s="4" t="n">
        <v>214000</v>
      </c>
      <c r="G192" s="4" t="n">
        <v>3853015512</v>
      </c>
      <c r="H192" s="4" t="n">
        <v>106500</v>
      </c>
      <c r="I192" s="4" t="n">
        <v>4107412004</v>
      </c>
      <c r="J192" s="4" t="n">
        <v>36100</v>
      </c>
      <c r="K192" s="4" t="n">
        <v>2272318410</v>
      </c>
      <c r="L192" s="4" t="n">
        <v>81000</v>
      </c>
      <c r="M192" s="4" t="n">
        <v>1793300377</v>
      </c>
      <c r="N192" s="4" t="n">
        <v>175300</v>
      </c>
      <c r="O192" s="4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45954</v>
      </c>
      <c r="B193" s="7" t="n">
        <v>1683.18</v>
      </c>
      <c r="C193" s="3" t="n">
        <v>7443674.3</v>
      </c>
      <c r="E193" s="5" t="n">
        <v>45954</v>
      </c>
      <c r="F193" s="4" t="n">
        <v>219000</v>
      </c>
      <c r="G193" s="4" t="n">
        <v>3853015512</v>
      </c>
      <c r="H193" s="4" t="n">
        <v>114500</v>
      </c>
      <c r="I193" s="4" t="n">
        <v>4107412004</v>
      </c>
      <c r="J193" s="4" t="n">
        <v>38800</v>
      </c>
      <c r="K193" s="4" t="n">
        <v>2272318410</v>
      </c>
      <c r="L193" s="4" t="n">
        <v>82200</v>
      </c>
      <c r="M193" s="4" t="n">
        <v>1793300377</v>
      </c>
      <c r="N193" s="4" t="n">
        <v>180000</v>
      </c>
      <c r="O193" s="4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45953</v>
      </c>
      <c r="B194" s="7" t="n">
        <v>1687.06</v>
      </c>
      <c r="C194" s="3" t="n">
        <v>7460806.88</v>
      </c>
      <c r="E194" s="5" t="n">
        <v>45953</v>
      </c>
      <c r="F194" s="4" t="n">
        <v>215000</v>
      </c>
      <c r="G194" s="4" t="n">
        <v>3853015512</v>
      </c>
      <c r="H194" s="4" t="n">
        <v>115000</v>
      </c>
      <c r="I194" s="4" t="n">
        <v>4107412004</v>
      </c>
      <c r="J194" s="4" t="n">
        <v>39400</v>
      </c>
      <c r="K194" s="4" t="n">
        <v>2272318410</v>
      </c>
      <c r="L194" s="4" t="n">
        <v>80600</v>
      </c>
      <c r="M194" s="4" t="n">
        <v>1793300377</v>
      </c>
      <c r="N194" s="4" t="n">
        <v>184000</v>
      </c>
      <c r="O194" s="4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45952</v>
      </c>
      <c r="B195" s="7" t="n">
        <v>1678.5</v>
      </c>
      <c r="C195" s="3" t="n">
        <v>7422526.39</v>
      </c>
      <c r="E195" s="5" t="n">
        <v>45952</v>
      </c>
      <c r="F195" s="4" t="n">
        <v>203000</v>
      </c>
      <c r="G195" s="4" t="n">
        <v>3853015512</v>
      </c>
      <c r="H195" s="4" t="n">
        <v>113000</v>
      </c>
      <c r="I195" s="4" t="n">
        <v>4107412004</v>
      </c>
      <c r="J195" s="4" t="n">
        <v>39000</v>
      </c>
      <c r="K195" s="4" t="n">
        <v>2272318410</v>
      </c>
      <c r="L195" s="4" t="n">
        <v>79000</v>
      </c>
      <c r="M195" s="4" t="n">
        <v>1793300377</v>
      </c>
      <c r="N195" s="4" t="n">
        <v>180200</v>
      </c>
      <c r="O195" s="4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45951</v>
      </c>
      <c r="B196" s="7" t="n">
        <v>1663.43</v>
      </c>
      <c r="C196" s="3" t="n">
        <v>7242755.99</v>
      </c>
      <c r="E196" s="5" t="n">
        <v>45951</v>
      </c>
      <c r="F196" s="4" t="n">
        <v>203400</v>
      </c>
      <c r="G196" s="4" t="n">
        <v>3853015512</v>
      </c>
      <c r="H196" s="4" t="n">
        <v>110900</v>
      </c>
      <c r="I196" s="4" t="n">
        <v>4107412004</v>
      </c>
      <c r="J196" s="4" t="n">
        <v>38800</v>
      </c>
      <c r="K196" s="4" t="n">
        <v>2272318410</v>
      </c>
      <c r="L196" s="4" t="n">
        <v>74100</v>
      </c>
      <c r="M196" s="4" t="n">
        <v>1793300377</v>
      </c>
      <c r="N196" s="4" t="n">
        <v>180000</v>
      </c>
      <c r="O196" s="4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45950</v>
      </c>
      <c r="B197" s="7" t="n">
        <v>1636.43</v>
      </c>
      <c r="C197" s="3" t="n">
        <v>7125178.42</v>
      </c>
      <c r="E197" s="5" t="n">
        <v>45950</v>
      </c>
      <c r="F197" s="4" t="n">
        <v>194900</v>
      </c>
      <c r="G197" s="4" t="n">
        <v>3853015512</v>
      </c>
      <c r="H197" s="4" t="n">
        <v>108000</v>
      </c>
      <c r="I197" s="4" t="n">
        <v>4107412004</v>
      </c>
      <c r="J197" s="4" t="n">
        <v>38150</v>
      </c>
      <c r="K197" s="4" t="n">
        <v>2272318410</v>
      </c>
      <c r="L197" s="4" t="n">
        <v>73500</v>
      </c>
      <c r="M197" s="4" t="n">
        <v>1793300377</v>
      </c>
      <c r="N197" s="4" t="n">
        <v>174500</v>
      </c>
      <c r="O197" s="4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45947</v>
      </c>
      <c r="B198" s="7" t="n">
        <v>1731.19</v>
      </c>
      <c r="C198" s="3" t="n">
        <v>7537578.45</v>
      </c>
      <c r="E198" s="5" t="n">
        <v>45947</v>
      </c>
      <c r="F198" s="4" t="n">
        <v>204000</v>
      </c>
      <c r="G198" s="4" t="n">
        <v>3853015512</v>
      </c>
      <c r="H198" s="4" t="n">
        <v>116000</v>
      </c>
      <c r="I198" s="4" t="n">
        <v>4107412004</v>
      </c>
      <c r="J198" s="4" t="n">
        <v>41000</v>
      </c>
      <c r="K198" s="4" t="n">
        <v>2272318410</v>
      </c>
      <c r="L198" s="4" t="n">
        <v>79000</v>
      </c>
      <c r="M198" s="4" t="n">
        <v>1793300377</v>
      </c>
      <c r="N198" s="4" t="n">
        <v>175000</v>
      </c>
      <c r="O198" s="4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45946</v>
      </c>
      <c r="B199" s="7" t="n">
        <v>1766.85</v>
      </c>
      <c r="C199" s="3" t="n">
        <v>7687928.84</v>
      </c>
      <c r="E199" s="5" t="n">
        <v>45946</v>
      </c>
      <c r="F199" s="4" t="n">
        <v>213100</v>
      </c>
      <c r="G199" s="4" t="n">
        <v>3853015512</v>
      </c>
      <c r="H199" s="4" t="n">
        <v>122000</v>
      </c>
      <c r="I199" s="4" t="n">
        <v>4107412004</v>
      </c>
      <c r="J199" s="4" t="n">
        <v>43400</v>
      </c>
      <c r="K199" s="4" t="n">
        <v>2272318410</v>
      </c>
      <c r="L199" s="4" t="n">
        <v>82100</v>
      </c>
      <c r="M199" s="4" t="n">
        <v>1793300377</v>
      </c>
      <c r="N199" s="4" t="n">
        <v>173500</v>
      </c>
      <c r="O199" s="4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45945</v>
      </c>
      <c r="B200" s="7" t="n">
        <v>1757.95</v>
      </c>
      <c r="C200" s="3" t="n">
        <v>7649189.27</v>
      </c>
      <c r="E200" s="5" t="n">
        <v>45945</v>
      </c>
      <c r="F200" s="4" t="n">
        <v>209500</v>
      </c>
      <c r="G200" s="4" t="n">
        <v>3853015512</v>
      </c>
      <c r="H200" s="4" t="n">
        <v>124000</v>
      </c>
      <c r="I200" s="4" t="n">
        <v>4107412004</v>
      </c>
      <c r="J200" s="4" t="n">
        <v>41900</v>
      </c>
      <c r="K200" s="4" t="n">
        <v>2272318410</v>
      </c>
      <c r="L200" s="4" t="n">
        <v>83700</v>
      </c>
      <c r="M200" s="4" t="n">
        <v>1793300377</v>
      </c>
      <c r="N200" s="4" t="n">
        <v>163100</v>
      </c>
      <c r="O200" s="4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45944</v>
      </c>
      <c r="B201" s="7" t="n">
        <v>1761.06</v>
      </c>
      <c r="C201" s="3" t="n">
        <v>7662740.85</v>
      </c>
      <c r="E201" s="5" t="n">
        <v>45944</v>
      </c>
      <c r="F201" s="4" t="n">
        <v>211900</v>
      </c>
      <c r="G201" s="4" t="n">
        <v>3853015512</v>
      </c>
      <c r="H201" s="4" t="n">
        <v>127000</v>
      </c>
      <c r="I201" s="4" t="n">
        <v>4107412004</v>
      </c>
      <c r="J201" s="4" t="n">
        <v>42750</v>
      </c>
      <c r="K201" s="4" t="n">
        <v>2272318410</v>
      </c>
      <c r="L201" s="4" t="n">
        <v>86500</v>
      </c>
      <c r="M201" s="4" t="n">
        <v>1793300377</v>
      </c>
      <c r="N201" s="4" t="n">
        <v>152500</v>
      </c>
      <c r="O201" s="4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45943</v>
      </c>
      <c r="B202" s="7" t="n">
        <v>1765.12</v>
      </c>
      <c r="C202" s="3" t="n">
        <v>7676787.45</v>
      </c>
      <c r="E202" s="5" t="n">
        <v>45943</v>
      </c>
      <c r="F202" s="4" t="n">
        <v>205400</v>
      </c>
      <c r="G202" s="4" t="n">
        <v>3853015512</v>
      </c>
      <c r="H202" s="4" t="n">
        <v>124200</v>
      </c>
      <c r="I202" s="4" t="n">
        <v>4107412004</v>
      </c>
      <c r="J202" s="4" t="n">
        <v>43000</v>
      </c>
      <c r="K202" s="4" t="n">
        <v>2272318410</v>
      </c>
      <c r="L202" s="4" t="n">
        <v>89200</v>
      </c>
      <c r="M202" s="4" t="n">
        <v>1793300377</v>
      </c>
      <c r="N202" s="4" t="n">
        <v>142600</v>
      </c>
      <c r="O202" s="4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45940</v>
      </c>
      <c r="B203" s="7" t="n">
        <v>1747.55</v>
      </c>
      <c r="C203" s="3" t="n">
        <v>7579392.53</v>
      </c>
      <c r="E203" s="5" t="n">
        <v>45940</v>
      </c>
      <c r="F203" s="4" t="n">
        <v>192000</v>
      </c>
      <c r="G203" s="4" t="n">
        <v>3853015512</v>
      </c>
      <c r="H203" s="4" t="n">
        <v>123000</v>
      </c>
      <c r="I203" s="4" t="n">
        <v>4107412004</v>
      </c>
      <c r="J203" s="4" t="n">
        <v>40350</v>
      </c>
      <c r="K203" s="4" t="n">
        <v>2272318410</v>
      </c>
      <c r="L203" s="4" t="n">
        <v>89000</v>
      </c>
      <c r="M203" s="4" t="n">
        <v>1793300377</v>
      </c>
      <c r="N203" s="4" t="n">
        <v>133300</v>
      </c>
      <c r="O203" s="4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45939</v>
      </c>
      <c r="B204" s="7" t="n">
        <v>1716.47</v>
      </c>
      <c r="C204" s="3" t="n">
        <v>7444613.08</v>
      </c>
      <c r="E204" s="5" t="n">
        <v>45939</v>
      </c>
      <c r="F204" s="4" t="n">
        <v>179500</v>
      </c>
      <c r="G204" s="4" t="n">
        <v>3853015512</v>
      </c>
      <c r="H204" s="4" t="n">
        <v>115000</v>
      </c>
      <c r="I204" s="4" t="n">
        <v>4107412004</v>
      </c>
      <c r="J204" s="4" t="n">
        <v>38000</v>
      </c>
      <c r="K204" s="4" t="n">
        <v>2272318410</v>
      </c>
      <c r="L204" s="4" t="n">
        <v>87200</v>
      </c>
      <c r="M204" s="4" t="n">
        <v>1793300377</v>
      </c>
      <c r="N204" s="4" t="n">
        <v>133100</v>
      </c>
      <c r="O204" s="4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45938</v>
      </c>
      <c r="B205" s="7" t="n">
        <v>1697.83</v>
      </c>
      <c r="C205" s="3" t="n">
        <v>7361977.11</v>
      </c>
      <c r="E205" s="5" t="n">
        <v>45938</v>
      </c>
      <c r="F205" s="4" t="n">
        <v>178100</v>
      </c>
      <c r="G205" s="4" t="n">
        <v>3853015512</v>
      </c>
      <c r="H205" s="4" t="n">
        <v>107500</v>
      </c>
      <c r="I205" s="4" t="n">
        <v>4107412004</v>
      </c>
      <c r="J205" s="4" t="n">
        <v>36300</v>
      </c>
      <c r="K205" s="4" t="n">
        <v>2272318410</v>
      </c>
      <c r="L205" s="4" t="n">
        <v>86600</v>
      </c>
      <c r="M205" s="4" t="n">
        <v>1793300377</v>
      </c>
      <c r="N205" s="4" t="n">
        <v>133400</v>
      </c>
      <c r="O205" s="4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45937</v>
      </c>
      <c r="B206" s="7" t="n">
        <v>1685.3</v>
      </c>
      <c r="C206" s="3" t="n">
        <v>7307626.38</v>
      </c>
      <c r="E206" s="5" t="n">
        <v>45937</v>
      </c>
      <c r="F206" s="4" t="n">
        <v>180000</v>
      </c>
      <c r="G206" s="4" t="n">
        <v>3853015512</v>
      </c>
      <c r="H206" s="4" t="n">
        <v>103100</v>
      </c>
      <c r="I206" s="4" t="n">
        <v>4107412004</v>
      </c>
      <c r="J206" s="4" t="n">
        <v>35000</v>
      </c>
      <c r="K206" s="4" t="n">
        <v>2272318410</v>
      </c>
      <c r="L206" s="4" t="n">
        <v>86600</v>
      </c>
      <c r="M206" s="4" t="n">
        <v>1793300377</v>
      </c>
      <c r="N206" s="4" t="n">
        <v>133400</v>
      </c>
      <c r="O206" s="4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45936</v>
      </c>
      <c r="B207" s="7" t="n">
        <v>1695.5</v>
      </c>
      <c r="C207" s="3" t="n">
        <v>7351849.09</v>
      </c>
      <c r="E207" s="5" t="n">
        <v>45936</v>
      </c>
      <c r="F207" s="4" t="n">
        <v>179700</v>
      </c>
      <c r="G207" s="4" t="n">
        <v>3853015512</v>
      </c>
      <c r="H207" s="4" t="n">
        <v>102700</v>
      </c>
      <c r="I207" s="4" t="n">
        <v>4107412004</v>
      </c>
      <c r="J207" s="4" t="n">
        <v>35000</v>
      </c>
      <c r="K207" s="4" t="n">
        <v>2272318410</v>
      </c>
      <c r="L207" s="4" t="n">
        <v>81000</v>
      </c>
      <c r="M207" s="4" t="n">
        <v>1793300377</v>
      </c>
      <c r="N207" s="4" t="n">
        <v>134300</v>
      </c>
      <c r="O207" s="4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45933</v>
      </c>
      <c r="B208" s="7" t="n">
        <v>1645.82</v>
      </c>
      <c r="C208" s="3" t="n">
        <v>7136436.35</v>
      </c>
      <c r="E208" s="5" t="n">
        <v>45933</v>
      </c>
      <c r="F208" s="4" t="n">
        <v>176500</v>
      </c>
      <c r="G208" s="4" t="n">
        <v>3853015512</v>
      </c>
      <c r="H208" s="4" t="n">
        <v>100000</v>
      </c>
      <c r="I208" s="4" t="n">
        <v>4107412004</v>
      </c>
      <c r="J208" s="4" t="n">
        <v>32750</v>
      </c>
      <c r="K208" s="4" t="n">
        <v>2272318410</v>
      </c>
      <c r="L208" s="4" t="n">
        <v>80000</v>
      </c>
      <c r="M208" s="4" t="n">
        <v>1793300377</v>
      </c>
      <c r="N208" s="4" t="n">
        <v>129300</v>
      </c>
      <c r="O208" s="4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45932</v>
      </c>
      <c r="B209" s="7" t="n">
        <v>1652.71</v>
      </c>
      <c r="C209" s="3" t="n">
        <v>7165791.12</v>
      </c>
      <c r="E209" s="5" t="n">
        <v>45932</v>
      </c>
      <c r="F209" s="4" t="n">
        <v>171000</v>
      </c>
      <c r="G209" s="4" t="n">
        <v>3853015512</v>
      </c>
      <c r="H209" s="4" t="n">
        <v>98600</v>
      </c>
      <c r="I209" s="4" t="n">
        <v>4107412004</v>
      </c>
      <c r="J209" s="4" t="n">
        <v>31750</v>
      </c>
      <c r="K209" s="4" t="n">
        <v>2272318410</v>
      </c>
      <c r="L209" s="4" t="n">
        <v>80300</v>
      </c>
      <c r="M209" s="4" t="n">
        <v>1793300377</v>
      </c>
      <c r="N209" s="4" t="n">
        <v>128700</v>
      </c>
      <c r="O209" s="4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45931</v>
      </c>
      <c r="B210" s="7" t="n">
        <v>1665.05</v>
      </c>
      <c r="C210" s="3" t="n">
        <v>7219277.87</v>
      </c>
      <c r="E210" s="5" t="n">
        <v>45931</v>
      </c>
      <c r="F210" s="4" t="n">
        <v>170000</v>
      </c>
      <c r="G210" s="4" t="n">
        <v>3853015512</v>
      </c>
      <c r="H210" s="4" t="n">
        <v>101200</v>
      </c>
      <c r="I210" s="4" t="n">
        <v>4107412004</v>
      </c>
      <c r="J210" s="4" t="n">
        <v>33150</v>
      </c>
      <c r="K210" s="4" t="n">
        <v>2272318410</v>
      </c>
      <c r="L210" s="4" t="n">
        <v>80200</v>
      </c>
      <c r="M210" s="4" t="n">
        <v>1793300377</v>
      </c>
      <c r="N210" s="4" t="n">
        <v>128000</v>
      </c>
      <c r="O210" s="4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45930</v>
      </c>
      <c r="B211" s="7" t="n">
        <v>1661.7</v>
      </c>
      <c r="C211" s="3" t="n">
        <v>7204747.23</v>
      </c>
      <c r="E211" s="5" t="n">
        <v>45930</v>
      </c>
      <c r="F211" s="4" t="n">
        <v>174900</v>
      </c>
      <c r="G211" s="4" t="n">
        <v>3853015512</v>
      </c>
      <c r="H211" s="4" t="n">
        <v>103000</v>
      </c>
      <c r="I211" s="4" t="n">
        <v>4107412004</v>
      </c>
      <c r="J211" s="4" t="n">
        <v>32100</v>
      </c>
      <c r="K211" s="4" t="n">
        <v>2272318410</v>
      </c>
      <c r="L211" s="4" t="n">
        <v>80200</v>
      </c>
      <c r="M211" s="4" t="n">
        <v>1793300377</v>
      </c>
      <c r="N211" s="4" t="n">
        <v>129600</v>
      </c>
      <c r="O211" s="4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45929</v>
      </c>
      <c r="B212" s="7" t="n">
        <v>1666.48</v>
      </c>
      <c r="C212" s="3" t="n">
        <v>7226776.88</v>
      </c>
      <c r="E212" s="5" t="n">
        <v>45929</v>
      </c>
      <c r="F212" s="4" t="n">
        <v>172800</v>
      </c>
      <c r="G212" s="4" t="n">
        <v>3853015512</v>
      </c>
      <c r="H212" s="4" t="n">
        <v>101900</v>
      </c>
      <c r="I212" s="4" t="n">
        <v>4107412004</v>
      </c>
      <c r="J212" s="4" t="n">
        <v>30000</v>
      </c>
      <c r="K212" s="4" t="n">
        <v>2272318410</v>
      </c>
      <c r="L212" s="4" t="n">
        <v>80000</v>
      </c>
      <c r="M212" s="4" t="n">
        <v>1793300377</v>
      </c>
      <c r="N212" s="4" t="n">
        <v>129700</v>
      </c>
      <c r="O212" s="4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45926</v>
      </c>
      <c r="B213" s="7" t="n">
        <v>1660.7</v>
      </c>
      <c r="C213" s="3" t="n">
        <v>7196834.69</v>
      </c>
      <c r="E213" s="5" t="n">
        <v>45926</v>
      </c>
      <c r="F213" s="4" t="n">
        <v>164000</v>
      </c>
      <c r="G213" s="4" t="n">
        <v>3853015512</v>
      </c>
      <c r="H213" s="4" t="n">
        <v>99000</v>
      </c>
      <c r="I213" s="4" t="n">
        <v>4107412004</v>
      </c>
      <c r="J213" s="4" t="n">
        <v>29400</v>
      </c>
      <c r="K213" s="4" t="n">
        <v>2272318410</v>
      </c>
      <c r="L213" s="4" t="n">
        <v>80200</v>
      </c>
      <c r="M213" s="4" t="n">
        <v>1793300377</v>
      </c>
      <c r="N213" s="4" t="n">
        <v>132500</v>
      </c>
      <c r="O213" s="4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45925</v>
      </c>
      <c r="B214" s="7" t="n">
        <v>1666.09</v>
      </c>
      <c r="C214" s="3" t="n">
        <v>7220223.82</v>
      </c>
      <c r="E214" s="5" t="n">
        <v>45925</v>
      </c>
      <c r="F214" s="4" t="n">
        <v>158000</v>
      </c>
      <c r="G214" s="4" t="n">
        <v>3853015512</v>
      </c>
      <c r="H214" s="4" t="n">
        <v>99500</v>
      </c>
      <c r="I214" s="4" t="n">
        <v>4107412004</v>
      </c>
      <c r="J214" s="4" t="n">
        <v>29400</v>
      </c>
      <c r="K214" s="4" t="n">
        <v>2272318410</v>
      </c>
      <c r="L214" s="4" t="n">
        <v>80100</v>
      </c>
      <c r="M214" s="4" t="n">
        <v>1793300377</v>
      </c>
      <c r="N214" s="4" t="n">
        <v>135900</v>
      </c>
      <c r="O214" s="4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45924</v>
      </c>
      <c r="B215" s="7" t="n">
        <v>1657.46</v>
      </c>
      <c r="C215" s="3" t="n">
        <v>7182845.36</v>
      </c>
      <c r="E215" s="5" t="n">
        <v>45924</v>
      </c>
      <c r="F215" s="4" t="n">
        <v>149000</v>
      </c>
      <c r="G215" s="4" t="n">
        <v>3853015512</v>
      </c>
      <c r="H215" s="4" t="n">
        <v>98000</v>
      </c>
      <c r="I215" s="4" t="n">
        <v>4107412004</v>
      </c>
      <c r="J215" s="4" t="n">
        <v>29000</v>
      </c>
      <c r="K215" s="4" t="n">
        <v>2272318410</v>
      </c>
      <c r="L215" s="4" t="n">
        <v>80100</v>
      </c>
      <c r="M215" s="4" t="n">
        <v>1793300377</v>
      </c>
      <c r="N215" s="4" t="n">
        <v>133700</v>
      </c>
      <c r="O215" s="4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45923</v>
      </c>
      <c r="B216" s="7" t="n">
        <v>1635.26</v>
      </c>
      <c r="C216" s="3" t="n">
        <v>7086624.74</v>
      </c>
      <c r="E216" s="5" t="n">
        <v>45923</v>
      </c>
      <c r="F216" s="4" t="n">
        <v>149200</v>
      </c>
      <c r="G216" s="4" t="n">
        <v>3853015512</v>
      </c>
      <c r="H216" s="4" t="n">
        <v>98700</v>
      </c>
      <c r="I216" s="4" t="n">
        <v>4107412004</v>
      </c>
      <c r="J216" s="4" t="n">
        <v>28300</v>
      </c>
      <c r="K216" s="4" t="n">
        <v>2272318410</v>
      </c>
      <c r="L216" s="4" t="n">
        <v>80200</v>
      </c>
      <c r="M216" s="4" t="n">
        <v>1793300377</v>
      </c>
      <c r="N216" s="4" t="n">
        <v>133000</v>
      </c>
      <c r="O216" s="4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45922</v>
      </c>
      <c r="B217" s="7" t="n">
        <v>1634.45</v>
      </c>
      <c r="C217" s="3" t="n">
        <v>7082813.97</v>
      </c>
      <c r="E217" s="5" t="n">
        <v>45922</v>
      </c>
      <c r="F217" s="4" t="n">
        <v>148800</v>
      </c>
      <c r="G217" s="4" t="n">
        <v>3853015512</v>
      </c>
      <c r="H217" s="4" t="n">
        <v>99500</v>
      </c>
      <c r="I217" s="4" t="n">
        <v>4107412004</v>
      </c>
      <c r="J217" s="4" t="n">
        <v>28800</v>
      </c>
      <c r="K217" s="4" t="n">
        <v>2272318410</v>
      </c>
      <c r="L217" s="4" t="n">
        <v>80200</v>
      </c>
      <c r="M217" s="4" t="n">
        <v>1793300377</v>
      </c>
      <c r="N217" s="4" t="n">
        <v>135500</v>
      </c>
      <c r="O217" s="4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45919</v>
      </c>
      <c r="B218" s="7" t="n">
        <v>1658.62</v>
      </c>
      <c r="C218" s="3" t="n">
        <v>7187566.72</v>
      </c>
      <c r="E218" s="5" t="n">
        <v>45919</v>
      </c>
      <c r="F218" s="4" t="n">
        <v>153200</v>
      </c>
      <c r="G218" s="4" t="n">
        <v>3853015512</v>
      </c>
      <c r="H218" s="4" t="n">
        <v>101700</v>
      </c>
      <c r="I218" s="4" t="n">
        <v>4107412004</v>
      </c>
      <c r="J218" s="4" t="n">
        <v>29450</v>
      </c>
      <c r="K218" s="4" t="n">
        <v>2272318410</v>
      </c>
      <c r="L218" s="4" t="n">
        <v>80000</v>
      </c>
      <c r="M218" s="4" t="n">
        <v>1793300377</v>
      </c>
      <c r="N218" s="4" t="n">
        <v>137200</v>
      </c>
      <c r="O218" s="4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45918</v>
      </c>
      <c r="B219" s="7" t="n">
        <v>1665.18</v>
      </c>
      <c r="C219" s="3" t="n">
        <v>7208878.98</v>
      </c>
      <c r="E219" s="5" t="n">
        <v>45918</v>
      </c>
      <c r="F219" s="4" t="n">
        <v>145000</v>
      </c>
      <c r="G219" s="4" t="n">
        <v>3853015512</v>
      </c>
      <c r="H219" s="4" t="n">
        <v>103500</v>
      </c>
      <c r="I219" s="4" t="n">
        <v>4107412004</v>
      </c>
      <c r="J219" s="4" t="n">
        <v>30200</v>
      </c>
      <c r="K219" s="4" t="n">
        <v>2272318410</v>
      </c>
      <c r="L219" s="4" t="n">
        <v>80000</v>
      </c>
      <c r="M219" s="4" t="n">
        <v>1793300377</v>
      </c>
      <c r="N219" s="4" t="n">
        <v>139800</v>
      </c>
      <c r="O219" s="4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45917</v>
      </c>
      <c r="B220" s="7" t="n">
        <v>1670.97</v>
      </c>
      <c r="C220" s="3" t="n">
        <v>7233924.32</v>
      </c>
      <c r="E220" s="5" t="n">
        <v>45917</v>
      </c>
      <c r="F220" s="4" t="n">
        <v>143100</v>
      </c>
      <c r="G220" s="4" t="n">
        <v>3853015512</v>
      </c>
      <c r="H220" s="4" t="n">
        <v>102900</v>
      </c>
      <c r="I220" s="4" t="n">
        <v>4107412004</v>
      </c>
      <c r="J220" s="4" t="n">
        <v>30200</v>
      </c>
      <c r="K220" s="4" t="n">
        <v>2272318410</v>
      </c>
      <c r="L220" s="4" t="n">
        <v>80300</v>
      </c>
      <c r="M220" s="4" t="n">
        <v>1793300377</v>
      </c>
      <c r="N220" s="4" t="n">
        <v>142000</v>
      </c>
      <c r="O220" s="4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45916</v>
      </c>
      <c r="B221" s="7" t="n">
        <v>1680.9</v>
      </c>
      <c r="C221" s="3" t="n">
        <v>7272554.43</v>
      </c>
      <c r="E221" s="5" t="n">
        <v>45916</v>
      </c>
      <c r="F221" s="4" t="n">
        <v>135000</v>
      </c>
      <c r="G221" s="4" t="n">
        <v>3853015512</v>
      </c>
      <c r="H221" s="4" t="n">
        <v>102700</v>
      </c>
      <c r="I221" s="4" t="n">
        <v>4107412004</v>
      </c>
      <c r="J221" s="4" t="n">
        <v>30600</v>
      </c>
      <c r="K221" s="4" t="n">
        <v>2272318410</v>
      </c>
      <c r="L221" s="4" t="n">
        <v>80200</v>
      </c>
      <c r="M221" s="4" t="n">
        <v>1793300377</v>
      </c>
      <c r="N221" s="4" t="n">
        <v>142000</v>
      </c>
      <c r="O221" s="4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45915</v>
      </c>
      <c r="B222" s="7" t="n">
        <v>1684.9</v>
      </c>
      <c r="C222" s="3" t="n">
        <v>7287309.68</v>
      </c>
      <c r="E222" s="5" t="n">
        <v>45915</v>
      </c>
      <c r="F222" s="4" t="n">
        <v>137800</v>
      </c>
      <c r="G222" s="4" t="n">
        <v>3853015512</v>
      </c>
      <c r="H222" s="4" t="n">
        <v>104500</v>
      </c>
      <c r="I222" s="4" t="n">
        <v>4107412004</v>
      </c>
      <c r="J222" s="4" t="n">
        <v>30650</v>
      </c>
      <c r="K222" s="4" t="n">
        <v>2272318410</v>
      </c>
      <c r="L222" s="4" t="n">
        <v>80300</v>
      </c>
      <c r="M222" s="4" t="n">
        <v>1793300377</v>
      </c>
      <c r="N222" s="4" t="n">
        <v>145600</v>
      </c>
      <c r="O222" s="4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45912</v>
      </c>
      <c r="B223" s="7" t="n">
        <v>1667.26</v>
      </c>
      <c r="C223" s="3" t="n">
        <v>7211047.89</v>
      </c>
      <c r="E223" s="5" t="n">
        <v>45912</v>
      </c>
      <c r="F223" s="4" t="n">
        <v>137800</v>
      </c>
      <c r="G223" s="4" t="n">
        <v>3853015512</v>
      </c>
      <c r="H223" s="4" t="n">
        <v>105500</v>
      </c>
      <c r="I223" s="4" t="n">
        <v>4107412004</v>
      </c>
      <c r="J223" s="4" t="n">
        <v>30750</v>
      </c>
      <c r="K223" s="4" t="n">
        <v>2272318410</v>
      </c>
      <c r="L223" s="4" t="n">
        <v>80300</v>
      </c>
      <c r="M223" s="4" t="n">
        <v>1793300377</v>
      </c>
      <c r="N223" s="4" t="n">
        <v>146000</v>
      </c>
      <c r="O223" s="4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45911</v>
      </c>
      <c r="B224" s="7" t="n">
        <v>1657.75</v>
      </c>
      <c r="C224" s="3" t="n">
        <v>7169881.49</v>
      </c>
      <c r="E224" s="5" t="n">
        <v>45911</v>
      </c>
      <c r="F224" s="4" t="n">
        <v>136000</v>
      </c>
      <c r="G224" s="4" t="n">
        <v>3853015512</v>
      </c>
      <c r="H224" s="4" t="n">
        <v>105900</v>
      </c>
      <c r="I224" s="4" t="n">
        <v>4107412004</v>
      </c>
      <c r="J224" s="4" t="n">
        <v>31100</v>
      </c>
      <c r="K224" s="4" t="n">
        <v>2272318410</v>
      </c>
      <c r="L224" s="4" t="n">
        <v>80300</v>
      </c>
      <c r="M224" s="4" t="n">
        <v>1793300377</v>
      </c>
      <c r="N224" s="4" t="n">
        <v>145400</v>
      </c>
      <c r="O224" s="4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45910</v>
      </c>
      <c r="B225" s="7" t="n">
        <v>1643.26</v>
      </c>
      <c r="C225" s="3" t="n">
        <v>7107252.16</v>
      </c>
      <c r="E225" s="5" t="n">
        <v>45910</v>
      </c>
      <c r="F225" s="4" t="n">
        <v>130900</v>
      </c>
      <c r="G225" s="4" t="n">
        <v>3853015512</v>
      </c>
      <c r="H225" s="4" t="n">
        <v>101800</v>
      </c>
      <c r="I225" s="4" t="n">
        <v>4107412004</v>
      </c>
      <c r="J225" s="4" t="n">
        <v>30600</v>
      </c>
      <c r="K225" s="4" t="n">
        <v>2272318410</v>
      </c>
      <c r="L225" s="4" t="n">
        <v>80300</v>
      </c>
      <c r="M225" s="4" t="n">
        <v>1793300377</v>
      </c>
      <c r="N225" s="4" t="n">
        <v>144900</v>
      </c>
      <c r="O225" s="4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45909</v>
      </c>
      <c r="B226" s="7" t="n">
        <v>1637.32</v>
      </c>
      <c r="C226" s="3" t="n">
        <v>7081316.51</v>
      </c>
      <c r="E226" s="5" t="n">
        <v>45909</v>
      </c>
      <c r="F226" s="4" t="n">
        <v>129200</v>
      </c>
      <c r="G226" s="4" t="n">
        <v>3853015512</v>
      </c>
      <c r="H226" s="4" t="n">
        <v>101400</v>
      </c>
      <c r="I226" s="4" t="n">
        <v>4107412004</v>
      </c>
      <c r="J226" s="4" t="n">
        <v>30300</v>
      </c>
      <c r="K226" s="4" t="n">
        <v>2272318410</v>
      </c>
      <c r="L226" s="4" t="n">
        <v>80300</v>
      </c>
      <c r="M226" s="4" t="n">
        <v>1793300377</v>
      </c>
      <c r="N226" s="4" t="n">
        <v>145000</v>
      </c>
      <c r="O226" s="4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45908</v>
      </c>
      <c r="B227" s="7" t="n">
        <v>1624.53</v>
      </c>
      <c r="C227" s="3" t="n">
        <v>7026001.24</v>
      </c>
      <c r="E227" s="5" t="n">
        <v>45908</v>
      </c>
      <c r="F227" s="4" t="n">
        <v>125000</v>
      </c>
      <c r="G227" s="4" t="n">
        <v>3853015512</v>
      </c>
      <c r="H227" s="4" t="n">
        <v>100000</v>
      </c>
      <c r="I227" s="4" t="n">
        <v>4107412004</v>
      </c>
      <c r="J227" s="4" t="n">
        <v>30300</v>
      </c>
      <c r="K227" s="4" t="n">
        <v>2272318410</v>
      </c>
      <c r="L227" s="4" t="n">
        <v>80300</v>
      </c>
      <c r="M227" s="4" t="n">
        <v>1793300377</v>
      </c>
      <c r="N227" s="4" t="n">
        <v>141900</v>
      </c>
      <c r="O227" s="4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45905</v>
      </c>
      <c r="B228" s="7" t="n">
        <v>1666.97</v>
      </c>
      <c r="C228" s="3" t="n">
        <v>7209462.27</v>
      </c>
      <c r="E228" s="5" t="n">
        <v>45905</v>
      </c>
      <c r="F228" s="4" t="n">
        <v>125000</v>
      </c>
      <c r="G228" s="4" t="n">
        <v>3853015512</v>
      </c>
      <c r="H228" s="4" t="n">
        <v>100000</v>
      </c>
      <c r="I228" s="4" t="n">
        <v>4107412004</v>
      </c>
      <c r="J228" s="4" t="n">
        <v>30300</v>
      </c>
      <c r="K228" s="4" t="n">
        <v>2272318410</v>
      </c>
      <c r="L228" s="4" t="n">
        <v>80400</v>
      </c>
      <c r="M228" s="4" t="n">
        <v>1793300377</v>
      </c>
      <c r="N228" s="4" t="n">
        <v>142000</v>
      </c>
      <c r="O228" s="4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45904</v>
      </c>
      <c r="B229" s="7" t="n">
        <v>1696.29</v>
      </c>
      <c r="C229" s="3" t="n">
        <v>7336257.24</v>
      </c>
      <c r="E229" s="5" t="n">
        <v>45904</v>
      </c>
      <c r="F229" s="4" t="n">
        <v>125000</v>
      </c>
      <c r="G229" s="4" t="n">
        <v>3853015512</v>
      </c>
      <c r="H229" s="4" t="n">
        <v>102300</v>
      </c>
      <c r="I229" s="4" t="n">
        <v>4107412004</v>
      </c>
      <c r="J229" s="4" t="n">
        <v>30300</v>
      </c>
      <c r="K229" s="4" t="n">
        <v>2272318410</v>
      </c>
      <c r="L229" s="4" t="n">
        <v>80100</v>
      </c>
      <c r="M229" s="4" t="n">
        <v>1793300377</v>
      </c>
      <c r="N229" s="4" t="n">
        <v>140000</v>
      </c>
      <c r="O229" s="4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45903</v>
      </c>
      <c r="B230" s="7" t="n">
        <v>1681.3</v>
      </c>
      <c r="C230" s="3" t="n">
        <v>7271420.36</v>
      </c>
      <c r="E230" s="5" t="n">
        <v>45903</v>
      </c>
      <c r="F230" s="4" t="n">
        <v>125000</v>
      </c>
      <c r="G230" s="4" t="n">
        <v>3853015512</v>
      </c>
      <c r="H230" s="4" t="n">
        <v>102700</v>
      </c>
      <c r="I230" s="4" t="n">
        <v>4107412004</v>
      </c>
      <c r="J230" s="4" t="n">
        <v>30150</v>
      </c>
      <c r="K230" s="4" t="n">
        <v>2272318410</v>
      </c>
      <c r="L230" s="4" t="n">
        <v>80200</v>
      </c>
      <c r="M230" s="4" t="n">
        <v>1793300377</v>
      </c>
      <c r="N230" s="4" t="n">
        <v>142000</v>
      </c>
      <c r="O230" s="4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45898</v>
      </c>
      <c r="B231" s="7" t="n">
        <v>1682.21</v>
      </c>
      <c r="C231" s="3" t="n">
        <v>7275347.19</v>
      </c>
      <c r="E231" s="5" t="n">
        <v>45898</v>
      </c>
      <c r="F231" s="4" t="n">
        <v>128300</v>
      </c>
      <c r="G231" s="4" t="n">
        <v>3853015512</v>
      </c>
      <c r="H231" s="4" t="n">
        <v>104500</v>
      </c>
      <c r="I231" s="4" t="n">
        <v>4107412004</v>
      </c>
      <c r="J231" s="4" t="n">
        <v>30400</v>
      </c>
      <c r="K231" s="4" t="n">
        <v>2272318410</v>
      </c>
      <c r="L231" s="4" t="n">
        <v>80200</v>
      </c>
      <c r="M231" s="4" t="n">
        <v>1793300377</v>
      </c>
      <c r="N231" s="4" t="n">
        <v>144500</v>
      </c>
      <c r="O231" s="4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45897</v>
      </c>
      <c r="B232" s="7" t="n">
        <v>1680.86</v>
      </c>
      <c r="C232" s="3" t="n">
        <v>7269546.26</v>
      </c>
      <c r="E232" s="5" t="n">
        <v>45897</v>
      </c>
      <c r="F232" s="4" t="n">
        <v>130100</v>
      </c>
      <c r="G232" s="4" t="n">
        <v>3853015512</v>
      </c>
      <c r="H232" s="4" t="n">
        <v>104600</v>
      </c>
      <c r="I232" s="4" t="n">
        <v>4107412004</v>
      </c>
      <c r="J232" s="4" t="n">
        <v>30700</v>
      </c>
      <c r="K232" s="4" t="n">
        <v>2272318410</v>
      </c>
      <c r="L232" s="4" t="n">
        <v>80200</v>
      </c>
      <c r="M232" s="4" t="n">
        <v>1793300377</v>
      </c>
      <c r="N232" s="4" t="n">
        <v>145000</v>
      </c>
      <c r="O232" s="4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45896</v>
      </c>
      <c r="B233" s="7" t="n">
        <v>1672.78</v>
      </c>
      <c r="C233" s="3" t="n">
        <v>7234547.81</v>
      </c>
      <c r="E233" s="5" t="n">
        <v>45896</v>
      </c>
      <c r="F233" s="4" t="n">
        <v>132000</v>
      </c>
      <c r="G233" s="4" t="n">
        <v>3853015512</v>
      </c>
      <c r="H233" s="4" t="n">
        <v>104600</v>
      </c>
      <c r="I233" s="4" t="n">
        <v>4107412004</v>
      </c>
      <c r="J233" s="4" t="n">
        <v>30600</v>
      </c>
      <c r="K233" s="4" t="n">
        <v>2272318410</v>
      </c>
      <c r="L233" s="4" t="n">
        <v>80200</v>
      </c>
      <c r="M233" s="4" t="n">
        <v>1793300377</v>
      </c>
      <c r="N233" s="4" t="n">
        <v>144100</v>
      </c>
      <c r="O233" s="4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45895</v>
      </c>
      <c r="B234" s="7" t="n">
        <v>1667.63</v>
      </c>
      <c r="C234" s="3" t="n">
        <v>7212512.93</v>
      </c>
      <c r="E234" s="5" t="n">
        <v>45895</v>
      </c>
      <c r="F234" s="4" t="n">
        <v>135500</v>
      </c>
      <c r="G234" s="4" t="n">
        <v>3853015512</v>
      </c>
      <c r="H234" s="4" t="n">
        <v>105200</v>
      </c>
      <c r="I234" s="4" t="n">
        <v>4107412004</v>
      </c>
      <c r="J234" s="4" t="n">
        <v>31300</v>
      </c>
      <c r="K234" s="4" t="n">
        <v>2272318410</v>
      </c>
      <c r="L234" s="4" t="n">
        <v>80200</v>
      </c>
      <c r="M234" s="4" t="n">
        <v>1793300377</v>
      </c>
      <c r="N234" s="4" t="n">
        <v>144000</v>
      </c>
      <c r="O234" s="4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45894</v>
      </c>
      <c r="B235" s="7" t="n">
        <v>1614.03</v>
      </c>
      <c r="C235" s="3" t="n">
        <v>6980703.11</v>
      </c>
      <c r="E235" s="5" t="n">
        <v>45894</v>
      </c>
      <c r="F235" s="4" t="n">
        <v>131000</v>
      </c>
      <c r="G235" s="4" t="n">
        <v>3853015512</v>
      </c>
      <c r="H235" s="4" t="n">
        <v>98400</v>
      </c>
      <c r="I235" s="4" t="n">
        <v>4107412004</v>
      </c>
      <c r="J235" s="4" t="n">
        <v>30000</v>
      </c>
      <c r="K235" s="4" t="n">
        <v>2272318410</v>
      </c>
      <c r="L235" s="4" t="n">
        <v>80800</v>
      </c>
      <c r="M235" s="4" t="n">
        <v>1793300377</v>
      </c>
      <c r="N235" s="4" t="n">
        <v>142500</v>
      </c>
      <c r="O235" s="4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45891</v>
      </c>
      <c r="B236" s="7" t="n">
        <v>1645.47</v>
      </c>
      <c r="C236" s="3" t="n">
        <v>7116439.56</v>
      </c>
      <c r="E236" s="5" t="n">
        <v>45891</v>
      </c>
      <c r="F236" s="4" t="n">
        <v>124100</v>
      </c>
      <c r="G236" s="4" t="n">
        <v>3853015512</v>
      </c>
      <c r="H236" s="4" t="n">
        <v>98100</v>
      </c>
      <c r="I236" s="4" t="n">
        <v>4107412004</v>
      </c>
      <c r="J236" s="4" t="n">
        <v>30000</v>
      </c>
      <c r="K236" s="4" t="n">
        <v>2272318410</v>
      </c>
      <c r="L236" s="4" t="n">
        <v>80800</v>
      </c>
      <c r="M236" s="4" t="n">
        <v>1793300377</v>
      </c>
      <c r="N236" s="4" t="n">
        <v>140000</v>
      </c>
      <c r="O236" s="4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45890</v>
      </c>
      <c r="B237" s="7" t="n">
        <v>1688</v>
      </c>
      <c r="C237" s="3" t="n">
        <v>7300382.51</v>
      </c>
      <c r="E237" s="5" t="n">
        <v>45890</v>
      </c>
      <c r="F237" s="4" t="n">
        <v>125000</v>
      </c>
      <c r="G237" s="4" t="n">
        <v>3853015512</v>
      </c>
      <c r="H237" s="4" t="n">
        <v>99800</v>
      </c>
      <c r="I237" s="4" t="n">
        <v>4107412004</v>
      </c>
      <c r="J237" s="4" t="n">
        <v>30400</v>
      </c>
      <c r="K237" s="4" t="n">
        <v>2272318410</v>
      </c>
      <c r="L237" s="4" t="n">
        <v>80900</v>
      </c>
      <c r="M237" s="4" t="n">
        <v>1793300377</v>
      </c>
      <c r="N237" s="4" t="n">
        <v>145800</v>
      </c>
      <c r="O237" s="4" t="n">
        <v>591611334</v>
      </c>
      <c r="Q237" s="3" t="n"/>
      <c r="R237" s="3">
        <f>G238*F237-G238*F238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45889</v>
      </c>
      <c r="B238" s="7" t="n">
        <v>1664.36</v>
      </c>
      <c r="C238" s="3" t="n">
        <v>7197827.97</v>
      </c>
      <c r="E238" s="5" t="n">
        <v>45889</v>
      </c>
      <c r="F238" s="4" t="n">
        <v>124200</v>
      </c>
      <c r="G238" s="4" t="n">
        <v>3823661561</v>
      </c>
      <c r="H238" s="4" t="n">
        <v>99000</v>
      </c>
      <c r="I238" s="4" t="n">
        <v>4107412004</v>
      </c>
      <c r="J238" s="4" t="n">
        <v>30000</v>
      </c>
      <c r="K238" s="4" t="n">
        <v>2272318410</v>
      </c>
      <c r="L238" s="4" t="n">
        <v>81500</v>
      </c>
      <c r="M238" s="4" t="n">
        <v>1793300377</v>
      </c>
      <c r="N238" s="4" t="n">
        <v>143800</v>
      </c>
      <c r="O238" s="4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45888</v>
      </c>
      <c r="B239" s="7" t="n">
        <v>1654.2</v>
      </c>
      <c r="C239" s="3" t="n">
        <v>7151842.1</v>
      </c>
      <c r="E239" s="5" t="n">
        <v>45888</v>
      </c>
      <c r="F239" s="4" t="n">
        <v>118200</v>
      </c>
      <c r="G239" s="4" t="n">
        <v>3823661561</v>
      </c>
      <c r="H239" s="4" t="n">
        <v>93900</v>
      </c>
      <c r="I239" s="4" t="n">
        <v>4107412004</v>
      </c>
      <c r="J239" s="4" t="n">
        <v>29950</v>
      </c>
      <c r="K239" s="4" t="n">
        <v>2272318410</v>
      </c>
      <c r="L239" s="4" t="n">
        <v>81500</v>
      </c>
      <c r="M239" s="4" t="n">
        <v>1793300377</v>
      </c>
      <c r="N239" s="4" t="n">
        <v>146000</v>
      </c>
      <c r="O239" s="4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45887</v>
      </c>
      <c r="B240" s="7" t="n">
        <v>1636.37</v>
      </c>
      <c r="C240" s="3" t="n">
        <v>7074760.68</v>
      </c>
      <c r="E240" s="5" t="n">
        <v>45887</v>
      </c>
      <c r="F240" s="4" t="n">
        <v>118200</v>
      </c>
      <c r="G240" s="4" t="n">
        <v>3823661561</v>
      </c>
      <c r="H240" s="4" t="n">
        <v>93900</v>
      </c>
      <c r="I240" s="4" t="n">
        <v>4107412004</v>
      </c>
      <c r="J240" s="4" t="n">
        <v>29950</v>
      </c>
      <c r="K240" s="4" t="n">
        <v>2272318410</v>
      </c>
      <c r="L240" s="4" t="n">
        <v>81600</v>
      </c>
      <c r="M240" s="4" t="n">
        <v>1793300377</v>
      </c>
      <c r="N240" s="4" t="n">
        <v>142400</v>
      </c>
      <c r="O240" s="4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45884</v>
      </c>
      <c r="B241" s="7" t="n">
        <v>1630</v>
      </c>
      <c r="C241" s="3" t="n">
        <v>7047211.09</v>
      </c>
      <c r="E241" s="5" t="n">
        <v>45884</v>
      </c>
      <c r="F241" s="4" t="n">
        <v>118200</v>
      </c>
      <c r="G241" s="4" t="n">
        <v>3823661561</v>
      </c>
      <c r="H241" s="4" t="n">
        <v>94000</v>
      </c>
      <c r="I241" s="4" t="n">
        <v>4107412004</v>
      </c>
      <c r="J241" s="4" t="n">
        <v>30300</v>
      </c>
      <c r="K241" s="4" t="n">
        <v>2272318410</v>
      </c>
      <c r="L241" s="4" t="n">
        <v>82900</v>
      </c>
      <c r="M241" s="4" t="n">
        <v>1793300377</v>
      </c>
      <c r="N241" s="4" t="n">
        <v>145600</v>
      </c>
      <c r="O241" s="4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45883</v>
      </c>
      <c r="B242" s="7" t="n">
        <v>1640.69</v>
      </c>
      <c r="C242" s="3" t="n">
        <v>7092773.36</v>
      </c>
      <c r="E242" s="5" t="n">
        <v>45883</v>
      </c>
      <c r="F242" s="4" t="n">
        <v>118200</v>
      </c>
      <c r="G242" s="4" t="n">
        <v>3823661561</v>
      </c>
      <c r="H242" s="4" t="n">
        <v>93900</v>
      </c>
      <c r="I242" s="4" t="n">
        <v>4107412004</v>
      </c>
      <c r="J242" s="4" t="n">
        <v>30150</v>
      </c>
      <c r="K242" s="4" t="n">
        <v>2272318410</v>
      </c>
      <c r="L242" s="4" t="n">
        <v>82800</v>
      </c>
      <c r="M242" s="4" t="n">
        <v>1793300377</v>
      </c>
      <c r="N242" s="4" t="n">
        <v>136300</v>
      </c>
      <c r="O242" s="4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45882</v>
      </c>
      <c r="B243" s="7" t="n">
        <v>1611.6</v>
      </c>
      <c r="C243" s="3" t="n">
        <v>6966579.95</v>
      </c>
      <c r="E243" s="5" t="n">
        <v>45882</v>
      </c>
      <c r="F243" s="4" t="n">
        <v>116000</v>
      </c>
      <c r="G243" s="4" t="n">
        <v>3823661561</v>
      </c>
      <c r="H243" s="4" t="n">
        <v>93000</v>
      </c>
      <c r="I243" s="4" t="n">
        <v>4107412004</v>
      </c>
      <c r="J243" s="4" t="n">
        <v>29450</v>
      </c>
      <c r="K243" s="4" t="n">
        <v>2272318410</v>
      </c>
      <c r="L243" s="4" t="n">
        <v>83300</v>
      </c>
      <c r="M243" s="4" t="n">
        <v>1793300377</v>
      </c>
      <c r="N243" s="4" t="n">
        <v>127400</v>
      </c>
      <c r="O243" s="4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45881</v>
      </c>
      <c r="B244" s="7" t="n">
        <v>1608.22</v>
      </c>
      <c r="C244" s="3" t="n">
        <v>6951586.3</v>
      </c>
      <c r="E244" s="5" t="n">
        <v>45881</v>
      </c>
      <c r="F244" s="4" t="n">
        <v>115500</v>
      </c>
      <c r="G244" s="4" t="n">
        <v>3823661561</v>
      </c>
      <c r="H244" s="4" t="n">
        <v>93000</v>
      </c>
      <c r="I244" s="4" t="n">
        <v>4107412004</v>
      </c>
      <c r="J244" s="4" t="n">
        <v>29450</v>
      </c>
      <c r="K244" s="4" t="n">
        <v>2272318410</v>
      </c>
      <c r="L244" s="4" t="n">
        <v>84000</v>
      </c>
      <c r="M244" s="4" t="n">
        <v>1793300377</v>
      </c>
      <c r="N244" s="4" t="n">
        <v>127000</v>
      </c>
      <c r="O244" s="4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45880</v>
      </c>
      <c r="B245" s="7" t="n">
        <v>1596.86</v>
      </c>
      <c r="C245" s="3" t="n">
        <v>6902506.15</v>
      </c>
      <c r="E245" s="5" t="n">
        <v>45880</v>
      </c>
      <c r="F245" s="4" t="n">
        <v>115500</v>
      </c>
      <c r="G245" s="4" t="n">
        <v>3823661561</v>
      </c>
      <c r="H245" s="4" t="n">
        <v>93500</v>
      </c>
      <c r="I245" s="4" t="n">
        <v>4107412004</v>
      </c>
      <c r="J245" s="4" t="n">
        <v>29350</v>
      </c>
      <c r="K245" s="4" t="n">
        <v>2272318410</v>
      </c>
      <c r="L245" s="4" t="n">
        <v>84000</v>
      </c>
      <c r="M245" s="4" t="n">
        <v>1793300377</v>
      </c>
      <c r="N245" s="4" t="n">
        <v>124000</v>
      </c>
      <c r="O245" s="4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45877</v>
      </c>
      <c r="B246" s="7" t="n">
        <v>1584.95</v>
      </c>
      <c r="C246" s="3" t="n">
        <v>6851004.72</v>
      </c>
      <c r="E246" s="5" t="n">
        <v>45877</v>
      </c>
      <c r="F246" s="4" t="n">
        <v>117000</v>
      </c>
      <c r="G246" s="4" t="n">
        <v>3823661561</v>
      </c>
      <c r="H246" s="4" t="n">
        <v>94800</v>
      </c>
      <c r="I246" s="4" t="n">
        <v>4107412004</v>
      </c>
      <c r="J246" s="4" t="n">
        <v>30000</v>
      </c>
      <c r="K246" s="4" t="n">
        <v>2272318410</v>
      </c>
      <c r="L246" s="4" t="n">
        <v>84000</v>
      </c>
      <c r="M246" s="4" t="n">
        <v>1793300377</v>
      </c>
      <c r="N246" s="4" t="n">
        <v>121500</v>
      </c>
      <c r="O246" s="4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45876</v>
      </c>
      <c r="B247" s="7" t="n">
        <v>1581.81</v>
      </c>
      <c r="C247" s="3" t="n">
        <v>6837437.18</v>
      </c>
      <c r="E247" s="5" t="n">
        <v>45876</v>
      </c>
      <c r="F247" s="4" t="n">
        <v>115000</v>
      </c>
      <c r="G247" s="4" t="n">
        <v>3823661561</v>
      </c>
      <c r="H247" s="4" t="n">
        <v>95000</v>
      </c>
      <c r="I247" s="4" t="n">
        <v>4107412004</v>
      </c>
      <c r="J247" s="4" t="n">
        <v>30500</v>
      </c>
      <c r="K247" s="4" t="n">
        <v>2272318410</v>
      </c>
      <c r="L247" s="4" t="n">
        <v>84900</v>
      </c>
      <c r="M247" s="4" t="n">
        <v>1793300377</v>
      </c>
      <c r="N247" s="4" t="n">
        <v>127700</v>
      </c>
      <c r="O247" s="4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45875</v>
      </c>
      <c r="B248" s="7" t="n">
        <v>1573.71</v>
      </c>
      <c r="C248" s="3" t="n">
        <v>6802415.07</v>
      </c>
      <c r="E248" s="5" t="n">
        <v>45875</v>
      </c>
      <c r="F248" s="4" t="n">
        <v>118500</v>
      </c>
      <c r="G248" s="4" t="n">
        <v>3823661561</v>
      </c>
      <c r="H248" s="4" t="n">
        <v>97500</v>
      </c>
      <c r="I248" s="4" t="n">
        <v>4107412004</v>
      </c>
      <c r="J248" s="4" t="n">
        <v>30100</v>
      </c>
      <c r="K248" s="4" t="n">
        <v>2272318410</v>
      </c>
      <c r="L248" s="4" t="n">
        <v>84900</v>
      </c>
      <c r="M248" s="4" t="n">
        <v>1793300377</v>
      </c>
      <c r="N248" s="4" t="n">
        <v>129000</v>
      </c>
      <c r="O248" s="4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45874</v>
      </c>
      <c r="B249" s="7" t="n">
        <v>1547.15</v>
      </c>
      <c r="C249" s="3" t="n">
        <v>6687580.99</v>
      </c>
      <c r="E249" s="5" t="n">
        <v>45874</v>
      </c>
      <c r="F249" s="4" t="n">
        <v>117500</v>
      </c>
      <c r="G249" s="4" t="n">
        <v>3823661561</v>
      </c>
      <c r="H249" s="4" t="n">
        <v>96000</v>
      </c>
      <c r="I249" s="4" t="n">
        <v>4107412004</v>
      </c>
      <c r="J249" s="4" t="n">
        <v>30950</v>
      </c>
      <c r="K249" s="4" t="n">
        <v>2272318410</v>
      </c>
      <c r="L249" s="4" t="n">
        <v>84000</v>
      </c>
      <c r="M249" s="4" t="n">
        <v>1793300377</v>
      </c>
      <c r="N249" s="4" t="n">
        <v>127300</v>
      </c>
      <c r="O249" s="4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45873</v>
      </c>
      <c r="B250" s="7" t="n">
        <v>1528.19</v>
      </c>
      <c r="C250" s="3" t="n">
        <v>6605561.35</v>
      </c>
      <c r="E250" s="5" t="n">
        <v>45873</v>
      </c>
      <c r="F250" s="4" t="n">
        <v>111200</v>
      </c>
      <c r="G250" s="4" t="n">
        <v>3823661561</v>
      </c>
      <c r="H250" s="4" t="n">
        <v>92200</v>
      </c>
      <c r="I250" s="4" t="n">
        <v>4107412004</v>
      </c>
      <c r="J250" s="4" t="n">
        <v>29100</v>
      </c>
      <c r="K250" s="4" t="n">
        <v>2272318410</v>
      </c>
      <c r="L250" s="4" t="n">
        <v>85000</v>
      </c>
      <c r="M250" s="4" t="n">
        <v>1793300377</v>
      </c>
      <c r="N250" s="4" t="n">
        <v>127300</v>
      </c>
      <c r="O250" s="4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45870</v>
      </c>
      <c r="B251" s="7" t="n">
        <v>1495.21</v>
      </c>
      <c r="C251" s="3" t="n">
        <v>6453537.71</v>
      </c>
      <c r="E251" s="5" t="n">
        <v>45870</v>
      </c>
      <c r="F251" s="4" t="n">
        <v>104000</v>
      </c>
      <c r="G251" s="4" t="n">
        <v>3823661561</v>
      </c>
      <c r="H251" s="4" t="n">
        <v>89900</v>
      </c>
      <c r="I251" s="4" t="n">
        <v>4107412004</v>
      </c>
      <c r="J251" s="4" t="n">
        <v>28450</v>
      </c>
      <c r="K251" s="4" t="n">
        <v>2272318410</v>
      </c>
      <c r="L251" s="4" t="n">
        <v>81900</v>
      </c>
      <c r="M251" s="4" t="n">
        <v>1793300377</v>
      </c>
      <c r="N251" s="4" t="n">
        <v>119000</v>
      </c>
      <c r="O251" s="4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45869</v>
      </c>
      <c r="B252" s="7" t="n">
        <v>1502.52</v>
      </c>
      <c r="C252" s="3" t="n">
        <v>6484917.33</v>
      </c>
      <c r="E252" s="5" t="n">
        <v>45869</v>
      </c>
      <c r="F252" s="4" t="n">
        <v>105500</v>
      </c>
      <c r="G252" s="4" t="n">
        <v>3823661561</v>
      </c>
      <c r="H252" s="4" t="n">
        <v>90000</v>
      </c>
      <c r="I252" s="4" t="n">
        <v>4107412004</v>
      </c>
      <c r="J252" s="4" t="n">
        <v>28100</v>
      </c>
      <c r="K252" s="4" t="n">
        <v>2272318410</v>
      </c>
      <c r="L252" s="4" t="n">
        <v>82700</v>
      </c>
      <c r="M252" s="4" t="n">
        <v>1793300377</v>
      </c>
      <c r="N252" s="4" t="n">
        <v>121200</v>
      </c>
      <c r="O252" s="4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45868</v>
      </c>
      <c r="B253" s="7" t="n">
        <v>1507.63</v>
      </c>
      <c r="C253" s="3" t="n">
        <v>6506959.8</v>
      </c>
      <c r="E253" s="5" t="n">
        <v>45868</v>
      </c>
      <c r="F253" s="4" t="n">
        <v>109500</v>
      </c>
      <c r="G253" s="4" t="n">
        <v>3823661561</v>
      </c>
      <c r="H253" s="4" t="n">
        <v>91500</v>
      </c>
      <c r="I253" s="4" t="n">
        <v>4107412004</v>
      </c>
      <c r="J253" s="4" t="n">
        <v>28100</v>
      </c>
      <c r="K253" s="4" t="n">
        <v>2272318410</v>
      </c>
      <c r="L253" s="4" t="n">
        <v>85300</v>
      </c>
      <c r="M253" s="4" t="n">
        <v>1793300377</v>
      </c>
      <c r="N253" s="4" t="n">
        <v>118700</v>
      </c>
      <c r="O253" s="4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45867</v>
      </c>
      <c r="B254" s="7" t="n">
        <v>1493.41</v>
      </c>
      <c r="C254" s="3" t="n">
        <v>6445561.23</v>
      </c>
      <c r="E254" s="5" t="n">
        <v>45867</v>
      </c>
      <c r="F254" s="4" t="n">
        <v>113200</v>
      </c>
      <c r="G254" s="4" t="n">
        <v>3823661561</v>
      </c>
      <c r="H254" s="4" t="n">
        <v>92100</v>
      </c>
      <c r="I254" s="4" t="n">
        <v>4107412004</v>
      </c>
      <c r="J254" s="4" t="n">
        <v>28000</v>
      </c>
      <c r="K254" s="4" t="n">
        <v>2272318410</v>
      </c>
      <c r="L254" s="4" t="n">
        <v>86000</v>
      </c>
      <c r="M254" s="4" t="n">
        <v>1793300377</v>
      </c>
      <c r="N254" s="4" t="n">
        <v>118300</v>
      </c>
      <c r="O254" s="4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45866</v>
      </c>
      <c r="B255" s="7" t="n">
        <v>1557.42</v>
      </c>
      <c r="C255" s="3" t="n">
        <v>6721866.68</v>
      </c>
      <c r="E255" s="5" t="n">
        <v>45866</v>
      </c>
      <c r="F255" s="4" t="n">
        <v>115600</v>
      </c>
      <c r="G255" s="4" t="n">
        <v>3823661561</v>
      </c>
      <c r="H255" s="4" t="n">
        <v>95600</v>
      </c>
      <c r="I255" s="4" t="n">
        <v>4107412004</v>
      </c>
      <c r="J255" s="4" t="n">
        <v>29350</v>
      </c>
      <c r="K255" s="4" t="n">
        <v>2272318410</v>
      </c>
      <c r="L255" s="4" t="n">
        <v>87900</v>
      </c>
      <c r="M255" s="4" t="n">
        <v>1793300377</v>
      </c>
      <c r="N255" s="4" t="n">
        <v>127000</v>
      </c>
      <c r="O255" s="4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45863</v>
      </c>
      <c r="B256" s="7" t="n">
        <v>1531.13</v>
      </c>
      <c r="C256" s="3" t="n">
        <v>6603278.65</v>
      </c>
      <c r="E256" s="5" t="n">
        <v>45863</v>
      </c>
      <c r="F256" s="4" t="n">
        <v>114100</v>
      </c>
      <c r="G256" s="4" t="n">
        <v>3823661561</v>
      </c>
      <c r="H256" s="4" t="n">
        <v>93700</v>
      </c>
      <c r="I256" s="4" t="n">
        <v>4107412004</v>
      </c>
      <c r="J256" s="4" t="n">
        <v>29500</v>
      </c>
      <c r="K256" s="4" t="n">
        <v>2272318410</v>
      </c>
      <c r="L256" s="4" t="n">
        <v>87600</v>
      </c>
      <c r="M256" s="4" t="n">
        <v>1793300377</v>
      </c>
      <c r="N256" s="4" t="n">
        <v>121900</v>
      </c>
      <c r="O256" s="4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45862</v>
      </c>
      <c r="B257" s="7" t="n">
        <v>1521.02</v>
      </c>
      <c r="C257" s="3" t="n">
        <v>6559659.66</v>
      </c>
      <c r="E257" s="5" t="n">
        <v>45862</v>
      </c>
      <c r="F257" s="4" t="n">
        <v>116000</v>
      </c>
      <c r="G257" s="4" t="n">
        <v>3823661561</v>
      </c>
      <c r="H257" s="4" t="n">
        <v>92000</v>
      </c>
      <c r="I257" s="4" t="n">
        <v>4107412004</v>
      </c>
      <c r="J257" s="4" t="n">
        <v>29800</v>
      </c>
      <c r="K257" s="4" t="n">
        <v>2272318410</v>
      </c>
      <c r="L257" s="4" t="n">
        <v>88000</v>
      </c>
      <c r="M257" s="4" t="n">
        <v>1793300377</v>
      </c>
      <c r="N257" s="4" t="n">
        <v>114000</v>
      </c>
      <c r="O257" s="4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45861</v>
      </c>
      <c r="B258" s="7" t="n">
        <v>1512.31</v>
      </c>
      <c r="C258" s="3" t="n">
        <v>6522085.8</v>
      </c>
      <c r="E258" s="5" t="n">
        <v>45861</v>
      </c>
      <c r="F258" s="4" t="n">
        <v>115000</v>
      </c>
      <c r="G258" s="4" t="n">
        <v>3823661561</v>
      </c>
      <c r="H258" s="4" t="n">
        <v>92200</v>
      </c>
      <c r="I258" s="4" t="n">
        <v>4107412004</v>
      </c>
      <c r="J258" s="4" t="n">
        <v>29250</v>
      </c>
      <c r="K258" s="4" t="n">
        <v>2272318410</v>
      </c>
      <c r="L258" s="4" t="n">
        <v>88200</v>
      </c>
      <c r="M258" s="4" t="n">
        <v>1793300377</v>
      </c>
      <c r="N258" s="4" t="n">
        <v>108800</v>
      </c>
      <c r="O258" s="4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45860</v>
      </c>
      <c r="B259" s="7" t="n">
        <v>1509.54</v>
      </c>
      <c r="C259" s="3" t="n">
        <v>6501898.09</v>
      </c>
      <c r="E259" s="5" t="n">
        <v>45860</v>
      </c>
      <c r="F259" s="4" t="n">
        <v>117500</v>
      </c>
      <c r="G259" s="4" t="n">
        <v>3823661561</v>
      </c>
      <c r="H259" s="4" t="n">
        <v>95500</v>
      </c>
      <c r="I259" s="4" t="n">
        <v>4107412004</v>
      </c>
      <c r="J259" s="4" t="n">
        <v>30000</v>
      </c>
      <c r="K259" s="4" t="n">
        <v>2272318410</v>
      </c>
      <c r="L259" s="4" t="n">
        <v>88400</v>
      </c>
      <c r="M259" s="4" t="n">
        <v>1793300377</v>
      </c>
      <c r="N259" s="4" t="n">
        <v>101700</v>
      </c>
      <c r="O259" s="4" t="n">
        <v>591611334</v>
      </c>
      <c r="Q259" s="3" t="n"/>
      <c r="R259" s="3">
        <f>G259*F259-G260*F260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45859</v>
      </c>
      <c r="B260" s="7" t="n">
        <v>1485.05</v>
      </c>
      <c r="C260" s="3" t="n">
        <v>6396425.33</v>
      </c>
      <c r="E260" s="5" t="n">
        <v>45859</v>
      </c>
      <c r="F260" s="4" t="n">
        <v>112000</v>
      </c>
      <c r="G260" s="4" t="n">
        <v>3823661561</v>
      </c>
      <c r="H260" s="4" t="n">
        <v>92000</v>
      </c>
      <c r="I260" s="4" t="n">
        <v>4107412004</v>
      </c>
      <c r="J260" s="4" t="n">
        <v>29000</v>
      </c>
      <c r="K260" s="4" t="n">
        <v>2272318410</v>
      </c>
      <c r="L260" s="4" t="n">
        <v>88900</v>
      </c>
      <c r="M260" s="4" t="n">
        <v>1793300377</v>
      </c>
      <c r="N260" s="4" t="n">
        <v>95100</v>
      </c>
      <c r="O260" s="4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45856</v>
      </c>
      <c r="B261" s="7" t="n">
        <v>1497.28</v>
      </c>
      <c r="C261" s="3" t="n">
        <v>6440035.8</v>
      </c>
      <c r="E261" s="5" t="n">
        <v>45856</v>
      </c>
      <c r="F261" s="4" t="n">
        <v>119000</v>
      </c>
      <c r="G261" s="4" t="n">
        <v>3823661561</v>
      </c>
      <c r="H261" s="4" t="n">
        <v>96000</v>
      </c>
      <c r="I261" s="4" t="n">
        <v>4107412004</v>
      </c>
      <c r="J261" s="4" t="n">
        <v>29450</v>
      </c>
      <c r="K261" s="4" t="n">
        <v>2272318410</v>
      </c>
      <c r="L261" s="4" t="n">
        <v>90100</v>
      </c>
      <c r="M261" s="4" t="n">
        <v>1793300377</v>
      </c>
      <c r="N261" s="4" t="n">
        <v>93300</v>
      </c>
      <c r="O261" s="4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45855</v>
      </c>
      <c r="B262" s="7" t="n">
        <v>1490.01</v>
      </c>
      <c r="C262" s="3" t="n">
        <v>6408770.35</v>
      </c>
      <c r="E262" s="5" t="n">
        <v>45855</v>
      </c>
      <c r="F262" s="4" t="n">
        <v>122000</v>
      </c>
      <c r="G262" s="4" t="n">
        <v>3823661561</v>
      </c>
      <c r="H262" s="4" t="n">
        <v>94100</v>
      </c>
      <c r="I262" s="4" t="n">
        <v>4107412004</v>
      </c>
      <c r="J262" s="4" t="n">
        <v>29750</v>
      </c>
      <c r="K262" s="4" t="n">
        <v>2272318410</v>
      </c>
      <c r="L262" s="4" t="n">
        <v>90300</v>
      </c>
      <c r="M262" s="4" t="n">
        <v>1793300377</v>
      </c>
      <c r="N262" s="4" t="n">
        <v>94300</v>
      </c>
      <c r="O262" s="4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45854</v>
      </c>
      <c r="B263" s="7" t="n">
        <v>1475.47</v>
      </c>
      <c r="C263" s="3" t="n">
        <v>6346204.25</v>
      </c>
      <c r="E263" s="5" t="n">
        <v>45854</v>
      </c>
      <c r="F263" s="4" t="n">
        <v>117400</v>
      </c>
      <c r="G263" s="4" t="n">
        <v>3823661561</v>
      </c>
      <c r="H263" s="4" t="n">
        <v>88000</v>
      </c>
      <c r="I263" s="4" t="n">
        <v>4107412004</v>
      </c>
      <c r="J263" s="4" t="n">
        <v>28800</v>
      </c>
      <c r="K263" s="4" t="n">
        <v>2272318410</v>
      </c>
      <c r="L263" s="4" t="n">
        <v>91300</v>
      </c>
      <c r="M263" s="4" t="n">
        <v>1793300377</v>
      </c>
      <c r="N263" s="4" t="n">
        <v>96000</v>
      </c>
      <c r="O263" s="4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45853</v>
      </c>
      <c r="B264" s="7" t="n">
        <v>1460.65</v>
      </c>
      <c r="C264" s="3" t="n">
        <v>6282442.71</v>
      </c>
      <c r="E264" s="5" t="n">
        <v>45853</v>
      </c>
      <c r="F264" s="4" t="n">
        <v>111600</v>
      </c>
      <c r="G264" s="4" t="n">
        <v>3823661561</v>
      </c>
      <c r="H264" s="4" t="n">
        <v>87400</v>
      </c>
      <c r="I264" s="4" t="n">
        <v>4107412004</v>
      </c>
      <c r="J264" s="4" t="n">
        <v>28150</v>
      </c>
      <c r="K264" s="4" t="n">
        <v>2272318410</v>
      </c>
      <c r="L264" s="4" t="n">
        <v>92000</v>
      </c>
      <c r="M264" s="4" t="n">
        <v>1793300377</v>
      </c>
      <c r="N264" s="4" t="n">
        <v>97500</v>
      </c>
      <c r="O264" s="4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45852</v>
      </c>
      <c r="B265" s="7" t="n">
        <v>1470.42</v>
      </c>
      <c r="C265" s="3" t="n">
        <v>6324475.89</v>
      </c>
      <c r="E265" s="5" t="n">
        <v>45852</v>
      </c>
      <c r="F265" s="4" t="n">
        <v>113000</v>
      </c>
      <c r="G265" s="4" t="n">
        <v>3823661561</v>
      </c>
      <c r="H265" s="4" t="n">
        <v>88800</v>
      </c>
      <c r="I265" s="4" t="n">
        <v>4107412004</v>
      </c>
      <c r="J265" s="4" t="n">
        <v>28650</v>
      </c>
      <c r="K265" s="4" t="n">
        <v>2272318410</v>
      </c>
      <c r="L265" s="4" t="n">
        <v>92400</v>
      </c>
      <c r="M265" s="4" t="n">
        <v>1793300377</v>
      </c>
      <c r="N265" s="4" t="n">
        <v>99000</v>
      </c>
      <c r="O265" s="4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45849</v>
      </c>
      <c r="B266" s="7" t="n">
        <v>1457.76</v>
      </c>
      <c r="C266" s="3" t="n">
        <v>6270029.46</v>
      </c>
      <c r="E266" s="5" t="n">
        <v>45849</v>
      </c>
      <c r="F266" s="4" t="n">
        <v>108000</v>
      </c>
      <c r="G266" s="4" t="n">
        <v>3823661561</v>
      </c>
      <c r="H266" s="4" t="n">
        <v>87900</v>
      </c>
      <c r="I266" s="4" t="n">
        <v>4107412004</v>
      </c>
      <c r="J266" s="4" t="n">
        <v>28600</v>
      </c>
      <c r="K266" s="4" t="n">
        <v>2272318410</v>
      </c>
      <c r="L266" s="4" t="n">
        <v>92300</v>
      </c>
      <c r="M266" s="4" t="n">
        <v>1793300377</v>
      </c>
      <c r="N266" s="4" t="n">
        <v>100000</v>
      </c>
      <c r="O266" s="4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45848</v>
      </c>
      <c r="B267" s="7" t="n">
        <v>1445.64</v>
      </c>
      <c r="C267" s="3" t="n">
        <v>6217902.3</v>
      </c>
      <c r="E267" s="5" t="n">
        <v>45848</v>
      </c>
      <c r="F267" s="4" t="n">
        <v>101600</v>
      </c>
      <c r="G267" s="4" t="n">
        <v>3823661561</v>
      </c>
      <c r="H267" s="4" t="n">
        <v>86000</v>
      </c>
      <c r="I267" s="4" t="n">
        <v>4107412004</v>
      </c>
      <c r="J267" s="4" t="n">
        <v>28450</v>
      </c>
      <c r="K267" s="4" t="n">
        <v>2272318410</v>
      </c>
      <c r="L267" s="4" t="n">
        <v>93700</v>
      </c>
      <c r="M267" s="4" t="n">
        <v>1793300377</v>
      </c>
      <c r="N267" s="4" t="n">
        <v>96000</v>
      </c>
      <c r="O267" s="4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45847</v>
      </c>
      <c r="B268" s="7" t="n">
        <v>1431.32</v>
      </c>
      <c r="C268" s="3" t="n">
        <v>6156308.18</v>
      </c>
      <c r="E268" s="5" t="n">
        <v>45847</v>
      </c>
      <c r="F268" s="4" t="n">
        <v>95000</v>
      </c>
      <c r="G268" s="4" t="n">
        <v>3823661561</v>
      </c>
      <c r="H268" s="4" t="n">
        <v>81800</v>
      </c>
      <c r="I268" s="4" t="n">
        <v>4107412004</v>
      </c>
      <c r="J268" s="4" t="n">
        <v>26800</v>
      </c>
      <c r="K268" s="4" t="n">
        <v>2272318410</v>
      </c>
      <c r="L268" s="4" t="n">
        <v>94100</v>
      </c>
      <c r="M268" s="4" t="n">
        <v>1793300377</v>
      </c>
      <c r="N268" s="4" t="n">
        <v>94000</v>
      </c>
      <c r="O268" s="4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45846</v>
      </c>
      <c r="B269" s="7" t="n">
        <v>1415.46</v>
      </c>
      <c r="C269" s="3" t="n">
        <v>6087826.36</v>
      </c>
      <c r="E269" s="5" t="n">
        <v>45846</v>
      </c>
      <c r="F269" s="4" t="n">
        <v>93300</v>
      </c>
      <c r="G269" s="4" t="n">
        <v>3823661561</v>
      </c>
      <c r="H269" s="4" t="n">
        <v>79200</v>
      </c>
      <c r="I269" s="4" t="n">
        <v>4107412004</v>
      </c>
      <c r="J269" s="4" t="n">
        <v>25800</v>
      </c>
      <c r="K269" s="4" t="n">
        <v>2272318410</v>
      </c>
      <c r="L269" s="4" t="n">
        <v>94100</v>
      </c>
      <c r="M269" s="4" t="n">
        <v>1793300377</v>
      </c>
      <c r="N269" s="4" t="n">
        <v>95000</v>
      </c>
      <c r="O269" s="4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45845</v>
      </c>
      <c r="B270" s="7" t="n">
        <v>1402.06</v>
      </c>
      <c r="C270" s="3" t="n">
        <v>6029143.81</v>
      </c>
      <c r="E270" s="5" t="n">
        <v>45845</v>
      </c>
      <c r="F270" s="4" t="n">
        <v>93000</v>
      </c>
      <c r="G270" s="4" t="n">
        <v>3823661561</v>
      </c>
      <c r="H270" s="4" t="n">
        <v>76900</v>
      </c>
      <c r="I270" s="4" t="n">
        <v>4107412004</v>
      </c>
      <c r="J270" s="4" t="n">
        <v>25500</v>
      </c>
      <c r="K270" s="4" t="n">
        <v>2272318410</v>
      </c>
      <c r="L270" s="4" t="n">
        <v>94100</v>
      </c>
      <c r="M270" s="4" t="n">
        <v>1793300377</v>
      </c>
      <c r="N270" s="4" t="n">
        <v>90000</v>
      </c>
      <c r="O270" s="4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45842</v>
      </c>
      <c r="B271" s="7" t="n">
        <v>1386.97</v>
      </c>
      <c r="C271" s="3" t="n">
        <v>5964260.15</v>
      </c>
      <c r="E271" s="5" t="n">
        <v>45842</v>
      </c>
      <c r="F271" s="4" t="n">
        <v>91900</v>
      </c>
      <c r="G271" s="4" t="n">
        <v>3823661561</v>
      </c>
      <c r="H271" s="4" t="n">
        <v>76000</v>
      </c>
      <c r="I271" s="4" t="n">
        <v>4107412004</v>
      </c>
      <c r="J271" s="4" t="n">
        <v>25150</v>
      </c>
      <c r="K271" s="4" t="n">
        <v>2272318410</v>
      </c>
      <c r="L271" s="4" t="n">
        <v>94100</v>
      </c>
      <c r="M271" s="4" t="n">
        <v>1793300377</v>
      </c>
      <c r="N271" s="4" t="n">
        <v>89800</v>
      </c>
      <c r="O271" s="4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45841</v>
      </c>
      <c r="B272" s="7" t="n">
        <v>1381.96</v>
      </c>
      <c r="C272" s="3" t="n">
        <v>5942700.48</v>
      </c>
      <c r="E272" s="5" t="n">
        <v>45841</v>
      </c>
      <c r="F272" s="4" t="n">
        <v>94500</v>
      </c>
      <c r="G272" s="4" t="n">
        <v>3823661561</v>
      </c>
      <c r="H272" s="4" t="n">
        <v>76300</v>
      </c>
      <c r="I272" s="4" t="n">
        <v>4107412004</v>
      </c>
      <c r="J272" s="4" t="n">
        <v>25050</v>
      </c>
      <c r="K272" s="4" t="n">
        <v>2272318410</v>
      </c>
      <c r="L272" s="4" t="n">
        <v>94100</v>
      </c>
      <c r="M272" s="4" t="n">
        <v>1793300377</v>
      </c>
      <c r="N272" s="4" t="n">
        <v>89000</v>
      </c>
      <c r="O272" s="4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45840</v>
      </c>
      <c r="B273" s="7" t="n">
        <v>1384.59</v>
      </c>
      <c r="C273" s="3" t="n">
        <v>5954043.31</v>
      </c>
      <c r="E273" s="5" t="n">
        <v>45840</v>
      </c>
      <c r="F273" s="4" t="n">
        <v>95400</v>
      </c>
      <c r="G273" s="4" t="n">
        <v>3823661561</v>
      </c>
      <c r="H273" s="4" t="n">
        <v>76000</v>
      </c>
      <c r="I273" s="4" t="n">
        <v>4107412004</v>
      </c>
      <c r="J273" s="4" t="n">
        <v>25200</v>
      </c>
      <c r="K273" s="4" t="n">
        <v>2272318410</v>
      </c>
      <c r="L273" s="4" t="n">
        <v>94600</v>
      </c>
      <c r="M273" s="4" t="n">
        <v>1793300377</v>
      </c>
      <c r="N273" s="4" t="n">
        <v>90200</v>
      </c>
      <c r="O273" s="4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45839</v>
      </c>
      <c r="B274" s="7" t="n">
        <v>1377.84</v>
      </c>
      <c r="C274" s="3" t="n">
        <v>5924975.84</v>
      </c>
      <c r="E274" s="5" t="n">
        <v>45839</v>
      </c>
      <c r="F274" s="4" t="n">
        <v>95600</v>
      </c>
      <c r="G274" s="4" t="n">
        <v>3823661561</v>
      </c>
      <c r="H274" s="4" t="n">
        <v>76300</v>
      </c>
      <c r="I274" s="4" t="n">
        <v>4107412004</v>
      </c>
      <c r="J274" s="4" t="n">
        <v>24800</v>
      </c>
      <c r="K274" s="4" t="n">
        <v>2272318410</v>
      </c>
      <c r="L274" s="4" t="n">
        <v>94600</v>
      </c>
      <c r="M274" s="4" t="n">
        <v>1793300377</v>
      </c>
      <c r="N274" s="4" t="n">
        <v>90500</v>
      </c>
      <c r="O274" s="4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45838</v>
      </c>
      <c r="B275" s="7" t="n">
        <v>1376.07</v>
      </c>
      <c r="C275" s="3" t="n">
        <v>5917395.34</v>
      </c>
      <c r="E275" s="5" t="n">
        <v>45838</v>
      </c>
      <c r="F275" s="4" t="n">
        <v>95600</v>
      </c>
      <c r="G275" s="4" t="n">
        <v>3823661561</v>
      </c>
      <c r="H275" s="4" t="n">
        <v>76700</v>
      </c>
      <c r="I275" s="4" t="n">
        <v>4107412004</v>
      </c>
      <c r="J275" s="4" t="n">
        <v>24650</v>
      </c>
      <c r="K275" s="4" t="n">
        <v>2272318410</v>
      </c>
      <c r="L275" s="4" t="n">
        <v>94600</v>
      </c>
      <c r="M275" s="4" t="n">
        <v>1793300377</v>
      </c>
      <c r="N275" s="4" t="n">
        <v>88100</v>
      </c>
      <c r="O275" s="4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45835</v>
      </c>
      <c r="B276" s="7" t="n">
        <v>1371.44</v>
      </c>
      <c r="C276" s="3" t="n">
        <v>5897495.37</v>
      </c>
      <c r="E276" s="5" t="n">
        <v>45835</v>
      </c>
      <c r="F276" s="4" t="n">
        <v>95500</v>
      </c>
      <c r="G276" s="4" t="n">
        <v>3823661561</v>
      </c>
      <c r="H276" s="4" t="n">
        <v>77000</v>
      </c>
      <c r="I276" s="4" t="n">
        <v>4107412004</v>
      </c>
      <c r="J276" s="4" t="n">
        <v>24800</v>
      </c>
      <c r="K276" s="4" t="n">
        <v>2272318410</v>
      </c>
      <c r="L276" s="4" t="n">
        <v>94600</v>
      </c>
      <c r="M276" s="4" t="n">
        <v>1793300377</v>
      </c>
      <c r="N276" s="4" t="n">
        <v>87200</v>
      </c>
      <c r="O276" s="4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45834</v>
      </c>
      <c r="B277" s="7" t="n">
        <v>1365.67</v>
      </c>
      <c r="C277" s="3" t="n">
        <v>5872675.4</v>
      </c>
      <c r="E277" s="5" t="n">
        <v>45834</v>
      </c>
      <c r="F277" s="4" t="n">
        <v>95000</v>
      </c>
      <c r="G277" s="4" t="n">
        <v>3823661561</v>
      </c>
      <c r="H277" s="4" t="n">
        <v>76000</v>
      </c>
      <c r="I277" s="4" t="n">
        <v>4107412004</v>
      </c>
      <c r="J277" s="4" t="n">
        <v>24500</v>
      </c>
      <c r="K277" s="4" t="n">
        <v>2272318410</v>
      </c>
      <c r="L277" s="4" t="n">
        <v>94600</v>
      </c>
      <c r="M277" s="4" t="n">
        <v>1793300377</v>
      </c>
      <c r="N277" s="4" t="n">
        <v>87100</v>
      </c>
      <c r="O277" s="4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45833</v>
      </c>
      <c r="B278" s="7" t="n">
        <v>1366.75</v>
      </c>
      <c r="C278" s="3" t="n">
        <v>5877228.7</v>
      </c>
      <c r="E278" s="5" t="n">
        <v>45833</v>
      </c>
      <c r="F278" s="4" t="n">
        <v>95800</v>
      </c>
      <c r="G278" s="4" t="n">
        <v>3823661561</v>
      </c>
      <c r="H278" s="4" t="n">
        <v>77900</v>
      </c>
      <c r="I278" s="4" t="n">
        <v>4107412004</v>
      </c>
      <c r="J278" s="4" t="n">
        <v>24650</v>
      </c>
      <c r="K278" s="4" t="n">
        <v>2272318410</v>
      </c>
      <c r="L278" s="4" t="n">
        <v>94600</v>
      </c>
      <c r="M278" s="4" t="n">
        <v>1793300377</v>
      </c>
      <c r="N278" s="4" t="n">
        <v>87100</v>
      </c>
      <c r="O278" s="4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45832</v>
      </c>
      <c r="B279" s="7" t="n">
        <v>1366.77</v>
      </c>
      <c r="C279" s="3" t="n">
        <v>5877502.99</v>
      </c>
      <c r="E279" s="5" t="n">
        <v>45832</v>
      </c>
      <c r="F279" s="4" t="n">
        <v>95800</v>
      </c>
      <c r="G279" s="4" t="n">
        <v>3823661561</v>
      </c>
      <c r="H279" s="4" t="n">
        <v>77300</v>
      </c>
      <c r="I279" s="4" t="n">
        <v>4107412004</v>
      </c>
      <c r="J279" s="4" t="n">
        <v>24900</v>
      </c>
      <c r="K279" s="4" t="n">
        <v>2272318410</v>
      </c>
      <c r="L279" s="4" t="n">
        <v>94600</v>
      </c>
      <c r="M279" s="4" t="n">
        <v>1793300377</v>
      </c>
      <c r="N279" s="4" t="n">
        <v>88100</v>
      </c>
      <c r="O279" s="4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45831</v>
      </c>
      <c r="B280" s="7" t="n">
        <v>1358.18</v>
      </c>
      <c r="C280" s="3" t="n">
        <v>5836979.92</v>
      </c>
      <c r="E280" s="5" t="n">
        <v>45831</v>
      </c>
      <c r="F280" s="4" t="n">
        <v>92800</v>
      </c>
      <c r="G280" s="4" t="n">
        <v>3823661561</v>
      </c>
      <c r="H280" s="4" t="n">
        <v>74000</v>
      </c>
      <c r="I280" s="4" t="n">
        <v>4107412004</v>
      </c>
      <c r="J280" s="4" t="n">
        <v>24750</v>
      </c>
      <c r="K280" s="4" t="n">
        <v>2272318410</v>
      </c>
      <c r="L280" s="4" t="n">
        <v>94500</v>
      </c>
      <c r="M280" s="4" t="n">
        <v>1793300377</v>
      </c>
      <c r="N280" s="4" t="n">
        <v>87500</v>
      </c>
      <c r="O280" s="4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45828</v>
      </c>
      <c r="B281" s="7" t="n">
        <v>1349.35</v>
      </c>
      <c r="C281" s="3" t="n">
        <v>5799009.9</v>
      </c>
      <c r="E281" s="5" t="n">
        <v>45828</v>
      </c>
      <c r="F281" s="4" t="n">
        <v>86800</v>
      </c>
      <c r="G281" s="4" t="n">
        <v>3823661561</v>
      </c>
      <c r="H281" s="4" t="n">
        <v>70200</v>
      </c>
      <c r="I281" s="4" t="n">
        <v>4107412004</v>
      </c>
      <c r="J281" s="4" t="n">
        <v>24600</v>
      </c>
      <c r="K281" s="4" t="n">
        <v>2272318410</v>
      </c>
      <c r="L281" s="4" t="n">
        <v>93500</v>
      </c>
      <c r="M281" s="4" t="n">
        <v>1793300377</v>
      </c>
      <c r="N281" s="4" t="n">
        <v>88700</v>
      </c>
      <c r="O281" s="4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45827</v>
      </c>
      <c r="B282" s="7" t="n">
        <v>1352.04</v>
      </c>
      <c r="C282" s="3" t="n">
        <v>5810567.27</v>
      </c>
      <c r="E282" s="5" t="n">
        <v>45827</v>
      </c>
      <c r="F282" s="4" t="n">
        <v>89400</v>
      </c>
      <c r="G282" s="4" t="n">
        <v>3823661561</v>
      </c>
      <c r="H282" s="4" t="n">
        <v>71700</v>
      </c>
      <c r="I282" s="4" t="n">
        <v>4107412004</v>
      </c>
      <c r="J282" s="4" t="n">
        <v>24700</v>
      </c>
      <c r="K282" s="4" t="n">
        <v>2272318410</v>
      </c>
      <c r="L282" s="4" t="n">
        <v>94200</v>
      </c>
      <c r="M282" s="4" t="n">
        <v>1793300377</v>
      </c>
      <c r="N282" s="4" t="n">
        <v>88500</v>
      </c>
      <c r="O282" s="4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45826</v>
      </c>
      <c r="B283" s="7" t="n">
        <v>1346.83</v>
      </c>
      <c r="C283" s="3" t="n">
        <v>5786974.36</v>
      </c>
      <c r="E283" s="5" t="n">
        <v>45826</v>
      </c>
      <c r="F283" s="4" t="n">
        <v>88000</v>
      </c>
      <c r="G283" s="4" t="n">
        <v>3823661561</v>
      </c>
      <c r="H283" s="4" t="n">
        <v>71400</v>
      </c>
      <c r="I283" s="4" t="n">
        <v>4107412004</v>
      </c>
      <c r="J283" s="4" t="n">
        <v>24650</v>
      </c>
      <c r="K283" s="4" t="n">
        <v>2272318410</v>
      </c>
      <c r="L283" s="4" t="n">
        <v>94300</v>
      </c>
      <c r="M283" s="4" t="n">
        <v>1793300377</v>
      </c>
      <c r="N283" s="4" t="n">
        <v>87700</v>
      </c>
      <c r="O283" s="4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45825</v>
      </c>
      <c r="B284" s="7" t="n">
        <v>1347.69</v>
      </c>
      <c r="C284" s="3" t="n">
        <v>5790682.11</v>
      </c>
      <c r="E284" s="5" t="n">
        <v>45825</v>
      </c>
      <c r="F284" s="4" t="n">
        <v>87700</v>
      </c>
      <c r="G284" s="4" t="n">
        <v>3823661561</v>
      </c>
      <c r="H284" s="4" t="n">
        <v>69600</v>
      </c>
      <c r="I284" s="4" t="n">
        <v>4107412004</v>
      </c>
      <c r="J284" s="4" t="n">
        <v>24550</v>
      </c>
      <c r="K284" s="4" t="n">
        <v>2272318410</v>
      </c>
      <c r="L284" s="4" t="n">
        <v>95400</v>
      </c>
      <c r="M284" s="4" t="n">
        <v>1793300377</v>
      </c>
      <c r="N284" s="4" t="n">
        <v>87700</v>
      </c>
      <c r="O284" s="4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45824</v>
      </c>
      <c r="B285" s="7" t="n">
        <v>1338.11</v>
      </c>
      <c r="C285" s="3" t="n">
        <v>5749531.61</v>
      </c>
      <c r="E285" s="5" t="n">
        <v>45824</v>
      </c>
      <c r="F285" s="4" t="n">
        <v>85400</v>
      </c>
      <c r="G285" s="4" t="n">
        <v>3823661561</v>
      </c>
      <c r="H285" s="4" t="n">
        <v>67400</v>
      </c>
      <c r="I285" s="4" t="n">
        <v>4107412004</v>
      </c>
      <c r="J285" s="4" t="n">
        <v>24500</v>
      </c>
      <c r="K285" s="4" t="n">
        <v>2272318410</v>
      </c>
      <c r="L285" s="4" t="n">
        <v>94000</v>
      </c>
      <c r="M285" s="4" t="n">
        <v>1793300377</v>
      </c>
      <c r="N285" s="4" t="n">
        <v>87800</v>
      </c>
      <c r="O285" s="4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45821</v>
      </c>
      <c r="B286" s="7" t="n">
        <v>1315.49</v>
      </c>
      <c r="C286" s="3" t="n">
        <v>5652350.53</v>
      </c>
      <c r="E286" s="5" t="n">
        <v>45821</v>
      </c>
      <c r="F286" s="4" t="n">
        <v>85500</v>
      </c>
      <c r="G286" s="4" t="n">
        <v>3823661561</v>
      </c>
      <c r="H286" s="4" t="n">
        <v>68400</v>
      </c>
      <c r="I286" s="4" t="n">
        <v>4107412004</v>
      </c>
      <c r="J286" s="4" t="n">
        <v>24550</v>
      </c>
      <c r="K286" s="4" t="n">
        <v>2272318410</v>
      </c>
      <c r="L286" s="4" t="n">
        <v>88200</v>
      </c>
      <c r="M286" s="4" t="n">
        <v>1793300377</v>
      </c>
      <c r="N286" s="4" t="n">
        <v>88000</v>
      </c>
      <c r="O286" s="4" t="n">
        <v>541611334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45820</v>
      </c>
      <c r="B287" s="7" t="n">
        <v>1322.99</v>
      </c>
      <c r="C287" s="3" t="n">
        <v>5684563.43</v>
      </c>
      <c r="E287" s="5" t="n">
        <v>45820</v>
      </c>
      <c r="F287" s="4" t="n">
        <v>86800</v>
      </c>
      <c r="G287" s="4" t="n">
        <v>3823661561</v>
      </c>
      <c r="H287" s="4" t="n">
        <v>70000</v>
      </c>
      <c r="I287" s="4" t="n">
        <v>4107412004</v>
      </c>
      <c r="J287" s="4" t="n">
        <v>25200</v>
      </c>
      <c r="K287" s="4" t="n">
        <v>2272318410</v>
      </c>
      <c r="L287" s="4" t="n">
        <v>88200</v>
      </c>
      <c r="M287" s="4" t="n">
        <v>1793300377</v>
      </c>
      <c r="N287" s="4" t="n">
        <v>88900</v>
      </c>
      <c r="O287" s="4" t="n">
        <v>541611334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45819</v>
      </c>
      <c r="B288" s="7" t="n">
        <v>1315.2</v>
      </c>
      <c r="C288" s="3" t="n">
        <v>5651088.86</v>
      </c>
      <c r="E288" s="5" t="n">
        <v>45819</v>
      </c>
      <c r="F288" s="4" t="n">
        <v>90200</v>
      </c>
      <c r="G288" s="4" t="n">
        <v>3823661561</v>
      </c>
      <c r="H288" s="4" t="n">
        <v>72100</v>
      </c>
      <c r="I288" s="4" t="n">
        <v>4107412004</v>
      </c>
      <c r="J288" s="4" t="n">
        <v>26100</v>
      </c>
      <c r="K288" s="4" t="n">
        <v>2272318410</v>
      </c>
      <c r="L288" s="4" t="n">
        <v>88200</v>
      </c>
      <c r="M288" s="4" t="n">
        <v>1793300377</v>
      </c>
      <c r="N288" s="4" t="n">
        <v>87600</v>
      </c>
      <c r="O288" s="4" t="n">
        <v>541611334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45818</v>
      </c>
      <c r="B289" s="7" t="n">
        <v>1316.23</v>
      </c>
      <c r="C289" s="3" t="n">
        <v>5655532.48</v>
      </c>
      <c r="E289" s="5" t="n">
        <v>45818</v>
      </c>
      <c r="F289" s="4" t="n">
        <v>90600</v>
      </c>
      <c r="G289" s="4" t="n">
        <v>3823661561</v>
      </c>
      <c r="H289" s="4" t="n">
        <v>72600</v>
      </c>
      <c r="I289" s="4" t="n">
        <v>4107412004</v>
      </c>
      <c r="J289" s="4" t="n">
        <v>26500</v>
      </c>
      <c r="K289" s="4" t="n">
        <v>2272318410</v>
      </c>
      <c r="L289" s="4" t="n">
        <v>88200</v>
      </c>
      <c r="M289" s="4" t="n">
        <v>1793300377</v>
      </c>
      <c r="N289" s="4" t="n">
        <v>89000</v>
      </c>
      <c r="O289" s="4" t="n">
        <v>541611334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45817</v>
      </c>
      <c r="B290" s="7" t="n">
        <v>1310.57</v>
      </c>
      <c r="C290" s="3" t="n">
        <v>5630443.64</v>
      </c>
      <c r="E290" s="5" t="n">
        <v>45817</v>
      </c>
      <c r="F290" s="4" t="n">
        <v>90300</v>
      </c>
      <c r="G290" s="4" t="n">
        <v>3823661561</v>
      </c>
      <c r="H290" s="4" t="n">
        <v>70700</v>
      </c>
      <c r="I290" s="4" t="n">
        <v>4107412004</v>
      </c>
      <c r="J290" s="4" t="n">
        <v>25550</v>
      </c>
      <c r="K290" s="4" t="n">
        <v>2272318410</v>
      </c>
      <c r="L290" s="4" t="n">
        <v>88200</v>
      </c>
      <c r="M290" s="4" t="n">
        <v>1793300377</v>
      </c>
      <c r="N290" s="4" t="n">
        <v>88800</v>
      </c>
      <c r="O290" s="4" t="n">
        <v>541611334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45814</v>
      </c>
      <c r="B291" s="7" t="n">
        <v>1329.89</v>
      </c>
      <c r="C291" s="3" t="n">
        <v>5713458.46</v>
      </c>
      <c r="E291" s="5" t="n">
        <v>45814</v>
      </c>
      <c r="F291" s="4" t="n">
        <v>97000</v>
      </c>
      <c r="G291" s="4" t="n">
        <v>3823661561</v>
      </c>
      <c r="H291" s="4" t="n">
        <v>76000</v>
      </c>
      <c r="I291" s="4" t="n">
        <v>4107412004</v>
      </c>
      <c r="J291" s="4" t="n">
        <v>26500</v>
      </c>
      <c r="K291" s="4" t="n">
        <v>2272318410</v>
      </c>
      <c r="L291" s="4" t="n">
        <v>88200</v>
      </c>
      <c r="M291" s="4" t="n">
        <v>1793300377</v>
      </c>
      <c r="N291" s="4" t="n">
        <v>90000</v>
      </c>
      <c r="O291" s="4" t="n">
        <v>541611334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45813</v>
      </c>
      <c r="B292" s="7" t="n">
        <v>1342.09</v>
      </c>
      <c r="C292" s="3" t="n">
        <v>5765865.59</v>
      </c>
      <c r="E292" s="5" t="n">
        <v>45813</v>
      </c>
      <c r="F292" s="4" t="n">
        <v>98000</v>
      </c>
      <c r="G292" s="4" t="n">
        <v>3823661561</v>
      </c>
      <c r="H292" s="4" t="n">
        <v>76800</v>
      </c>
      <c r="I292" s="4" t="n">
        <v>4107412004</v>
      </c>
      <c r="J292" s="4" t="n">
        <v>27000</v>
      </c>
      <c r="K292" s="4" t="n">
        <v>2272318410</v>
      </c>
      <c r="L292" s="4" t="n">
        <v>88200</v>
      </c>
      <c r="M292" s="4" t="n">
        <v>1793300377</v>
      </c>
      <c r="N292" s="4" t="n">
        <v>91300</v>
      </c>
      <c r="O292" s="4" t="n">
        <v>541611334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45812</v>
      </c>
      <c r="B293" s="7" t="n">
        <v>1345.74</v>
      </c>
      <c r="C293" s="3" t="n">
        <v>5781568.41</v>
      </c>
      <c r="E293" s="5" t="n">
        <v>45812</v>
      </c>
      <c r="F293" s="4" t="n">
        <v>98100</v>
      </c>
      <c r="G293" s="4" t="n">
        <v>3823661561</v>
      </c>
      <c r="H293" s="4" t="n">
        <v>77100</v>
      </c>
      <c r="I293" s="4" t="n">
        <v>4107412004</v>
      </c>
      <c r="J293" s="4" t="n">
        <v>26950</v>
      </c>
      <c r="K293" s="4" t="n">
        <v>2272318410</v>
      </c>
      <c r="L293" s="4" t="n">
        <v>88000</v>
      </c>
      <c r="M293" s="4" t="n">
        <v>1793300377</v>
      </c>
      <c r="N293" s="4" t="n">
        <v>91800</v>
      </c>
      <c r="O293" s="4" t="n">
        <v>541611334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45811</v>
      </c>
      <c r="B294" s="7" t="n">
        <v>1347.25</v>
      </c>
      <c r="C294" s="3" t="n">
        <v>5788041.47</v>
      </c>
      <c r="E294" s="5" t="n">
        <v>45811</v>
      </c>
      <c r="F294" s="4" t="n">
        <v>98100</v>
      </c>
      <c r="G294" s="4" t="n">
        <v>3823661561</v>
      </c>
      <c r="H294" s="4" t="n">
        <v>77600</v>
      </c>
      <c r="I294" s="4" t="n">
        <v>4107412004</v>
      </c>
      <c r="J294" s="4" t="n">
        <v>26500</v>
      </c>
      <c r="K294" s="4" t="n">
        <v>2272318410</v>
      </c>
      <c r="L294" s="4" t="n">
        <v>87500</v>
      </c>
      <c r="M294" s="4" t="n">
        <v>1793300377</v>
      </c>
      <c r="N294" s="4" t="n">
        <v>89800</v>
      </c>
      <c r="O294" s="4" t="n">
        <v>541611334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45810</v>
      </c>
      <c r="B295" s="7" t="n">
        <v>1336.3</v>
      </c>
      <c r="C295" s="3" t="n">
        <v>5740822.97</v>
      </c>
      <c r="E295" s="5" t="n">
        <v>45810</v>
      </c>
      <c r="F295" s="4" t="n">
        <v>98000</v>
      </c>
      <c r="G295" s="4" t="n">
        <v>3823661561</v>
      </c>
      <c r="H295" s="4" t="n">
        <v>77000</v>
      </c>
      <c r="I295" s="4" t="n">
        <v>4107412004</v>
      </c>
      <c r="J295" s="4" t="n">
        <v>26700</v>
      </c>
      <c r="K295" s="4" t="n">
        <v>2272318410</v>
      </c>
      <c r="L295" s="4" t="n">
        <v>87500</v>
      </c>
      <c r="M295" s="4" t="n">
        <v>1793300377</v>
      </c>
      <c r="N295" s="4" t="n">
        <v>89500</v>
      </c>
      <c r="O295" s="4" t="n">
        <v>541611334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45807</v>
      </c>
      <c r="B296" s="7" t="n">
        <v>1332.6</v>
      </c>
      <c r="C296" s="3" t="n">
        <v>5724956.64</v>
      </c>
      <c r="E296" s="5" t="n">
        <v>45807</v>
      </c>
      <c r="F296" s="4" t="n">
        <v>98400</v>
      </c>
      <c r="G296" s="4" t="n">
        <v>3823661561</v>
      </c>
      <c r="H296" s="4" t="n">
        <v>77600</v>
      </c>
      <c r="I296" s="4" t="n">
        <v>4107412004</v>
      </c>
      <c r="J296" s="4" t="n">
        <v>27500</v>
      </c>
      <c r="K296" s="4" t="n">
        <v>2272318410</v>
      </c>
      <c r="L296" s="4" t="n">
        <v>89000</v>
      </c>
      <c r="M296" s="4" t="n">
        <v>1793300377</v>
      </c>
      <c r="N296" s="4" t="n">
        <v>87000</v>
      </c>
      <c r="O296" s="4" t="n">
        <v>541611334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45806</v>
      </c>
      <c r="B297" s="7" t="n">
        <v>1341.86</v>
      </c>
      <c r="C297" s="3" t="n">
        <v>5764733.93</v>
      </c>
      <c r="E297" s="5" t="n">
        <v>45806</v>
      </c>
      <c r="F297" s="4" t="n">
        <v>97000</v>
      </c>
      <c r="G297" s="4" t="n">
        <v>3823661561</v>
      </c>
      <c r="H297" s="4" t="n">
        <v>76900</v>
      </c>
      <c r="I297" s="4" t="n">
        <v>4107412004</v>
      </c>
      <c r="J297" s="4" t="n">
        <v>27650</v>
      </c>
      <c r="K297" s="4" t="n">
        <v>2272318410</v>
      </c>
      <c r="L297" s="4" t="n">
        <v>88500</v>
      </c>
      <c r="M297" s="4" t="n">
        <v>1793300377</v>
      </c>
      <c r="N297" s="4" t="n">
        <v>87500</v>
      </c>
      <c r="O297" s="4" t="n">
        <v>541611334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45805</v>
      </c>
      <c r="B298" s="7" t="n">
        <v>1341.87</v>
      </c>
      <c r="C298" s="3" t="n">
        <v>5764756.54</v>
      </c>
      <c r="E298" s="5" t="n">
        <v>45805</v>
      </c>
      <c r="F298" s="4" t="n">
        <v>97000</v>
      </c>
      <c r="G298" s="4" t="n">
        <v>3823661561</v>
      </c>
      <c r="H298" s="4" t="n">
        <v>75700</v>
      </c>
      <c r="I298" s="4" t="n">
        <v>4107412004</v>
      </c>
      <c r="J298" s="4" t="n">
        <v>26700</v>
      </c>
      <c r="K298" s="4" t="n">
        <v>2272318410</v>
      </c>
      <c r="L298" s="4" t="n">
        <v>88000</v>
      </c>
      <c r="M298" s="4" t="n">
        <v>1793300377</v>
      </c>
      <c r="N298" s="4" t="n">
        <v>88000</v>
      </c>
      <c r="O298" s="4" t="n">
        <v>541611334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45804</v>
      </c>
      <c r="B299" s="7" t="n">
        <v>1339.81</v>
      </c>
      <c r="C299" s="3" t="n">
        <v>5755891.3</v>
      </c>
      <c r="E299" s="5" t="n">
        <v>45804</v>
      </c>
      <c r="F299" s="4" t="n">
        <v>94500</v>
      </c>
      <c r="G299" s="4" t="n">
        <v>3823661561</v>
      </c>
      <c r="H299" s="4" t="n">
        <v>74300</v>
      </c>
      <c r="I299" s="4" t="n">
        <v>4107412004</v>
      </c>
      <c r="J299" s="4" t="n">
        <v>25300</v>
      </c>
      <c r="K299" s="4" t="n">
        <v>2272318410</v>
      </c>
      <c r="L299" s="4" t="n">
        <v>87200</v>
      </c>
      <c r="M299" s="4" t="n">
        <v>1793300377</v>
      </c>
      <c r="N299" s="4" t="n">
        <v>88400</v>
      </c>
      <c r="O299" s="4" t="n">
        <v>541611334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45803</v>
      </c>
      <c r="B300" s="7" t="n">
        <v>1332.51</v>
      </c>
      <c r="C300" s="3" t="n">
        <v>5724537.24</v>
      </c>
      <c r="E300" s="5" t="n">
        <v>45803</v>
      </c>
      <c r="F300" s="4" t="n">
        <v>94500</v>
      </c>
      <c r="G300" s="4" t="n">
        <v>3823661561</v>
      </c>
      <c r="H300" s="4" t="n">
        <v>73500</v>
      </c>
      <c r="I300" s="4" t="n">
        <v>4107412004</v>
      </c>
      <c r="J300" s="4" t="n">
        <v>25500</v>
      </c>
      <c r="K300" s="4" t="n">
        <v>2272318410</v>
      </c>
      <c r="L300" s="4" t="n">
        <v>90000</v>
      </c>
      <c r="M300" s="4" t="n">
        <v>1793300377</v>
      </c>
      <c r="N300" s="4" t="n">
        <v>87800</v>
      </c>
      <c r="O300" s="4" t="n">
        <v>541611334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45800</v>
      </c>
      <c r="B301" s="7" t="n">
        <v>1314.46</v>
      </c>
      <c r="C301" s="3" t="n">
        <v>5646945.54</v>
      </c>
      <c r="E301" s="5" t="n">
        <v>45800</v>
      </c>
      <c r="F301" s="4" t="n">
        <v>93000</v>
      </c>
      <c r="G301" s="4" t="n">
        <v>3823661561</v>
      </c>
      <c r="H301" s="4" t="n">
        <v>68800</v>
      </c>
      <c r="I301" s="4" t="n">
        <v>4107412004</v>
      </c>
      <c r="J301" s="4" t="n">
        <v>25650</v>
      </c>
      <c r="K301" s="4" t="n">
        <v>2272318410</v>
      </c>
      <c r="L301" s="4" t="n">
        <v>90300</v>
      </c>
      <c r="M301" s="4" t="n">
        <v>1793300377</v>
      </c>
      <c r="N301" s="4" t="n">
        <v>87800</v>
      </c>
      <c r="O301" s="4" t="n">
        <v>541611334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45799</v>
      </c>
      <c r="B302" s="7" t="n">
        <v>1313.84</v>
      </c>
      <c r="C302" s="3" t="n">
        <v>5643805.34</v>
      </c>
      <c r="E302" s="5" t="n">
        <v>45799</v>
      </c>
      <c r="F302" s="4" t="n">
        <v>92500</v>
      </c>
      <c r="G302" s="4" t="n">
        <v>3823661561</v>
      </c>
      <c r="H302" s="4" t="n">
        <v>68100</v>
      </c>
      <c r="I302" s="4" t="n">
        <v>4107412004</v>
      </c>
      <c r="J302" s="4" t="n">
        <v>25350</v>
      </c>
      <c r="K302" s="4" t="n">
        <v>2272318410</v>
      </c>
      <c r="L302" s="4" t="n">
        <v>92000</v>
      </c>
      <c r="M302" s="4" t="n">
        <v>1793300377</v>
      </c>
      <c r="N302" s="4" t="n">
        <v>87200</v>
      </c>
      <c r="O302" s="4" t="n">
        <v>541611334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45798</v>
      </c>
      <c r="B303" s="7" t="n">
        <v>1323.05</v>
      </c>
      <c r="C303" s="3" t="n">
        <v>5683639.16</v>
      </c>
      <c r="E303" s="5" t="n">
        <v>45798</v>
      </c>
      <c r="F303" s="4" t="n">
        <v>93500</v>
      </c>
      <c r="G303" s="4" t="n">
        <v>3823661561</v>
      </c>
      <c r="H303" s="4" t="n">
        <v>67300</v>
      </c>
      <c r="I303" s="4" t="n">
        <v>4107412004</v>
      </c>
      <c r="J303" s="4" t="n">
        <v>25750</v>
      </c>
      <c r="K303" s="4" t="n">
        <v>2272318410</v>
      </c>
      <c r="L303" s="4" t="n">
        <v>98000</v>
      </c>
      <c r="M303" s="4" t="n">
        <v>1793300377</v>
      </c>
      <c r="N303" s="4" t="n">
        <v>88300</v>
      </c>
      <c r="O303" s="4" t="n">
        <v>541611334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45797</v>
      </c>
      <c r="B304" s="7" t="n">
        <v>1315.15</v>
      </c>
      <c r="C304" s="3" t="n">
        <v>5649332.92</v>
      </c>
      <c r="E304" s="5" t="n">
        <v>45797</v>
      </c>
      <c r="F304" s="4" t="n">
        <v>91500</v>
      </c>
      <c r="G304" s="4" t="n">
        <v>3823661561</v>
      </c>
      <c r="H304" s="4" t="n">
        <v>62900</v>
      </c>
      <c r="I304" s="4" t="n">
        <v>4107412004</v>
      </c>
      <c r="J304" s="4" t="n">
        <v>25800</v>
      </c>
      <c r="K304" s="4" t="n">
        <v>2272318410</v>
      </c>
      <c r="L304" s="4" t="n">
        <v>99500</v>
      </c>
      <c r="M304" s="4" t="n">
        <v>1793300377</v>
      </c>
      <c r="N304" s="4" t="n">
        <v>88300</v>
      </c>
      <c r="O304" s="4" t="n">
        <v>541611334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45796</v>
      </c>
      <c r="B305" s="7" t="n">
        <v>1296.29</v>
      </c>
      <c r="C305" s="3" t="n">
        <v>5568320.19</v>
      </c>
      <c r="E305" s="5" t="n">
        <v>45796</v>
      </c>
      <c r="F305" s="4" t="n">
        <v>85600</v>
      </c>
      <c r="G305" s="4" t="n">
        <v>3823661561</v>
      </c>
      <c r="H305" s="4" t="n">
        <v>58800</v>
      </c>
      <c r="I305" s="4" t="n">
        <v>4107412004</v>
      </c>
      <c r="J305" s="4" t="n">
        <v>24750</v>
      </c>
      <c r="K305" s="4" t="n">
        <v>2272318410</v>
      </c>
      <c r="L305" s="4" t="n">
        <v>98200</v>
      </c>
      <c r="M305" s="4" t="n">
        <v>1793300377</v>
      </c>
      <c r="N305" s="4" t="n">
        <v>88000</v>
      </c>
      <c r="O305" s="4" t="n">
        <v>541611334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45793</v>
      </c>
      <c r="B306" s="7" t="n">
        <v>1301.39</v>
      </c>
      <c r="C306" s="3" t="n">
        <v>5590257.51</v>
      </c>
      <c r="E306" s="5" t="n">
        <v>45793</v>
      </c>
      <c r="F306" s="4" t="n">
        <v>80000</v>
      </c>
      <c r="G306" s="4" t="n">
        <v>3823661561</v>
      </c>
      <c r="H306" s="4" t="n">
        <v>58000</v>
      </c>
      <c r="I306" s="4" t="n">
        <v>4107412004</v>
      </c>
      <c r="J306" s="4" t="n">
        <v>24500</v>
      </c>
      <c r="K306" s="4" t="n">
        <v>2272318410</v>
      </c>
      <c r="L306" s="4" t="n">
        <v>101000</v>
      </c>
      <c r="M306" s="4" t="n">
        <v>1793300377</v>
      </c>
      <c r="N306" s="4" t="n">
        <v>90000</v>
      </c>
      <c r="O306" s="4" t="n">
        <v>541611334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45792</v>
      </c>
      <c r="B307" s="7" t="n">
        <v>1313.2</v>
      </c>
      <c r="C307" s="3" t="n">
        <v>5640994.54</v>
      </c>
      <c r="E307" s="5" t="n">
        <v>45792</v>
      </c>
      <c r="F307" s="4" t="n">
        <v>79800</v>
      </c>
      <c r="G307" s="4" t="n">
        <v>3823661561</v>
      </c>
      <c r="H307" s="4" t="n">
        <v>58000</v>
      </c>
      <c r="I307" s="4" t="n">
        <v>4107412004</v>
      </c>
      <c r="J307" s="4" t="n">
        <v>24150</v>
      </c>
      <c r="K307" s="4" t="n">
        <v>2272318410</v>
      </c>
      <c r="L307" s="4" t="n">
        <v>97700</v>
      </c>
      <c r="M307" s="4" t="n">
        <v>1793300377</v>
      </c>
      <c r="N307" s="4" t="n">
        <v>91000</v>
      </c>
      <c r="O307" s="4" t="n">
        <v>541611334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45791</v>
      </c>
      <c r="B308" s="7" t="n">
        <v>1309.73</v>
      </c>
      <c r="C308" s="3" t="n">
        <v>5625513.28</v>
      </c>
      <c r="E308" s="5" t="n">
        <v>45791</v>
      </c>
      <c r="F308" s="4" t="n">
        <v>79800</v>
      </c>
      <c r="G308" s="4" t="n">
        <v>3823661561</v>
      </c>
      <c r="H308" s="4" t="n">
        <v>60400</v>
      </c>
      <c r="I308" s="4" t="n">
        <v>4107412004</v>
      </c>
      <c r="J308" s="4" t="n">
        <v>24700</v>
      </c>
      <c r="K308" s="4" t="n">
        <v>2272318410</v>
      </c>
      <c r="L308" s="4" t="n">
        <v>91400</v>
      </c>
      <c r="M308" s="4" t="n">
        <v>1793300377</v>
      </c>
      <c r="N308" s="4" t="n">
        <v>93000</v>
      </c>
      <c r="O308" s="4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45790</v>
      </c>
      <c r="B309" s="7" t="n">
        <v>1293.43</v>
      </c>
      <c r="C309" s="3" t="n">
        <v>5400206.67</v>
      </c>
      <c r="E309" s="5" t="n">
        <v>45790</v>
      </c>
      <c r="F309" s="4" t="n">
        <v>79600</v>
      </c>
      <c r="G309" s="4" t="n">
        <v>3823661561</v>
      </c>
      <c r="H309" s="4" t="n">
        <v>62000</v>
      </c>
      <c r="I309" s="4" t="n">
        <v>4107412004</v>
      </c>
      <c r="J309" s="4" t="n">
        <v>25400</v>
      </c>
      <c r="K309" s="4" t="n">
        <v>2272318410</v>
      </c>
      <c r="L309" s="4" t="n">
        <v>85500</v>
      </c>
      <c r="M309" s="4" t="n">
        <v>1793300377</v>
      </c>
      <c r="N309" s="4" t="n">
        <v>90500</v>
      </c>
      <c r="O309" s="4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45789</v>
      </c>
      <c r="B310" s="7" t="n">
        <v>1283.26</v>
      </c>
      <c r="C310" s="3" t="n">
        <v>5357756.45</v>
      </c>
      <c r="E310" s="5" t="n">
        <v>45789</v>
      </c>
      <c r="F310" s="4" t="n">
        <v>79400</v>
      </c>
      <c r="G310" s="4" t="n">
        <v>3823661561</v>
      </c>
      <c r="H310" s="4" t="n">
        <v>62300</v>
      </c>
      <c r="I310" s="4" t="n">
        <v>4107412004</v>
      </c>
      <c r="J310" s="4" t="n">
        <v>25500</v>
      </c>
      <c r="K310" s="4" t="n">
        <v>2272318410</v>
      </c>
      <c r="L310" s="4" t="n">
        <v>0</v>
      </c>
      <c r="M310" s="4" t="n">
        <v>1793300377</v>
      </c>
      <c r="N310" s="4" t="n">
        <v>90400</v>
      </c>
      <c r="O310" s="4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45786</v>
      </c>
      <c r="B311" s="7" t="n">
        <v>1267.3</v>
      </c>
      <c r="C311" s="3" t="n">
        <v>5291118.35</v>
      </c>
      <c r="E311" s="5" t="n">
        <v>45786</v>
      </c>
      <c r="F311" s="4" t="n">
        <v>76500</v>
      </c>
      <c r="G311" s="4" t="n">
        <v>3823661561</v>
      </c>
      <c r="H311" s="4" t="n">
        <v>62200</v>
      </c>
      <c r="I311" s="4" t="n">
        <v>4107412004</v>
      </c>
      <c r="J311" s="4" t="n">
        <v>25000</v>
      </c>
      <c r="K311" s="4" t="n">
        <v>2272318410</v>
      </c>
      <c r="L311" s="4" t="n">
        <v>0</v>
      </c>
      <c r="M311" s="4" t="n">
        <v>1793300377</v>
      </c>
      <c r="N311" s="4" t="n">
        <v>89500</v>
      </c>
      <c r="O311" s="4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45785</v>
      </c>
      <c r="B312" s="7" t="n">
        <v>1269.8</v>
      </c>
      <c r="C312" s="3" t="n">
        <v>5299309.95</v>
      </c>
      <c r="E312" s="5" t="n">
        <v>45785</v>
      </c>
      <c r="F312" s="4" t="n">
        <v>78500</v>
      </c>
      <c r="G312" s="4" t="n">
        <v>3823661561</v>
      </c>
      <c r="H312" s="4" t="n">
        <v>62200</v>
      </c>
      <c r="I312" s="4" t="n">
        <v>4107412004</v>
      </c>
      <c r="J312" s="4" t="n">
        <v>25000</v>
      </c>
      <c r="K312" s="4" t="n">
        <v>2272318410</v>
      </c>
      <c r="L312" s="4" t="n">
        <v>0</v>
      </c>
      <c r="M312" s="4" t="n">
        <v>1793300377</v>
      </c>
      <c r="N312" s="4" t="n">
        <v>89800</v>
      </c>
      <c r="O312" s="4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45784</v>
      </c>
      <c r="B313" s="7" t="n">
        <v>1250.37</v>
      </c>
      <c r="C313" s="3" t="n">
        <v>5218219.91</v>
      </c>
      <c r="E313" s="5" t="n">
        <v>45784</v>
      </c>
      <c r="F313" s="4" t="n">
        <v>73400</v>
      </c>
      <c r="G313" s="4" t="n">
        <v>3823661561</v>
      </c>
      <c r="H313" s="4" t="n">
        <v>62000</v>
      </c>
      <c r="I313" s="4" t="n">
        <v>4107412004</v>
      </c>
      <c r="J313" s="4" t="n">
        <v>24900</v>
      </c>
      <c r="K313" s="4" t="n">
        <v>2272318410</v>
      </c>
      <c r="L313" s="4" t="n">
        <v>0</v>
      </c>
      <c r="M313" s="4" t="n">
        <v>1793300377</v>
      </c>
      <c r="N313" s="4" t="n">
        <v>88900</v>
      </c>
      <c r="O313" s="4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45783</v>
      </c>
      <c r="B314" s="7" t="n">
        <v>1241.95</v>
      </c>
      <c r="C314" s="3" t="n">
        <v>5178785.52</v>
      </c>
      <c r="E314" s="5" t="n">
        <v>45783</v>
      </c>
      <c r="F314" s="4" t="n">
        <v>70500</v>
      </c>
      <c r="G314" s="4" t="n">
        <v>3823661561</v>
      </c>
      <c r="H314" s="4" t="n">
        <v>60900</v>
      </c>
      <c r="I314" s="4" t="n">
        <v>4107412004</v>
      </c>
      <c r="J314" s="4" t="n">
        <v>24900</v>
      </c>
      <c r="K314" s="4" t="n">
        <v>2272318410</v>
      </c>
      <c r="L314" s="4" t="n">
        <v>0</v>
      </c>
      <c r="M314" s="4" t="n">
        <v>1793300377</v>
      </c>
      <c r="N314" s="4" t="n">
        <v>89000</v>
      </c>
      <c r="O314" s="4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45782</v>
      </c>
      <c r="B315" s="7" t="n">
        <v>1240.05</v>
      </c>
      <c r="C315" s="3" t="n">
        <v>5170854.18</v>
      </c>
      <c r="E315" s="5" t="n">
        <v>45782</v>
      </c>
      <c r="F315" s="4" t="n">
        <v>70000</v>
      </c>
      <c r="G315" s="4" t="n">
        <v>3823661561</v>
      </c>
      <c r="H315" s="4" t="n">
        <v>60900</v>
      </c>
      <c r="I315" s="4" t="n">
        <v>4107412004</v>
      </c>
      <c r="J315" s="4" t="n">
        <v>24900</v>
      </c>
      <c r="K315" s="4" t="n">
        <v>2272318410</v>
      </c>
      <c r="L315" s="4" t="n">
        <v>0</v>
      </c>
      <c r="M315" s="4" t="n">
        <v>1793300377</v>
      </c>
      <c r="N315" s="4" t="n">
        <v>89600</v>
      </c>
      <c r="O315" s="4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45776</v>
      </c>
      <c r="B316" s="7" t="n">
        <v>1226.3</v>
      </c>
      <c r="C316" s="3" t="n">
        <v>5122632</v>
      </c>
      <c r="E316" s="5" t="n">
        <v>45776</v>
      </c>
      <c r="F316" s="4" t="n">
        <v>68000</v>
      </c>
      <c r="G316" s="4" t="n">
        <v>3823661561</v>
      </c>
      <c r="H316" s="4" t="n">
        <v>58400</v>
      </c>
      <c r="I316" s="4" t="n">
        <v>4107412004</v>
      </c>
      <c r="J316" s="4" t="n">
        <v>23650</v>
      </c>
      <c r="K316" s="4" t="n">
        <v>2272318410</v>
      </c>
      <c r="L316" s="4" t="n">
        <v>0</v>
      </c>
      <c r="M316" s="4" t="n">
        <v>1793300377</v>
      </c>
      <c r="N316" s="4" t="n">
        <v>86000</v>
      </c>
      <c r="O316" s="4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45775</v>
      </c>
      <c r="B317" s="7" t="n">
        <v>1226.8</v>
      </c>
      <c r="C317" s="3" t="n">
        <v>5124861</v>
      </c>
      <c r="E317" s="5" t="n">
        <v>45775</v>
      </c>
      <c r="F317" s="4" t="n">
        <v>68000</v>
      </c>
      <c r="G317" s="4" t="n">
        <v>3823661561</v>
      </c>
      <c r="H317" s="4" t="n">
        <v>58500</v>
      </c>
      <c r="I317" s="4" t="n">
        <v>4107412004</v>
      </c>
      <c r="J317" s="4" t="n">
        <v>23100</v>
      </c>
      <c r="K317" s="4" t="n">
        <v>2272318410</v>
      </c>
      <c r="L317" s="4" t="n">
        <v>0</v>
      </c>
      <c r="M317" s="4" t="n">
        <v>1793300377</v>
      </c>
      <c r="N317" s="4" t="n">
        <v>89100</v>
      </c>
      <c r="O317" s="4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45772</v>
      </c>
      <c r="B318" s="7" t="n">
        <v>1229.23</v>
      </c>
      <c r="C318" s="3" t="n">
        <v>5135133</v>
      </c>
      <c r="E318" s="5" t="n">
        <v>45772</v>
      </c>
      <c r="F318" s="4" t="n">
        <v>67000</v>
      </c>
      <c r="G318" s="4" t="n">
        <v>3823661561</v>
      </c>
      <c r="H318" s="4" t="n">
        <v>62300</v>
      </c>
      <c r="I318" s="4" t="n">
        <v>4107412004</v>
      </c>
      <c r="J318" s="4" t="n">
        <v>22800</v>
      </c>
      <c r="K318" s="4" t="n">
        <v>2272318410</v>
      </c>
      <c r="L318" s="4" t="n">
        <v>0</v>
      </c>
      <c r="M318" s="4" t="n">
        <v>1793300377</v>
      </c>
      <c r="N318" s="4" t="n">
        <v>91000</v>
      </c>
      <c r="O318" s="4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45771</v>
      </c>
      <c r="B319" s="7" t="n">
        <v>1223.35</v>
      </c>
      <c r="C319" s="3" t="n">
        <v>5110666</v>
      </c>
      <c r="E319" s="5" t="n">
        <v>45771</v>
      </c>
      <c r="F319" s="4" t="n">
        <v>62700</v>
      </c>
      <c r="G319" s="4" t="n">
        <v>3823661561</v>
      </c>
      <c r="H319" s="4" t="n">
        <v>61200</v>
      </c>
      <c r="I319" s="4" t="n">
        <v>4107412004</v>
      </c>
      <c r="J319" s="4" t="n">
        <v>22800</v>
      </c>
      <c r="K319" s="4" t="n">
        <v>2272318410</v>
      </c>
      <c r="L319" s="4" t="n">
        <v>0</v>
      </c>
      <c r="M319" s="4" t="n">
        <v>1793300377</v>
      </c>
      <c r="N319" s="4" t="n">
        <v>85700</v>
      </c>
      <c r="O319" s="4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45770</v>
      </c>
      <c r="B320" s="7" t="n">
        <v>1211</v>
      </c>
      <c r="C320" s="3" t="n">
        <v>5059174</v>
      </c>
      <c r="E320" s="5" t="n">
        <v>45770</v>
      </c>
      <c r="F320" s="4" t="n">
        <v>58600</v>
      </c>
      <c r="G320" s="4" t="n">
        <v>3823661561</v>
      </c>
      <c r="H320" s="4" t="n">
        <v>58500</v>
      </c>
      <c r="I320" s="4" t="n">
        <v>4107412004</v>
      </c>
      <c r="J320" s="4" t="n">
        <v>21950</v>
      </c>
      <c r="K320" s="4" t="n">
        <v>2272318410</v>
      </c>
      <c r="L320" s="4" t="n">
        <v>0</v>
      </c>
      <c r="M320" s="4" t="n">
        <v>1793300377</v>
      </c>
      <c r="N320" s="4" t="n">
        <v>85700</v>
      </c>
      <c r="O320" s="4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45769</v>
      </c>
      <c r="B321" s="7" t="n">
        <v>1197.13</v>
      </c>
      <c r="C321" s="3" t="n">
        <v>5001110</v>
      </c>
      <c r="E321" s="5" t="n">
        <v>45769</v>
      </c>
      <c r="F321" s="4" t="n">
        <v>59000</v>
      </c>
      <c r="G321" s="4" t="n">
        <v>3823661561</v>
      </c>
      <c r="H321" s="4" t="n">
        <v>57500</v>
      </c>
      <c r="I321" s="4" t="n">
        <v>4107412004</v>
      </c>
      <c r="J321" s="4" t="n">
        <v>20600</v>
      </c>
      <c r="K321" s="4" t="n">
        <v>2272318410</v>
      </c>
      <c r="L321" s="4" t="n">
        <v>0</v>
      </c>
      <c r="M321" s="4" t="n">
        <v>1793300377</v>
      </c>
      <c r="N321" s="4" t="n">
        <v>83500</v>
      </c>
      <c r="O321" s="4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45768</v>
      </c>
      <c r="B322" s="7" t="n">
        <v>1207.07</v>
      </c>
      <c r="C322" s="3" t="n">
        <v>5041074</v>
      </c>
      <c r="E322" s="5" t="n">
        <v>45768</v>
      </c>
      <c r="F322" s="4" t="n">
        <v>61500</v>
      </c>
      <c r="G322" s="4" t="n">
        <v>3823661561</v>
      </c>
      <c r="H322" s="4" t="n">
        <v>55000</v>
      </c>
      <c r="I322" s="4" t="n">
        <v>4107412004</v>
      </c>
      <c r="J322" s="4" t="n">
        <v>20400</v>
      </c>
      <c r="K322" s="4" t="n">
        <v>2272318410</v>
      </c>
      <c r="L322" s="4" t="n">
        <v>0</v>
      </c>
      <c r="M322" s="4" t="n">
        <v>1793300377</v>
      </c>
      <c r="N322" s="4" t="n">
        <v>84000</v>
      </c>
      <c r="O322" s="4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45765</v>
      </c>
      <c r="B323" s="7" t="n">
        <v>1219.12</v>
      </c>
      <c r="C323" s="3" t="n">
        <v>5090529</v>
      </c>
      <c r="E323" s="5" t="n">
        <v>45765</v>
      </c>
      <c r="F323" s="4" t="n">
        <v>66100</v>
      </c>
      <c r="G323" s="4" t="n">
        <v>3823661561</v>
      </c>
      <c r="H323" s="4" t="n">
        <v>55000</v>
      </c>
      <c r="I323" s="4" t="n">
        <v>4107412004</v>
      </c>
      <c r="J323" s="4" t="n">
        <v>20400</v>
      </c>
      <c r="K323" s="4" t="n">
        <v>2272318410</v>
      </c>
      <c r="L323" s="4" t="n">
        <v>0</v>
      </c>
      <c r="M323" s="4" t="n">
        <v>1793300377</v>
      </c>
      <c r="N323" s="4" t="n">
        <v>86500</v>
      </c>
      <c r="O323" s="4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45764</v>
      </c>
      <c r="B324" s="7" t="n">
        <v>1217.25</v>
      </c>
      <c r="C324" s="3" t="n">
        <v>5082615</v>
      </c>
      <c r="E324" s="5" t="n">
        <v>45764</v>
      </c>
      <c r="F324" s="4" t="n">
        <v>71000</v>
      </c>
      <c r="G324" s="4" t="n">
        <v>3823661561</v>
      </c>
      <c r="H324" s="4" t="n">
        <v>56800</v>
      </c>
      <c r="I324" s="4" t="n">
        <v>4107412004</v>
      </c>
      <c r="J324" s="4" t="n">
        <v>20400</v>
      </c>
      <c r="K324" s="4" t="n">
        <v>2272318410</v>
      </c>
      <c r="L324" s="4" t="n">
        <v>0</v>
      </c>
      <c r="M324" s="4" t="n">
        <v>1793300377</v>
      </c>
      <c r="N324" s="4" t="n">
        <v>88000</v>
      </c>
      <c r="O324" s="4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45763</v>
      </c>
      <c r="B325" s="7" t="n">
        <v>1210.3</v>
      </c>
      <c r="C325" s="3" t="n">
        <v>5053632</v>
      </c>
      <c r="E325" s="5" t="n">
        <v>45763</v>
      </c>
      <c r="F325" s="4" t="n">
        <v>67900</v>
      </c>
      <c r="G325" s="4" t="n">
        <v>3823661561</v>
      </c>
      <c r="H325" s="4" t="n">
        <v>56500</v>
      </c>
      <c r="I325" s="4" t="n">
        <v>4107412004</v>
      </c>
      <c r="J325" s="4" t="n">
        <v>20400</v>
      </c>
      <c r="K325" s="4" t="n">
        <v>2272318410</v>
      </c>
      <c r="L325" s="4" t="n">
        <v>0</v>
      </c>
      <c r="M325" s="4" t="n">
        <v>1793300377</v>
      </c>
      <c r="N325" s="4" t="n">
        <v>85400</v>
      </c>
      <c r="O325" s="4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45762</v>
      </c>
      <c r="B326" s="7" t="n">
        <v>1227.79</v>
      </c>
      <c r="C326" s="3" t="n">
        <v>5126602</v>
      </c>
      <c r="E326" s="5" t="n">
        <v>45762</v>
      </c>
      <c r="F326" s="4" t="n">
        <v>70500</v>
      </c>
      <c r="G326" s="4" t="n">
        <v>3823661561</v>
      </c>
      <c r="H326" s="4" t="n">
        <v>57500</v>
      </c>
      <c r="I326" s="4" t="n">
        <v>4107412004</v>
      </c>
      <c r="J326" s="4" t="n">
        <v>20300</v>
      </c>
      <c r="K326" s="4" t="n">
        <v>2272318410</v>
      </c>
      <c r="L326" s="4" t="n">
        <v>0</v>
      </c>
      <c r="M326" s="4" t="n">
        <v>1793300377</v>
      </c>
      <c r="N326" s="4" t="n">
        <v>83300</v>
      </c>
      <c r="O326" s="4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45761</v>
      </c>
      <c r="B327" s="7" t="n">
        <v>1241.44</v>
      </c>
      <c r="C327" s="3" t="n">
        <v>5183599</v>
      </c>
      <c r="E327" s="5" t="n">
        <v>45761</v>
      </c>
      <c r="F327" s="4" t="n">
        <v>69600</v>
      </c>
      <c r="G327" s="4" t="n">
        <v>3823661561</v>
      </c>
      <c r="H327" s="4" t="n">
        <v>57200</v>
      </c>
      <c r="I327" s="4" t="n">
        <v>4107412004</v>
      </c>
      <c r="J327" s="4" t="n">
        <v>20300</v>
      </c>
      <c r="K327" s="4" t="n">
        <v>2272318410</v>
      </c>
      <c r="L327" s="4" t="n">
        <v>0</v>
      </c>
      <c r="M327" s="4" t="n">
        <v>1793300377</v>
      </c>
      <c r="N327" s="4" t="n">
        <v>85500</v>
      </c>
      <c r="O327" s="4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45758</v>
      </c>
      <c r="B328" s="7" t="n">
        <v>1222.46</v>
      </c>
      <c r="C328" s="3" t="n">
        <v>5104420</v>
      </c>
      <c r="E328" s="5" t="n">
        <v>45758</v>
      </c>
      <c r="F328" s="4" t="n">
        <v>65100</v>
      </c>
      <c r="G328" s="4" t="n">
        <v>3823661561</v>
      </c>
      <c r="H328" s="4" t="n">
        <v>53500</v>
      </c>
      <c r="I328" s="4" t="n">
        <v>4107412004</v>
      </c>
      <c r="J328" s="4" t="n">
        <v>19400</v>
      </c>
      <c r="K328" s="4" t="n">
        <v>2272318410</v>
      </c>
      <c r="L328" s="4" t="n">
        <v>0</v>
      </c>
      <c r="M328" s="4" t="n">
        <v>1793300377</v>
      </c>
      <c r="N328" s="4" t="n">
        <v>85400</v>
      </c>
      <c r="O328" s="4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45757</v>
      </c>
      <c r="B329" s="7" t="n">
        <v>1168.34</v>
      </c>
      <c r="C329" s="3" t="n">
        <v>4878410</v>
      </c>
      <c r="E329" s="5" t="n">
        <v>45757</v>
      </c>
      <c r="F329" s="4" t="n">
        <v>60900</v>
      </c>
      <c r="G329" s="4" t="n">
        <v>3823661561</v>
      </c>
      <c r="H329" s="4" t="n">
        <v>51800</v>
      </c>
      <c r="I329" s="4" t="n">
        <v>4107412004</v>
      </c>
      <c r="J329" s="4" t="n">
        <v>19250</v>
      </c>
      <c r="K329" s="4" t="n">
        <v>2272318410</v>
      </c>
      <c r="L329" s="4" t="n">
        <v>0</v>
      </c>
      <c r="M329" s="4" t="n">
        <v>1793300377</v>
      </c>
      <c r="N329" s="4" t="n">
        <v>84600</v>
      </c>
      <c r="O329" s="4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45756</v>
      </c>
      <c r="B330" s="7" t="n">
        <v>1094.3</v>
      </c>
      <c r="C330" s="3" t="n">
        <v>4569241</v>
      </c>
      <c r="E330" s="5" t="n">
        <v>45756</v>
      </c>
      <c r="F330" s="4" t="n">
        <v>57000</v>
      </c>
      <c r="G330" s="4" t="n">
        <v>3823661561</v>
      </c>
      <c r="H330" s="4" t="n">
        <v>48500</v>
      </c>
      <c r="I330" s="4" t="n">
        <v>4107412004</v>
      </c>
      <c r="J330" s="4" t="n">
        <v>18000</v>
      </c>
      <c r="K330" s="4" t="n">
        <v>2272318410</v>
      </c>
      <c r="L330" s="4" t="n">
        <v>0</v>
      </c>
      <c r="M330" s="4" t="n">
        <v>1793300377</v>
      </c>
      <c r="N330" s="4" t="n">
        <v>79100</v>
      </c>
      <c r="O330" s="4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45755</v>
      </c>
      <c r="B331" s="7" t="n">
        <v>1132.79</v>
      </c>
      <c r="C331" s="3" t="n">
        <v>4729857</v>
      </c>
      <c r="E331" s="5" t="n">
        <v>45755</v>
      </c>
      <c r="F331" s="4" t="n">
        <v>55100</v>
      </c>
      <c r="G331" s="4" t="n">
        <v>3823661561</v>
      </c>
      <c r="H331" s="4" t="n">
        <v>47000</v>
      </c>
      <c r="I331" s="4" t="n">
        <v>4107412004</v>
      </c>
      <c r="J331" s="4" t="n">
        <v>17500</v>
      </c>
      <c r="K331" s="4" t="n">
        <v>2272318410</v>
      </c>
      <c r="L331" s="4" t="n">
        <v>0</v>
      </c>
      <c r="M331" s="4" t="n">
        <v>1793300377</v>
      </c>
      <c r="N331" s="4" t="n">
        <v>82600</v>
      </c>
      <c r="O331" s="4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U331" s="3">
        <f>M331*L331-M332*L332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45751</v>
      </c>
      <c r="B332" s="7" t="n">
        <v>1210.67</v>
      </c>
      <c r="C332" s="3" t="n">
        <v>5055063</v>
      </c>
      <c r="E332" s="5" t="n">
        <v>45751</v>
      </c>
      <c r="F332" s="4" t="n">
        <v>58300</v>
      </c>
      <c r="G332" s="4" t="n">
        <v>3823661561</v>
      </c>
      <c r="H332" s="4" t="n">
        <v>50300</v>
      </c>
      <c r="I332" s="4" t="n">
        <v>4107412004</v>
      </c>
      <c r="J332" s="4" t="n">
        <v>18800</v>
      </c>
      <c r="K332" s="4" t="n">
        <v>2272318410</v>
      </c>
      <c r="L332" s="4" t="n">
        <v>0</v>
      </c>
      <c r="M332" s="4" t="n">
        <v>1793300377</v>
      </c>
      <c r="N332" s="4" t="n">
        <v>86300</v>
      </c>
      <c r="O332" s="4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45750</v>
      </c>
      <c r="B333" s="7" t="n">
        <v>1229.84</v>
      </c>
      <c r="C333" s="3" t="n">
        <v>5134919</v>
      </c>
      <c r="E333" s="5" t="n">
        <v>45750</v>
      </c>
      <c r="F333" s="4" t="n">
        <v>56200</v>
      </c>
      <c r="G333" s="4" t="n">
        <v>3823661561</v>
      </c>
      <c r="H333" s="4" t="n">
        <v>49300</v>
      </c>
      <c r="I333" s="4" t="n">
        <v>4107412004</v>
      </c>
      <c r="J333" s="4" t="n">
        <v>18750</v>
      </c>
      <c r="K333" s="4" t="n">
        <v>2272318410</v>
      </c>
      <c r="L333" s="4" t="n">
        <v>0</v>
      </c>
      <c r="M333" s="4" t="n">
        <v>1793300377</v>
      </c>
      <c r="N333" s="4" t="n">
        <v>88400</v>
      </c>
      <c r="O333" s="4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45749</v>
      </c>
      <c r="B334" s="7" t="n">
        <v>1317.83</v>
      </c>
      <c r="C334" s="3" t="n">
        <v>5502315</v>
      </c>
      <c r="E334" s="5" t="n">
        <v>45749</v>
      </c>
      <c r="F334" s="4" t="n">
        <v>60400</v>
      </c>
      <c r="G334" s="4" t="n">
        <v>3823661561</v>
      </c>
      <c r="H334" s="4" t="n">
        <v>53000</v>
      </c>
      <c r="I334" s="4" t="n">
        <v>4107412004</v>
      </c>
      <c r="J334" s="4" t="n">
        <v>20150</v>
      </c>
      <c r="K334" s="4" t="n">
        <v>2272318410</v>
      </c>
      <c r="L334" s="4" t="n">
        <v>0</v>
      </c>
      <c r="M334" s="4" t="n">
        <v>1793300377</v>
      </c>
      <c r="N334" s="4" t="n">
        <v>95000</v>
      </c>
      <c r="O334" s="4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45748</v>
      </c>
      <c r="B335" s="7" t="n">
        <v>1317.33</v>
      </c>
      <c r="C335" s="3" t="n">
        <v>5500261</v>
      </c>
      <c r="E335" s="5" t="n">
        <v>45748</v>
      </c>
      <c r="F335" s="4" t="n">
        <v>59700</v>
      </c>
      <c r="G335" s="4" t="n">
        <v>3823661561</v>
      </c>
      <c r="H335" s="4" t="n">
        <v>53000</v>
      </c>
      <c r="I335" s="4" t="n">
        <v>4107412004</v>
      </c>
      <c r="J335" s="4" t="n">
        <v>20000</v>
      </c>
      <c r="K335" s="4" t="n">
        <v>2272318410</v>
      </c>
      <c r="L335" s="4" t="n">
        <v>0</v>
      </c>
      <c r="M335" s="4" t="n">
        <v>1793300377</v>
      </c>
      <c r="N335" s="4" t="n">
        <v>95200</v>
      </c>
      <c r="O335" s="4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45747</v>
      </c>
      <c r="B336" s="7" t="n">
        <v>1306.86</v>
      </c>
      <c r="C336" s="3" t="n">
        <v>5456546</v>
      </c>
      <c r="E336" s="5" t="n">
        <v>45747</v>
      </c>
      <c r="F336" s="4" t="n">
        <v>58000</v>
      </c>
      <c r="G336" s="4" t="n">
        <v>3823661561</v>
      </c>
      <c r="H336" s="4" t="n">
        <v>51300</v>
      </c>
      <c r="I336" s="4" t="n">
        <v>4107412004</v>
      </c>
      <c r="J336" s="4" t="n">
        <v>19150</v>
      </c>
      <c r="K336" s="4" t="n">
        <v>2272318410</v>
      </c>
      <c r="L336" s="4" t="n">
        <v>0</v>
      </c>
      <c r="M336" s="4" t="n">
        <v>1793300377</v>
      </c>
      <c r="N336" s="4" t="n">
        <v>95000</v>
      </c>
      <c r="O336" s="4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45744</v>
      </c>
      <c r="B337" s="7" t="n">
        <v>1317.46</v>
      </c>
      <c r="C337" s="3" t="n">
        <v>5498737</v>
      </c>
      <c r="E337" s="5" t="n">
        <v>45744</v>
      </c>
      <c r="F337" s="4" t="n">
        <v>58000</v>
      </c>
      <c r="G337" s="4" t="n">
        <v>3823661561</v>
      </c>
      <c r="H337" s="4" t="n">
        <v>51200</v>
      </c>
      <c r="I337" s="4" t="n">
        <v>4107412004</v>
      </c>
      <c r="J337" s="4" t="n">
        <v>19500</v>
      </c>
      <c r="K337" s="4" t="n">
        <v>2272318410</v>
      </c>
      <c r="L337" s="4" t="n">
        <v>0</v>
      </c>
      <c r="M337" s="4" t="n">
        <v>1793300377</v>
      </c>
      <c r="N337" s="4" t="n">
        <v>96000</v>
      </c>
      <c r="O337" s="4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45743</v>
      </c>
      <c r="B338" s="7" t="n">
        <v>1323.81</v>
      </c>
      <c r="C338" s="3" t="n">
        <v>5524942</v>
      </c>
      <c r="E338" s="5" t="n">
        <v>45743</v>
      </c>
      <c r="F338" s="4" t="n">
        <v>57100</v>
      </c>
      <c r="G338" s="4" t="n">
        <v>3823661561</v>
      </c>
      <c r="H338" s="4" t="n">
        <v>51200</v>
      </c>
      <c r="I338" s="4" t="n">
        <v>4107412004</v>
      </c>
      <c r="J338" s="4" t="n">
        <v>19650</v>
      </c>
      <c r="K338" s="4" t="n">
        <v>2272318410</v>
      </c>
      <c r="L338" s="4" t="n">
        <v>0</v>
      </c>
      <c r="M338" s="4" t="n">
        <v>1793300377</v>
      </c>
      <c r="N338" s="4" t="n">
        <v>96500</v>
      </c>
      <c r="O338" s="4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45742</v>
      </c>
      <c r="B339" s="7" t="n">
        <v>1326.09</v>
      </c>
      <c r="C339" s="3" t="n">
        <v>5534506</v>
      </c>
      <c r="E339" s="5" t="n">
        <v>45742</v>
      </c>
      <c r="F339" s="4" t="n">
        <v>57000</v>
      </c>
      <c r="G339" s="4" t="n">
        <v>3823661561</v>
      </c>
      <c r="H339" s="4" t="n">
        <v>51500</v>
      </c>
      <c r="I339" s="4" t="n">
        <v>4107412004</v>
      </c>
      <c r="J339" s="4" t="n">
        <v>19950</v>
      </c>
      <c r="K339" s="4" t="n">
        <v>2272318410</v>
      </c>
      <c r="L339" s="4" t="n">
        <v>0</v>
      </c>
      <c r="M339" s="4" t="n">
        <v>1793300377</v>
      </c>
      <c r="N339" s="4" t="n">
        <v>96700</v>
      </c>
      <c r="O339" s="4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45741</v>
      </c>
      <c r="B340" s="7" t="n">
        <v>1331.92</v>
      </c>
      <c r="C340" s="3" t="n">
        <v>5558853</v>
      </c>
      <c r="E340" s="5" t="n">
        <v>45741</v>
      </c>
      <c r="F340" s="4" t="n">
        <v>56900</v>
      </c>
      <c r="G340" s="4" t="n">
        <v>3823661561</v>
      </c>
      <c r="H340" s="4" t="n">
        <v>51500</v>
      </c>
      <c r="I340" s="4" t="n">
        <v>4107412004</v>
      </c>
      <c r="J340" s="4" t="n">
        <v>19800</v>
      </c>
      <c r="K340" s="4" t="n">
        <v>2272318410</v>
      </c>
      <c r="L340" s="4" t="n">
        <v>0</v>
      </c>
      <c r="M340" s="4" t="n">
        <v>1793300377</v>
      </c>
      <c r="N340" s="4" t="n">
        <v>96700</v>
      </c>
      <c r="O340" s="4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45740</v>
      </c>
      <c r="B341" s="7" t="n">
        <v>1330.32</v>
      </c>
      <c r="C341" s="3" t="n">
        <v>5551598</v>
      </c>
      <c r="E341" s="5" t="n">
        <v>45740</v>
      </c>
      <c r="F341" s="4" t="n">
        <v>56700</v>
      </c>
      <c r="G341" s="4" t="n">
        <v>3823661561</v>
      </c>
      <c r="H341" s="4" t="n">
        <v>51300</v>
      </c>
      <c r="I341" s="4" t="n">
        <v>4107412004</v>
      </c>
      <c r="J341" s="4" t="n">
        <v>19150</v>
      </c>
      <c r="K341" s="4" t="n">
        <v>2272318410</v>
      </c>
      <c r="L341" s="4" t="n">
        <v>0</v>
      </c>
      <c r="M341" s="4" t="n">
        <v>1793300377</v>
      </c>
      <c r="N341" s="4" t="n">
        <v>96600</v>
      </c>
      <c r="O341" s="4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45737</v>
      </c>
      <c r="B342" s="7" t="n">
        <v>1324.88</v>
      </c>
      <c r="C342" s="3" t="n">
        <v>5516449</v>
      </c>
      <c r="E342" s="5" t="n">
        <v>45737</v>
      </c>
      <c r="F342" s="4" t="n">
        <v>53000</v>
      </c>
      <c r="G342" s="4" t="n">
        <v>3823661561</v>
      </c>
      <c r="H342" s="4" t="n">
        <v>48250</v>
      </c>
      <c r="I342" s="4" t="n">
        <v>4107412004</v>
      </c>
      <c r="J342" s="4" t="n">
        <v>18450</v>
      </c>
      <c r="K342" s="4" t="n">
        <v>2272318410</v>
      </c>
      <c r="L342" s="4" t="n">
        <v>0</v>
      </c>
      <c r="M342" s="4" t="n">
        <v>1793300377</v>
      </c>
      <c r="N342" s="4" t="n">
        <v>96600</v>
      </c>
      <c r="O342" s="4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45736</v>
      </c>
      <c r="B343" s="7" t="n">
        <v>1323.93</v>
      </c>
      <c r="C343" s="3" t="n">
        <v>5525074</v>
      </c>
      <c r="E343" s="5" t="n">
        <v>45736</v>
      </c>
      <c r="F343" s="4" t="n">
        <v>51500</v>
      </c>
      <c r="G343" s="4" t="n">
        <v>3823661561</v>
      </c>
      <c r="H343" s="4" t="n">
        <v>47350</v>
      </c>
      <c r="I343" s="4" t="n">
        <v>4107412004</v>
      </c>
      <c r="J343" s="4" t="n">
        <v>18400</v>
      </c>
      <c r="K343" s="4" t="n">
        <v>2272318410</v>
      </c>
      <c r="L343" s="4" t="n">
        <v>0</v>
      </c>
      <c r="M343" s="4" t="n">
        <v>1793300377</v>
      </c>
      <c r="N343" s="4" t="n">
        <v>96200</v>
      </c>
      <c r="O343" s="4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45735</v>
      </c>
      <c r="B344" s="7" t="n">
        <v>1324.63</v>
      </c>
      <c r="C344" s="3" t="n">
        <v>5528002</v>
      </c>
      <c r="E344" s="5" t="n">
        <v>45735</v>
      </c>
      <c r="F344" s="4" t="n">
        <v>51900</v>
      </c>
      <c r="G344" s="4" t="n">
        <v>3823661561</v>
      </c>
      <c r="H344" s="4" t="n">
        <v>47350</v>
      </c>
      <c r="I344" s="4" t="n">
        <v>4107412004</v>
      </c>
      <c r="J344" s="4" t="n">
        <v>18450</v>
      </c>
      <c r="K344" s="4" t="n">
        <v>2272318410</v>
      </c>
      <c r="L344" s="4" t="n">
        <v>0</v>
      </c>
      <c r="M344" s="4" t="n">
        <v>1793300377</v>
      </c>
      <c r="N344" s="4" t="n">
        <v>97800</v>
      </c>
      <c r="O344" s="4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45734</v>
      </c>
      <c r="B345" s="7" t="n">
        <v>1330.97</v>
      </c>
      <c r="C345" s="3" t="n">
        <v>5553585</v>
      </c>
      <c r="E345" s="5" t="n">
        <v>45734</v>
      </c>
      <c r="F345" s="4" t="n">
        <v>51300</v>
      </c>
      <c r="G345" s="4" t="n">
        <v>3823661561</v>
      </c>
      <c r="H345" s="4" t="n">
        <v>47300</v>
      </c>
      <c r="I345" s="4" t="n">
        <v>4107412004</v>
      </c>
      <c r="J345" s="4" t="n">
        <v>18450</v>
      </c>
      <c r="K345" s="4" t="n">
        <v>2272318410</v>
      </c>
      <c r="L345" s="4" t="n">
        <v>0</v>
      </c>
      <c r="M345" s="4" t="n">
        <v>1793300377</v>
      </c>
      <c r="N345" s="4" t="n">
        <v>98400</v>
      </c>
      <c r="O345" s="4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45733</v>
      </c>
      <c r="B346" s="7" t="n">
        <v>1336.26</v>
      </c>
      <c r="C346" s="3" t="n">
        <v>5575660</v>
      </c>
      <c r="E346" s="5" t="n">
        <v>45733</v>
      </c>
      <c r="F346" s="4" t="n">
        <v>52100</v>
      </c>
      <c r="G346" s="4" t="n">
        <v>3823661561</v>
      </c>
      <c r="H346" s="4" t="n">
        <v>47800</v>
      </c>
      <c r="I346" s="4" t="n">
        <v>4107412004</v>
      </c>
      <c r="J346" s="4" t="n">
        <v>18700</v>
      </c>
      <c r="K346" s="4" t="n">
        <v>2272318410</v>
      </c>
      <c r="L346" s="4" t="n">
        <v>0</v>
      </c>
      <c r="M346" s="4" t="n">
        <v>1793300377</v>
      </c>
      <c r="N346" s="4" t="n">
        <v>99100</v>
      </c>
      <c r="O346" s="4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45730</v>
      </c>
      <c r="B347" s="7" t="n">
        <v>1326.15</v>
      </c>
      <c r="C347" s="3" t="n">
        <v>5533540</v>
      </c>
      <c r="E347" s="5" t="n">
        <v>45730</v>
      </c>
      <c r="F347" s="4" t="n">
        <v>52200</v>
      </c>
      <c r="G347" s="4" t="n">
        <v>3823661561</v>
      </c>
      <c r="H347" s="4" t="n">
        <v>47900</v>
      </c>
      <c r="I347" s="4" t="n">
        <v>4107412004</v>
      </c>
      <c r="J347" s="4" t="n">
        <v>18750</v>
      </c>
      <c r="K347" s="4" t="n">
        <v>2272318410</v>
      </c>
      <c r="L347" s="4" t="n">
        <v>0</v>
      </c>
      <c r="M347" s="4" t="n">
        <v>1793300377</v>
      </c>
      <c r="N347" s="4" t="n">
        <v>98600</v>
      </c>
      <c r="O347" s="4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45729</v>
      </c>
      <c r="B348" s="7" t="n">
        <v>1326.27</v>
      </c>
      <c r="C348" s="3" t="n">
        <v>5533990</v>
      </c>
      <c r="E348" s="5" t="n">
        <v>45729</v>
      </c>
      <c r="F348" s="4" t="n">
        <v>51400</v>
      </c>
      <c r="G348" s="4" t="n">
        <v>3823661561</v>
      </c>
      <c r="H348" s="4" t="n">
        <v>47800</v>
      </c>
      <c r="I348" s="4" t="n">
        <v>4107412004</v>
      </c>
      <c r="J348" s="4" t="n">
        <v>18800</v>
      </c>
      <c r="K348" s="4" t="n">
        <v>2272318410</v>
      </c>
      <c r="L348" s="4" t="n">
        <v>0</v>
      </c>
      <c r="M348" s="4" t="n">
        <v>1793300377</v>
      </c>
      <c r="N348" s="4" t="n">
        <v>97300</v>
      </c>
      <c r="O348" s="4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45728</v>
      </c>
      <c r="B349" s="7" t="n">
        <v>1334.41</v>
      </c>
      <c r="C349" s="3" t="n">
        <v>5568021</v>
      </c>
      <c r="E349" s="5" t="n">
        <v>45728</v>
      </c>
      <c r="F349" s="4" t="n">
        <v>48100</v>
      </c>
      <c r="G349" s="4" t="n">
        <v>3823661561</v>
      </c>
      <c r="H349" s="4" t="n">
        <v>46950</v>
      </c>
      <c r="I349" s="4" t="n">
        <v>4107412004</v>
      </c>
      <c r="J349" s="4" t="n">
        <v>18300</v>
      </c>
      <c r="K349" s="4" t="n">
        <v>2272318410</v>
      </c>
      <c r="L349" s="4" t="n">
        <v>0</v>
      </c>
      <c r="M349" s="4" t="n">
        <v>1793300377</v>
      </c>
      <c r="N349" s="4" t="n">
        <v>97400</v>
      </c>
      <c r="O349" s="4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45727</v>
      </c>
      <c r="B350" s="7" t="n">
        <v>1332.54</v>
      </c>
      <c r="C350" s="3" t="n">
        <v>5560287</v>
      </c>
      <c r="E350" s="5" t="n">
        <v>45727</v>
      </c>
      <c r="F350" s="4" t="n">
        <v>47300</v>
      </c>
      <c r="G350" s="4" t="n">
        <v>3823661561</v>
      </c>
      <c r="H350" s="4" t="n">
        <v>45500</v>
      </c>
      <c r="I350" s="4" t="n">
        <v>4107412004</v>
      </c>
      <c r="J350" s="4" t="n">
        <v>18200</v>
      </c>
      <c r="K350" s="4" t="n">
        <v>2272318410</v>
      </c>
      <c r="L350" s="4" t="n">
        <v>0</v>
      </c>
      <c r="M350" s="4" t="n">
        <v>1793300377</v>
      </c>
      <c r="N350" s="4" t="n">
        <v>97700</v>
      </c>
      <c r="O350" s="4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45726</v>
      </c>
      <c r="B351" s="7" t="n">
        <v>1330.28</v>
      </c>
      <c r="C351" s="3" t="n">
        <v>5550885</v>
      </c>
      <c r="E351" s="5" t="n">
        <v>45726</v>
      </c>
      <c r="F351" s="4" t="n">
        <v>47300</v>
      </c>
      <c r="G351" s="4" t="n">
        <v>3823661561</v>
      </c>
      <c r="H351" s="4" t="n">
        <v>45300</v>
      </c>
      <c r="I351" s="4" t="n">
        <v>4107412004</v>
      </c>
      <c r="J351" s="4" t="n">
        <v>18250</v>
      </c>
      <c r="K351" s="4" t="n">
        <v>2272318410</v>
      </c>
      <c r="L351" s="4" t="n">
        <v>0</v>
      </c>
      <c r="M351" s="4" t="n">
        <v>1793300377</v>
      </c>
      <c r="N351" s="4" t="n">
        <v>97700</v>
      </c>
      <c r="O351" s="4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45723</v>
      </c>
      <c r="B352" s="7" t="n">
        <v>1326.05</v>
      </c>
      <c r="C352" s="3" t="n">
        <v>5533217</v>
      </c>
      <c r="E352" s="5" t="n">
        <v>45723</v>
      </c>
      <c r="F352" s="4" t="n">
        <v>45300</v>
      </c>
      <c r="G352" s="4" t="n">
        <v>3823661561</v>
      </c>
      <c r="H352" s="4" t="n">
        <v>44950</v>
      </c>
      <c r="I352" s="4" t="n">
        <v>4107412004</v>
      </c>
      <c r="J352" s="4" t="n">
        <v>18200</v>
      </c>
      <c r="K352" s="4" t="n">
        <v>2272318410</v>
      </c>
      <c r="L352" s="4" t="n">
        <v>0</v>
      </c>
      <c r="M352" s="4" t="n">
        <v>1793300377</v>
      </c>
      <c r="N352" s="4" t="n">
        <v>97000</v>
      </c>
      <c r="O352" s="4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45722</v>
      </c>
      <c r="B353" s="7" t="n">
        <v>1318.22</v>
      </c>
      <c r="C353" s="3" t="n">
        <v>5500551</v>
      </c>
      <c r="E353" s="5" t="n">
        <v>45722</v>
      </c>
      <c r="F353" s="4" t="n">
        <v>42350</v>
      </c>
      <c r="G353" s="4" t="n">
        <v>3823661561</v>
      </c>
      <c r="H353" s="4" t="n">
        <v>43600</v>
      </c>
      <c r="I353" s="4" t="n">
        <v>4107412004</v>
      </c>
      <c r="J353" s="4" t="n">
        <v>17850</v>
      </c>
      <c r="K353" s="4" t="n">
        <v>2272318410</v>
      </c>
      <c r="L353" s="4" t="n">
        <v>0</v>
      </c>
      <c r="M353" s="4" t="n">
        <v>1793300377</v>
      </c>
      <c r="N353" s="4" t="n">
        <v>96500</v>
      </c>
      <c r="O353" s="4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45721</v>
      </c>
      <c r="B354" s="7" t="n">
        <v>1304.71</v>
      </c>
      <c r="C354" s="3" t="n">
        <v>5443569</v>
      </c>
      <c r="E354" s="5" t="n">
        <v>45721</v>
      </c>
      <c r="F354" s="4" t="n">
        <v>42250</v>
      </c>
      <c r="G354" s="4" t="n">
        <v>3823661561</v>
      </c>
      <c r="H354" s="4" t="n">
        <v>42700</v>
      </c>
      <c r="I354" s="4" t="n">
        <v>4107412004</v>
      </c>
      <c r="J354" s="4" t="n">
        <v>17750</v>
      </c>
      <c r="K354" s="4" t="n">
        <v>2272318410</v>
      </c>
      <c r="L354" s="4" t="n">
        <v>0</v>
      </c>
      <c r="M354" s="4" t="n">
        <v>1793300377</v>
      </c>
      <c r="N354" s="4" t="n">
        <v>96400</v>
      </c>
      <c r="O354" s="4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45720</v>
      </c>
      <c r="B355" s="7" t="n">
        <v>1311.91</v>
      </c>
      <c r="C355" s="3" t="n">
        <v>5473594</v>
      </c>
      <c r="E355" s="5" t="n">
        <v>45720</v>
      </c>
      <c r="F355" s="4" t="n">
        <v>41950</v>
      </c>
      <c r="G355" s="4" t="n">
        <v>3823661561</v>
      </c>
      <c r="H355" s="4" t="n">
        <v>42050</v>
      </c>
      <c r="I355" s="4" t="n">
        <v>4107412004</v>
      </c>
      <c r="J355" s="4" t="n">
        <v>17700</v>
      </c>
      <c r="K355" s="4" t="n">
        <v>2272318410</v>
      </c>
      <c r="L355" s="4" t="n">
        <v>0</v>
      </c>
      <c r="M355" s="4" t="n">
        <v>1793300377</v>
      </c>
      <c r="N355" s="4" t="n">
        <v>96800</v>
      </c>
      <c r="O355" s="4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45719</v>
      </c>
      <c r="B356" s="7" t="n">
        <v>1309.37</v>
      </c>
      <c r="C356" s="3" t="n">
        <v>5457723</v>
      </c>
      <c r="E356" s="5" t="n">
        <v>45719</v>
      </c>
      <c r="F356" s="4" t="n">
        <v>42050</v>
      </c>
      <c r="G356" s="4" t="n">
        <v>3823661561</v>
      </c>
      <c r="H356" s="4" t="n">
        <v>42550</v>
      </c>
      <c r="I356" s="4" t="n">
        <v>4107412004</v>
      </c>
      <c r="J356" s="4" t="n">
        <v>17700</v>
      </c>
      <c r="K356" s="4" t="n">
        <v>2272318410</v>
      </c>
      <c r="L356" s="4" t="n">
        <v>0</v>
      </c>
      <c r="M356" s="4" t="n">
        <v>1793300377</v>
      </c>
      <c r="N356" s="4" t="n">
        <v>96900</v>
      </c>
      <c r="O356" s="4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45716</v>
      </c>
      <c r="B357" s="7" t="n">
        <v>1305.36</v>
      </c>
      <c r="C357" s="3" t="n">
        <v>5441002</v>
      </c>
      <c r="E357" s="5" t="n">
        <v>45716</v>
      </c>
      <c r="F357" s="4" t="n">
        <v>41200</v>
      </c>
      <c r="G357" s="4" t="n">
        <v>3823661561</v>
      </c>
      <c r="H357" s="4" t="n">
        <v>41200</v>
      </c>
      <c r="I357" s="4" t="n">
        <v>4107412004</v>
      </c>
      <c r="J357" s="4" t="n">
        <v>17400</v>
      </c>
      <c r="K357" s="4" t="n">
        <v>2272318410</v>
      </c>
      <c r="L357" s="4" t="n">
        <v>0</v>
      </c>
      <c r="M357" s="4" t="n">
        <v>1793300377</v>
      </c>
      <c r="N357" s="4" t="n">
        <v>96000</v>
      </c>
      <c r="O357" s="4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45715</v>
      </c>
      <c r="B358" s="7" t="n">
        <v>1307.8</v>
      </c>
      <c r="C358" s="3" t="n">
        <v>5451141</v>
      </c>
      <c r="E358" s="5" t="n">
        <v>45715</v>
      </c>
      <c r="F358" s="4" t="n">
        <v>41050</v>
      </c>
      <c r="G358" s="4" t="n">
        <v>3823661561</v>
      </c>
      <c r="H358" s="4" t="n">
        <v>41050</v>
      </c>
      <c r="I358" s="4" t="n">
        <v>4107412004</v>
      </c>
      <c r="J358" s="4" t="n">
        <v>17200</v>
      </c>
      <c r="K358" s="4" t="n">
        <v>2272318410</v>
      </c>
      <c r="L358" s="4" t="n">
        <v>0</v>
      </c>
      <c r="M358" s="4" t="n">
        <v>1793300377</v>
      </c>
      <c r="N358" s="4" t="n">
        <v>96900</v>
      </c>
      <c r="O358" s="4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45714</v>
      </c>
      <c r="B359" s="7" t="n">
        <v>1302.96</v>
      </c>
      <c r="C359" s="3" t="n">
        <v>5430492.437582491</v>
      </c>
      <c r="E359" s="5" t="n">
        <v>45714</v>
      </c>
      <c r="F359" s="4" t="n">
        <v>41000</v>
      </c>
      <c r="G359" s="4" t="n">
        <v>3823661561</v>
      </c>
      <c r="H359" s="4" t="n">
        <v>40700</v>
      </c>
      <c r="I359" s="4" t="n">
        <v>4107412004</v>
      </c>
      <c r="J359" s="4" t="n">
        <v>17150</v>
      </c>
      <c r="K359" s="4" t="n">
        <v>2272318410</v>
      </c>
      <c r="L359" s="4" t="n">
        <v>0</v>
      </c>
      <c r="M359" s="4" t="n">
        <v>1793300377</v>
      </c>
      <c r="N359" s="4" t="n">
        <v>97100</v>
      </c>
      <c r="O359" s="4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45713</v>
      </c>
      <c r="B360" s="7" t="n">
        <v>1303.16</v>
      </c>
      <c r="C360" s="3" t="n">
        <v>5431326</v>
      </c>
      <c r="E360" s="5" t="n">
        <v>45713</v>
      </c>
      <c r="F360" s="4" t="n">
        <v>40700</v>
      </c>
      <c r="G360" s="4" t="n">
        <v>3823661561</v>
      </c>
      <c r="H360" s="4" t="n">
        <v>40750</v>
      </c>
      <c r="I360" s="4" t="n">
        <v>4107412004</v>
      </c>
      <c r="J360" s="4" t="n">
        <v>17250</v>
      </c>
      <c r="K360" s="4" t="n">
        <v>2272318410</v>
      </c>
      <c r="L360" s="4" t="n">
        <v>0</v>
      </c>
      <c r="M360" s="4" t="n">
        <v>1793300377</v>
      </c>
      <c r="N360" s="4" t="n">
        <v>96100</v>
      </c>
      <c r="O360" s="4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45712</v>
      </c>
      <c r="B361" s="7" t="n">
        <v>1304.56</v>
      </c>
      <c r="C361" s="3" t="n">
        <v>5437150</v>
      </c>
      <c r="E361" s="5" t="n">
        <v>45712</v>
      </c>
      <c r="F361" s="4" t="n">
        <v>40600</v>
      </c>
      <c r="G361" s="4" t="n">
        <v>3823661561</v>
      </c>
      <c r="H361" s="4" t="n">
        <v>40250</v>
      </c>
      <c r="I361" s="4" t="n">
        <v>4107412004</v>
      </c>
      <c r="J361" s="4" t="n">
        <v>17350</v>
      </c>
      <c r="K361" s="4" t="n">
        <v>2272318410</v>
      </c>
      <c r="L361" s="4" t="n">
        <v>0</v>
      </c>
      <c r="M361" s="4" t="n">
        <v>1793300377</v>
      </c>
      <c r="N361" s="4" t="n">
        <v>96600</v>
      </c>
      <c r="O361" s="4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45709</v>
      </c>
      <c r="B362" s="7" t="n">
        <v>1296.75</v>
      </c>
      <c r="C362" s="3" t="n">
        <v>5404621</v>
      </c>
      <c r="E362" s="5" t="n">
        <v>45709</v>
      </c>
      <c r="F362" s="4" t="n">
        <v>40650</v>
      </c>
      <c r="G362" s="4" t="n">
        <v>3823661561</v>
      </c>
      <c r="H362" s="4" t="n">
        <v>40300</v>
      </c>
      <c r="I362" s="4" t="n">
        <v>4107412004</v>
      </c>
      <c r="J362" s="4" t="n">
        <v>17250</v>
      </c>
      <c r="K362" s="4" t="n">
        <v>2272318410</v>
      </c>
      <c r="L362" s="4" t="n">
        <v>0</v>
      </c>
      <c r="M362" s="4" t="n">
        <v>1793300377</v>
      </c>
      <c r="N362" s="4" t="n">
        <v>96600</v>
      </c>
      <c r="O362" s="4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45708</v>
      </c>
      <c r="B363" s="7" t="n">
        <v>1292.98</v>
      </c>
      <c r="C363" s="3" t="n">
        <v>5388772</v>
      </c>
      <c r="E363" s="5" t="n">
        <v>45708</v>
      </c>
      <c r="F363" s="4" t="n">
        <v>40950</v>
      </c>
      <c r="G363" s="4" t="n">
        <v>3823661561</v>
      </c>
      <c r="H363" s="4" t="n">
        <v>40550</v>
      </c>
      <c r="I363" s="4" t="n">
        <v>4107412004</v>
      </c>
      <c r="J363" s="4" t="n">
        <v>17350</v>
      </c>
      <c r="K363" s="4" t="n">
        <v>2272318410</v>
      </c>
      <c r="L363" s="4" t="n">
        <v>0</v>
      </c>
      <c r="M363" s="4" t="n">
        <v>1793300377</v>
      </c>
      <c r="N363" s="4" t="n">
        <v>96900</v>
      </c>
      <c r="O363" s="4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45707</v>
      </c>
      <c r="B364" s="7" t="n">
        <v>1288.56</v>
      </c>
      <c r="C364" s="3" t="n">
        <v>5370342</v>
      </c>
      <c r="E364" s="5" t="n">
        <v>45707</v>
      </c>
      <c r="F364" s="4" t="n">
        <v>40400</v>
      </c>
      <c r="G364" s="4" t="n">
        <v>3823661561</v>
      </c>
      <c r="H364" s="4" t="n">
        <v>39100</v>
      </c>
      <c r="I364" s="4" t="n">
        <v>4107412004</v>
      </c>
      <c r="J364" s="4" t="n">
        <v>17200</v>
      </c>
      <c r="K364" s="4" t="n">
        <v>2272318410</v>
      </c>
      <c r="L364" s="4" t="n">
        <v>0</v>
      </c>
      <c r="M364" s="4" t="n">
        <v>1793300377</v>
      </c>
      <c r="N364" s="4" t="n">
        <v>97400</v>
      </c>
      <c r="O364" s="4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45706</v>
      </c>
      <c r="B365" s="7" t="n">
        <v>1278.14</v>
      </c>
      <c r="C365" s="3" t="n">
        <v>5326951</v>
      </c>
      <c r="E365" s="5" t="n">
        <v>45706</v>
      </c>
      <c r="F365" s="4" t="n">
        <v>40200</v>
      </c>
      <c r="G365" s="4" t="n">
        <v>3823661561</v>
      </c>
      <c r="H365" s="4" t="n">
        <v>38900</v>
      </c>
      <c r="I365" s="4" t="n">
        <v>4107412004</v>
      </c>
      <c r="J365" s="4" t="n">
        <v>16850</v>
      </c>
      <c r="K365" s="4" t="n">
        <v>2272318410</v>
      </c>
      <c r="L365" s="4" t="n">
        <v>0</v>
      </c>
      <c r="M365" s="4" t="n">
        <v>1793300414</v>
      </c>
      <c r="N365" s="4" t="n">
        <v>97400</v>
      </c>
      <c r="O365" s="4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45705</v>
      </c>
      <c r="B366" s="7" t="n">
        <v>1272.72</v>
      </c>
      <c r="C366" s="3" t="n">
        <v>5304344</v>
      </c>
      <c r="E366" s="5" t="n">
        <v>45705</v>
      </c>
      <c r="F366" s="4" t="n">
        <v>40100</v>
      </c>
      <c r="G366" s="4" t="n">
        <v>3823661561</v>
      </c>
      <c r="H366" s="4" t="n">
        <v>38800</v>
      </c>
      <c r="I366" s="4" t="n">
        <v>4107412004</v>
      </c>
      <c r="J366" s="4" t="n">
        <v>16450</v>
      </c>
      <c r="K366" s="4" t="n">
        <v>2272318410</v>
      </c>
      <c r="L366" s="4" t="n">
        <v>0</v>
      </c>
      <c r="M366" s="4" t="n">
        <v>1793300414</v>
      </c>
      <c r="N366" s="4" t="n">
        <v>97500</v>
      </c>
      <c r="O366" s="4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45702</v>
      </c>
      <c r="B367" s="7" t="n">
        <v>1276.08</v>
      </c>
      <c r="C367" s="3" t="n">
        <v>5318348</v>
      </c>
      <c r="E367" s="5" t="n">
        <v>45702</v>
      </c>
      <c r="F367" s="4" t="n">
        <v>40250</v>
      </c>
      <c r="G367" s="4" t="n">
        <v>3823661561</v>
      </c>
      <c r="H367" s="4" t="n">
        <v>38800</v>
      </c>
      <c r="I367" s="4" t="n">
        <v>4107412004</v>
      </c>
      <c r="J367" s="4" t="n">
        <v>16600</v>
      </c>
      <c r="K367" s="4" t="n">
        <v>2272318410</v>
      </c>
      <c r="L367" s="4" t="n">
        <v>0</v>
      </c>
      <c r="M367" s="4" t="n">
        <v>1793300414</v>
      </c>
      <c r="N367" s="4" t="n">
        <v>96700</v>
      </c>
      <c r="O367" s="4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45701</v>
      </c>
      <c r="B368" s="7" t="n">
        <v>1270.35</v>
      </c>
      <c r="C368" s="3" t="n">
        <v>5294455</v>
      </c>
      <c r="E368" s="5" t="n">
        <v>45701</v>
      </c>
      <c r="F368" s="4" t="n">
        <v>40250</v>
      </c>
      <c r="G368" s="4" t="n">
        <v>3823661561</v>
      </c>
      <c r="H368" s="4" t="n">
        <v>38750</v>
      </c>
      <c r="I368" s="4" t="n">
        <v>4107412004</v>
      </c>
      <c r="J368" s="4" t="n">
        <v>16650</v>
      </c>
      <c r="K368" s="4" t="n">
        <v>2272318410</v>
      </c>
      <c r="L368" s="4" t="n">
        <v>0</v>
      </c>
      <c r="M368" s="4" t="n">
        <v>1793300414</v>
      </c>
      <c r="N368" s="4" t="n">
        <v>96200</v>
      </c>
      <c r="O368" s="4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45700</v>
      </c>
      <c r="B369" s="7" t="n">
        <v>1266.91</v>
      </c>
      <c r="C369" s="3" t="n">
        <v>5280160</v>
      </c>
      <c r="E369" s="5" t="n">
        <v>45700</v>
      </c>
      <c r="F369" s="4" t="n">
        <v>39900</v>
      </c>
      <c r="G369" s="4" t="n">
        <v>3823661561</v>
      </c>
      <c r="H369" s="4" t="n">
        <v>38000</v>
      </c>
      <c r="I369" s="4" t="n">
        <v>4107412004</v>
      </c>
      <c r="J369" s="4" t="n">
        <v>16400</v>
      </c>
      <c r="K369" s="4" t="n">
        <v>2272318410</v>
      </c>
      <c r="L369" s="4" t="n">
        <v>0</v>
      </c>
      <c r="M369" s="4" t="n">
        <v>1793300414</v>
      </c>
      <c r="N369" s="4" t="n">
        <v>96100</v>
      </c>
      <c r="O369" s="4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45699</v>
      </c>
      <c r="B370" s="7" t="n">
        <v>1268.45</v>
      </c>
      <c r="C370" s="3" t="n">
        <v>5283287</v>
      </c>
      <c r="E370" s="5" t="n">
        <v>45699</v>
      </c>
      <c r="F370" s="4" t="n">
        <v>39950</v>
      </c>
      <c r="G370" s="4" t="n">
        <v>3823661561</v>
      </c>
      <c r="H370" s="4" t="n">
        <v>37750</v>
      </c>
      <c r="I370" s="4" t="n">
        <v>4107412004</v>
      </c>
      <c r="J370" s="4" t="n">
        <v>16400</v>
      </c>
      <c r="K370" s="4" t="n">
        <v>2272318410</v>
      </c>
      <c r="L370" s="4" t="n">
        <v>0</v>
      </c>
      <c r="M370" s="4" t="n">
        <v>1793300414</v>
      </c>
      <c r="N370" s="4" t="n">
        <v>96500</v>
      </c>
      <c r="O370" s="4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45698</v>
      </c>
      <c r="B371" s="7" t="n">
        <v>1263.26</v>
      </c>
      <c r="C371" s="3" t="n">
        <v>5261675</v>
      </c>
      <c r="E371" s="5" t="n">
        <v>45698</v>
      </c>
      <c r="F371" s="4" t="n">
        <v>40000</v>
      </c>
      <c r="G371" s="4" t="n">
        <v>3823661561</v>
      </c>
      <c r="H371" s="4" t="n">
        <v>37800</v>
      </c>
      <c r="I371" s="4" t="n">
        <v>4107412004</v>
      </c>
      <c r="J371" s="4" t="n">
        <v>16600</v>
      </c>
      <c r="K371" s="4" t="n">
        <v>2272318410</v>
      </c>
      <c r="L371" s="4" t="n">
        <v>0</v>
      </c>
      <c r="M371" s="4" t="n">
        <v>1793300414</v>
      </c>
      <c r="N371" s="4" t="n">
        <v>96800</v>
      </c>
      <c r="O371" s="4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45695</v>
      </c>
      <c r="B372" s="7" t="n">
        <v>1275.2</v>
      </c>
      <c r="C372" s="3" t="n">
        <v>5311409</v>
      </c>
      <c r="E372" s="5" t="n">
        <v>45695</v>
      </c>
      <c r="F372" s="4" t="n">
        <v>40650</v>
      </c>
      <c r="G372" s="4" t="n">
        <v>3823661561</v>
      </c>
      <c r="H372" s="4" t="n">
        <v>38750</v>
      </c>
      <c r="I372" s="4" t="n">
        <v>4107412004</v>
      </c>
      <c r="J372" s="4" t="n">
        <v>16850</v>
      </c>
      <c r="K372" s="4" t="n">
        <v>2272318410</v>
      </c>
      <c r="L372" s="4" t="n">
        <v>0</v>
      </c>
      <c r="M372" s="4" t="n">
        <v>1793300414</v>
      </c>
      <c r="N372" s="4" t="n">
        <v>98100</v>
      </c>
      <c r="O372" s="4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45694</v>
      </c>
      <c r="B373" s="7" t="n">
        <v>1271.48</v>
      </c>
      <c r="C373" s="3" t="n">
        <v>5295881</v>
      </c>
      <c r="E373" s="5" t="n">
        <v>45694</v>
      </c>
      <c r="F373" s="4" t="n">
        <v>40450</v>
      </c>
      <c r="G373" s="4" t="n">
        <v>3823661561</v>
      </c>
      <c r="H373" s="4" t="n">
        <v>38800</v>
      </c>
      <c r="I373" s="4" t="n">
        <v>4107412004</v>
      </c>
      <c r="J373" s="4" t="n">
        <v>16700</v>
      </c>
      <c r="K373" s="4" t="n">
        <v>2272318410</v>
      </c>
      <c r="L373" s="4" t="n">
        <v>0</v>
      </c>
      <c r="M373" s="4" t="n">
        <v>1793300414</v>
      </c>
      <c r="N373" s="4" t="n">
        <v>98000</v>
      </c>
      <c r="O373" s="4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45693</v>
      </c>
      <c r="B374" s="7" t="n">
        <v>1269.61</v>
      </c>
      <c r="C374" s="3" t="n">
        <v>5288110</v>
      </c>
      <c r="E374" s="5" t="n">
        <v>45693</v>
      </c>
      <c r="F374" s="4" t="n">
        <v>40050</v>
      </c>
      <c r="G374" s="4" t="n">
        <v>3823661561</v>
      </c>
      <c r="H374" s="4" t="n">
        <v>38850</v>
      </c>
      <c r="I374" s="4" t="n">
        <v>4107412004</v>
      </c>
      <c r="J374" s="4" t="n">
        <v>16850</v>
      </c>
      <c r="K374" s="4" t="n">
        <v>2272318410</v>
      </c>
      <c r="L374" s="4" t="n">
        <v>0</v>
      </c>
      <c r="M374" s="4" t="n">
        <v>1793300414</v>
      </c>
      <c r="N374" s="4" t="n">
        <v>97700</v>
      </c>
      <c r="O374" s="4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45692</v>
      </c>
      <c r="B375" s="7" t="n">
        <v>1264.68</v>
      </c>
      <c r="C375" s="3" t="n">
        <v>5267570</v>
      </c>
      <c r="E375" s="5" t="n">
        <v>45692</v>
      </c>
      <c r="F375" s="4" t="n">
        <v>40100</v>
      </c>
      <c r="G375" s="4" t="n">
        <v>3823661561</v>
      </c>
      <c r="H375" s="4" t="n">
        <v>38750</v>
      </c>
      <c r="I375" s="4" t="n">
        <v>4107412004</v>
      </c>
      <c r="J375" s="4" t="n">
        <v>16300</v>
      </c>
      <c r="K375" s="4" t="n">
        <v>2272318410</v>
      </c>
      <c r="L375" s="4" t="n">
        <v>0</v>
      </c>
      <c r="M375" s="4" t="n">
        <v>1793300414</v>
      </c>
      <c r="N375" s="4" t="n">
        <v>98200</v>
      </c>
      <c r="O375" s="4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45691</v>
      </c>
      <c r="B376" s="7" t="n">
        <v>1253.03</v>
      </c>
      <c r="C376" s="3" t="n">
        <v>5221240</v>
      </c>
      <c r="E376" s="5" t="n">
        <v>45691</v>
      </c>
      <c r="F376" s="4" t="n">
        <v>40050</v>
      </c>
      <c r="G376" s="4" t="n">
        <v>3823661561</v>
      </c>
      <c r="H376" s="4" t="n">
        <v>39000</v>
      </c>
      <c r="I376" s="4" t="n">
        <v>4107412004</v>
      </c>
      <c r="J376" s="4" t="n">
        <v>16300</v>
      </c>
      <c r="K376" s="4" t="n">
        <v>2272318410</v>
      </c>
      <c r="L376" s="4" t="n">
        <v>0</v>
      </c>
      <c r="M376" s="4" t="n">
        <v>1793300414</v>
      </c>
      <c r="N376" s="4" t="n">
        <v>98800</v>
      </c>
      <c r="O376" s="4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45681</v>
      </c>
      <c r="B377" s="7" t="n">
        <v>1265.05</v>
      </c>
      <c r="C377" s="3" t="n">
        <v>5271337</v>
      </c>
      <c r="E377" s="5" t="n">
        <v>45681</v>
      </c>
      <c r="F377" s="4" t="n">
        <v>40400</v>
      </c>
      <c r="G377" s="4" t="n">
        <v>3823661561</v>
      </c>
      <c r="H377" s="4" t="n">
        <v>39500</v>
      </c>
      <c r="I377" s="4" t="n">
        <v>4107412004</v>
      </c>
      <c r="J377" s="4" t="n">
        <v>16550</v>
      </c>
      <c r="K377" s="4" t="n">
        <v>2272318410</v>
      </c>
      <c r="L377" s="4" t="n">
        <v>0</v>
      </c>
      <c r="M377" s="4" t="n">
        <v>1793300414</v>
      </c>
      <c r="N377" s="4" t="n">
        <v>99800</v>
      </c>
      <c r="O377" s="4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45680</v>
      </c>
      <c r="B378" s="7" t="n">
        <v>1259.63</v>
      </c>
      <c r="C378" s="3" t="n">
        <v>5248893</v>
      </c>
      <c r="E378" s="5" t="n">
        <v>45680</v>
      </c>
      <c r="F378" s="4" t="n">
        <v>40400</v>
      </c>
      <c r="G378" s="4" t="n">
        <v>3823661561</v>
      </c>
      <c r="H378" s="4" t="n">
        <v>39500</v>
      </c>
      <c r="I378" s="4" t="n">
        <v>4107412004</v>
      </c>
      <c r="J378" s="4" t="n">
        <v>16450</v>
      </c>
      <c r="K378" s="4" t="n">
        <v>2272318410</v>
      </c>
      <c r="L378" s="4" t="n">
        <v>0</v>
      </c>
      <c r="M378" s="4" t="n">
        <v>1793300414</v>
      </c>
      <c r="N378" s="4" t="n">
        <v>99000</v>
      </c>
      <c r="O378" s="4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45679</v>
      </c>
      <c r="B379" s="7" t="n">
        <v>1242.53</v>
      </c>
      <c r="C379" s="3" t="n">
        <v>5177641</v>
      </c>
      <c r="E379" s="5" t="n">
        <v>45679</v>
      </c>
      <c r="F379" s="4" t="n">
        <v>40400</v>
      </c>
      <c r="G379" s="4" t="n">
        <v>3823661561</v>
      </c>
      <c r="H379" s="4" t="n">
        <v>39500</v>
      </c>
      <c r="I379" s="4" t="n">
        <v>4107412004</v>
      </c>
      <c r="J379" s="4" t="n">
        <v>16300</v>
      </c>
      <c r="K379" s="4" t="n">
        <v>2272318410</v>
      </c>
      <c r="L379" s="4" t="n">
        <v>0</v>
      </c>
      <c r="M379" s="4" t="n">
        <v>1793300414</v>
      </c>
      <c r="N379" s="4" t="n">
        <v>98800</v>
      </c>
      <c r="O379" s="4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45678</v>
      </c>
      <c r="B380" s="7" t="n">
        <v>1246.09</v>
      </c>
      <c r="C380" s="3" t="n">
        <v>5192489</v>
      </c>
      <c r="E380" s="5" t="n">
        <v>45678</v>
      </c>
      <c r="F380" s="4" t="n">
        <v>40450</v>
      </c>
      <c r="G380" s="4" t="n">
        <v>3823661561</v>
      </c>
      <c r="H380" s="4" t="n">
        <v>40000</v>
      </c>
      <c r="I380" s="4" t="n">
        <v>4107412004</v>
      </c>
      <c r="J380" s="4" t="n">
        <v>16600</v>
      </c>
      <c r="K380" s="4" t="n">
        <v>2272318410</v>
      </c>
      <c r="L380" s="4" t="n">
        <v>0</v>
      </c>
      <c r="M380" s="4" t="n">
        <v>1793300414</v>
      </c>
      <c r="N380" s="4" t="n">
        <v>98800</v>
      </c>
      <c r="O380" s="4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45677</v>
      </c>
      <c r="B381" s="7" t="n">
        <v>1249.55</v>
      </c>
      <c r="C381" s="3" t="n">
        <v>5206902</v>
      </c>
      <c r="E381" s="5" t="n">
        <v>45677</v>
      </c>
      <c r="F381" s="4" t="n">
        <v>40400</v>
      </c>
      <c r="G381" s="4" t="n">
        <v>3823661561</v>
      </c>
      <c r="H381" s="4" t="n">
        <v>40000</v>
      </c>
      <c r="I381" s="4" t="n">
        <v>4107412004</v>
      </c>
      <c r="J381" s="4" t="n">
        <v>16600</v>
      </c>
      <c r="K381" s="4" t="n">
        <v>2272318410</v>
      </c>
      <c r="L381" s="4" t="n">
        <v>0</v>
      </c>
      <c r="M381" s="4" t="n">
        <v>1793300414</v>
      </c>
      <c r="N381" s="4" t="n">
        <v>98800</v>
      </c>
      <c r="O381" s="4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45674</v>
      </c>
      <c r="B382" s="7" t="n">
        <v>1249.11</v>
      </c>
      <c r="C382" s="3" t="n">
        <v>5205073</v>
      </c>
      <c r="E382" s="5" t="n">
        <v>45674</v>
      </c>
      <c r="F382" s="4" t="n">
        <v>40450</v>
      </c>
      <c r="G382" s="4" t="n">
        <v>3823661561</v>
      </c>
      <c r="H382" s="4" t="n">
        <v>40100</v>
      </c>
      <c r="I382" s="4" t="n">
        <v>4107412004</v>
      </c>
      <c r="J382" s="4" t="n">
        <v>16550</v>
      </c>
      <c r="K382" s="4" t="n">
        <v>2272318410</v>
      </c>
      <c r="L382" s="4" t="n">
        <v>0</v>
      </c>
      <c r="M382" s="4" t="n">
        <v>1793300414</v>
      </c>
      <c r="N382" s="4" t="n">
        <v>99000</v>
      </c>
      <c r="O382" s="4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45673</v>
      </c>
      <c r="B383" s="7" t="n">
        <v>1242.36</v>
      </c>
      <c r="C383" s="3" t="n">
        <v>5109791</v>
      </c>
      <c r="E383" s="5" t="n">
        <v>45673</v>
      </c>
      <c r="F383" s="4" t="n">
        <v>40450</v>
      </c>
      <c r="G383" s="4" t="n">
        <v>3823661561</v>
      </c>
      <c r="H383" s="4" t="n">
        <v>40000</v>
      </c>
      <c r="I383" s="4" t="n">
        <v>4107412004</v>
      </c>
      <c r="J383" s="4" t="n">
        <v>16550</v>
      </c>
      <c r="K383" s="4" t="n">
        <v>2272318410</v>
      </c>
      <c r="L383" s="4" t="n">
        <v>0</v>
      </c>
      <c r="M383" s="4" t="n">
        <v>1793300414</v>
      </c>
      <c r="N383" s="4" t="n">
        <v>98900</v>
      </c>
      <c r="O383" s="4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45672</v>
      </c>
      <c r="B384" s="7" t="n">
        <v>1236.18</v>
      </c>
      <c r="C384" s="3" t="n">
        <v>5084364</v>
      </c>
      <c r="E384" s="5" t="n">
        <v>45672</v>
      </c>
      <c r="F384" s="4" t="n">
        <v>40250</v>
      </c>
      <c r="G384" s="4" t="n">
        <v>3823661561</v>
      </c>
      <c r="H384" s="4" t="n">
        <v>40000</v>
      </c>
      <c r="I384" s="4" t="n">
        <v>4107412004</v>
      </c>
      <c r="J384" s="4" t="n">
        <v>16500</v>
      </c>
      <c r="K384" s="4" t="n">
        <v>2272318410</v>
      </c>
      <c r="L384" s="4" t="n">
        <v>0</v>
      </c>
      <c r="M384" s="4" t="n">
        <v>1793300414</v>
      </c>
      <c r="N384" s="4" t="n">
        <v>98700</v>
      </c>
      <c r="O384" s="4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45671</v>
      </c>
      <c r="B385" s="7" t="n">
        <v>1229.07</v>
      </c>
      <c r="C385" s="3" t="n">
        <v>5055143</v>
      </c>
      <c r="E385" s="5" t="n">
        <v>45671</v>
      </c>
      <c r="F385" s="4" t="n">
        <v>40200</v>
      </c>
      <c r="G385" s="4" t="n">
        <v>3823661561</v>
      </c>
      <c r="H385" s="4" t="n">
        <v>40000</v>
      </c>
      <c r="I385" s="4" t="n">
        <v>4107412004</v>
      </c>
      <c r="J385" s="4" t="n">
        <v>16100</v>
      </c>
      <c r="K385" s="4" t="n">
        <v>2272318410</v>
      </c>
      <c r="L385" s="4" t="n">
        <v>0</v>
      </c>
      <c r="M385" s="4" t="n">
        <v>1793300414</v>
      </c>
      <c r="N385" s="4" t="n">
        <v>98500</v>
      </c>
      <c r="O385" s="4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45670</v>
      </c>
      <c r="B386" s="7" t="n">
        <v>1235.65</v>
      </c>
      <c r="C386" s="3" t="n">
        <v>5081888</v>
      </c>
      <c r="E386" s="5" t="n">
        <v>45670</v>
      </c>
      <c r="F386" s="4" t="n">
        <v>40300</v>
      </c>
      <c r="G386" s="4" t="n">
        <v>3823661561</v>
      </c>
      <c r="H386" s="4" t="n">
        <v>40000</v>
      </c>
      <c r="I386" s="4" t="n">
        <v>4107412004</v>
      </c>
      <c r="J386" s="4" t="n">
        <v>16700</v>
      </c>
      <c r="K386" s="4" t="n">
        <v>2272318410</v>
      </c>
      <c r="L386" s="4" t="n">
        <v>0</v>
      </c>
      <c r="M386" s="4" t="n">
        <v>1793300414</v>
      </c>
      <c r="N386" s="4" t="n">
        <v>98600</v>
      </c>
      <c r="O386" s="4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45667</v>
      </c>
      <c r="B387" s="7" t="n">
        <v>1230.48</v>
      </c>
      <c r="C387" s="3" t="n">
        <v>5060638</v>
      </c>
      <c r="E387" s="5" t="n">
        <v>45667</v>
      </c>
      <c r="F387" s="4" t="n">
        <v>40500</v>
      </c>
      <c r="G387" s="4" t="n">
        <v>3823661561</v>
      </c>
      <c r="H387" s="4" t="n">
        <v>40000</v>
      </c>
      <c r="I387" s="4" t="n">
        <v>4107412004</v>
      </c>
      <c r="J387" s="4" t="n">
        <v>16850</v>
      </c>
      <c r="K387" s="4" t="n">
        <v>2272318410</v>
      </c>
      <c r="L387" s="4" t="n">
        <v>0</v>
      </c>
      <c r="M387" s="4" t="n">
        <v>1793300414</v>
      </c>
      <c r="N387" s="4" t="n">
        <v>98600</v>
      </c>
      <c r="O387" s="4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45666</v>
      </c>
      <c r="B388" s="7" t="n">
        <v>1245.77</v>
      </c>
      <c r="C388" s="3" t="n">
        <v>5123370</v>
      </c>
      <c r="E388" s="5" t="n">
        <v>45666</v>
      </c>
      <c r="F388" s="4" t="n">
        <v>40750</v>
      </c>
      <c r="G388" s="4" t="n">
        <v>3823661561</v>
      </c>
      <c r="H388" s="4" t="n">
        <v>40400</v>
      </c>
      <c r="I388" s="4" t="n">
        <v>4107412004</v>
      </c>
      <c r="J388" s="4" t="n">
        <v>17000</v>
      </c>
      <c r="K388" s="4" t="n">
        <v>2272318410</v>
      </c>
      <c r="L388" s="4" t="n">
        <v>0</v>
      </c>
      <c r="M388" s="4" t="n">
        <v>1793300414</v>
      </c>
      <c r="N388" s="4" t="n">
        <v>99300</v>
      </c>
      <c r="O388" s="4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45665</v>
      </c>
      <c r="B389" s="7" t="n">
        <v>1251.02</v>
      </c>
      <c r="C389" s="3" t="n">
        <v>5144940</v>
      </c>
      <c r="E389" s="5" t="n">
        <v>45665</v>
      </c>
      <c r="F389" s="4" t="n">
        <v>40500</v>
      </c>
      <c r="G389" s="4" t="n">
        <v>3823661561</v>
      </c>
      <c r="H389" s="4" t="n">
        <v>40000</v>
      </c>
      <c r="I389" s="4" t="n">
        <v>4107412004</v>
      </c>
      <c r="J389" s="4" t="n">
        <v>16950</v>
      </c>
      <c r="K389" s="4" t="n">
        <v>2272318410</v>
      </c>
      <c r="L389" s="4" t="n">
        <v>0</v>
      </c>
      <c r="M389" s="4" t="n">
        <v>1723212204</v>
      </c>
      <c r="N389" s="4" t="n">
        <v>99400</v>
      </c>
      <c r="O389" s="4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45664</v>
      </c>
      <c r="B390" s="7" t="n">
        <v>1246.95</v>
      </c>
      <c r="C390" s="3" t="n">
        <v>5128190</v>
      </c>
      <c r="E390" s="5" t="n">
        <v>45664</v>
      </c>
      <c r="F390" s="4" t="n">
        <v>40500</v>
      </c>
      <c r="G390" s="4" t="n">
        <v>3823661561</v>
      </c>
      <c r="H390" s="4" t="n">
        <v>40000</v>
      </c>
      <c r="I390" s="4" t="n">
        <v>4107412004</v>
      </c>
      <c r="J390" s="4" t="n">
        <v>16950</v>
      </c>
      <c r="K390" s="4" t="n">
        <v>2272318410</v>
      </c>
      <c r="L390" s="4" t="n">
        <v>0</v>
      </c>
      <c r="M390" s="4" t="n">
        <v>1723212204</v>
      </c>
      <c r="N390" s="4" t="n">
        <v>99500</v>
      </c>
      <c r="O390" s="4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45663</v>
      </c>
      <c r="B391" s="7" t="n">
        <v>1246.35</v>
      </c>
      <c r="C391" s="3" t="n">
        <v>5125702</v>
      </c>
      <c r="E391" s="5" t="n">
        <v>45663</v>
      </c>
      <c r="F391" s="4" t="n">
        <v>40500</v>
      </c>
      <c r="G391" s="4" t="n">
        <v>3823661561</v>
      </c>
      <c r="H391" s="4" t="n">
        <v>40000</v>
      </c>
      <c r="I391" s="4" t="n">
        <v>4107412004</v>
      </c>
      <c r="J391" s="4" t="n">
        <v>17150</v>
      </c>
      <c r="K391" s="4" t="n">
        <v>2272318410</v>
      </c>
      <c r="L391" s="4" t="n">
        <v>0</v>
      </c>
      <c r="M391" s="4" t="n">
        <v>1723212204</v>
      </c>
      <c r="N391" s="4" t="n">
        <v>99700</v>
      </c>
      <c r="O391" s="4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45660</v>
      </c>
      <c r="B392" s="7" t="n">
        <v>1254.59</v>
      </c>
      <c r="C392" s="3" t="n">
        <v>5157795</v>
      </c>
      <c r="E392" s="5" t="n">
        <v>45660</v>
      </c>
      <c r="F392" s="4" t="n">
        <v>40500</v>
      </c>
      <c r="G392" s="4" t="n">
        <v>3823661561</v>
      </c>
      <c r="H392" s="4" t="n">
        <v>40000</v>
      </c>
      <c r="I392" s="4" t="n">
        <v>4107412004</v>
      </c>
      <c r="J392" s="4" t="n">
        <v>17200</v>
      </c>
      <c r="K392" s="4" t="n">
        <v>2272318410</v>
      </c>
      <c r="L392" s="4" t="n">
        <v>0</v>
      </c>
      <c r="M392" s="4" t="n">
        <v>1723212204</v>
      </c>
      <c r="N392" s="4" t="n">
        <v>99500</v>
      </c>
      <c r="O392" s="4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45659</v>
      </c>
      <c r="B393" s="7" t="n">
        <v>1269.71</v>
      </c>
      <c r="C393" s="3" t="n">
        <v>5219989</v>
      </c>
      <c r="E393" s="5" t="n">
        <v>45659</v>
      </c>
      <c r="F393" s="4" t="n">
        <v>40550</v>
      </c>
      <c r="G393" s="4" t="n">
        <v>3823661561</v>
      </c>
      <c r="H393" s="4" t="n">
        <v>40000</v>
      </c>
      <c r="I393" s="4" t="n">
        <v>4107412004</v>
      </c>
      <c r="J393" s="4" t="n">
        <v>17300</v>
      </c>
      <c r="K393" s="4" t="n">
        <v>2272318410</v>
      </c>
      <c r="L393" s="4" t="n">
        <v>0</v>
      </c>
      <c r="M393" s="4" t="n">
        <v>1723212204</v>
      </c>
      <c r="N393" s="4" t="n">
        <v>99900</v>
      </c>
      <c r="O393" s="4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45657</v>
      </c>
      <c r="B394" s="7" t="n">
        <v>1266.78</v>
      </c>
      <c r="C394" s="3" t="n">
        <v>5207883</v>
      </c>
      <c r="E394" s="5" t="n">
        <v>45657</v>
      </c>
      <c r="F394" s="4" t="n">
        <v>40550</v>
      </c>
      <c r="G394" s="4" t="n">
        <v>3823661561</v>
      </c>
      <c r="H394" s="4" t="n">
        <v>40000</v>
      </c>
      <c r="I394" s="4" t="n">
        <v>4107412004</v>
      </c>
      <c r="J394" s="4" t="n">
        <v>17150</v>
      </c>
      <c r="K394" s="4" t="n">
        <v>2272318410</v>
      </c>
      <c r="L394" s="4" t="n">
        <v>0</v>
      </c>
      <c r="M394" s="4" t="n">
        <v>1723212204</v>
      </c>
      <c r="N394" s="4" t="n">
        <v>100000</v>
      </c>
      <c r="O394" s="4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L394" s="7">
        <f>B394-AJ394</f>
        <v/>
      </c>
      <c r="AM394" s="42">
        <f>_xlfn.STDEV.S(AL394:AL413)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2025-11-07T07:43:03Z</dcterms:created>
  <dcterms:modified xmlns:dcterms="http://purl.org/dc/terms/" xmlns:xsi="http://www.w3.org/2001/XMLSchema-instance" xsi:type="dcterms:W3CDTF">2026-07-31T09:52:58Z</dcterms:modified>
  <cp:lastModifiedBy>Long Dang</cp:lastModifiedBy>
</cp:coreProperties>
</file>